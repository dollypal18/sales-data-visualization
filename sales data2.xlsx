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MERITSHOT CLASS 1\"/>
    </mc:Choice>
  </mc:AlternateContent>
  <xr:revisionPtr revIDLastSave="0" documentId="13_ncr:1_{BB28B8E4-CDBC-415D-A0AC-FB6F83CEC6E9}" xr6:coauthVersionLast="47" xr6:coauthVersionMax="47" xr10:uidLastSave="{00000000-0000-0000-0000-000000000000}"/>
  <bookViews>
    <workbookView xWindow="-108" yWindow="-108" windowWidth="23256" windowHeight="12456" activeTab="7" xr2:uid="{A4D2CA63-1131-4459-B7B3-4FD465B3146F}"/>
  </bookViews>
  <sheets>
    <sheet name="KPI" sheetId="2" r:id="rId1"/>
    <sheet name="category" sheetId="4" r:id="rId2"/>
    <sheet name="State" sheetId="5" r:id="rId3"/>
    <sheet name="profit Distribution" sheetId="7" r:id="rId4"/>
    <sheet name="Sheet8" sheetId="9" state="hidden" r:id="rId5"/>
    <sheet name="Quantity Sold trend" sheetId="10" r:id="rId6"/>
    <sheet name="Data" sheetId="1" r:id="rId7"/>
    <sheet name="dashboard" sheetId="3" r:id="rId8"/>
  </sheets>
  <definedNames>
    <definedName name="_xlchart.v5.0" hidden="1">State!$C$3</definedName>
    <definedName name="_xlchart.v5.1" hidden="1">State!$C$4:$C$51</definedName>
    <definedName name="_xlchart.v5.2" hidden="1">State!$D$4:$D$51</definedName>
    <definedName name="_xlchart.v5.3" hidden="1">State!$C$3</definedName>
    <definedName name="_xlchart.v5.4" hidden="1">State!$C$4:$C$51</definedName>
    <definedName name="_xlchart.v5.5" hidden="1">State!$D$4:$D$51</definedName>
    <definedName name="Slicer_Category">#N/A</definedName>
    <definedName name="Slicer_State">#N/A</definedName>
  </definedNames>
  <calcPr calcId="191029"/>
  <pivotCaches>
    <pivotCache cacheId="4" r:id="rId9"/>
    <pivotCache cacheId="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E5" i="10"/>
  <c r="D6" i="10"/>
  <c r="E6" i="10"/>
  <c r="D7" i="10"/>
  <c r="E7" i="10"/>
  <c r="D8" i="10"/>
  <c r="E8" i="10"/>
  <c r="D9" i="10"/>
  <c r="E9" i="10"/>
  <c r="D10" i="10"/>
  <c r="E10" i="10"/>
  <c r="D11" i="10"/>
  <c r="E11" i="10"/>
  <c r="D12" i="10"/>
  <c r="E12" i="10"/>
  <c r="D13" i="10"/>
  <c r="E13" i="10"/>
  <c r="D14" i="10"/>
  <c r="E14" i="10"/>
  <c r="D15" i="10"/>
  <c r="E15" i="10"/>
  <c r="D16" i="10"/>
  <c r="E16" i="10"/>
  <c r="D17" i="10"/>
  <c r="E17" i="10"/>
  <c r="D18" i="10"/>
  <c r="E18" i="10"/>
  <c r="D19" i="10"/>
  <c r="E19" i="10"/>
  <c r="D20" i="10"/>
  <c r="E20" i="10"/>
  <c r="E4" i="10"/>
  <c r="D4" i="10"/>
  <c r="C5" i="5"/>
  <c r="D5" i="5"/>
  <c r="C6" i="5"/>
  <c r="D6" i="5"/>
  <c r="C7" i="5"/>
  <c r="D7" i="5"/>
  <c r="C8" i="5"/>
  <c r="D8" i="5"/>
  <c r="C9" i="5"/>
  <c r="D9" i="5"/>
  <c r="C10" i="5"/>
  <c r="D10" i="5"/>
  <c r="C11" i="5"/>
  <c r="D11" i="5"/>
  <c r="C12" i="5"/>
  <c r="D12" i="5"/>
  <c r="C13" i="5"/>
  <c r="D13" i="5"/>
  <c r="C14" i="5"/>
  <c r="D14" i="5"/>
  <c r="C15" i="5"/>
  <c r="D15" i="5"/>
  <c r="C16" i="5"/>
  <c r="D16" i="5"/>
  <c r="C17" i="5"/>
  <c r="D17" i="5"/>
  <c r="C18" i="5"/>
  <c r="D18" i="5"/>
  <c r="C19" i="5"/>
  <c r="D19" i="5"/>
  <c r="C20" i="5"/>
  <c r="D20" i="5"/>
  <c r="C21" i="5"/>
  <c r="D21" i="5"/>
  <c r="C22" i="5"/>
  <c r="D22" i="5"/>
  <c r="C23" i="5"/>
  <c r="D23" i="5"/>
  <c r="C24" i="5"/>
  <c r="D24" i="5"/>
  <c r="C25" i="5"/>
  <c r="D25" i="5"/>
  <c r="C26" i="5"/>
  <c r="D26" i="5"/>
  <c r="C27" i="5"/>
  <c r="D27" i="5"/>
  <c r="C28" i="5"/>
  <c r="D28" i="5"/>
  <c r="C29" i="5"/>
  <c r="D29" i="5"/>
  <c r="C30" i="5"/>
  <c r="D30" i="5"/>
  <c r="C31" i="5"/>
  <c r="D31" i="5"/>
  <c r="C32" i="5"/>
  <c r="D32" i="5"/>
  <c r="C33" i="5"/>
  <c r="D33" i="5"/>
  <c r="C34" i="5"/>
  <c r="D34" i="5"/>
  <c r="C35" i="5"/>
  <c r="D35" i="5"/>
  <c r="C36" i="5"/>
  <c r="D36" i="5"/>
  <c r="C37" i="5"/>
  <c r="D37" i="5"/>
  <c r="C38" i="5"/>
  <c r="D38" i="5"/>
  <c r="C39" i="5"/>
  <c r="D39" i="5"/>
  <c r="C40" i="5"/>
  <c r="D40" i="5"/>
  <c r="C41" i="5"/>
  <c r="D41" i="5"/>
  <c r="C42" i="5"/>
  <c r="D42" i="5"/>
  <c r="C43" i="5"/>
  <c r="D43" i="5"/>
  <c r="C44" i="5"/>
  <c r="D44" i="5"/>
  <c r="C45" i="5"/>
  <c r="D45" i="5"/>
  <c r="C46" i="5"/>
  <c r="D46" i="5"/>
  <c r="C47" i="5"/>
  <c r="D47" i="5"/>
  <c r="C48" i="5"/>
  <c r="D48" i="5"/>
  <c r="C49" i="5"/>
  <c r="D49" i="5"/>
  <c r="C50" i="5"/>
  <c r="D50" i="5"/>
  <c r="C51" i="5"/>
  <c r="D51" i="5"/>
  <c r="D4" i="5"/>
  <c r="C4" i="5"/>
  <c r="C5" i="7"/>
  <c r="D5" i="7"/>
  <c r="C6" i="7"/>
  <c r="D6" i="7"/>
  <c r="C7" i="7"/>
  <c r="D7" i="7"/>
  <c r="C8" i="7"/>
  <c r="D8" i="7"/>
  <c r="C9" i="7"/>
  <c r="D9" i="7"/>
  <c r="C10" i="7"/>
  <c r="D10" i="7"/>
  <c r="C11" i="7"/>
  <c r="D11" i="7"/>
  <c r="C12" i="7"/>
  <c r="D12" i="7"/>
  <c r="C13" i="7"/>
  <c r="D13" i="7"/>
  <c r="C14" i="7"/>
  <c r="D14" i="7"/>
  <c r="C15" i="7"/>
  <c r="D15" i="7"/>
  <c r="C16" i="7"/>
  <c r="D16" i="7"/>
  <c r="C17" i="7"/>
  <c r="D17" i="7"/>
  <c r="C18" i="7"/>
  <c r="D18" i="7"/>
  <c r="C19" i="7"/>
  <c r="D19" i="7"/>
  <c r="C20" i="7"/>
  <c r="D20" i="7"/>
  <c r="C21" i="7"/>
  <c r="D21" i="7"/>
  <c r="C22" i="7"/>
  <c r="D22" i="7"/>
  <c r="C23" i="7"/>
  <c r="D23" i="7"/>
  <c r="C24" i="7"/>
  <c r="D24" i="7"/>
  <c r="C25" i="7"/>
  <c r="D25" i="7"/>
  <c r="C26" i="7"/>
  <c r="D26" i="7"/>
  <c r="C27" i="7"/>
  <c r="D27" i="7"/>
  <c r="C28" i="7"/>
  <c r="D28" i="7"/>
  <c r="C29" i="7"/>
  <c r="D29" i="7"/>
  <c r="C30" i="7"/>
  <c r="D30" i="7"/>
  <c r="C31" i="7"/>
  <c r="D31" i="7"/>
  <c r="C32" i="7"/>
  <c r="D32" i="7"/>
  <c r="C33" i="7"/>
  <c r="D33" i="7"/>
  <c r="C34" i="7"/>
  <c r="D34" i="7"/>
  <c r="C35" i="7"/>
  <c r="D35" i="7"/>
  <c r="C36" i="7"/>
  <c r="D36" i="7"/>
  <c r="C37" i="7"/>
  <c r="D37" i="7"/>
  <c r="C38" i="7"/>
  <c r="D38" i="7"/>
  <c r="C39" i="7"/>
  <c r="D39" i="7"/>
  <c r="C40" i="7"/>
  <c r="D40" i="7"/>
  <c r="C41" i="7"/>
  <c r="D41" i="7"/>
  <c r="C42" i="7"/>
  <c r="D42" i="7"/>
  <c r="C43" i="7"/>
  <c r="D43" i="7"/>
  <c r="C44" i="7"/>
  <c r="D44" i="7"/>
  <c r="C45" i="7"/>
  <c r="D45" i="7"/>
  <c r="C46" i="7"/>
  <c r="D46" i="7"/>
  <c r="C47" i="7"/>
  <c r="D47" i="7"/>
  <c r="C48" i="7"/>
  <c r="D48" i="7"/>
  <c r="C49" i="7"/>
  <c r="D49" i="7"/>
  <c r="C50" i="7"/>
  <c r="D50" i="7"/>
  <c r="C51" i="7"/>
  <c r="D51" i="7"/>
  <c r="D4" i="7"/>
  <c r="C4" i="7"/>
  <c r="B10" i="2"/>
  <c r="B9" i="2"/>
  <c r="B8" i="2"/>
  <c r="B7" i="2"/>
</calcChain>
</file>

<file path=xl/sharedStrings.xml><?xml version="1.0" encoding="utf-8"?>
<sst xmlns="http://schemas.openxmlformats.org/spreadsheetml/2006/main" count="20361" uniqueCount="2436">
  <si>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</si>
  <si>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</si>
  <si>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</si>
  <si>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</si>
  <si>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</si>
  <si>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</si>
  <si>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</si>
  <si>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</si>
  <si>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</si>
  <si>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</si>
  <si>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</si>
  <si>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</si>
  <si>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</si>
  <si>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</si>
  <si>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</si>
  <si>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</si>
  <si>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</si>
  <si>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</si>
  <si>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</si>
  <si>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</si>
  <si>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</si>
  <si>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</si>
  <si>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</si>
  <si>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</si>
  <si>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</si>
  <si>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</si>
  <si>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</si>
  <si>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</si>
  <si>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</si>
  <si>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</si>
  <si>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</si>
  <si>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</si>
  <si>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</si>
  <si>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</si>
  <si>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</si>
  <si>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</si>
  <si>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</si>
  <si>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</si>
  <si>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</si>
  <si>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</si>
  <si>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</si>
  <si>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</si>
  <si>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</si>
  <si>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</si>
  <si>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</si>
  <si>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</si>
  <si>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</si>
  <si>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</si>
  <si>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</si>
  <si>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</si>
  <si>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</si>
  <si>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</si>
  <si>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Bradley Drucker</t>
  </si>
  <si>
    <t>Wisconsin</t>
  </si>
  <si>
    <t>Enermax Aurora Lite Keyboard</t>
  </si>
  <si>
    <t>Cynthia Delaney</t>
  </si>
  <si>
    <t>Staples</t>
  </si>
  <si>
    <t>Eric Barreto</t>
  </si>
  <si>
    <t>Florida</t>
  </si>
  <si>
    <t>Surelock Post Binders</t>
  </si>
  <si>
    <t>AT&amp;T 17929 Lendline Telephone</t>
  </si>
  <si>
    <t>Tom Boeckenhauer</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</si>
  <si>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</si>
  <si>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</si>
  <si>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</si>
  <si>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</si>
  <si>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</si>
  <si>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</si>
  <si>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</si>
  <si>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GBC Standard Recycled Report Covers, Clear Plastic Sheets</t>
  </si>
  <si>
    <t>Neil Ducich</t>
  </si>
  <si>
    <t>Avery 480</t>
  </si>
  <si>
    <t>Aastra 57i VoIP phone</t>
  </si>
  <si>
    <t>AT&amp;T CL82213</t>
  </si>
  <si>
    <t>Delfina Latchford</t>
  </si>
  <si>
    <t>Avery Flip-Chart Easel Binder, Black</t>
  </si>
  <si>
    <t>Cyma Kinney</t>
  </si>
  <si>
    <t>New Jersey</t>
  </si>
  <si>
    <t>Maxell DVD-RAM Discs</t>
  </si>
  <si>
    <t>Chris Selesnick</t>
  </si>
  <si>
    <t>New York</t>
  </si>
  <si>
    <t>Acco Perma 4000 Stacking Storage Drawers</t>
  </si>
  <si>
    <t>Nathan Mautz</t>
  </si>
  <si>
    <t>Nevada</t>
  </si>
  <si>
    <t>Master Caster Door Stop, Large Brown</t>
  </si>
  <si>
    <t>Natalie Fritzler</t>
  </si>
  <si>
    <t>Tables</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</si>
  <si>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</si>
  <si>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</si>
  <si>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</si>
  <si>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</si>
  <si>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</si>
  <si>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</si>
  <si>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</si>
  <si>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</si>
  <si>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</si>
  <si>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</si>
  <si>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</si>
  <si>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</si>
  <si>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</si>
  <si>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</si>
  <si>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</si>
  <si>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</si>
  <si>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</si>
  <si>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</si>
  <si>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</si>
  <si>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</si>
  <si>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</si>
  <si>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DAX Black Cherry Wood-Tone Poster Frame</t>
  </si>
  <si>
    <t>Fellowes Bankers Box Recycled Super Stor/Drawer</t>
  </si>
  <si>
    <t>Giulietta Weimer</t>
  </si>
  <si>
    <t>Recycled Steel Personal File for Hanging File Folders</t>
  </si>
  <si>
    <t>Bevis Round Conference Room Tables and Bases</t>
  </si>
  <si>
    <t>Kristina Nunn</t>
  </si>
  <si>
    <t>Envelopes</t>
  </si>
  <si>
    <t>Staple envelope</t>
  </si>
  <si>
    <t>Array Parchment Paper, Assorted Colors</t>
  </si>
  <si>
    <t>Nicole Hansen</t>
  </si>
  <si>
    <t>Xerox 1971</t>
  </si>
  <si>
    <t>Hypercom P1300 Pinpad</t>
  </si>
  <si>
    <t>Ashley Jarboe</t>
  </si>
  <si>
    <t>North Carolina</t>
  </si>
  <si>
    <t>Zebra Zazzle Fluorescent Highlighters</t>
  </si>
  <si>
    <t>Anne Pryor</t>
  </si>
  <si>
    <t>PowerGen Dual USB Car Charger</t>
  </si>
  <si>
    <t>Cardinal HOLDit! Binder Insert Strips,Extra Strips</t>
  </si>
  <si>
    <t>Jill Stevenson</t>
  </si>
  <si>
    <t>Ohio</t>
  </si>
  <si>
    <t>Avery 495</t>
  </si>
  <si>
    <t>Bookcases</t>
  </si>
  <si>
    <t>O'Sullivan 4-Shelf Bookcase in Odessa Pine</t>
  </si>
  <si>
    <t>Eldon Shelf Savers Cubes and Bins</t>
  </si>
  <si>
    <t>Sam Craven</t>
  </si>
  <si>
    <t>Appliances</t>
  </si>
  <si>
    <t>3.6 Cubic Foot Counter Height Office Refrigerator</t>
  </si>
  <si>
    <t>Eva Jacobs</t>
  </si>
  <si>
    <t>Bevis Oval Conference Table, Walnut</t>
  </si>
  <si>
    <t>Clay Ludtke</t>
  </si>
  <si>
    <t>South Carolina</t>
  </si>
  <si>
    <t>Sensible Storage WireTech Storage Systems</t>
  </si>
  <si>
    <t>BIC Brite Liner Highlighters, Chisel Tip</t>
  </si>
  <si>
    <t>Aimee Bixby</t>
  </si>
  <si>
    <t>Newell 345</t>
  </si>
  <si>
    <t>Logitech Wireless Gaming Headset G930</t>
  </si>
  <si>
    <t>Supplies</t>
  </si>
  <si>
    <t>Acme Forged Steel Scissors with Black Enamel Handles</t>
  </si>
  <si>
    <t>GBC Wire Binding Combs</t>
  </si>
  <si>
    <t>Xerox 1891</t>
  </si>
  <si>
    <t>Aaron Bergman</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</si>
  <si>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</si>
  <si>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</si>
  <si>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</si>
  <si>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</si>
  <si>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</si>
  <si>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</si>
  <si>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</si>
  <si>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</si>
  <si>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</si>
  <si>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</si>
  <si>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</si>
  <si>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Michigan</t>
  </si>
  <si>
    <t>Geographics Note Cards, Blank, White, 8 1/2" x 11"</t>
  </si>
  <si>
    <t>Kean Thornton</t>
  </si>
  <si>
    <t>Colorado</t>
  </si>
  <si>
    <t>Tennsco 6- and 18-Compartment Lockers</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</si>
  <si>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</si>
  <si>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</si>
  <si>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</si>
  <si>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</si>
  <si>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</si>
  <si>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</si>
  <si>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</si>
  <si>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</si>
  <si>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</si>
  <si>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</si>
  <si>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</si>
  <si>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</si>
  <si>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Kunst Miller</t>
  </si>
  <si>
    <t>Avery 490</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</si>
  <si>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</si>
  <si>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</si>
  <si>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</si>
  <si>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</si>
  <si>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</si>
  <si>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</si>
  <si>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</si>
  <si>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</si>
  <si>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</si>
  <si>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</si>
  <si>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</si>
  <si>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</si>
  <si>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</si>
  <si>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</si>
  <si>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Enermax Briskie RF Wireless Keyboard and Mouse Combo</t>
  </si>
  <si>
    <t>Logitech G600 MMO Gaming Mouse</t>
  </si>
  <si>
    <t>Paul Knutson</t>
  </si>
  <si>
    <t>Avery 518</t>
  </si>
  <si>
    <t>Maurice Satty</t>
  </si>
  <si>
    <t>Advantus Panel Wall Acrylic Frame</t>
  </si>
  <si>
    <t>Newell 319</t>
  </si>
  <si>
    <t>Mary Zewe</t>
  </si>
  <si>
    <t>Avery Non-Stick Binders</t>
  </si>
  <si>
    <t>Ken Black</t>
  </si>
  <si>
    <t>Louisiana</t>
  </si>
  <si>
    <t>Safco Commercial Shelving</t>
  </si>
  <si>
    <t>Logitech Wireless Marathon Mouse M705</t>
  </si>
  <si>
    <t>Xerox 209</t>
  </si>
  <si>
    <t>Xerox 1966</t>
  </si>
  <si>
    <t>Tracy Hopkins</t>
  </si>
  <si>
    <t>Eaton Premium Continuous-Feed Paper, 25% Cotton, Letter Size, White, 1000 Shts/Box</t>
  </si>
  <si>
    <t>Greg Maxwell</t>
  </si>
  <si>
    <t>Crayola Colored Pencils</t>
  </si>
  <si>
    <t>Xerox 1957</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</si>
  <si>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</si>
  <si>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</si>
  <si>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</si>
  <si>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</si>
  <si>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</si>
  <si>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</si>
  <si>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</si>
  <si>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</si>
  <si>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Binney &amp; Smith Crayola Metallic Colored Pencils, 8-Color Set</t>
  </si>
  <si>
    <t>Space Solutions HD Industrial Steel Shelving.</t>
  </si>
  <si>
    <t>Roy Phan</t>
  </si>
  <si>
    <t>Ibico Standard Transparent Covers</t>
  </si>
  <si>
    <t>Guy Phonely</t>
  </si>
  <si>
    <t>Large Capacity Hanging Post Binders</t>
  </si>
  <si>
    <t>Shirley Daniels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</si>
  <si>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</si>
  <si>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</si>
  <si>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</si>
  <si>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</si>
  <si>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</si>
  <si>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</si>
  <si>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</si>
  <si>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</si>
  <si>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</si>
  <si>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</si>
  <si>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</si>
  <si>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</si>
  <si>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</si>
  <si>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</si>
  <si>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</si>
  <si>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</si>
  <si>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</si>
  <si>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</si>
  <si>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</si>
  <si>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AT&amp;T TR1909W</t>
  </si>
  <si>
    <t>Xerox 1945</t>
  </si>
  <si>
    <t>Valerie Mitchum</t>
  </si>
  <si>
    <t>Xerox 226</t>
  </si>
  <si>
    <t>RCA Visys Integrated PBX 8-Line Router</t>
  </si>
  <si>
    <t>Jim Mitchum</t>
  </si>
  <si>
    <t>Arizona</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</si>
  <si>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</si>
  <si>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</si>
  <si>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</si>
  <si>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</si>
  <si>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</si>
  <si>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</si>
  <si>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</si>
  <si>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</si>
  <si>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</si>
  <si>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</si>
  <si>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</si>
  <si>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</si>
  <si>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</si>
  <si>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</si>
  <si>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</si>
  <si>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</si>
  <si>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</si>
  <si>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</si>
  <si>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</si>
  <si>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</si>
  <si>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</si>
  <si>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</si>
  <si>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</si>
  <si>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</si>
  <si>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</si>
  <si>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</si>
  <si>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</si>
  <si>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O'Sullivan Living Dimensions 2-Shelf Bookcases</t>
  </si>
  <si>
    <t>Stewart Visinsky</t>
  </si>
  <si>
    <t>Indiana</t>
  </si>
  <si>
    <t>Xerox 213</t>
  </si>
  <si>
    <t>Edward Hooks</t>
  </si>
  <si>
    <t>Prismacolor Color Pencil Set</t>
  </si>
  <si>
    <t>Andrew Roberts</t>
  </si>
  <si>
    <t>Belkin 6 Outlet Metallic Surge Strip</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</si>
  <si>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</si>
  <si>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</si>
  <si>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</si>
  <si>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</si>
  <si>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</si>
  <si>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</si>
  <si>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</si>
  <si>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</si>
  <si>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</si>
  <si>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</si>
  <si>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</si>
  <si>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</si>
  <si>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DAX Wood Document Frame</t>
  </si>
  <si>
    <t>Nat Carroll</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</si>
  <si>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</si>
  <si>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</si>
  <si>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</si>
  <si>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</si>
  <si>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</si>
  <si>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</si>
  <si>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</si>
  <si>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</si>
  <si>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</si>
  <si>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</si>
  <si>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</si>
  <si>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Storex Dura Pro Binders</t>
  </si>
  <si>
    <t>Easy-staple paper</t>
  </si>
  <si>
    <t>Harold Pawlan</t>
  </si>
  <si>
    <t>Wilson Jones Legal Size Ring Binders</t>
  </si>
  <si>
    <t>Steve Nguyen</t>
  </si>
  <si>
    <t>Staple-on labels</t>
  </si>
  <si>
    <t>Model L Table or Wall-Mount Pencil Sharpener</t>
  </si>
  <si>
    <t>Carol Triggs</t>
  </si>
  <si>
    <t>Acco PRESSTEX Data Binder with Storage Hooks, Dark Blue, 14 7/8" X 11"</t>
  </si>
  <si>
    <t>Balt Split Level Computer Training Table</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</si>
  <si>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</si>
  <si>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</si>
  <si>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</si>
  <si>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</si>
  <si>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</si>
  <si>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</si>
  <si>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</si>
  <si>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</si>
  <si>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</si>
  <si>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Arianne Irving</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</si>
  <si>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</si>
  <si>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</si>
  <si>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</si>
  <si>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</si>
  <si>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</si>
  <si>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</si>
  <si>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</si>
  <si>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</si>
  <si>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</si>
  <si>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</si>
  <si>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</si>
  <si>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</si>
  <si>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</si>
  <si>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</si>
  <si>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</si>
  <si>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</si>
  <si>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</si>
  <si>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</si>
  <si>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</si>
  <si>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</si>
  <si>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</si>
  <si>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</si>
  <si>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Hunter Lopez</t>
  </si>
  <si>
    <t>Bevis Traditional Conference Table Top, Plinth Base</t>
  </si>
  <si>
    <t>Dianna Wilson</t>
  </si>
  <si>
    <t>Minnesota</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</si>
  <si>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</si>
  <si>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</si>
  <si>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</si>
  <si>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</si>
  <si>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</si>
  <si>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</si>
  <si>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</si>
  <si>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</si>
  <si>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Arkansas</t>
  </si>
  <si>
    <t>3M Hangers With Command Adhesive</t>
  </si>
  <si>
    <t>Adtran 1202752G1</t>
  </si>
  <si>
    <t>Quincy Jones</t>
  </si>
  <si>
    <t>Wilson Jones Heavy-Duty Casebound Ring Binders with Metal Hinges</t>
  </si>
  <si>
    <t>Acco 6 Outlet Guardian Premium Surge Suppressor</t>
  </si>
  <si>
    <t>Christine Kargatis</t>
  </si>
  <si>
    <t>Utah</t>
  </si>
  <si>
    <t>GBC Standard Therm-A-Bind Covers</t>
  </si>
  <si>
    <t>Aluminum Document Frame</t>
  </si>
  <si>
    <t>Sanford Colorific Scented Colored Pencils, 12/Pack</t>
  </si>
  <si>
    <t>Mophie Juice Pack Helium for iPhone</t>
  </si>
  <si>
    <t>Hot File 7-Pocket, Floor Stand</t>
  </si>
  <si>
    <t>Steven Cartwright</t>
  </si>
  <si>
    <t>Ross Baird</t>
  </si>
  <si>
    <t>Security-Tint Envelopes</t>
  </si>
  <si>
    <t>Richard Eichhorn</t>
  </si>
  <si>
    <t>Avery 513</t>
  </si>
  <si>
    <t>Contract Clock, 14", Brown</t>
  </si>
  <si>
    <t>Recycled Steel Personal File for Standard File Folders</t>
  </si>
  <si>
    <t>Mark Packer</t>
  </si>
  <si>
    <t>Bobby Trafton</t>
  </si>
  <si>
    <t>Seth Thomas 14" Day/Date Wall Clock</t>
  </si>
  <si>
    <t>Commercial WindTunnel Clean Air Upright Vacuum, Replacement Belts, Filtration Bags</t>
  </si>
  <si>
    <t>O'Sullivan Living Dimensions 5-Shelf Bookcases</t>
  </si>
  <si>
    <t>G.E. Halogen Desk Lamp Bulbs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</si>
  <si>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</si>
  <si>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</si>
  <si>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</si>
  <si>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</si>
  <si>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</si>
  <si>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</si>
  <si>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</si>
  <si>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</si>
  <si>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</si>
  <si>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Round Specialty Laser Printer Labels</t>
  </si>
  <si>
    <t>Presstex Flexible Ring Binders</t>
  </si>
  <si>
    <t>Xerox 1944</t>
  </si>
  <si>
    <t>Bart Pistole</t>
  </si>
  <si>
    <t>Nick Radford</t>
  </si>
  <si>
    <t>Bevis Round Conference Table Top, X-Base</t>
  </si>
  <si>
    <t>Carlos Soltero</t>
  </si>
  <si>
    <t>Hon Deluxe Fabric Upholstered Stacking Chairs, Squared Back</t>
  </si>
  <si>
    <t>Tennessee</t>
  </si>
  <si>
    <t>Situations Contoured Folding Chairs, 4/Set</t>
  </si>
  <si>
    <t>Rick Duston</t>
  </si>
  <si>
    <t>Green Canvas Binder for 8-1/2" x 14" Sheets</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</si>
  <si>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</si>
  <si>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</si>
  <si>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</si>
  <si>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</si>
  <si>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</si>
  <si>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</si>
  <si>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</si>
  <si>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</si>
  <si>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ConferenceÂ phoneÂ - Charcoal black</t>
  </si>
  <si>
    <t>Carl Weiss</t>
  </si>
  <si>
    <t>Square Credit Card Reader</t>
  </si>
  <si>
    <t>Logitech M510 Wireless Mouse</t>
  </si>
  <si>
    <t>Boston 1645 Deluxe Heavier-Duty Electric Pencil Sharpener</t>
  </si>
  <si>
    <t>Chuck Magee</t>
  </si>
  <si>
    <t>Staple remover</t>
  </si>
  <si>
    <t>Deluxe Chalkboard Eraser Cleaner</t>
  </si>
  <si>
    <t>Frank Olsen</t>
  </si>
  <si>
    <t>Bevis 44 x 96 Conference Tables</t>
  </si>
  <si>
    <t>Thomas Seio</t>
  </si>
  <si>
    <t>DIXON Oriole Pencils</t>
  </si>
  <si>
    <t>Xerox 1909</t>
  </si>
  <si>
    <t>Executive Impressions 13-1/2" Indoor/Outdoor Wall Clock</t>
  </si>
  <si>
    <t>Heather Kirkland</t>
  </si>
  <si>
    <t>Dot Matrix Printer Tape Reel Labels, White, 5000/Box</t>
  </si>
  <si>
    <t>Dorris liebe</t>
  </si>
  <si>
    <t>Cardinal Holdit Business Card Pockets</t>
  </si>
  <si>
    <t>Laurel Workman</t>
  </si>
  <si>
    <t>Wilson SignalBoost 841262 DB PRO Amplifier Kit</t>
  </si>
  <si>
    <t>Avery Durable Binders</t>
  </si>
  <si>
    <t>Eric Hoffmann</t>
  </si>
  <si>
    <t>Logitech B530 USBÂ HeadsetÂ -Â headsetÂ - Full size, Binaural</t>
  </si>
  <si>
    <t>Fellowes Mighty 8 Compact Surge Protector</t>
  </si>
  <si>
    <t>Maxwell Schwartz</t>
  </si>
  <si>
    <t>Southworth Structures Collection</t>
  </si>
  <si>
    <t>Michael Chen</t>
  </si>
  <si>
    <t>Mississippi</t>
  </si>
  <si>
    <t>NETGEAR AC1750 Dual Band GigabitÂ Smart WiFi Router</t>
  </si>
  <si>
    <t>Avery 516</t>
  </si>
  <si>
    <t>Xerox 1995</t>
  </si>
  <si>
    <t>Dan Campbell</t>
  </si>
  <si>
    <t>Gould Plastics 18-Pocket Panel Bin, 34w x 5-1/4d x 20-1/2h</t>
  </si>
  <si>
    <t>Fellowes Bankers Box Stor/Drawer Steel Plus</t>
  </si>
  <si>
    <t>Dennis Pardue</t>
  </si>
  <si>
    <t>Vinyl Sectional Post Binders</t>
  </si>
  <si>
    <t>David Wiener</t>
  </si>
  <si>
    <t>Don Miller</t>
  </si>
  <si>
    <t>Advantus Panel Wall Certificate Holder - 8.5x11</t>
  </si>
  <si>
    <t>Wilson Jones Four-Pocket Poly Binders</t>
  </si>
  <si>
    <t>Emily Phan</t>
  </si>
  <si>
    <t>Canon Imageclass D680 Copier / Fax</t>
  </si>
  <si>
    <t>Becky Castell</t>
  </si>
  <si>
    <t>Global Comet Stacking Armless Chair</t>
  </si>
  <si>
    <t>John Lee</t>
  </si>
  <si>
    <t>Global High-Back Leather Tilter, Burgundy</t>
  </si>
  <si>
    <t>Howard Miller 11-1/2" Diameter Grantwood Wall Clock</t>
  </si>
  <si>
    <t>Michelle Huthwaite</t>
  </si>
  <si>
    <t>Ed Braxton</t>
  </si>
  <si>
    <t>Wilson Jones Ledger-Size, Piano-Hinge Binder, 2", Blue</t>
  </si>
  <si>
    <t>Brian Moss</t>
  </si>
  <si>
    <t>Eureka Recycled Copy Paper 8 1/2" x 11", Ream</t>
  </si>
  <si>
    <t>Xerox 1895</t>
  </si>
  <si>
    <t>Gary Hansen</t>
  </si>
  <si>
    <t>Avery 49</t>
  </si>
  <si>
    <t>Perma STOR-ALL Hanging File Box, 13 1/8"W x 12 1/4"D x 10 1/2"H</t>
  </si>
  <si>
    <t>Darrin Sayre</t>
  </si>
  <si>
    <t>Avery Hidden Tab Dividers for Binding Systems</t>
  </si>
  <si>
    <t>Bush Heritage Pine Collection 5-Shelf Bookcase, Albany Pine Finish, *Special Order</t>
  </si>
  <si>
    <t>Prang Drawing Pencil Set</t>
  </si>
  <si>
    <t>Xerox 1967</t>
  </si>
  <si>
    <t>Laura Armstrong</t>
  </si>
  <si>
    <t>Cisco SPA508G</t>
  </si>
  <si>
    <t>Global Commerce Series High-Back Swivel/Tilt Chairs</t>
  </si>
  <si>
    <t>9-3/4 Diameter Round Wall Clock</t>
  </si>
  <si>
    <t>Avery 514</t>
  </si>
  <si>
    <t>Michael Nguyen</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</si>
  <si>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</si>
  <si>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</si>
  <si>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</si>
  <si>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</si>
  <si>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</si>
  <si>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</si>
  <si>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</si>
  <si>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</si>
  <si>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</si>
  <si>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</si>
  <si>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Ben Ferrer</t>
  </si>
  <si>
    <t>GE DSL Phone Line Filter</t>
  </si>
  <si>
    <t>Safco Chair Connectors, 6/Carton</t>
  </si>
  <si>
    <t>Self-Adhesive Ring Binder Labels</t>
  </si>
  <si>
    <t>Max Engle</t>
  </si>
  <si>
    <t>Xerox 1949</t>
  </si>
  <si>
    <t>Verbatim 25 GB 6x Blu-ray Single Layer Recordable Disc, 1/Pack</t>
  </si>
  <si>
    <t>Paul Van Hugh</t>
  </si>
  <si>
    <t>Hon Deluxe Fabric Upholstered Stacking Chairs</t>
  </si>
  <si>
    <t>Fluorescent Highlighters by Dixon</t>
  </si>
  <si>
    <t>Xerox 195</t>
  </si>
  <si>
    <t>Barbara Fisher</t>
  </si>
  <si>
    <t>Self-Adhesive Address Labels for Typewriters by Universal</t>
  </si>
  <si>
    <t>Honeywell Quietcare HEPA Air Cleaner</t>
  </si>
  <si>
    <t>Xerox 1916</t>
  </si>
  <si>
    <t>Ivan Liston</t>
  </si>
  <si>
    <t>Wilson Jones data.warehouse D-Ring Binders with DublLock</t>
  </si>
  <si>
    <t>Ann Steele</t>
  </si>
  <si>
    <t>Acco Clips to Go Binder Clips, 24 Clips in Two Sizes</t>
  </si>
  <si>
    <t>Nick Zandusky</t>
  </si>
  <si>
    <t>Wilson Jones 14 Line Acrylic Coated Pressboard Data Binders</t>
  </si>
  <si>
    <t>Memorex Micro Travel Drive 4 GB</t>
  </si>
  <si>
    <t>Smead Adjustable Mobile File Trolley with Lockable Top</t>
  </si>
  <si>
    <t>Bruce Stewart</t>
  </si>
  <si>
    <t>BoxOffice By Design Rectangular and Half-Moon Meeting Room Tables</t>
  </si>
  <si>
    <t>Bravo II Megaboss 12-Amp Hard Body Upright, Replacement Belts, 2 Belts per Pack</t>
  </si>
  <si>
    <t>Berenike Kampe</t>
  </si>
  <si>
    <t>Xerox 1884</t>
  </si>
  <si>
    <t>Acme Box Cutter Scissors</t>
  </si>
  <si>
    <t>Staple magnet</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</si>
  <si>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</si>
  <si>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</si>
  <si>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</si>
  <si>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</si>
  <si>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</si>
  <si>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</si>
  <si>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</si>
  <si>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Marina Lichtenstein</t>
  </si>
  <si>
    <t>Maine</t>
  </si>
  <si>
    <t>Eureka The Boss Cordless Rechargeable Stick Vac</t>
  </si>
  <si>
    <t>Maxell 4.7GB DVD-R</t>
  </si>
  <si>
    <t>Chad Sievert</t>
  </si>
  <si>
    <t>Adams Phone Message Book, Professional, 400 Message Capacity, 5 3/6Â” x 11Â”</t>
  </si>
  <si>
    <t>Xerox 1913</t>
  </si>
  <si>
    <t>Global Value Steno Chair, Gray</t>
  </si>
  <si>
    <t>Sonia Sunley</t>
  </si>
  <si>
    <t>Logitech Desktop MK120 Mouse and keyboard Combo</t>
  </si>
  <si>
    <t>Akro Stacking Bins</t>
  </si>
  <si>
    <t>Boston KS Multi-Size Manual Pencil Sharpener</t>
  </si>
  <si>
    <t>Ricardo Sperren</t>
  </si>
  <si>
    <t>Fellowes Advanced Computer Series Surge Protectors</t>
  </si>
  <si>
    <t>Binney &amp; Smith inkTank Erasable Pocket Highlighter, Chisel Tip, Yellow</t>
  </si>
  <si>
    <t>Hon GuestStacker Chair</t>
  </si>
  <si>
    <t>Stephanie Phelps</t>
  </si>
  <si>
    <t>Plantronics CS 50-USB -Â headsetÂ - Convertible, Monaural</t>
  </si>
  <si>
    <t>Gary Zandusky</t>
  </si>
  <si>
    <t>SAFCO PlanMaster Heigh-Adjustable Drafting Table Base, 43w x 30d x 30-37h, Black</t>
  </si>
  <si>
    <t>Roland Fjeld</t>
  </si>
  <si>
    <t>Maxell 74 Minute CD-R Spindle, 50/Pack</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</si>
  <si>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</si>
  <si>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</si>
  <si>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</si>
  <si>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</si>
  <si>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</si>
  <si>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</si>
  <si>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</si>
  <si>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</si>
  <si>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</si>
  <si>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</si>
  <si>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Tamara Manning</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</si>
  <si>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</si>
  <si>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</si>
  <si>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</si>
  <si>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</si>
  <si>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</si>
  <si>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</si>
  <si>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</si>
  <si>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</si>
  <si>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</si>
  <si>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</si>
  <si>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</si>
  <si>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</si>
  <si>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</si>
  <si>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</si>
  <si>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</si>
  <si>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</si>
  <si>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</si>
  <si>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</si>
  <si>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</si>
  <si>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Roger Demir</t>
  </si>
  <si>
    <t>Super Bands, 12/Pack</t>
  </si>
  <si>
    <t>Avery Hole Reinforcements</t>
  </si>
  <si>
    <t>Eldon Image Series Desk Accessories, Ebony</t>
  </si>
  <si>
    <t>Sanford 52201 APSCO Electric Pencil Sharpener</t>
  </si>
  <si>
    <t>Vinyl Coated Wire Paper Clips in Organizer Box, 800/Box</t>
  </si>
  <si>
    <t>Ken Lonsdale</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</si>
  <si>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</si>
  <si>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</si>
  <si>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</si>
  <si>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</si>
  <si>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</si>
  <si>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</si>
  <si>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</si>
  <si>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</si>
  <si>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</si>
  <si>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</si>
  <si>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Avery 501</t>
  </si>
  <si>
    <t>Lauren Leatherbury</t>
  </si>
  <si>
    <t>Acco Translucent Poly Ring Binders</t>
  </si>
  <si>
    <t>Larry Tron</t>
  </si>
  <si>
    <t>BOSTON Model 1800 Electric Pencil Sharpeners, Putty/Woodgrain</t>
  </si>
  <si>
    <t>Jack Lebron</t>
  </si>
  <si>
    <t>Prestige Round Ring Binders</t>
  </si>
  <si>
    <t>Xerox 216</t>
  </si>
  <si>
    <t>Lena Hernandez</t>
  </si>
  <si>
    <t>Wilson Jones Hanging Recycled Pressboard Data Binders</t>
  </si>
  <si>
    <t>WD My Passport Ultra 2TB Portable External Hard Drive</t>
  </si>
  <si>
    <t>Justin MacKendrick</t>
  </si>
  <si>
    <t>Holmes Cool Mist Humidifier for the Whole House with 8-Gallon Output per Day, Extended Life Filter</t>
  </si>
  <si>
    <t>Tenex Carpeted, Granite-Look or Clear Contemporary Contour Shape Chair Mats</t>
  </si>
  <si>
    <t>SANFORD Major Accent Highlighters</t>
  </si>
  <si>
    <t>Katherine Ducich</t>
  </si>
  <si>
    <t>Newell 324</t>
  </si>
  <si>
    <t>Christina VanderZanden</t>
  </si>
  <si>
    <t>Logitech Wireless Performance Mouse MX for PC and Mac</t>
  </si>
  <si>
    <t>Machines</t>
  </si>
  <si>
    <t>Epson TM-T88V Direct Thermal Printer - Monochrome - Desktop</t>
  </si>
  <si>
    <t>GBC DocuBind TL300 Electric Binding System</t>
  </si>
  <si>
    <t>LogitechÂ Gaming G510s - Keyboard</t>
  </si>
  <si>
    <t>Allen Goldenen</t>
  </si>
  <si>
    <t>Mathew Reese</t>
  </si>
  <si>
    <t>GBC VeloBinder Strips</t>
  </si>
  <si>
    <t>Nora Preis</t>
  </si>
  <si>
    <t>Economy Rollaway Files</t>
  </si>
  <si>
    <t>Patrick Ryan</t>
  </si>
  <si>
    <t>Telescoping Adjustable Floor Lamp</t>
  </si>
  <si>
    <t>Victoria Pisteka</t>
  </si>
  <si>
    <t>invisibleSHIELD by ZAGG Smudge-Free Screen Protector</t>
  </si>
  <si>
    <t>DAX Natural Wood-Tone Poster Frame</t>
  </si>
  <si>
    <t>StarTech.com 10/100 VDSL2 Ethernet Extender Kit</t>
  </si>
  <si>
    <t>Oklahoma</t>
  </si>
  <si>
    <t>Executive Impressions 13" Clairmont Wall Clock</t>
  </si>
  <si>
    <t>GBC Laser Imprintable Binding System Covers, Desert Sand</t>
  </si>
  <si>
    <t>Xerox 2000</t>
  </si>
  <si>
    <t>3M Polarizing Task Lamp with Clamp Arm, Light Gray</t>
  </si>
  <si>
    <t>Plantronics CordlessÂ Phone HeadsetÂ with In-line Volume - M214C</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</si>
  <si>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</si>
  <si>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</si>
  <si>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</si>
  <si>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</si>
  <si>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</si>
  <si>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</si>
  <si>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</si>
  <si>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Dixon Ticonderoga Core-Lock Colored Pencils</t>
  </si>
  <si>
    <t>Rick Bensley</t>
  </si>
  <si>
    <t>Avery Recycled Flexi-View Covers for Binding Systems</t>
  </si>
  <si>
    <t>Padded Folding Chairs, Black, 4/Carton</t>
  </si>
  <si>
    <t>Akro-Mils 12-Gallon Tote</t>
  </si>
  <si>
    <t>Lisa Ryan</t>
  </si>
  <si>
    <t>Acme Design Line 8" Stainless Steel Bent Scissors w/Champagne Handles, 3-1/8" Cut</t>
  </si>
  <si>
    <t>Avery Legal 4-Ring Binder</t>
  </si>
  <si>
    <t>Shahid Shariari</t>
  </si>
  <si>
    <t>Acco Hot Clips Clips to Go</t>
  </si>
  <si>
    <t>Avery Heavy-Duty EZD View Binder with Locking Rings</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</si>
  <si>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</si>
  <si>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</si>
  <si>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</si>
  <si>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</si>
  <si>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</si>
  <si>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</si>
  <si>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</si>
  <si>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</si>
  <si>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GBC ProClick Punch Binding System</t>
  </si>
  <si>
    <t>Karen Carlisle</t>
  </si>
  <si>
    <t>Memorex Froggy Flash Drive 4 GB</t>
  </si>
  <si>
    <t>Holmes Replacement Filter for HEPA Air Cleaner, Medium Room</t>
  </si>
  <si>
    <t>Pizazz Global Quick File</t>
  </si>
  <si>
    <t>Ideal Clamps</t>
  </si>
  <si>
    <t>Ted Trevino</t>
  </si>
  <si>
    <t>Advantus Plastic Paper Clips</t>
  </si>
  <si>
    <t>Epson WorkForce WF-2530 All-in-One Printer, Copier Scanner</t>
  </si>
  <si>
    <t>Stefania Perrino</t>
  </si>
  <si>
    <t>Black &amp; Decker Filter for Double Action Dustbuster Cordless Vac BLDV7210</t>
  </si>
  <si>
    <t>Marc Crier</t>
  </si>
  <si>
    <t>Prang Colored Pencils</t>
  </si>
  <si>
    <t>Hon Deluxe Fabric Upholstered Stacking Chairs, Rounded Back</t>
  </si>
  <si>
    <t>Hunt PowerHouse Electric Pencil Sharpener, Blue</t>
  </si>
  <si>
    <t>Carina Double Wide Media Storage Towers in Natural &amp; Black</t>
  </si>
  <si>
    <t>Kean Takahito</t>
  </si>
  <si>
    <t>Snap-A-Way Black Print Carbonless Ruled Speed Letter, Triplicate</t>
  </si>
  <si>
    <t>Paul Prost</t>
  </si>
  <si>
    <t>Global Super Steno Chair</t>
  </si>
  <si>
    <t>Nontoxic Chalk</t>
  </si>
  <si>
    <t>Toby Swindell</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</si>
  <si>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</si>
  <si>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</si>
  <si>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</si>
  <si>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</si>
  <si>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</si>
  <si>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</si>
  <si>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</si>
  <si>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</si>
  <si>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</si>
  <si>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Master Caster Door Stop, Large Neon Orange</t>
  </si>
  <si>
    <t>Polycom SoundPoint IP 450 VoIP phone</t>
  </si>
  <si>
    <t>Daniel Lacy</t>
  </si>
  <si>
    <t>3D Systems Cube Printer, 2nd Generation, White</t>
  </si>
  <si>
    <t>Nicole Fjeld</t>
  </si>
  <si>
    <t>Nu-Dell Executive Frame</t>
  </si>
  <si>
    <t>Newell 320</t>
  </si>
  <si>
    <t>Chris Cortes</t>
  </si>
  <si>
    <t>Ampad Poly Cover Wirebound Steno Book, 6" x 9" Assorted Colors, Gregg Ruled</t>
  </si>
  <si>
    <t>Dianna Arnett</t>
  </si>
  <si>
    <t>Oregon</t>
  </si>
  <si>
    <t>Peel &amp; Seel Envelopes</t>
  </si>
  <si>
    <t>GuestStacker Chair with Chrome Finish Legs</t>
  </si>
  <si>
    <t>Sandra Flanagan</t>
  </si>
  <si>
    <t>Kensington 6 Outlet Guardian Standard Surge Protector</t>
  </si>
  <si>
    <t>Dana Fluorescent Magnifying Lamp, White, 36"</t>
  </si>
  <si>
    <t>Liz Willingham</t>
  </si>
  <si>
    <t>Deflect-o DuraMat Lighweight, Studded, Beveled Mat for Low Pile Carpeting</t>
  </si>
  <si>
    <t>Brad Norvell</t>
  </si>
  <si>
    <t>Xerox 220</t>
  </si>
  <si>
    <t>Fellowes 8 Outlet Superior Workstation Surge Protector</t>
  </si>
  <si>
    <t>SanDisk Cruzer 32 GB USB Flash Drive</t>
  </si>
  <si>
    <t>Pete Takahito</t>
  </si>
  <si>
    <t>Wilson Jones Impact Binders</t>
  </si>
  <si>
    <t>Premier Elliptical Ring Binder, Black</t>
  </si>
  <si>
    <t>Tom Ashbrook</t>
  </si>
  <si>
    <t>Kansas</t>
  </si>
  <si>
    <t>Compact Automatic Electric Letter Opener</t>
  </si>
  <si>
    <t>SanDisk Cruzer 16 GB USB Flash Drive</t>
  </si>
  <si>
    <t>GBC DocuBind P100 Manual Binding Machine</t>
  </si>
  <si>
    <t>Seth Thomas 8 1/2" Cubicle Clock</t>
  </si>
  <si>
    <t>Luke Weiss</t>
  </si>
  <si>
    <t>HON 5400 Series Task Chairs for Big and Tall</t>
  </si>
  <si>
    <t>Neil FranzÃ¶sisch</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</si>
  <si>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</si>
  <si>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</si>
  <si>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</si>
  <si>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</si>
  <si>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</si>
  <si>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</si>
  <si>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</si>
  <si>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</si>
  <si>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</si>
  <si>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</si>
  <si>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Sara Luxemburg</t>
  </si>
  <si>
    <t>Denny Ordway</t>
  </si>
  <si>
    <t>Hunt Boston Vacuum Mount KS Pencil Sharpener</t>
  </si>
  <si>
    <t>Convenience Packs of Business Envelopes</t>
  </si>
  <si>
    <t>Logitech G105 Gaming Keyboard</t>
  </si>
  <si>
    <t>Russell D'Ascenzo</t>
  </si>
  <si>
    <t>Colored Push Pins</t>
  </si>
  <si>
    <t>Smead Alpha-Z Color-Coded Second Alphabetical Labels and Starter Set</t>
  </si>
  <si>
    <t>David Flashing</t>
  </si>
  <si>
    <t>Avery 512</t>
  </si>
  <si>
    <t>GBC Recycled Regency Composition Covers</t>
  </si>
  <si>
    <t>Joy Daniels</t>
  </si>
  <si>
    <t>Avery 519</t>
  </si>
  <si>
    <t>Office Star - Contemporary Task Swivel chair with Loop Arms, Charcoal</t>
  </si>
  <si>
    <t>Brian Derr</t>
  </si>
  <si>
    <t>Keith Herrera</t>
  </si>
  <si>
    <t>Plantronics Audio 478 Stereo USB Headset</t>
  </si>
  <si>
    <t>Xylona Preis</t>
  </si>
  <si>
    <t>ImationÂ USB 2.0 SwivelÂ Flash DriveÂ USBÂ flash driveÂ - 4 GB - Pink</t>
  </si>
  <si>
    <t>Alice McCarthy</t>
  </si>
  <si>
    <t>Nebraska</t>
  </si>
  <si>
    <t>Tennsco Lockers, Gray</t>
  </si>
  <si>
    <t>Fellowes Staxonsteel Drawer Files</t>
  </si>
  <si>
    <t>Seth Thomas 16" Steel Case Clock</t>
  </si>
  <si>
    <t>Fellowes Personal Hanging Folder Files, Navy</t>
  </si>
  <si>
    <t>Jack Garza</t>
  </si>
  <si>
    <t>Maxell 74 Minute CDR, 10/Pack</t>
  </si>
  <si>
    <t>Duane Noonan</t>
  </si>
  <si>
    <t>Xerox 197</t>
  </si>
  <si>
    <t>Shirley Jackson</t>
  </si>
  <si>
    <t>iOttie HLCRIO102 Car Mount</t>
  </si>
  <si>
    <t>Tanja Norvell</t>
  </si>
  <si>
    <t>#10- 4 1/8" x 9 1/2" Security-Tint Envelopes</t>
  </si>
  <si>
    <t>Westinghouse Clip-On Gooseneck Lamps</t>
  </si>
  <si>
    <t>Cisco 8x8 Inc. 6753i IP Business Phone System</t>
  </si>
  <si>
    <t>Hewlett-Packard Deskjet F4180 All-in-One Color Ink-jet - Printer / copier / scanner</t>
  </si>
  <si>
    <t>Fred Chung</t>
  </si>
  <si>
    <t>New Mexico</t>
  </si>
  <si>
    <t>Dixon Ticonderoga Core-Lock Colored Pencils, 48-Color Set</t>
  </si>
  <si>
    <t>Jill Fjeld</t>
  </si>
  <si>
    <t>Fellowes High-Stak Drawer Files</t>
  </si>
  <si>
    <t>Airmail Envelopes</t>
  </si>
  <si>
    <t>Dean percer</t>
  </si>
  <si>
    <t>DAX Cubicle Frames - 8x10</t>
  </si>
  <si>
    <t>WD My Passport Ultra 1TB Portable External Hard Drive</t>
  </si>
  <si>
    <t>Helen Andreada</t>
  </si>
  <si>
    <t>Iris Project Case</t>
  </si>
  <si>
    <t>Global Enterprise Series Seating High-Back Swivel/Tilt Chairs</t>
  </si>
  <si>
    <t>Dorothy Badders</t>
  </si>
  <si>
    <t>Eldon Pizzaz Desk Accessories</t>
  </si>
  <si>
    <t>Alan Shonely</t>
  </si>
  <si>
    <t>Premium Writing Pencils, Soft, #2 by Central Association for the Blind</t>
  </si>
  <si>
    <t>Sortfiler Multipurpose Personal File Organizer, Black</t>
  </si>
  <si>
    <t>Barry Pond</t>
  </si>
  <si>
    <t>Acme Hot Forged Carbon Steel Scissors with Nickel-Plated Handles, 3 7/8" Cut, 8"L</t>
  </si>
  <si>
    <t>Russell Applegate</t>
  </si>
  <si>
    <t>ClearOne CHATAttach 160 -Â speaker phone</t>
  </si>
  <si>
    <t>Natalie DeCherney</t>
  </si>
  <si>
    <t>Carina Mini System Audio Rack, Model AR050B</t>
  </si>
  <si>
    <t>Plantronics Voyager Pro HD - Bluetooth Headset</t>
  </si>
  <si>
    <t>Ken Heidel</t>
  </si>
  <si>
    <t>Cisco IPÂ PhoneÂ 7961G VoIPÂ phoneÂ - Dark gray</t>
  </si>
  <si>
    <t>Suzanne McNair</t>
  </si>
  <si>
    <t>Southworth Parchment Paper &amp; Envelopes</t>
  </si>
  <si>
    <t>Multi-Use Personal File Cart and Caster Set, Three Stacking Bins</t>
  </si>
  <si>
    <t>OIC #2 Pencils, Medium Soft</t>
  </si>
  <si>
    <t>Paul Lucas</t>
  </si>
  <si>
    <t>Avery 475</t>
  </si>
  <si>
    <t>Master Big Foot Doorstop, Beige</t>
  </si>
  <si>
    <t>Deirdre Greer</t>
  </si>
  <si>
    <t>Erin Ashbrook</t>
  </si>
  <si>
    <t>Howard Miller 13" Diameter Pewter Finish Round Wall Clock</t>
  </si>
  <si>
    <t>Acco Economy Flexible Poly Round Ring Binder</t>
  </si>
  <si>
    <t>Avery 499</t>
  </si>
  <si>
    <t>Tensor Computer Mounted Lamp</t>
  </si>
  <si>
    <t>Patrick O'Brill</t>
  </si>
  <si>
    <t>Liz Carlisle</t>
  </si>
  <si>
    <t>Polycom CX300 Desktop Phone USB VoIP phone</t>
  </si>
  <si>
    <t>I Need's 3d Hello Kitty Hybrid Silicone Case Cover for HTC One X 4g with 3d Hello Kitty Stylus Pen Green/pink</t>
  </si>
  <si>
    <t>Acco D-Ring Binder w/DublLock</t>
  </si>
  <si>
    <t>Julie Kriz</t>
  </si>
  <si>
    <t>Shahid Hopkins</t>
  </si>
  <si>
    <t>Adjustable Depth Letter/Legal Cart</t>
  </si>
  <si>
    <t>Steven Ward</t>
  </si>
  <si>
    <t>Samsung Rugby III</t>
  </si>
  <si>
    <t>Speros Goranitis</t>
  </si>
  <si>
    <t>Acco Pressboard Covers with Storage Hooks, 14 7/8" x 11", Light Blue</t>
  </si>
  <si>
    <t>Resi PÃ¶lking</t>
  </si>
  <si>
    <t>Acme Kleen Earth Office Shears</t>
  </si>
  <si>
    <t>Annie Thurman</t>
  </si>
  <si>
    <t>Ampad Evidence Wirebond Steno Books, 6" x 9"</t>
  </si>
  <si>
    <t>Hon Racetrack Conference Tables</t>
  </si>
  <si>
    <t>Avery Self-Adhesive Photo Pockets for Polaroid Photos</t>
  </si>
  <si>
    <t>Tenex Antistatic Computer Chair Mats</t>
  </si>
  <si>
    <t>Denise Monton</t>
  </si>
  <si>
    <t>Belkin F8E887 USB Wired Ergonomic Keyboard</t>
  </si>
  <si>
    <t>Tracy Collins</t>
  </si>
  <si>
    <t>Prang Dustless Chalk Sticks</t>
  </si>
  <si>
    <t>DMI Arturo Collection Mission-style Design Wood Chair</t>
  </si>
  <si>
    <t>Canon imageCLASS MF7460 Monochrome Digital Laser Multifunction Copier</t>
  </si>
  <si>
    <t>Panasonic Kx-TS550</t>
  </si>
  <si>
    <t>NETGEAR N750 Dual Band Wi-Fi Gigabit Router</t>
  </si>
  <si>
    <t>Trav-L-File Heavy-Duty Shuttle II, Black</t>
  </si>
  <si>
    <t>Odella Nelson</t>
  </si>
  <si>
    <t>OIC Bulk Pack Metal Binder Clips</t>
  </si>
  <si>
    <t>MaryBeth Skach</t>
  </si>
  <si>
    <t>Executive Impressions 12" Wall Clock</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</si>
  <si>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</si>
  <si>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</si>
  <si>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</si>
  <si>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</si>
  <si>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</si>
  <si>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</si>
  <si>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</si>
  <si>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Deanra Eno</t>
  </si>
  <si>
    <t>OIC Stacking Trays</t>
  </si>
  <si>
    <t>Steven Roelle</t>
  </si>
  <si>
    <t>Maxell 4.7GB DVD-RW 3/Pack</t>
  </si>
  <si>
    <t>Maribeth Dona</t>
  </si>
  <si>
    <t>Tennsco Double-Tier Lockers</t>
  </si>
  <si>
    <t>Sony 16GB Class 10 Micro SDHC R40 Memory Card</t>
  </si>
  <si>
    <t>Memorex Micro Travel Drive 32 GB</t>
  </si>
  <si>
    <t>Barry Gonzalez</t>
  </si>
  <si>
    <t>Global Stack Chair with Arms, Black</t>
  </si>
  <si>
    <t>George Ashbrook</t>
  </si>
  <si>
    <t>Tamara Chand</t>
  </si>
  <si>
    <t>Satellite Sectional Post Binders</t>
  </si>
  <si>
    <t>Avery Triangle Shaped Sheet Lifters, Black, 2/Pack</t>
  </si>
  <si>
    <t>Acme Stainless Steel Office Snips</t>
  </si>
  <si>
    <t>Belkin 8 Outlet Surge Protector</t>
  </si>
  <si>
    <t>Portable Personal File Box</t>
  </si>
  <si>
    <t>X-Rack File for Hanging Folders</t>
  </si>
  <si>
    <t>ACCOHIDE 3-Ring Binder, Blue, 1"</t>
  </si>
  <si>
    <t>Riverleaf Stik-Withit Designer Note Cubes</t>
  </si>
  <si>
    <t>Troy Blackwell</t>
  </si>
  <si>
    <t>Panasonic KP-150 Electric Pencil Sharpener</t>
  </si>
  <si>
    <t>Toshiba IPT2010-SD IPÂ Telephone</t>
  </si>
  <si>
    <t>Jeremy Pistek</t>
  </si>
  <si>
    <t>Sauder Mission Library with Doors, Fruitwood Finish</t>
  </si>
  <si>
    <t>Samsung Galaxy Note 3</t>
  </si>
  <si>
    <t>Decoflex Hanging Personal Folder File, Blue</t>
  </si>
  <si>
    <t>Recycled Desk Saver Line "While You Were Out" Book, 5 1/2" X 4"</t>
  </si>
  <si>
    <t>Xerox 1912</t>
  </si>
  <si>
    <t>Benjamin Farhat</t>
  </si>
  <si>
    <t>Eldon 200 Class Desk Accessories, Black</t>
  </si>
  <si>
    <t>Jabra SPEAK 410</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</si>
  <si>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</si>
  <si>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</si>
  <si>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</si>
  <si>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</si>
  <si>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</si>
  <si>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</si>
  <si>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Hon Every-Day Series Multi-Task Chairs</t>
  </si>
  <si>
    <t>Acco Perma 3000 Stacking Storage Drawers</t>
  </si>
  <si>
    <t>Pete Kriz</t>
  </si>
  <si>
    <t>Stur-D-Stor Shelving, Vertical 5-Shelf: 72"H x 36"W x 18 1/2"D</t>
  </si>
  <si>
    <t>Tracy Zic</t>
  </si>
  <si>
    <t>BIC Brite Liner Grip Highlighters, Assorted, 5/Pack</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</si>
  <si>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</si>
  <si>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</si>
  <si>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</si>
  <si>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</si>
  <si>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</si>
  <si>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Wirebound Message Book, 4 per Page</t>
  </si>
  <si>
    <t>Xerox 1893</t>
  </si>
  <si>
    <t>Geemarc AmpliPOWER60</t>
  </si>
  <si>
    <t>Classic Ivory AntiqueÂ TelephoneÂ ZL1810</t>
  </si>
  <si>
    <t>Arthur Prichep</t>
  </si>
  <si>
    <t>50 Colored Long Pencils</t>
  </si>
  <si>
    <t>Hon Olson Stacker Stools</t>
  </si>
  <si>
    <t>Tom Stivers</t>
  </si>
  <si>
    <t>GE 4 Foot Flourescent Tube, 40 Watt</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</si>
  <si>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</si>
  <si>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</si>
  <si>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</si>
  <si>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</si>
  <si>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</si>
  <si>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</si>
  <si>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Acme Value Line Scissors</t>
  </si>
  <si>
    <t>Roy FranzÃ¶sisch</t>
  </si>
  <si>
    <t>Personal Filing Tote with Lid, Black/Gray</t>
  </si>
  <si>
    <t>Joseph Airdo</t>
  </si>
  <si>
    <t>Xerox 1974</t>
  </si>
  <si>
    <t>Bevis Boat-Shaped Conference Table</t>
  </si>
  <si>
    <t>Darren Budd</t>
  </si>
  <si>
    <t>Avery Fluorescent Highlighter Four-Color Set</t>
  </si>
  <si>
    <t>ImationÂ 16GB Mini TravelDrive USB 2.0Â Flash Drive</t>
  </si>
  <si>
    <t>GE General Use Halogen Bulbs, 100 Watts, 1 Bulb per Pack</t>
  </si>
  <si>
    <t>Logitech G602 Wireless Gaming Mouse</t>
  </si>
  <si>
    <t>Office Star - Professional Matrix Back Chair with 2-to-1 Synchro Tilt and Mesh Fabric Seat</t>
  </si>
  <si>
    <t>Hunt BOSTON Vista Battery-Operated Pencil Sharpener, Black</t>
  </si>
  <si>
    <t>Toby Ritter</t>
  </si>
  <si>
    <t>Floodlight Indoor Halogen Bulbs, 1 Bulb per Pack, 60 Watts</t>
  </si>
  <si>
    <t>Toby Braunhardt</t>
  </si>
  <si>
    <t>BlueLounge Milo Smartphone Stand, White/Metallic</t>
  </si>
  <si>
    <t>Joe Kamberova</t>
  </si>
  <si>
    <t>Master Caster Door Stop, Brown</t>
  </si>
  <si>
    <t>Xerox 214</t>
  </si>
  <si>
    <t>Matt Connell</t>
  </si>
  <si>
    <t>Hon 4070 Series Pagoda Round Back Stacking Chairs</t>
  </si>
  <si>
    <t>Anna Andreadi</t>
  </si>
  <si>
    <t>Linden 10" Round Wall Clock, Black</t>
  </si>
  <si>
    <t>Ultra Door Push Plate</t>
  </si>
  <si>
    <t>David Philippe</t>
  </si>
  <si>
    <t>Logitech 910-002974 M325 Wireless Mouse for Web Scrolling</t>
  </si>
  <si>
    <t>Michael Dominguez</t>
  </si>
  <si>
    <t>Deflect-o SuperTray Unbreakable Stackable Tray, Letter, Black</t>
  </si>
  <si>
    <t>12-1/2 Diameter Round Wall Clock</t>
  </si>
  <si>
    <t>Katherine Nockton</t>
  </si>
  <si>
    <t>ImationÂ 32GB Pocket Pro USB 3.0Â Flash DriveÂ - 32 GB - Black - 1 P ...</t>
  </si>
  <si>
    <t>Matt Collins</t>
  </si>
  <si>
    <t>Maryland</t>
  </si>
  <si>
    <t>DAX Metal Frame, Desktop, Stepped-Edge</t>
  </si>
  <si>
    <t>Xerox 1942</t>
  </si>
  <si>
    <t>Avery 509</t>
  </si>
  <si>
    <t>Elizabeth Moffitt</t>
  </si>
  <si>
    <t>Kingston Digital DataTraveler 8GB USB 2.0</t>
  </si>
  <si>
    <t>RSVP Cards &amp; Envelopes, Blank White, 8-1/2" X 11", 24 Cards/25 Envelopes/Set</t>
  </si>
  <si>
    <t>Nathan Gelder</t>
  </si>
  <si>
    <t>Jabra Supreme Plus Driver EditionÂ Headset</t>
  </si>
  <si>
    <t>Matthew Clasen</t>
  </si>
  <si>
    <t>Cathy Prescott</t>
  </si>
  <si>
    <t>Brendan Sweed</t>
  </si>
  <si>
    <t>Hunt BOSTON Model 1606 High-Volume Electric Pencil Sharpener, Beige</t>
  </si>
  <si>
    <t>netTALK DUO VoIP Telephone Service</t>
  </si>
  <si>
    <t>David Kendrick</t>
  </si>
  <si>
    <t>Roy Collins</t>
  </si>
  <si>
    <t>Recycled Eldon Regeneration Jumbo File</t>
  </si>
  <si>
    <t>Nona Balk</t>
  </si>
  <si>
    <t>Cameo Buff Policy Envelopes</t>
  </si>
  <si>
    <t>Lunatik TT5L-002 Taktik Strike Impact Protection System for iPhone 5</t>
  </si>
  <si>
    <t>Panasonic KX T7736-B Digital phone</t>
  </si>
  <si>
    <t>Rob Lucas</t>
  </si>
  <si>
    <t>Joni Blumstein</t>
  </si>
  <si>
    <t>Luke Foster</t>
  </si>
  <si>
    <t>Ryan Crowe</t>
  </si>
  <si>
    <t>File Shuttle I and Handi-File</t>
  </si>
  <si>
    <t>Bionaire 99.97% HEPA Air Cleaner</t>
  </si>
  <si>
    <t>Shocksock Galaxy S4 Armband</t>
  </si>
  <si>
    <t>Ibico Covers for Plastic or Wire Binding Elements</t>
  </si>
  <si>
    <t>Rogers Deluxe File Chest</t>
  </si>
  <si>
    <t>Standard Rollaway File with Lock</t>
  </si>
  <si>
    <t>Frank Preis</t>
  </si>
  <si>
    <t>Newell 32</t>
  </si>
  <si>
    <t>Erica Hernandez</t>
  </si>
  <si>
    <t>Green Bar Computer Printout Paper</t>
  </si>
  <si>
    <t>Thomas Boland</t>
  </si>
  <si>
    <t>Companion Letter/Legal File, Black</t>
  </si>
  <si>
    <t>Tim Brockman</t>
  </si>
  <si>
    <t>Acco PRESSTEX Data Binder with Storage Hooks, Dark Blue, 9 1/2" X 11"</t>
  </si>
  <si>
    <t>Samsung HM1900 Bluetooth Headset</t>
  </si>
  <si>
    <t>SanDisk Ultra 16 GB MicroSDHC Class 10 Memory Card</t>
  </si>
  <si>
    <t>Avery 492</t>
  </si>
  <si>
    <t>Xerox 232</t>
  </si>
  <si>
    <t>Jim Karlsson</t>
  </si>
  <si>
    <t>Xerox 1964</t>
  </si>
  <si>
    <t>Denny Joy</t>
  </si>
  <si>
    <t>Xerox 1987</t>
  </si>
  <si>
    <t>Dario Medina</t>
  </si>
  <si>
    <t>Recycled Data-Pak for Archival Bound Computer Printouts, 12-1/2 x 12-1/2 x 16</t>
  </si>
  <si>
    <t>Astroparche Fine Business Paper</t>
  </si>
  <si>
    <t>Tripp Lite TLP810NET Broadband Surge for Modem/Fax</t>
  </si>
  <si>
    <t>Canon PC940 Copier</t>
  </si>
  <si>
    <t>Sally Matthias</t>
  </si>
  <si>
    <t>Adams Write n' Stick Phone Message Book, 11" X 5 1/4", 200 Messages</t>
  </si>
  <si>
    <t>Poly Designer Cover &amp; Back</t>
  </si>
  <si>
    <t>Sally Hughsby</t>
  </si>
  <si>
    <t>Office Star - Contemporary Swivel Chair with Padded Adjustable Arms and Flex Back</t>
  </si>
  <si>
    <t>Xerox 1931</t>
  </si>
  <si>
    <t>Xerox Color Copier Paper, 11" x 17", Ream</t>
  </si>
  <si>
    <t>Hon Non-Folding Utility Tables</t>
  </si>
  <si>
    <t>Bretford Rectangular Conference Table Tops</t>
  </si>
  <si>
    <t>Eldon Advantage Chair Mats for Low to Medium Pile Carpets</t>
  </si>
  <si>
    <t>Craig Yedwab</t>
  </si>
  <si>
    <t>GBC DocuBind 300 Electric Binding Machine</t>
  </si>
  <si>
    <t>Logan Haushalter</t>
  </si>
  <si>
    <t>Eldon Image Series Desk Accessories, Burgundy</t>
  </si>
  <si>
    <t>Woodgrain Magazine Files by Perma</t>
  </si>
  <si>
    <t>Longer-Life Soft White Bulbs</t>
  </si>
  <si>
    <t>Philip Brown</t>
  </si>
  <si>
    <t>Avery 505</t>
  </si>
  <si>
    <t>O'Sullivan 2-Door Barrister Bookcase in Odessa Pine</t>
  </si>
  <si>
    <t>Speck Products Candyshell Flip Case</t>
  </si>
  <si>
    <t>Cisco 9971 IP Video Phone Charcoal</t>
  </si>
  <si>
    <t>Claudia Bergmann</t>
  </si>
  <si>
    <t>SAFCO Mobile Desk Side File, Wire Frame</t>
  </si>
  <si>
    <t>Newell 313</t>
  </si>
  <si>
    <t>Xerox 1959</t>
  </si>
  <si>
    <t>Sylvia Foulston</t>
  </si>
  <si>
    <t>Amy Hunt</t>
  </si>
  <si>
    <t>Enermax Acrylux Wireless Keyboard</t>
  </si>
  <si>
    <t>Newell 317</t>
  </si>
  <si>
    <t>Andrew Gjertsen</t>
  </si>
  <si>
    <t>Global Deluxe Steno Chair</t>
  </si>
  <si>
    <t>Newell 34</t>
  </si>
  <si>
    <t>James Lanier</t>
  </si>
  <si>
    <t>It's Hot Message Books with Stickers, 2 3/4" x 5"</t>
  </si>
  <si>
    <t>Craig Carroll</t>
  </si>
  <si>
    <t>Belkin 5 Outlet SurgeMaster Power Centers</t>
  </si>
  <si>
    <t>Boston 1730 StandUp Electric Pencil Sharpener</t>
  </si>
  <si>
    <t>Speediset Carbonless Redi-Letter 7" x 8 1/2"</t>
  </si>
  <si>
    <t>Michael Moore</t>
  </si>
  <si>
    <t>Bush Advantage Collection Racetrack Conference Table</t>
  </si>
  <si>
    <t>Yana Sorensen</t>
  </si>
  <si>
    <t>Dual Level, Single-Width Filing Carts</t>
  </si>
  <si>
    <t>Cindy Schnelling</t>
  </si>
  <si>
    <t>Anker 24W Portable Micro USB Car Charger</t>
  </si>
  <si>
    <t>SanDisk Cruzer 4 GB USB Flash Drive</t>
  </si>
  <si>
    <t>LG Electronics Tone+ HBS-730 Bluetooth Headset</t>
  </si>
  <si>
    <t>Allen Armold</t>
  </si>
  <si>
    <t>Coloredge Poster Frame</t>
  </si>
  <si>
    <t>Kensington SlimBlade Notebook Wireless Mouse with Nano Receiver</t>
  </si>
  <si>
    <t>Rick Wilson</t>
  </si>
  <si>
    <t>Hand-Finished Solid Wood Document Frame</t>
  </si>
  <si>
    <t>Wilson Jones Standard D-Ring Binders</t>
  </si>
  <si>
    <t>Pauline Webber</t>
  </si>
  <si>
    <t>Global Fabric Manager's Chair, Dark Gray</t>
  </si>
  <si>
    <t>Newell 310</t>
  </si>
  <si>
    <t>Hon Metal Bookcases, Putty</t>
  </si>
  <si>
    <t>SANFORD Liquid Accent Tank-Style Highlighters</t>
  </si>
  <si>
    <t>Trudy Schmidt</t>
  </si>
  <si>
    <t>UniKeep View Case Binders</t>
  </si>
  <si>
    <t>Memorex Mini Travel Drive 8 GB USB 2.0 Flash Drive</t>
  </si>
  <si>
    <t>Lori Olson</t>
  </si>
  <si>
    <t>Tennsco Industrial Shelving</t>
  </si>
  <si>
    <t>Xerox 1920</t>
  </si>
  <si>
    <t>Damala Kotsonis</t>
  </si>
  <si>
    <t>Wirebound Message Books, Four 2 3/4 x 5 Forms per Page, 200 Sets per Book</t>
  </si>
  <si>
    <t>Advantus Push Pins, Aluminum Head</t>
  </si>
  <si>
    <t>Sanford Colorific Colored Pencils, 12/Box</t>
  </si>
  <si>
    <t>Michael Stewart</t>
  </si>
  <si>
    <t>Frank Atkinson</t>
  </si>
  <si>
    <t>Sarah Jordon</t>
  </si>
  <si>
    <t>Eldon ProFile File 'N Store Portable File Tub Letter/Legal Size Black</t>
  </si>
  <si>
    <t>Shui Tom</t>
  </si>
  <si>
    <t>XtraLife ClearVue Slant-D Ring Binder, White, 3"</t>
  </si>
  <si>
    <t>Dave Hallsten</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</si>
  <si>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</si>
  <si>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</si>
  <si>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</si>
  <si>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</si>
  <si>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</si>
  <si>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</si>
  <si>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Pete Armstrong</t>
  </si>
  <si>
    <t>Brown Kraft Recycled Envelopes</t>
  </si>
  <si>
    <t>Fellowes Strictly Business Drawer File, Letter/Legal Size</t>
  </si>
  <si>
    <t>Sarah Foster</t>
  </si>
  <si>
    <t>Samsung Convoy 3</t>
  </si>
  <si>
    <t>Avery Round Ring Poly Binders</t>
  </si>
  <si>
    <t>Alan Haines</t>
  </si>
  <si>
    <t>36X48 HARDFLOOR CHAIRMAT</t>
  </si>
  <si>
    <t>Mike Vittorini</t>
  </si>
  <si>
    <t>Cisco SPA525G2 IP Phone - Wireless</t>
  </si>
  <si>
    <t>Jennifer Jackson</t>
  </si>
  <si>
    <t>Avanti 4.4 Cu. Ft. Refrigerator</t>
  </si>
  <si>
    <t>John Lucas</t>
  </si>
  <si>
    <t>Deflect-o Glass Clear Studded Chair Mats</t>
  </si>
  <si>
    <t>Canon PC1060 Personal Laser Copier</t>
  </si>
  <si>
    <t>Eugene Moren</t>
  </si>
  <si>
    <t>Microsoft Sculpt Comfort Mouse</t>
  </si>
  <si>
    <t>GBC Twin Loop Wire Binding Elements, 9/16" Spine, Black</t>
  </si>
  <si>
    <t>LG G3</t>
  </si>
  <si>
    <t>Dana Kaydos</t>
  </si>
  <si>
    <t>Rush Hierlooms Collection 1" Thick Stackable Bookcases</t>
  </si>
  <si>
    <t>Hon Mobius Operator's Chair</t>
  </si>
  <si>
    <t>Nortel Meridian M3904 Professional Digital phone</t>
  </si>
  <si>
    <t>Boston 1900 Electric Pencil Sharpener</t>
  </si>
  <si>
    <t>Anthony Rawles</t>
  </si>
  <si>
    <t>Xerox 1997</t>
  </si>
  <si>
    <t>Avery Premier Heavy-Duty Binder with Round Locking Rings</t>
  </si>
  <si>
    <t>Noel Staavos</t>
  </si>
  <si>
    <t>Toby Gnade</t>
  </si>
  <si>
    <t>Acco Suede Grain Vinyl Round Ring Binder</t>
  </si>
  <si>
    <t>Edward Becker</t>
  </si>
  <si>
    <t>Eldon Expressions Desk Accessory, Wood Pencil Holder, Oak</t>
  </si>
  <si>
    <t>Acrylic Self-Standing Desk Frames</t>
  </si>
  <si>
    <t>Evan Bailliet</t>
  </si>
  <si>
    <t>Michael Oakman</t>
  </si>
  <si>
    <t>APC 7 Outlet Network SurgeArrest Surge Protector</t>
  </si>
  <si>
    <t>Anker Ultra-Slim Mini Bluetooth 3.0 Wireless Keyboard</t>
  </si>
  <si>
    <t>Cari Sayre</t>
  </si>
  <si>
    <t>Aluminum Screw Posts</t>
  </si>
  <si>
    <t>John Dryer</t>
  </si>
  <si>
    <t>Vtech AT&amp;T CL2940 Corded Speakerphone, Black</t>
  </si>
  <si>
    <t>Eldon Advantage Foldable Chair Mats for Low Pile Carpets</t>
  </si>
  <si>
    <t>GBC Prestige Therm-A-Bind Covers</t>
  </si>
  <si>
    <t>Hoover Shoulder Vac Commercial Portable Vacuum</t>
  </si>
  <si>
    <t>Acco Expandable Hanging Binders</t>
  </si>
  <si>
    <t>Greg Guthrie</t>
  </si>
  <si>
    <t>Cardinal Slant-D Ring Binders</t>
  </si>
  <si>
    <t>Cush Cases Heavy Duty Rugged Cover Case for Samsung Galaxy S5 - Purple</t>
  </si>
  <si>
    <t>DAX Charcoal/Nickel-Tone Document Frame, 5 x 7</t>
  </si>
  <si>
    <t>Carol Adams</t>
  </si>
  <si>
    <t>Jennifer Ferguson</t>
  </si>
  <si>
    <t>Dixon Ticonderoga Pencils</t>
  </si>
  <si>
    <t>Thomas Thornton</t>
  </si>
  <si>
    <t>Hoover Upright Vacuum With Dirt Cup</t>
  </si>
  <si>
    <t>Razer Kraken PRO Over Ear PC and Music Headset</t>
  </si>
  <si>
    <t>Frank Merwin</t>
  </si>
  <si>
    <t>Newell 331</t>
  </si>
  <si>
    <t>Xerox 192</t>
  </si>
  <si>
    <t>Laminate Occasional Tables</t>
  </si>
  <si>
    <t>Mick Crebagga</t>
  </si>
  <si>
    <t>Ivan Gibson</t>
  </si>
  <si>
    <t>Honeywell Enviracaire Portable HEPA Air Cleaner for up to 10 x 16 Room</t>
  </si>
  <si>
    <t>Insertable Tab Post Binder Dividers</t>
  </si>
  <si>
    <t>Eugene Hildebrand</t>
  </si>
  <si>
    <t>Steel Personal Filing/Posting Tote</t>
  </si>
  <si>
    <t>Faber Castell Col-Erase Pencils</t>
  </si>
  <si>
    <t>OtterBox Commuter Series Case - iPhone 5 &amp; 5s</t>
  </si>
  <si>
    <t>Kensington 4 Outlet MasterPiece Compact Power Control Center</t>
  </si>
  <si>
    <t>Executive Impressions Supervisor Wall Clock</t>
  </si>
  <si>
    <t>Executive Impressions 14" Two-Color Numerals Wall Clock</t>
  </si>
  <si>
    <t>Andy Reiter</t>
  </si>
  <si>
    <t>Canon PC-428 Personal Copier</t>
  </si>
  <si>
    <t>Robert Dilbeck</t>
  </si>
  <si>
    <t>Rogers Jumbo File, Granite</t>
  </si>
  <si>
    <t>Jennifer Braxton</t>
  </si>
  <si>
    <t>OtterBox Defender Series Case - iPhone 5c</t>
  </si>
  <si>
    <t>David Bremer</t>
  </si>
  <si>
    <t>Fiskars 8" Scissors, 2/Pack</t>
  </si>
  <si>
    <t>Panasonic KP-380BK Classic Electric Pencil Sharpener</t>
  </si>
  <si>
    <t>Acme 10" Easy Grip Assistive Scissors</t>
  </si>
  <si>
    <t>Noah Childs</t>
  </si>
  <si>
    <t>Julia Barnett</t>
  </si>
  <si>
    <t>Sanford Prismacolor Professional Thick Lead Art Pencils, 36-Color Set</t>
  </si>
  <si>
    <t>Holmes Replacement Filter for HEPA Air Cleaner, Large Room</t>
  </si>
  <si>
    <t>Xerox 1897</t>
  </si>
  <si>
    <t>Global Leather Highback Executive Chair with Pneumatic Height Adjustment, Black</t>
  </si>
  <si>
    <t>Lena Cacioppo</t>
  </si>
  <si>
    <t>Ibico Recycled Linen-Style Covers</t>
  </si>
  <si>
    <t>GBC Linen Binding Covers</t>
  </si>
  <si>
    <t>Avery Binding System Hidden Tab Executive Style Index Sets</t>
  </si>
  <si>
    <t>Alan Schoenberger</t>
  </si>
  <si>
    <t>Electrix 20W Halogen Replacement Bulb for Zoom-In Desk Lamp</t>
  </si>
  <si>
    <t>Staple-based wall hangings</t>
  </si>
  <si>
    <t>ShoreTel ShorePhone IP 230 VoIP phone</t>
  </si>
  <si>
    <t>Stuart Van</t>
  </si>
  <si>
    <t>Anna Gayman</t>
  </si>
  <si>
    <t>Chromcraft Round Conference Tables</t>
  </si>
  <si>
    <t>Xerox 1902</t>
  </si>
  <si>
    <t>VTech DS6151</t>
  </si>
  <si>
    <t>Alejandro Ballentine</t>
  </si>
  <si>
    <t>Natalie Webber</t>
  </si>
  <si>
    <t>Xerox 204</t>
  </si>
  <si>
    <t>Tripp Lite Isotel 8 Ultra 8 Outlet Metal Surge</t>
  </si>
  <si>
    <t>Alan Barnes</t>
  </si>
  <si>
    <t>Paul Stevenson</t>
  </si>
  <si>
    <t>Global Chrome Stack Chair</t>
  </si>
  <si>
    <t>Cindy Stewart</t>
  </si>
  <si>
    <t>Xerox 1962</t>
  </si>
  <si>
    <t>Xerox 1953</t>
  </si>
  <si>
    <t>Annie Zypern</t>
  </si>
  <si>
    <t>Rose O'Brian</t>
  </si>
  <si>
    <t>James Galang</t>
  </si>
  <si>
    <t>Digium D40 VoIP phone</t>
  </si>
  <si>
    <t>Avery Poly Binder Pockets</t>
  </si>
  <si>
    <t>Xerox 1928</t>
  </si>
  <si>
    <t>iKross Bluetooth Portable Keyboard + Cell Phone Stand Holder + Brush for Apple iPhone 5S 5C 5, 4S 4</t>
  </si>
  <si>
    <t>Avery 491</t>
  </si>
  <si>
    <t>Catherine Glotzbach</t>
  </si>
  <si>
    <t>Wirebound Message Books, Two 4 1/4" x 5" Forms per Page</t>
  </si>
  <si>
    <t>Executive Impressions 10" Spectator Wall Clock</t>
  </si>
  <si>
    <t>Becky Pak</t>
  </si>
  <si>
    <t>LogitechÂ Z-906 Speaker sys - home theater - 5.1-CH</t>
  </si>
  <si>
    <t>Brenda Bowman</t>
  </si>
  <si>
    <t>Xerox 1981</t>
  </si>
  <si>
    <t>Eleni McCrary</t>
  </si>
  <si>
    <t>3-ring staple pack</t>
  </si>
  <si>
    <t>Maureen Gnade</t>
  </si>
  <si>
    <t>Maxell 4.7GB DVD+R 5/Pack</t>
  </si>
  <si>
    <t>Xerox 1951</t>
  </si>
  <si>
    <t>Fellowes Super Stor/Drawer Files</t>
  </si>
  <si>
    <t>Advantus Employee of the Month Certificate Frame, 11 x 13-1/2</t>
  </si>
  <si>
    <t>Newell 344</t>
  </si>
  <si>
    <t>Smead Alpha-Z Color-Coded Name Labels First Letter Starter Set</t>
  </si>
  <si>
    <t>Xerox 1963</t>
  </si>
  <si>
    <t>Anthony Garverick</t>
  </si>
  <si>
    <t>Trudy Glocke</t>
  </si>
  <si>
    <t>Dexim XPower Skin Super-Thin Power Case for iPhone 5 - Black</t>
  </si>
  <si>
    <t>Max Jones</t>
  </si>
  <si>
    <t>Wilson Jones Elliptical Ring 3 1/2" Capacity Binders, 800 sheets</t>
  </si>
  <si>
    <t>Logitech Keyboard K120</t>
  </si>
  <si>
    <t>Brian Dahlen</t>
  </si>
  <si>
    <t>SlimView Poly Binder, 3/8"</t>
  </si>
  <si>
    <t>Xerox 222</t>
  </si>
  <si>
    <t>DAX Clear Channel Poster Frame</t>
  </si>
  <si>
    <t>Jim Epp</t>
  </si>
  <si>
    <t>Hon 2090 Â“Pillow SoftÂ” Series Mid Back Swivel/Tilt Chairs</t>
  </si>
  <si>
    <t>Cisco SPA301</t>
  </si>
  <si>
    <t>GBC Standard Plastic Binding Systems' Combs</t>
  </si>
  <si>
    <t>Tennsco 16-Compartment Lockers with Coat Rack</t>
  </si>
  <si>
    <t>Giulietta Baptist</t>
  </si>
  <si>
    <t>DataProducts Ampli Magnifier Task Lamp, Black,</t>
  </si>
  <si>
    <t>Laurel Elliston</t>
  </si>
  <si>
    <t>Jonathan Howell</t>
  </si>
  <si>
    <t>Rob Haberlin</t>
  </si>
  <si>
    <t>Hon 4070 Series Pagoda Armless Upholstered Stacking Chairs</t>
  </si>
  <si>
    <t>Global Wood Trimmed Manager's Task Chair, Khaki</t>
  </si>
  <si>
    <t>Advantus Rolling Storage Box</t>
  </si>
  <si>
    <t>Karl Braun</t>
  </si>
  <si>
    <t>24-Hour Round Wall Clock</t>
  </si>
  <si>
    <t>Things To Do Today Pad</t>
  </si>
  <si>
    <t>Bruce Degenhardt</t>
  </si>
  <si>
    <t>Novimex High-Tech Fabric Mesh Task Chair</t>
  </si>
  <si>
    <t>Eldon Antistatic Chair Mats for Low to Medium Pile Carpets</t>
  </si>
  <si>
    <t>Important Message Pads, 50 4-1/4 x 5-1/2 Forms per Pad</t>
  </si>
  <si>
    <t>Howard Miller 12" Round Wall Clock</t>
  </si>
  <si>
    <t>Irene Maddox</t>
  </si>
  <si>
    <t>Mitel MiVoice 5330e IP Phone</t>
  </si>
  <si>
    <t>Alan Dominguez</t>
  </si>
  <si>
    <t>Colorific Watercolor Pencils</t>
  </si>
  <si>
    <t>Julie Prescott</t>
  </si>
  <si>
    <t>Stackable Trays</t>
  </si>
  <si>
    <t>Victor Preis</t>
  </si>
  <si>
    <t>Durable Pressboard Binders</t>
  </si>
  <si>
    <t>Mitch Webber</t>
  </si>
  <si>
    <t>HP Standard 104 key PS/2 Keyboard</t>
  </si>
  <si>
    <t>Kalyca Meade</t>
  </si>
  <si>
    <t>OtterBox Commuter Series Case - Samsung Galaxy S4</t>
  </si>
  <si>
    <t>Iceberg Mobile Mega Data/Printer Cart</t>
  </si>
  <si>
    <t>Bush Mission Pointe Library</t>
  </si>
  <si>
    <t>Novimex Turbo Task Chair</t>
  </si>
  <si>
    <t>Newell 333</t>
  </si>
  <si>
    <t>Darrin Martin</t>
  </si>
  <si>
    <t>Tops Wirebound Message Log Books</t>
  </si>
  <si>
    <t>Binney &amp; Smith inkTank Desk Highlighter, Chisel Tip, Yellow, 12/Box</t>
  </si>
  <si>
    <t>Brian Thompson</t>
  </si>
  <si>
    <t>Advantus Map Pennant Flags and Round Head Tacks</t>
  </si>
  <si>
    <t>Fellowes Powershred HS-440 4-Sheet High Security Shredder</t>
  </si>
  <si>
    <t>Eldon ClusterMat Chair Mat with Cordless Antistatic Protection</t>
  </si>
  <si>
    <t>Avery 05222 Permanent Self-Adhesive File Folder Labels for Typewriters, on Rolls, White, 250/Roll</t>
  </si>
  <si>
    <t>GBC Recycled VeloBinder Covers</t>
  </si>
  <si>
    <t>Wilson Jones Active Use Binders</t>
  </si>
  <si>
    <t>Project Tote Personal File</t>
  </si>
  <si>
    <t>Panasonic KX-TG9541B DECT 6.0 Digital 2-Line Expandable Cordless Phone With Digital Answering System</t>
  </si>
  <si>
    <t>Acco 7-Outlet Masterpiece Power Center, Wihtout Fax/Phone Line Protection</t>
  </si>
  <si>
    <t>Accohide Poly Flexible Ring Binders</t>
  </si>
  <si>
    <t>Clytie Kelty</t>
  </si>
  <si>
    <t>Howard Miller 13-3/4" Diameter Brushed Chrome Round Wall Clock</t>
  </si>
  <si>
    <t>3M Organizer Strips</t>
  </si>
  <si>
    <t>Novimex Fabric Task Chair</t>
  </si>
  <si>
    <t>Xerox 1896</t>
  </si>
  <si>
    <t>Todd Sumrall</t>
  </si>
  <si>
    <t>Lesro Sheffield Collection Coffee Table, End Table, Center Table, Corner Table</t>
  </si>
  <si>
    <t>Tuf-Vin Binders</t>
  </si>
  <si>
    <t>Vtech CS6719</t>
  </si>
  <si>
    <t>GE 2-Jack Phone Line Splitter</t>
  </si>
  <si>
    <t>Fred McMath</t>
  </si>
  <si>
    <t>Corey-Lock</t>
  </si>
  <si>
    <t>Ibico Presentation Index for Binding Systems</t>
  </si>
  <si>
    <t>Okidata C331dn Printer</t>
  </si>
  <si>
    <t>Brad Eason</t>
  </si>
  <si>
    <t>Rhode Island</t>
  </si>
  <si>
    <t>Plantronics MX500i Earset</t>
  </si>
  <si>
    <t>Office Star Flex Back Scooter Chair with White Frame</t>
  </si>
  <si>
    <t>Darren Koutras</t>
  </si>
  <si>
    <t>Eldon Expressions Wood Desk Accessories, Oak</t>
  </si>
  <si>
    <t>Xerox 188</t>
  </si>
  <si>
    <t>Rachel Payne</t>
  </si>
  <si>
    <t>Xerox 1906</t>
  </si>
  <si>
    <t>O'Sullivan Manor Hill 2-Door Library in Brianna Oak</t>
  </si>
  <si>
    <t>Parhena Norris</t>
  </si>
  <si>
    <t>Cardinal Hold-It CD Pocket</t>
  </si>
  <si>
    <t>Kelly Williams</t>
  </si>
  <si>
    <t>Wilson Jones Hanging View Binder, White, 1"</t>
  </si>
  <si>
    <t>Tenex V2T-RE Standard Weight Series Chair Mat, 45" x 53", Lip 25" x 12"</t>
  </si>
  <si>
    <t>Acco Six-Outlet Power Strip, 4' Cord Length</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</si>
  <si>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</si>
  <si>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</si>
  <si>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</si>
  <si>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</si>
  <si>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</si>
  <si>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</si>
  <si>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Conquest 14 Commercial Heavy-Duty Upright Vacuum, Collection System, Accessory Kit</t>
  </si>
  <si>
    <t>GBC DocuBind P50 Personal Binding Machine</t>
  </si>
  <si>
    <t>David Smith</t>
  </si>
  <si>
    <t>Sanford Uni-Blazer View Highlighters, Chisel Tip, Yellow</t>
  </si>
  <si>
    <t>Naresj Patel</t>
  </si>
  <si>
    <t>KI Conference Tables</t>
  </si>
  <si>
    <t>GBC Ibimaster 500 Manual ProClick Binding System</t>
  </si>
  <si>
    <t>Artistic Insta-Plaque</t>
  </si>
  <si>
    <t>Xerox 1886</t>
  </si>
  <si>
    <t>Belkin QODE FastFit Bluetooth Keyboard</t>
  </si>
  <si>
    <t>Avery File Folder Labels</t>
  </si>
  <si>
    <t>O'Sullivan Cherrywood Estates Traditional Barrister Bookcase</t>
  </si>
  <si>
    <t>Monica Federle</t>
  </si>
  <si>
    <t>Xerox 1885</t>
  </si>
  <si>
    <t>Avery 489</t>
  </si>
  <si>
    <t>Peel-Off China Markers</t>
  </si>
  <si>
    <t>Bill Donatelli</t>
  </si>
  <si>
    <t>GBC Binding covers</t>
  </si>
  <si>
    <t>Barry Weirich</t>
  </si>
  <si>
    <t>Philisse Overcash</t>
  </si>
  <si>
    <t>AT&amp;T 841000 Phone</t>
  </si>
  <si>
    <t>Doug Bickford</t>
  </si>
  <si>
    <t>Daniel Raglin</t>
  </si>
  <si>
    <t>Deluxe Heavy-Duty Vinyl Round Ring Binder</t>
  </si>
  <si>
    <t>Julie Creighton</t>
  </si>
  <si>
    <t>Jet-Pak Recycled Peel 'N' Seal Padded Mailers</t>
  </si>
  <si>
    <t>Mike Gockenbach</t>
  </si>
  <si>
    <t>Eldon Gobal File Keepers</t>
  </si>
  <si>
    <t>White Business Envelopes with Contemporary Seam, Recycled White Business Envelopes</t>
  </si>
  <si>
    <t>Sterilite Officeware Hinged File Box</t>
  </si>
  <si>
    <t>TRENDnet 56K USB 2.0 Phone, Internet and Fax Modem</t>
  </si>
  <si>
    <t>Holmes Replacement Filter for HEPA Air Cleaner, Very Large Room, HEPA Filter</t>
  </si>
  <si>
    <t>Office Star - Ergonomically Designed Knee Chair</t>
  </si>
  <si>
    <t>Avery Durable Slant Ring Binders, No Labels</t>
  </si>
  <si>
    <t>GE 48" Fluorescent Tube, Cool White Energy Saver, 34 Watts, 30/Box</t>
  </si>
  <si>
    <t>John Huston</t>
  </si>
  <si>
    <t>Christine Sundaresam</t>
  </si>
  <si>
    <t>Xerox 1908</t>
  </si>
  <si>
    <t>Logitech G19 Programmable Gaming Keyboard</t>
  </si>
  <si>
    <t>Shaun Chance</t>
  </si>
  <si>
    <t>Arthur Gainer</t>
  </si>
  <si>
    <t>Sauder Camden County Barrister Bookcase, Planked Cherry Finish</t>
  </si>
  <si>
    <t>DXL Angle-View Binders with Locking Rings, Black</t>
  </si>
  <si>
    <t>Sauder Camden County Collection Libraries, Planked Cherry Finish</t>
  </si>
  <si>
    <t>Cathy Armstrong</t>
  </si>
  <si>
    <t>Sung Pak</t>
  </si>
  <si>
    <t>Tamara Willingham</t>
  </si>
  <si>
    <t>Tensor Brushed Steel Torchiere Floor Lamp</t>
  </si>
  <si>
    <t>Beth Thompson</t>
  </si>
  <si>
    <t>Acco Hanging Data Binders</t>
  </si>
  <si>
    <t>Howard Miller 16" Diameter Gallery Wall Clock</t>
  </si>
  <si>
    <t>Chuck Clark</t>
  </si>
  <si>
    <t>Assorted Color Push Pins</t>
  </si>
  <si>
    <t>Alyssa Tate</t>
  </si>
  <si>
    <t>GBC Plasticlear Binding Covers</t>
  </si>
  <si>
    <t>Shaun Weien</t>
  </si>
  <si>
    <t>Safco Industrial Wire Shelving</t>
  </si>
  <si>
    <t>Charles Crestani</t>
  </si>
  <si>
    <t>Metal Folding Chairs, Beige, 4/Carton</t>
  </si>
  <si>
    <t>Anderson Hickey Conga Table Tops &amp; Accessories</t>
  </si>
  <si>
    <t>GBC Wire Binding Strips</t>
  </si>
  <si>
    <t>Angle-D Ring Binders</t>
  </si>
  <si>
    <t>Corey Catlett</t>
  </si>
  <si>
    <t>Mobile Personal File Cube</t>
  </si>
  <si>
    <t>KeyTronicÂ E03601U1 -Â KeyboardÂ - Beige</t>
  </si>
  <si>
    <t>Acco Pressboard Covers with Storage Hooks, 9 1/2" x 11", Executive Red</t>
  </si>
  <si>
    <t>Bretford CR8500 Series Meeting Room Furniture</t>
  </si>
  <si>
    <t>Neoma Murray</t>
  </si>
  <si>
    <t>Xerox 1952</t>
  </si>
  <si>
    <t>Xerox 1960</t>
  </si>
  <si>
    <t>Belkin 19" Center-Weighted Shelf, Gray</t>
  </si>
  <si>
    <t>Bobby Odegard</t>
  </si>
  <si>
    <t>Manco Dry-Lighter Erasable Highlighter</t>
  </si>
  <si>
    <t>Seth Thomas 13 1/2" Wall Clock</t>
  </si>
  <si>
    <t>Alex Russell</t>
  </si>
  <si>
    <t>Global Commerce Series Low-Back Swivel/Tilt Chairs</t>
  </si>
  <si>
    <t>Boston 19500 Mighty Mite Electric Pencil Sharpener</t>
  </si>
  <si>
    <t>Avery 474</t>
  </si>
  <si>
    <t>Deflect-o DuraMat Antistatic Studded Beveled Mat for Medium Pile Carpeting</t>
  </si>
  <si>
    <t>Space Solutions Industrial Galvanized Steel Shelving.</t>
  </si>
  <si>
    <t>LogitechÂ LS21 Speaker System - PC Multimedia - 2.1-CH - Wired</t>
  </si>
  <si>
    <t>George Bell</t>
  </si>
  <si>
    <t>Deflect-O Glasstique Clear Desk Accessories</t>
  </si>
  <si>
    <t>Skye Norling</t>
  </si>
  <si>
    <t>Avery 503</t>
  </si>
  <si>
    <t>Fellowes Advanced 8 Outlet Surge Suppressor with Phone/Fax Protection</t>
  </si>
  <si>
    <t>Xerox 208</t>
  </si>
  <si>
    <t>Hewlett Packard 310 Color Digital Copier</t>
  </si>
  <si>
    <t>Avery 520</t>
  </si>
  <si>
    <t>Gould Plastics 9-Pocket Panel Bin, 18-3/8w x 5-1/4d x 20-1/2h, Black</t>
  </si>
  <si>
    <t>OIC Binder Clips, Mini, 1/4" Capacity, Black</t>
  </si>
  <si>
    <t>HP Office Recycled Paper (20Lb. and 87 Bright)</t>
  </si>
  <si>
    <t>Tyvek  Top-Opening Peel &amp; Seel Envelopes, Plain White</t>
  </si>
  <si>
    <t>Craig Carreira</t>
  </si>
  <si>
    <t>Robert Marley</t>
  </si>
  <si>
    <t>Eric Murdock</t>
  </si>
  <si>
    <t>Lenovo 17-Key USB Numeric Keypad</t>
  </si>
  <si>
    <t>Jennifer Patt</t>
  </si>
  <si>
    <t>Computer Printout Paper with Letter-Trim Perforations</t>
  </si>
  <si>
    <t>Christopher Schild</t>
  </si>
  <si>
    <t>Pressboard Hanging Data Binders for Unburst Sheets</t>
  </si>
  <si>
    <t>Henry MacAllister</t>
  </si>
  <si>
    <t>HTC One Mini</t>
  </si>
  <si>
    <t>Michael Paige</t>
  </si>
  <si>
    <t>Sheri Gordon</t>
  </si>
  <si>
    <t>Xerox 202</t>
  </si>
  <si>
    <t>GBC Plastic Binding Combs</t>
  </si>
  <si>
    <t>SanDisk Ultra 32 GB MicroSDHC Class 10 Memory Card</t>
  </si>
  <si>
    <t>ImationÂ 8gb Micro Traveldrive Usb 2.0Â Flash Drive</t>
  </si>
  <si>
    <t>Safco Value Mate Series Steel Bookcases, Baked Enamel Finish on Steel, Gray</t>
  </si>
  <si>
    <t>Microsoft Natural Ergonomic Keyboard 4000</t>
  </si>
  <si>
    <t>Office Star - Mesh Screen back chair with Vinyl seat</t>
  </si>
  <si>
    <t>Alex Avila</t>
  </si>
  <si>
    <t>Tenex Personal Project File with Scoop Front Design, Black</t>
  </si>
  <si>
    <t>Xerox 1946</t>
  </si>
  <si>
    <t>Joel Jenkins</t>
  </si>
  <si>
    <t>Jeremy Farry</t>
  </si>
  <si>
    <t>Bush Cubix Collection Bookcases, Fully Assembled</t>
  </si>
  <si>
    <t>Global Highback Leather Tilter in Burgundy</t>
  </si>
  <si>
    <t>Gene Hale</t>
  </si>
  <si>
    <t>Tenex Traditional Chairmats for Medium Pile Carpet, Standard Lip, 36" x 48"</t>
  </si>
  <si>
    <t>KLD Oscar II Style Snap-on Ultra Thin Side Flip Synthetic Leather Cover Case for HTC One HTC M7</t>
  </si>
  <si>
    <t>Sonia Cooley</t>
  </si>
  <si>
    <t>Clear Mylar Reinforcing Strips</t>
  </si>
  <si>
    <t>Avery Hi-Liter Smear-Safe Highlighters</t>
  </si>
  <si>
    <t>High-Back Leather Manager's Chair</t>
  </si>
  <si>
    <t>Belkin 8 Outlet SurgeMaster II Gold Surge Protector</t>
  </si>
  <si>
    <t>Xerox 1894</t>
  </si>
  <si>
    <t>Global Leather &amp; Oak Executive Chair, Burgundy</t>
  </si>
  <si>
    <t>Sean O'Donnell</t>
  </si>
  <si>
    <t>Bretford CR4500 Series Slim Rectangular Table</t>
  </si>
  <si>
    <t>Eldon Fold 'N Roll Cart System</t>
  </si>
  <si>
    <t>Memorex 25GB 6X Branded Blu-Ray Recordable Disc, 30/Pack</t>
  </si>
  <si>
    <t>Atlantic Metals Mobile 4-Shelf Bookcases, Custom Colors</t>
  </si>
  <si>
    <t>4009 Highlighters by Sanford</t>
  </si>
  <si>
    <t>Ralph Kennedy</t>
  </si>
  <si>
    <t>Brites Rubber Bands, 1 1/2 oz. Box</t>
  </si>
  <si>
    <t>Avoid Verbal Orders Carbonless Minifold Book</t>
  </si>
  <si>
    <t>Razer Tiamat Over Ear 7.1 Surround Sound PC Gaming Headset</t>
  </si>
  <si>
    <t>Lumber Crayons</t>
  </si>
  <si>
    <t>Iceberg OfficeWorks 42" Round Tables</t>
  </si>
  <si>
    <t>Justin Hirsh</t>
  </si>
  <si>
    <t>Hon Comfortask Task/Swivel Chairs</t>
  </si>
  <si>
    <t>Jas O'Carroll</t>
  </si>
  <si>
    <t>Bevis Round Bullnose 29" High Table Top</t>
  </si>
  <si>
    <t>Kelly Collister</t>
  </si>
  <si>
    <t>Logitech K350 2.4Ghz Wireless Keyboard</t>
  </si>
  <si>
    <t>Scot Wooten</t>
  </si>
  <si>
    <t>Global Armless Task Chair, Royal Blue</t>
  </si>
  <si>
    <t>Contemporary Wood/Metal Frame</t>
  </si>
  <si>
    <t>GBC Premium Transparent Covers with Diagonal Lined Pattern</t>
  </si>
  <si>
    <t>O'Sullivan Living Dimensions 3-Shelf Bookcases</t>
  </si>
  <si>
    <t>Hon Olson Stacker Chairs</t>
  </si>
  <si>
    <t>Barry Blumstein</t>
  </si>
  <si>
    <t>Aastra 6757i CT Wireless VoIP phone</t>
  </si>
  <si>
    <t>Emily Grady</t>
  </si>
  <si>
    <t>Eureka Hand Vacuum, Bagless</t>
  </si>
  <si>
    <t>Corinna Mitchell</t>
  </si>
  <si>
    <t>Cisco IP Phone 7961G-GE VoIP phone</t>
  </si>
  <si>
    <t>Logitech Trackman Marble Mouse</t>
  </si>
  <si>
    <t>#10 Gummed Flap White Envelopes, 100/Box</t>
  </si>
  <si>
    <t>Fred Hopkins</t>
  </si>
  <si>
    <t>Office Star - Mid Back Dual function Ergonomic High Back Chair with 2-Way Adjustable Arms</t>
  </si>
  <si>
    <t>Belkin 325VA UPS Surge Protector, 6'</t>
  </si>
  <si>
    <t>Wilson Jones 1" Hanging DublLock Ring Binders</t>
  </si>
  <si>
    <t>Avery 476</t>
  </si>
  <si>
    <t>Hanging Personal Folder File</t>
  </si>
  <si>
    <t>Christy Brittain</t>
  </si>
  <si>
    <t>Acme Titanium Bonded Scissors</t>
  </si>
  <si>
    <t>Meg Tillman</t>
  </si>
  <si>
    <t>Redi-Strip #10 Envelopes, 4 1/8 x 9 1/2</t>
  </si>
  <si>
    <t>Karen Bern</t>
  </si>
  <si>
    <t>Safco Contoured Stacking Chairs</t>
  </si>
  <si>
    <t>Mike Caudle</t>
  </si>
  <si>
    <t>Rubber Band Ball</t>
  </si>
  <si>
    <t>Loose Memo Sheets</t>
  </si>
  <si>
    <t>White Envelopes, White Envelopes with Clear Poly Window</t>
  </si>
  <si>
    <t>Vermont</t>
  </si>
  <si>
    <t>Christine Phan</t>
  </si>
  <si>
    <t>Avery Hanging File Binders</t>
  </si>
  <si>
    <t>Doug O'Connell</t>
  </si>
  <si>
    <t>Adrian Barton</t>
  </si>
  <si>
    <t>Tenex Chairmats For Use with Hard Floors</t>
  </si>
  <si>
    <t>Fellowes Recycled Storage Drawers</t>
  </si>
  <si>
    <t>Canon PC170 Desktop Personal Copier</t>
  </si>
  <si>
    <t>Helen Abelman</t>
  </si>
  <si>
    <t>American Pencil</t>
  </si>
  <si>
    <t>Maria Zettner</t>
  </si>
  <si>
    <t>Alliance Rubber Bands</t>
  </si>
  <si>
    <t>Xerox 1988</t>
  </si>
  <si>
    <t>Executive Impressions 14" Contract Wall Clock</t>
  </si>
  <si>
    <t>Amy Cox</t>
  </si>
  <si>
    <t>Duane Benoit</t>
  </si>
  <si>
    <t>Microsoft Arc Touch Mouse</t>
  </si>
  <si>
    <t>Newell 314</t>
  </si>
  <si>
    <t>Iowa</t>
  </si>
  <si>
    <t>Keith Dawkins</t>
  </si>
  <si>
    <t>Fellowes Desktop Hanging File Manager</t>
  </si>
  <si>
    <t>Nu-Dell EZ-Mount Plastic Wall Frames</t>
  </si>
  <si>
    <t>Zebra ZM400 Thermal Label Printer</t>
  </si>
  <si>
    <t>OIC Binder Clips</t>
  </si>
  <si>
    <t>Permanent Self-Adhesive File Folder Labels for Typewriters, 1 1/8 x 3 1/2, White</t>
  </si>
  <si>
    <t>Riverside Palais Royal Lawyers Bookcase, Royale Cherry Finish</t>
  </si>
  <si>
    <t>Charlotte Melton</t>
  </si>
  <si>
    <t>While You Were Out Pads, 50 per Pad, 4 x 5 1/4, Green Cycle</t>
  </si>
  <si>
    <t>Adam Shillingsburg</t>
  </si>
  <si>
    <t>Binder Posts</t>
  </si>
  <si>
    <t>Bevis Round Conference Table Top &amp; Single Column Base</t>
  </si>
  <si>
    <t>Xerox 1978</t>
  </si>
  <si>
    <t>Dianna Vittorini</t>
  </si>
  <si>
    <t>Poly String Tie Envelopes</t>
  </si>
  <si>
    <t>AmazonBasics 3-Button USB Wired Mouse</t>
  </si>
  <si>
    <t>LogitechÂ VX Revolution Cordless Laser Mouse for Notebooks (Black)</t>
  </si>
  <si>
    <t>Jesus Ocampo</t>
  </si>
  <si>
    <t>Alan Hwang</t>
  </si>
  <si>
    <t>Steve Chapman</t>
  </si>
  <si>
    <t>Letter Size Cart</t>
  </si>
  <si>
    <t>Advantus 10-Drawer Portable Organizer, Chrome Metal Frame, Smoke Drawers</t>
  </si>
  <si>
    <t>Yoseph Carroll</t>
  </si>
  <si>
    <t>Blue String-Tie &amp; Button Interoffice Envelopes, 10 x 13</t>
  </si>
  <si>
    <t>Eugene Barchas</t>
  </si>
  <si>
    <t>GBC Pre-Punched Binding Paper, Plastic, White, 8-1/2" x 11"</t>
  </si>
  <si>
    <t>Global Troy Executive Leather Low-Back Tilter</t>
  </si>
  <si>
    <t>Xerox 219</t>
  </si>
  <si>
    <t>Bush Advantage Collection Round Conference Table</t>
  </si>
  <si>
    <t>Lindsay Castell</t>
  </si>
  <si>
    <t>Xerox 207</t>
  </si>
  <si>
    <t>Newell 307</t>
  </si>
  <si>
    <t>Dean Katz</t>
  </si>
  <si>
    <t>Lexmark MarkNet N8150 Wireless Print Server</t>
  </si>
  <si>
    <t>Cardinal Poly Pocket Divider Pockets for Ring Binders</t>
  </si>
  <si>
    <t>Verbatim 25 GB 6x Blu-ray Single Layer Recordable Disc, 25/Pack</t>
  </si>
  <si>
    <t>Bill Stewart</t>
  </si>
  <si>
    <t>GBC Therma-A-Bind 250T Electric Binding System</t>
  </si>
  <si>
    <t>Pierre Wener</t>
  </si>
  <si>
    <t>Sauder Forest Hills Library, Woodland Oak Finish</t>
  </si>
  <si>
    <t>Panasonic KX-TG6844B Expandable Digital Cordless Telephone</t>
  </si>
  <si>
    <t>New Hampshire</t>
  </si>
  <si>
    <t>Xerox 1935</t>
  </si>
  <si>
    <t>Ritsa Hightower</t>
  </si>
  <si>
    <t>SpineVue Locking Slant-D Ring Binders by Cardinal</t>
  </si>
  <si>
    <t>DAX Two-Tone Rosewood/Black Document Frame, Desktop, 5 x 7</t>
  </si>
  <si>
    <t>Wausau Papers Astrobrights Colored Envelopes</t>
  </si>
  <si>
    <t>Harry Marie</t>
  </si>
  <si>
    <t>Tyvek Side-Opening Peel &amp; Seel Expanding Envelopes</t>
  </si>
  <si>
    <t>Jensen SMPS-640 -Â speaker phone</t>
  </si>
  <si>
    <t>Avery Hi-Liter Fluorescent Desk Style Markers</t>
  </si>
  <si>
    <t>Matt Hagelstein</t>
  </si>
  <si>
    <t>GBC White Gloss Covers, Plain Front</t>
  </si>
  <si>
    <t>Stephanie Ulpright</t>
  </si>
  <si>
    <t>Avery 488</t>
  </si>
  <si>
    <t>Katrina Willman</t>
  </si>
  <si>
    <t>Avery Reinforcements for Hole-Punch Pages</t>
  </si>
  <si>
    <t>Gary Hwang</t>
  </si>
  <si>
    <t>Xerox 1970</t>
  </si>
  <si>
    <t>Belkin 19" Vented Equipment Shelf, Black</t>
  </si>
  <si>
    <t>Polycom SoundStation2 EX ConferenceÂ phone</t>
  </si>
  <si>
    <t>Global Low Back Tilter Chair</t>
  </si>
  <si>
    <t>Katherine Murray</t>
  </si>
  <si>
    <t>Message Book, Phone, Wirebound Standard Line Memo, 2 3/4" X 5"</t>
  </si>
  <si>
    <t>Xerox 1903</t>
  </si>
  <si>
    <t>Hewlett Packard 610 Color Digital Copier / Printer</t>
  </si>
  <si>
    <t>Xerox 20</t>
  </si>
  <si>
    <t>Art Ferguson</t>
  </si>
  <si>
    <t>Mike Pelletier</t>
  </si>
  <si>
    <t>Spiral Phone Message Books with Labels by Adams</t>
  </si>
  <si>
    <t>Alliance Big Bands Rubber Bands, 12/Pack</t>
  </si>
  <si>
    <t>Pressboard Data Binders by Wilson Jones</t>
  </si>
  <si>
    <t>Avery Durable Slant Ring Binders With Label Holder</t>
  </si>
  <si>
    <t>Kristen Hastings</t>
  </si>
  <si>
    <t>Xerox 218</t>
  </si>
  <si>
    <t>Tonja Turnell</t>
  </si>
  <si>
    <t>Nokia Lumia 521 (T-Mobile)</t>
  </si>
  <si>
    <t>WD My Passport Ultra 500GB Portable External Hard Drive</t>
  </si>
  <si>
    <t>Henry Goldwyn</t>
  </si>
  <si>
    <t>Ken Brennan</t>
  </si>
  <si>
    <t>Permanent Self-Adhesive File Folder Labels for Typewriters by Universal</t>
  </si>
  <si>
    <t>Khloe Miller</t>
  </si>
  <si>
    <t>Staples in misc. colors</t>
  </si>
  <si>
    <t>Xerox 201</t>
  </si>
  <si>
    <t>Memorex 25GB 6X Branded Blu-Ray Recordable Disc, 15/Pack</t>
  </si>
  <si>
    <t>Avery 486</t>
  </si>
  <si>
    <t>Adams Phone Message Book, 200 Message Capacity, 8 1/16Â” x 11Â”</t>
  </si>
  <si>
    <t>Xerox 1883</t>
  </si>
  <si>
    <t>Frank Carlisle</t>
  </si>
  <si>
    <t>Julia West</t>
  </si>
  <si>
    <t>3M Replacement Filter for Office Air Cleaner for 20' x 33' Room</t>
  </si>
  <si>
    <t>Ryan Akin</t>
  </si>
  <si>
    <t>Stuart Calhoun</t>
  </si>
  <si>
    <t>Bush Westfield Collection Bookcases, Dark Cherry Finish</t>
  </si>
  <si>
    <t>Newell 326</t>
  </si>
  <si>
    <t>Bevis Rectangular Conference Tables</t>
  </si>
  <si>
    <t>Xerox 1932</t>
  </si>
  <si>
    <t>Avery Personal Creations Heavyweight Cards</t>
  </si>
  <si>
    <t>Lena Creighton</t>
  </si>
  <si>
    <t>Jim Kriz</t>
  </si>
  <si>
    <t>Cynthia Arntzen</t>
  </si>
  <si>
    <t>Maxell 4.7GB DVD+RW 3/Pack</t>
  </si>
  <si>
    <t>Recycled Premium Regency Composition Covers</t>
  </si>
  <si>
    <t>Newell 311</t>
  </si>
  <si>
    <t>Black Print Carbonless Snap-Off Rapid Letter, 8 1/2" x 7"</t>
  </si>
  <si>
    <t>Eldon Cleatmat Chair Mats for Medium Pile Carpets</t>
  </si>
  <si>
    <t>Jonathan Doherty</t>
  </si>
  <si>
    <t>Xerox 1930</t>
  </si>
  <si>
    <t>Brendan Murry</t>
  </si>
  <si>
    <t>Bush Westfield Collection Bookcases, Medium Cherry Finish</t>
  </si>
  <si>
    <t>GE 30522EE2</t>
  </si>
  <si>
    <t>Christine Abelman</t>
  </si>
  <si>
    <t>ImationÂ Clip USBÂ flash driveÂ - 8 GB</t>
  </si>
  <si>
    <t>Bill Overfelt</t>
  </si>
  <si>
    <t>Hon Practical Foundations 30 x 60 Training Table, Light Gray/Charcoal</t>
  </si>
  <si>
    <t>Erica Bern</t>
  </si>
  <si>
    <t>Ben Peterman</t>
  </si>
  <si>
    <t>Anthony Johnson</t>
  </si>
  <si>
    <t>LogitechÂ MX Performance Wireless Mouse</t>
  </si>
  <si>
    <t>Newell 337</t>
  </si>
  <si>
    <t>Xerox 212</t>
  </si>
  <si>
    <t>Plastic Binding Combs</t>
  </si>
  <si>
    <t>Avaya 5410 Digital phone</t>
  </si>
  <si>
    <t>Logitech G500s Laser Gaming Mouse with Adjustable Weight Tuning</t>
  </si>
  <si>
    <t>Maureen Fritzler</t>
  </si>
  <si>
    <t>Logitech Media Keyboard K200</t>
  </si>
  <si>
    <t>Joy Bell-</t>
  </si>
  <si>
    <t>Xerox 2</t>
  </si>
  <si>
    <t>Cyber Acoustics AC-202b Speech Recognition Stereo Headset</t>
  </si>
  <si>
    <t>HP Designjet T520 Inkjet Large Format Printer - 24" Color</t>
  </si>
  <si>
    <t>Deflect-o RollaMat Studded, Beveled Mat for Medium Pile Carpeting</t>
  </si>
  <si>
    <t>Tracy Blumstein</t>
  </si>
  <si>
    <t>Revere Boxed Rubber Bands by Revere</t>
  </si>
  <si>
    <t>Bush Andora Bookcase, Maple/Graphite Gray Finish</t>
  </si>
  <si>
    <t>Ames Color-File Green Diamond Border X-ray Mailers</t>
  </si>
  <si>
    <t>White Dual Perf Computer Printout Paper, 2700 Sheets, 1 Part, Heavyweight, 20 lbs., 14 7/8 x 11</t>
  </si>
  <si>
    <t>Xerox 1943</t>
  </si>
  <si>
    <t>Fellowes Mobile File Cart, Black</t>
  </si>
  <si>
    <t>Anker Astro 15000mAh USB Portable Charger</t>
  </si>
  <si>
    <t>Christina Anderson</t>
  </si>
  <si>
    <t>Micro Innovations USB RF Wireless Keyboard with Mouse</t>
  </si>
  <si>
    <t>Bobby Elias</t>
  </si>
  <si>
    <t>Motorola L703CM</t>
  </si>
  <si>
    <t>Cathy Hwang</t>
  </si>
  <si>
    <t>Samsung Galaxy S4 Mini</t>
  </si>
  <si>
    <t>Justin Ritter</t>
  </si>
  <si>
    <t>Phillip Breyer</t>
  </si>
  <si>
    <t>Mediabridge Sport Armband iPhone 5s</t>
  </si>
  <si>
    <t>Ativa V4110MDD Micro-Cut Shredder</t>
  </si>
  <si>
    <t>RCA ViSYS 25423RE1 Corded phone</t>
  </si>
  <si>
    <t>Jason Gross</t>
  </si>
  <si>
    <t>Rediform Wirebound "Phone Memo" Message Book, 11 x 5-3/4</t>
  </si>
  <si>
    <t>Plantronics Encore H101 Dual EarpiecesÂ Headset</t>
  </si>
  <si>
    <t>Office Impressions End Table, 20-1/2"H x 24"W x 20"D</t>
  </si>
  <si>
    <t>Theresa Swint</t>
  </si>
  <si>
    <t>Elite 5" Scissors</t>
  </si>
  <si>
    <t>High Speed Automatic Electric Letter Opener</t>
  </si>
  <si>
    <t>Michael Granlund</t>
  </si>
  <si>
    <t>Berol Giant Pencil Sharpener</t>
  </si>
  <si>
    <t>Randy Ferguson</t>
  </si>
  <si>
    <t>Rob Williams</t>
  </si>
  <si>
    <t>Grandstream GXP1160 VoIP phone</t>
  </si>
  <si>
    <t>Peel &amp; Stick Add-On Corner Pockets</t>
  </si>
  <si>
    <t>Eldon Cleatmat Plus Chair Mats for High Pile Carpets</t>
  </si>
  <si>
    <t>Belkin Grip Candy Sheer Case / Cover for iPhone 5 and 5S</t>
  </si>
  <si>
    <t>Zuschuss Carroll</t>
  </si>
  <si>
    <t>Brian DeCherney</t>
  </si>
  <si>
    <t>Xerox 1993</t>
  </si>
  <si>
    <t>Sanjit Jacobs</t>
  </si>
  <si>
    <t>Verbatim 25 GB 6x Blu-ray Single Layer Recordable Disc, 3/Pack</t>
  </si>
  <si>
    <t>Tyvek Interoffice Envelopes, 9 1/2" x 12 1/2", 100/Box</t>
  </si>
  <si>
    <t>Honeywell Enviracaire Portable Air Cleaner for up to 8 x 10 Room</t>
  </si>
  <si>
    <t>Pamela Stobb</t>
  </si>
  <si>
    <t>Personal Folder Holder, Ebony</t>
  </si>
  <si>
    <t>Xerox 193</t>
  </si>
  <si>
    <t>Caroline Jumper</t>
  </si>
  <si>
    <t>Bryan Davis</t>
  </si>
  <si>
    <t>Karen Ferguson</t>
  </si>
  <si>
    <t>Rediform Voice Mail Log Books</t>
  </si>
  <si>
    <t>Apple iPhone 5</t>
  </si>
  <si>
    <t>Rick Huthwaite</t>
  </si>
  <si>
    <t>Okidata MB760 Printer</t>
  </si>
  <si>
    <t>Maya Herman</t>
  </si>
  <si>
    <t>Mini 13-1/2 Capacity Data Binder Rack, Pearl</t>
  </si>
  <si>
    <t>Brad Thomas</t>
  </si>
  <si>
    <t>Tennsco Stur-D-Stor Boltless Shelving, 5 Shelves, 24" Deep, Sand</t>
  </si>
  <si>
    <t>Hammermill Color Copier Paper (28Lb. and 96 Bright)</t>
  </si>
  <si>
    <t>Raymond Buch</t>
  </si>
  <si>
    <t>Newell 342</t>
  </si>
  <si>
    <t>Belkin F9H710-06 7 Outlet SurgeMaster Surge Protector</t>
  </si>
  <si>
    <t>Don Weiss</t>
  </si>
  <si>
    <t>Boston 16801 Nautilus Battery Pencil Sharpener</t>
  </si>
  <si>
    <t>Avery 473</t>
  </si>
  <si>
    <t>Daniel Byrd</t>
  </si>
  <si>
    <t>Regeneration Desk Collection</t>
  </si>
  <si>
    <t>Muhammed Yedwab</t>
  </si>
  <si>
    <t>Global Executive Mid-Back Manager's Chair</t>
  </si>
  <si>
    <t>GBC Velobind Prepunched Cover Sets, Regency Series</t>
  </si>
  <si>
    <t>Zuschuss Donatelli</t>
  </si>
  <si>
    <t>Evan Henry</t>
  </si>
  <si>
    <t>Clearsounds A400</t>
  </si>
  <si>
    <t>Premier Automatic Letter Opener</t>
  </si>
  <si>
    <t>Nortel Meridian M5316 Digital phone</t>
  </si>
  <si>
    <t>Xerox 1939</t>
  </si>
  <si>
    <t>Belkin 7-Outlet SurgeMaster Home Series</t>
  </si>
  <si>
    <t>Eldon Jumbo ProFile Portable File Boxes Graphite/Black</t>
  </si>
  <si>
    <t>Jeremy Lonsdale</t>
  </si>
  <si>
    <t>Sauder Barrister Bookcases</t>
  </si>
  <si>
    <t>Xerox 1923</t>
  </si>
  <si>
    <t>Kensington Orbit Wireless Mobile Trackball for PC and Mac</t>
  </si>
  <si>
    <t>GBC DocuBind P400 Electric Binding System</t>
  </si>
  <si>
    <t>#10 Self-Seal White Envelopes</t>
  </si>
  <si>
    <t>C-Line Magnetic Cubicle Keepers, Clear Polypropylene</t>
  </si>
  <si>
    <t>Ampad #10 Peel &amp; Seel Holiday Envelopes</t>
  </si>
  <si>
    <t>Hon Metal Bookcases, Black</t>
  </si>
  <si>
    <t>Eldon Radial Chair Mat for Low to Medium Pile Carpets</t>
  </si>
  <si>
    <t>Sean Wendt</t>
  </si>
  <si>
    <t>Storex Flexible Poly Binders with Double Pockets</t>
  </si>
  <si>
    <t>Herbert Flentye</t>
  </si>
  <si>
    <t>Bush Somerset Collection Bookcase</t>
  </si>
  <si>
    <t>Xerox 227</t>
  </si>
  <si>
    <t>Wilson Jones Clip &amp; Carry Folder Binder Tool for Ring Binders, Clear</t>
  </si>
  <si>
    <t>GBC Prepunched Paper, 19-Hole, for Binding Systems, 24-lb</t>
  </si>
  <si>
    <t>JM Magazine Binder</t>
  </si>
  <si>
    <t>Jason Fortune-</t>
  </si>
  <si>
    <t>Xerox 206</t>
  </si>
  <si>
    <t>Fellowes Bankers Box Staxonsteel Drawer File/Stacking System</t>
  </si>
  <si>
    <t>TOPS "Important Message" Pads, Canary, 4-1/4 x 5-1/2, 50 Sheets per Pad</t>
  </si>
  <si>
    <t>Chris McAfee</t>
  </si>
  <si>
    <t>Xerox 1914</t>
  </si>
  <si>
    <t>Xerox 1994</t>
  </si>
  <si>
    <t>Cindy Chapman</t>
  </si>
  <si>
    <t>Super Decoflex Portable Personal File</t>
  </si>
  <si>
    <t>Dan Lawera</t>
  </si>
  <si>
    <t>Global Stack Chair without Arms, Black</t>
  </si>
  <si>
    <t>Sterilite Show Offs Storage Containers</t>
  </si>
  <si>
    <t>Avery 502</t>
  </si>
  <si>
    <t>Eldon 200 Class Desk Accessories</t>
  </si>
  <si>
    <t>Heavy-Duty E-Z-D Binders</t>
  </si>
  <si>
    <t>Newell 316</t>
  </si>
  <si>
    <t>Susan MacKendrick</t>
  </si>
  <si>
    <t>Computer Room Manger, 14"</t>
  </si>
  <si>
    <t>Cisco 8961 IP Phone Charcoal</t>
  </si>
  <si>
    <t>Avery 496</t>
  </si>
  <si>
    <t>Patrick Jones</t>
  </si>
  <si>
    <t>Xerox 1965</t>
  </si>
  <si>
    <t>Barry Franz</t>
  </si>
  <si>
    <t>Cisco Small Business SPA 502G VoIP phone</t>
  </si>
  <si>
    <t>Computer Printout Index Tabs</t>
  </si>
  <si>
    <t>Hon 61000 Series Interactive Training Tables</t>
  </si>
  <si>
    <t>Lindsay Williams</t>
  </si>
  <si>
    <t>Global Adaptabilities Conference Tables</t>
  </si>
  <si>
    <t>Snap-A-Way Black Print Carbonless Speed Message, No Reply Area, Duplicate</t>
  </si>
  <si>
    <t>Avaya 4621SW VoIP phone</t>
  </si>
  <si>
    <t>Advantus T-Pin Paper Clips</t>
  </si>
  <si>
    <t>DAX Solid Wood Frames</t>
  </si>
  <si>
    <t>Executive Impressions 8-1/2" Career Panel/Partition Cubicle Clock</t>
  </si>
  <si>
    <t>Bady BDG101FRU Card Printer</t>
  </si>
  <si>
    <t>Tenex 46" x 60" Computer Anti-Static Chairmat, Rectangular Shaped</t>
  </si>
  <si>
    <t>Sony Micro Vault Click 8 GB USB 2.0 Flash Drive</t>
  </si>
  <si>
    <t>Sanford Pocket Accent Highlighters</t>
  </si>
  <si>
    <t>TOPS Money Receipt Book, Consecutively Numbered in Red,</t>
  </si>
  <si>
    <t>Thea Hendricks</t>
  </si>
  <si>
    <t>Cynthia Voltz</t>
  </si>
  <si>
    <t>Euro Pro Shark Stick Mini Vacuum</t>
  </si>
  <si>
    <t>Xerox 1911</t>
  </si>
  <si>
    <t>GBC VeloBind Cover Sets</t>
  </si>
  <si>
    <t>Grip Seal Envelopes</t>
  </si>
  <si>
    <t>Vivek Grady</t>
  </si>
  <si>
    <t>Jill Matthias</t>
  </si>
  <si>
    <t>Manila Recycled Extra-Heavyweight Clasp Envelopes, 6" x 9"</t>
  </si>
  <si>
    <t>Vivian Mathis</t>
  </si>
  <si>
    <t>Memorex Mini Travel Drive 32 GB USB 2.0 Flash Drive</t>
  </si>
  <si>
    <t>Luxo Professional Fluorescent Magnifier Lamp with Clamp-Mount Base</t>
  </si>
  <si>
    <t>PureGear Roll-On Screen Protector</t>
  </si>
  <si>
    <t>Eldon 100 Class Desk Accessories</t>
  </si>
  <si>
    <t>Edward Nazzal</t>
  </si>
  <si>
    <t>Panasonic KX MC6040 Color Laser Multifunction Printer</t>
  </si>
  <si>
    <t>Sauder Inglewood Library Bookcases</t>
  </si>
  <si>
    <t>Eldon Base for stackable storage shelf, platinum</t>
  </si>
  <si>
    <t>Janet Lee</t>
  </si>
  <si>
    <t>Scot Coram</t>
  </si>
  <si>
    <t>Plantronics S12 Corded Telephone Headset System</t>
  </si>
  <si>
    <t>Xerox 191</t>
  </si>
  <si>
    <t>Trimflex Flexible Post Binders</t>
  </si>
  <si>
    <t>Avery Binder Labels</t>
  </si>
  <si>
    <t>Xerox 230</t>
  </si>
  <si>
    <t>Xerox Blank Computer Paper</t>
  </si>
  <si>
    <t>Samsung Galaxy Mega 6.3</t>
  </si>
  <si>
    <t>Liz Preis</t>
  </si>
  <si>
    <t>Electrix Halogen Magnifier Lamp</t>
  </si>
  <si>
    <t>Deflect-o EconoMat Nonstudded, No Bevel Mat</t>
  </si>
  <si>
    <t>Ross DeVincentis</t>
  </si>
  <si>
    <t>Roy Skaria</t>
  </si>
  <si>
    <t>Toby Carlisle</t>
  </si>
  <si>
    <t>Cisco CP-7937G Unified IP Conference Station Phone</t>
  </si>
  <si>
    <t>Dean Braden</t>
  </si>
  <si>
    <t>Bush Cubix Conference Tables, Fully Assembled</t>
  </si>
  <si>
    <t>Olvera Toch</t>
  </si>
  <si>
    <t>Bretford Â“Just In TimeÂ” Height-Adjustable Multi-Task Work Tables</t>
  </si>
  <si>
    <t>Avery 487</t>
  </si>
  <si>
    <t>Erica Smith</t>
  </si>
  <si>
    <t>Logitech G35 7.1-Channel Surround Sound Headset</t>
  </si>
  <si>
    <t>Darrin Van Huff</t>
  </si>
  <si>
    <t>Stewart Carmichael</t>
  </si>
  <si>
    <t>1.7 Cubic Foot Compact "Cube" Office Refrigerators</t>
  </si>
  <si>
    <t>Avery Heavy-Duty EZD  Binder With Locking Rings</t>
  </si>
  <si>
    <t>Canon Color ImageCLASS MF8580Cdw Wireless Laser All-In-One Printer, Copier, Scanner</t>
  </si>
  <si>
    <t>Craig Reiter</t>
  </si>
  <si>
    <t>IBM Multi-Purpose Copy Paper, 8 1/2 x 11", Case</t>
  </si>
  <si>
    <t>Xerox 228</t>
  </si>
  <si>
    <t>Arthur Wiediger</t>
  </si>
  <si>
    <t>Dax Clear Box Frame</t>
  </si>
  <si>
    <t>Xerox 1975</t>
  </si>
  <si>
    <t>Acco Pressboard Covers with Storage Hooks, 14 7/8" x 11", Executive Red</t>
  </si>
  <si>
    <t>Jay Fein</t>
  </si>
  <si>
    <t>Binding Machine Supplies</t>
  </si>
  <si>
    <t>Avery 477</t>
  </si>
  <si>
    <t>KeyTronicÂ KT400U2 -Â KeyboardÂ - Black</t>
  </si>
  <si>
    <t>Southworth 25% Cotton Antique Laid Paper &amp; Envelopes</t>
  </si>
  <si>
    <t>Katherine Hughes</t>
  </si>
  <si>
    <t>Avery Hi-Liter Pen Style Six-Color Fluorescent Set</t>
  </si>
  <si>
    <t>Guy Thornton</t>
  </si>
  <si>
    <t>Avanti 1.7 Cu. Ft. Refrigerator</t>
  </si>
  <si>
    <t>Xerox 1925</t>
  </si>
  <si>
    <t>Inter-Office Recycled Envelopes, Brown Kraft, Button-String,10" x 13" , 100/Box</t>
  </si>
  <si>
    <t>OtterBox Defender Series Case - Samsung Galaxy S4</t>
  </si>
  <si>
    <t>Acme Softgrip Scissors</t>
  </si>
  <si>
    <t>Barry FranzÃ¶sisch</t>
  </si>
  <si>
    <t>Flat Face Poster Frame</t>
  </si>
  <si>
    <t>Christopher Conant</t>
  </si>
  <si>
    <t>Global Leather Task Chair, Black</t>
  </si>
  <si>
    <t>Chad Cunningham</t>
  </si>
  <si>
    <t>Cisco SPA 502G IP Phone</t>
  </si>
  <si>
    <t>Joe Elijah</t>
  </si>
  <si>
    <t>GBC Twin Loop Wire Binding Elements</t>
  </si>
  <si>
    <t>Logitech Mobile Speakerphone P710e -Â speaker phone</t>
  </si>
  <si>
    <t>Jabra SPEAK 410 Multidevice Speakerphone</t>
  </si>
  <si>
    <t>Xerox 1921</t>
  </si>
  <si>
    <t>Thea Hudgings</t>
  </si>
  <si>
    <t>Brother MFC-9340CDW LED All-In-One Printer, Copier Scanner</t>
  </si>
  <si>
    <t>Susan Gilcrest</t>
  </si>
  <si>
    <t>Eldon 500 Class Desk Accessories</t>
  </si>
  <si>
    <t>Barricks Non-Folding Utility Table with Steel Legs, Laminate Tops</t>
  </si>
  <si>
    <t>Nortel Business Series Terminal T7208 Digital phone</t>
  </si>
  <si>
    <t>XtraLife ClearVue Slant-D Ring Binders by Cardinal</t>
  </si>
  <si>
    <t>Alex Grayson</t>
  </si>
  <si>
    <t>Sony Micro Vault Click 4 GB USB 2.0 Flash Drive</t>
  </si>
  <si>
    <t>Max Ludwig</t>
  </si>
  <si>
    <t>Avery 478</t>
  </si>
  <si>
    <t>Ralph Arnett</t>
  </si>
  <si>
    <t>Linda Cazamias</t>
  </si>
  <si>
    <t>Pressboard Covers with Storage Hooks, 9 1/2" x 11", Light Blue</t>
  </si>
  <si>
    <t>Boston Model 1800 Electric Pencil Sharpener, Gray</t>
  </si>
  <si>
    <t>Liz MacKendrick</t>
  </si>
  <si>
    <t>Dorothy Wardle</t>
  </si>
  <si>
    <t>LogitechÂ Illuminated - Keyboard</t>
  </si>
  <si>
    <t>Ink Jet Note and Greeting Cards, 8-1/2" x 5-1/2" Card Size</t>
  </si>
  <si>
    <t>Chromcraft 48" x 96" Racetrack Double Pedestal Table</t>
  </si>
  <si>
    <t>Xerox 1954</t>
  </si>
  <si>
    <t>Apple EarPods with Remote and Mic</t>
  </si>
  <si>
    <t>Avery Durable Slant Ring Binders</t>
  </si>
  <si>
    <t>Michelle Tran</t>
  </si>
  <si>
    <t>Premium Transparent Presentation Covers, No Pattern/Clear, 8 1/2" x 11"</t>
  </si>
  <si>
    <t>Logitech diNovo Edge Keyboard</t>
  </si>
  <si>
    <t>BPI Conference Tables</t>
  </si>
  <si>
    <t>Boston 16765 Mini Stand Up Battery Pencil Sharpener</t>
  </si>
  <si>
    <t>Adam Bellavance</t>
  </si>
  <si>
    <t>Sabrent 4-Port USB 2.0 Hub</t>
  </si>
  <si>
    <t>Telephone Message Books with Fax/Mobile Section, 5 1/2" x 3 3/16"</t>
  </si>
  <si>
    <t>Anker 36W 4-Port USB Wall Charger Travel Power Adapter for iPhone 5s 5c 5</t>
  </si>
  <si>
    <t>Eureka The Boss Plus 12-Amp Hard Box Upright Vacuum, Red</t>
  </si>
  <si>
    <t>Newell 315</t>
  </si>
  <si>
    <t>Laurel Beltran</t>
  </si>
  <si>
    <t>Okidata C610n Printer</t>
  </si>
  <si>
    <t>Belkin F9M820V08 8 Outlet Surge</t>
  </si>
  <si>
    <t>Plantronics Savi W720 Multi-Device Wireless Headset System</t>
  </si>
  <si>
    <t>Ultra Door Pull Handle</t>
  </si>
  <si>
    <t>Blackstonian Pencils</t>
  </si>
  <si>
    <t>Tenex "The Solids" Textured Chair Mats</t>
  </si>
  <si>
    <t>Crate-A-Files</t>
  </si>
  <si>
    <t>Rob Beeghly</t>
  </si>
  <si>
    <t>Safco Value Mate Steel Bookcase, Baked Enamel Finish on Steel, Black</t>
  </si>
  <si>
    <t>Wirebound Four 2-3/4 x 5 Forms per Page, 400 Sets per Book</t>
  </si>
  <si>
    <t>Acme Preferred Stainless Steel Scissors</t>
  </si>
  <si>
    <t>Ionia McGrath</t>
  </si>
  <si>
    <t>6" Cubicle Wall Clock, Black</t>
  </si>
  <si>
    <t>Eldon Mobile Mega Data Cart  Mega Stackable  Add-On Trays</t>
  </si>
  <si>
    <t>Jasper Cacioppo</t>
  </si>
  <si>
    <t>C-Line Peel &amp; Stick Add-On Filing Pockets, 8-3/4 x 5-1/8, 10/Pack</t>
  </si>
  <si>
    <t>Nortel Networks T7316 E Nt8 B27</t>
  </si>
  <si>
    <t>14-7/8 x 11 Blue Bar Computer Printout Paper</t>
  </si>
  <si>
    <t>Advantus Push Pins</t>
  </si>
  <si>
    <t>Mark Van Huff</t>
  </si>
  <si>
    <t>Xerox 196</t>
  </si>
  <si>
    <t>Recycled Easel Ring Binders</t>
  </si>
  <si>
    <t>Global Task Chair, Black</t>
  </si>
  <si>
    <t>Global Comet Stacking Arm Chair</t>
  </si>
  <si>
    <t>Fred Wasserman</t>
  </si>
  <si>
    <t>Elpida Rittenbach</t>
  </si>
  <si>
    <t>Fellowes Basic Home/Office Series Surge Protectors</t>
  </si>
  <si>
    <t>Mary O'Rourke</t>
  </si>
  <si>
    <t>Bruce Geld</t>
  </si>
  <si>
    <t>AT&amp;T CL83451 4-Handset Telephone</t>
  </si>
  <si>
    <t>Sony 64GB Class 10 Micro SDHC R40 Memory Card</t>
  </si>
  <si>
    <t>Square Ring Data Binders, Rigid 75 Pt. Covers, 11" x 14-7/8"</t>
  </si>
  <si>
    <t>Premium Transparent Presentation Covers by GBC</t>
  </si>
  <si>
    <t>Avery 52</t>
  </si>
  <si>
    <t>Michael Grace</t>
  </si>
  <si>
    <t>Kensington 7 Outlet MasterPiece Power Center with Fax/Phone Line Protection</t>
  </si>
  <si>
    <t>Belkin SportFit Armband For iPhone 5s/5c, Fuchsia</t>
  </si>
  <si>
    <t>Petty Cash Envelope</t>
  </si>
  <si>
    <t>Lesro Round Back Collection Coffee Table, End Table</t>
  </si>
  <si>
    <t>Ampad Gold Fibre Wirebound Steno Books, 6" x 9", Gregg Ruled</t>
  </si>
  <si>
    <t>Eberhard Faber 3 1/2" Golf Pencils</t>
  </si>
  <si>
    <t>Xerox 1900</t>
  </si>
  <si>
    <t>Troy Staebel</t>
  </si>
  <si>
    <t>Eldon Expressions Punched Metal &amp; Wood Desk Accessories, Black &amp; Cherry</t>
  </si>
  <si>
    <t>Acco Perma 2700 Stacking Storage Drawers</t>
  </si>
  <si>
    <t>Wirebound Message Books, Four 2 3/4 x 5 White Forms per Page</t>
  </si>
  <si>
    <t>Ibico EB-19 Dual Function Manual Binding System</t>
  </si>
  <si>
    <t>LogitechÂ P710e Mobile Speakerphone</t>
  </si>
  <si>
    <t>Xerox 1972</t>
  </si>
  <si>
    <t>Insertable Tab Indexes For Data Binders</t>
  </si>
  <si>
    <t>Crayola Anti Dust Chalk, 12/Pack</t>
  </si>
  <si>
    <t>Xerox 1976</t>
  </si>
  <si>
    <t>Eldon Expressions Desk Accessory, Wood Photo Frame, Mahogany</t>
  </si>
  <si>
    <t>GBC Instant Report Kit</t>
  </si>
  <si>
    <t>ImationÂ 30456 USBÂ Flash DriveÂ 8GB</t>
  </si>
  <si>
    <t>Xerox 1991</t>
  </si>
  <si>
    <t>Matt Collister</t>
  </si>
  <si>
    <t>DAX Contemporary Wood Frame with Silver Metal Mat, Desktop, 11 x 14 Size</t>
  </si>
  <si>
    <t>Hunter Glantz</t>
  </si>
  <si>
    <t>Tim Taslimi</t>
  </si>
  <si>
    <t>Canon imageCLASS 2200 Advanced Copier</t>
  </si>
  <si>
    <t>Stanley Bostitch Contemporary Electric Pencil Sharpeners</t>
  </si>
  <si>
    <t>Office Star - Contemporary Task Swivel Chair</t>
  </si>
  <si>
    <t>Laser &amp; Ink Jet Business Envelopes</t>
  </si>
  <si>
    <t>Ibico Plastic Spiral Binding Combs</t>
  </si>
  <si>
    <t>Letter Size File</t>
  </si>
  <si>
    <t>Bush Andora Conference Table, Maple/Graphite Gray Finish</t>
  </si>
  <si>
    <t>Magna Visual Magnetic Picture Hangers</t>
  </si>
  <si>
    <t>Zebra GK420t Direct Thermal/Thermal Transfer Printer</t>
  </si>
  <si>
    <t>Avery Framed View Binder, EZD Ring (Locking), Navy, 1 1/2"</t>
  </si>
  <si>
    <t>Dionis Lloyd</t>
  </si>
  <si>
    <t>Avery 511</t>
  </si>
  <si>
    <t>Bart Watters</t>
  </si>
  <si>
    <t>Joel Eaton</t>
  </si>
  <si>
    <t>Peter McVee</t>
  </si>
  <si>
    <t>Fellowes Econo/Stor Drawers</t>
  </si>
  <si>
    <t>Sibella Parks</t>
  </si>
  <si>
    <t>Luxo Professional Magnifying Clamp-On Fluorescent Lamps</t>
  </si>
  <si>
    <t>Bush Westfield Collection Bookcases, Dark Cherry Finish, Fully Assembled</t>
  </si>
  <si>
    <t>Global Manager's Adjustable Task Chair, Storm</t>
  </si>
  <si>
    <t>Eldon 400 Class Desk Accessories, Black Carbon</t>
  </si>
  <si>
    <t>Newell 309</t>
  </si>
  <si>
    <t>Tenex Personal Filing Tote With Secure Closure Lid, Black/Frost</t>
  </si>
  <si>
    <t>Newell 332</t>
  </si>
  <si>
    <t>Phillip Flathmann</t>
  </si>
  <si>
    <t>Global Deluxe High-Back Office Chair in Storm</t>
  </si>
  <si>
    <t>Kensington K72356US Mouse-in-a-Box USB Desktop Mouse</t>
  </si>
  <si>
    <t>Honeywell Enviracaire Portable HEPA Air Cleaner for 16' x 20' Room</t>
  </si>
  <si>
    <t>Boston 16750 Black Compact Battery Pencil Sharpener</t>
  </si>
  <si>
    <t>Holmes 99% HEPA Air Purifier</t>
  </si>
  <si>
    <t>Xerox 1892</t>
  </si>
  <si>
    <t>Fellowes Black Plastic Comb Bindings</t>
  </si>
  <si>
    <t>Xerox 22</t>
  </si>
  <si>
    <t>Multicolor Computer Printout Paper</t>
  </si>
  <si>
    <t>Okidata B401 Printer</t>
  </si>
  <si>
    <t>Bevis Steel Folding Chairs</t>
  </si>
  <si>
    <t>OIC Colored Binder Clips, Assorted Sizes</t>
  </si>
  <si>
    <t>Alejandro Savely</t>
  </si>
  <si>
    <t>Serrated Blade or Curved Handle Hand Letter Openers</t>
  </si>
  <si>
    <t>Xerox 1887</t>
  </si>
  <si>
    <t>Premier Electric Letter Opener</t>
  </si>
  <si>
    <t>Okidata B400 Printer</t>
  </si>
  <si>
    <t>Cardinal Holdit Data Disk Pockets</t>
  </si>
  <si>
    <t>Anker Astro Mini 3000mAh Ultra-Compact Portable Charger</t>
  </si>
  <si>
    <t>O'Sullivan Plantations 2-Door Library in Landvery Oak</t>
  </si>
  <si>
    <t>Logitech Wireless Headset H600 Over-The-Head Design</t>
  </si>
  <si>
    <t>Michelle Arnett</t>
  </si>
  <si>
    <t>Cherry 142-key Programmable Keyboard</t>
  </si>
  <si>
    <t>Harbour Creations 67200 Series Stacking Chairs</t>
  </si>
  <si>
    <t>Tenex Chairmat w/ Average Lip, 45" x 53"</t>
  </si>
  <si>
    <t>Lindsay Shagiari</t>
  </si>
  <si>
    <t>Kelly Lampkin</t>
  </si>
  <si>
    <t>Embossed Ink Jet Note Cards</t>
  </si>
  <si>
    <t>Wilson Jones International Size A4 Ring Binders</t>
  </si>
  <si>
    <t>Ibico Plastic and Wire Spiral Binding Combs</t>
  </si>
  <si>
    <t>Penelope Sewall</t>
  </si>
  <si>
    <t>Wyoming</t>
  </si>
  <si>
    <t>Xerox 23</t>
  </si>
  <si>
    <t>Executive Impressions 14" Contract Wall Clock with Quartz Movement</t>
  </si>
  <si>
    <t>Lisa DeCherney</t>
  </si>
  <si>
    <t>GBC VeloBinder Manual Binding System</t>
  </si>
  <si>
    <t>Claire Gute</t>
  </si>
  <si>
    <t>Philip Fox</t>
  </si>
  <si>
    <t>Pamela Coakley</t>
  </si>
  <si>
    <t>Xerox 1996</t>
  </si>
  <si>
    <t>Debra Catini</t>
  </si>
  <si>
    <t>Xerox 1924</t>
  </si>
  <si>
    <t>3M Polarizing Light Filter Sleeves</t>
  </si>
  <si>
    <t>Canvas Sectional Post Binders</t>
  </si>
  <si>
    <t>Belkin F9S820V06 8 Outlet Surge</t>
  </si>
  <si>
    <t>Newell 338</t>
  </si>
  <si>
    <t>Eldon Expressions Wood and Plastic Desk Accessories, Oak</t>
  </si>
  <si>
    <t>Sauder Facets Collection Library, Sky Alder Finish</t>
  </si>
  <si>
    <t>Micropad Numeric Keypads</t>
  </si>
  <si>
    <t>Sanyo 2.5 Cubic Foot Mid-Size Office Refrigerators</t>
  </si>
  <si>
    <t>Boston School Pro Electric Pencil Sharpener, 1670</t>
  </si>
  <si>
    <t>Liz Pelletier</t>
  </si>
  <si>
    <t>Magnifier Swing Arm Lamp</t>
  </si>
  <si>
    <t>Balt Solid Wood Round Tables</t>
  </si>
  <si>
    <t>Sung Chung</t>
  </si>
  <si>
    <t>Round Ring Binders</t>
  </si>
  <si>
    <t>Tyvek  Top-Opening Peel &amp; Seel  Envelopes, Gray</t>
  </si>
  <si>
    <t>Susan Pistek</t>
  </si>
  <si>
    <t>Panasonic KX TS3282W Corded phone</t>
  </si>
  <si>
    <t>Universal Premium White Copier/Laser Paper (20Lb. and 87 Bright)</t>
  </si>
  <si>
    <t>Carl Ludwig</t>
  </si>
  <si>
    <t>John Murray</t>
  </si>
  <si>
    <t>Executive Impressions 14"</t>
  </si>
  <si>
    <t>Tenex Chairmats For Use With Carpeted Floors</t>
  </si>
  <si>
    <t>Sauder Facets Collection Locker/File Cabinet, Sky Alder Finish</t>
  </si>
  <si>
    <t>Mike Kennedy</t>
  </si>
  <si>
    <t>Eldon Regeneration Recycled Desk Accessories, Black</t>
  </si>
  <si>
    <t>Deluxe Rollaway Locking File with Drawer</t>
  </si>
  <si>
    <t>Jamie Frazer</t>
  </si>
  <si>
    <t>Sauder Camden County Collection Library</t>
  </si>
  <si>
    <t>Gary McGarr</t>
  </si>
  <si>
    <t>Hon 4060 Series Tables</t>
  </si>
  <si>
    <t>Carina Media Storage Towers in Natural &amp; Black</t>
  </si>
  <si>
    <t>Ellis Ballard</t>
  </si>
  <si>
    <t>Belkin OmniView SE Rackmount Kit</t>
  </si>
  <si>
    <t>Xerox 1915</t>
  </si>
  <si>
    <t>Fellowes PB200 Plastic Comb Binding Machine</t>
  </si>
  <si>
    <t>Justin Ellison</t>
  </si>
  <si>
    <t>Aleksandra Gannaway</t>
  </si>
  <si>
    <t>O'Sullivan 5-Shelf Heavy-Duty Bookcases</t>
  </si>
  <si>
    <t>Tony Chapman</t>
  </si>
  <si>
    <t>District of Columbia</t>
  </si>
  <si>
    <t>Theone Pippenger</t>
  </si>
  <si>
    <t>Harold Engle</t>
  </si>
  <si>
    <t>#10 White Business Envelopes,4 1/8 x 9 1/2</t>
  </si>
  <si>
    <t>Greg Tran</t>
  </si>
  <si>
    <t>Plantronics Calisto P620-M USB Wireless Speakerphone System</t>
  </si>
  <si>
    <t>Google Nexus 5</t>
  </si>
  <si>
    <t>Xerox 1880</t>
  </si>
  <si>
    <t>Dave Poirier</t>
  </si>
  <si>
    <t>Xerox 1977</t>
  </si>
  <si>
    <t>Electrix Architect's Clamp-On Swing Arm Lamp, Black</t>
  </si>
  <si>
    <t>Motorola HK250 Universal Bluetooth Headset</t>
  </si>
  <si>
    <t>Newell 341</t>
  </si>
  <si>
    <t>Hon 94000 Series Round Tables</t>
  </si>
  <si>
    <t>SimpliFile Personal File, Black Granite, 15w x 6-15/16d x 11-1/4h</t>
  </si>
  <si>
    <t>Newell 318</t>
  </si>
  <si>
    <t>Avery 517</t>
  </si>
  <si>
    <t>ARKON Windshield Dashboard Air Vent Car Mount Holder</t>
  </si>
  <si>
    <t>Holmes HEPA Air Purifier</t>
  </si>
  <si>
    <t>Harmony HEPA Quiet Air Purifiers</t>
  </si>
  <si>
    <t>Xerox 221</t>
  </si>
  <si>
    <t>Janet Molinari</t>
  </si>
  <si>
    <t>Tennsco Regal Shelving Units</t>
  </si>
  <si>
    <t>First Data FD10 PIN Pad</t>
  </si>
  <si>
    <t>Black Avery Memo-Size 3-Ring Binder, 5 1/2" x 8 1/2"</t>
  </si>
  <si>
    <t>Erin Creighton</t>
  </si>
  <si>
    <t>Case Logic 2.4GHz Wireless Keyboard</t>
  </si>
  <si>
    <t>Xerox 1907</t>
  </si>
  <si>
    <t>Fiskars Home &amp; Office Scissors</t>
  </si>
  <si>
    <t>Howard Miller 11-1/2" Diameter Brentwood Wall Clock</t>
  </si>
  <si>
    <t>Wilson Jones Easy Flow II Sheet Lifters</t>
  </si>
  <si>
    <t>Janet Martin</t>
  </si>
  <si>
    <t>Aaron Smayling</t>
  </si>
  <si>
    <t>Avery 3 1/2" Diskette Storage Pages, 10/Pack</t>
  </si>
  <si>
    <t>Hoover Commercial SteamVac</t>
  </si>
  <si>
    <t>Xerox 1905</t>
  </si>
  <si>
    <t>Christopher Martinez</t>
  </si>
  <si>
    <t>GBC ProClick 150 Presentation Binding System</t>
  </si>
  <si>
    <t>Thais Sissman</t>
  </si>
  <si>
    <t>Tennsco Commercial Shelving</t>
  </si>
  <si>
    <t>Acme Galleria Hot Forged Steel Scissors with Colored Handles</t>
  </si>
  <si>
    <t>Linda Southworth</t>
  </si>
  <si>
    <t>GBC Durable Plastic Covers</t>
  </si>
  <si>
    <t>HP Officejet Pro 8600 e-All-In-One Printer, Copier, Scanner, Fax</t>
  </si>
  <si>
    <t>Xerox 189</t>
  </si>
  <si>
    <t>Cassandra Brandow</t>
  </si>
  <si>
    <t>Sanyo Counter Height Refrigerator with Crisper, 3.6 Cubic Foot, Stainless Steel/Black</t>
  </si>
  <si>
    <t>Acco Recycled 2" Capacity Laser Printer Hanging Data Binders</t>
  </si>
  <si>
    <t>Tom Prescott</t>
  </si>
  <si>
    <t>Stacking Trays by OIC</t>
  </si>
  <si>
    <t>Acco Pressboard Covers with Storage Hooks, 14 7/8" x 11", Dark Blue</t>
  </si>
  <si>
    <t>Don Jones</t>
  </si>
  <si>
    <t>Magdelene Morse</t>
  </si>
  <si>
    <t>Maribeth Yedwab</t>
  </si>
  <si>
    <t>Logitech G13 Programmable Gameboard with LCD Display</t>
  </si>
  <si>
    <t>Ken Dana</t>
  </si>
  <si>
    <t>Ed Jacobs</t>
  </si>
  <si>
    <t>Imation Bio 2GB USBÂ Flash Drive ImationÂ Corp</t>
  </si>
  <si>
    <t>Bill Tyler</t>
  </si>
  <si>
    <t>Avery 497</t>
  </si>
  <si>
    <t>Avery 515</t>
  </si>
  <si>
    <t>Julia Dunbar</t>
  </si>
  <si>
    <t>Kensington 7 Outlet MasterPiece HOMEOFFICE Power Control Center</t>
  </si>
  <si>
    <t>Roland Murray</t>
  </si>
  <si>
    <t>Westinghouse Floor Lamp with Metal Mesh Shade, Black</t>
  </si>
  <si>
    <t>Economy Binders</t>
  </si>
  <si>
    <t>File Shuttle II and Handi-File, Black</t>
  </si>
  <si>
    <t>Avery 4027 File Folder Labels for Dot Matrix Printers, 5000 Labels per Box, White</t>
  </si>
  <si>
    <t>Victoria Brennan</t>
  </si>
  <si>
    <t>Belkin 8 Outlet SurgeMaster II Gold Surge Protector with Phone Protection</t>
  </si>
  <si>
    <t>Avery Address/Shipping Labels for Typewriters, 4" x 2"</t>
  </si>
  <si>
    <t>Newell 323</t>
  </si>
  <si>
    <t>Mick Hernandez</t>
  </si>
  <si>
    <t>Howard Miller Distant Time Traveler Alarm Clock</t>
  </si>
  <si>
    <t>Karen Seio</t>
  </si>
  <si>
    <t>Candace McMahon</t>
  </si>
  <si>
    <t>MaxellÂ LTO Ultrium - 800 GB</t>
  </si>
  <si>
    <t>GBC DocuBind TL200 Manual Binding Machine</t>
  </si>
  <si>
    <t>Marc Harrigan</t>
  </si>
  <si>
    <t>Desktop 3-Pocket Hot File</t>
  </si>
  <si>
    <t>Memorex Mini Travel Drive 16 GB USB 2.0 Flash Drive</t>
  </si>
  <si>
    <t>Executive Impressions 16-1/2" Circular Wall Clock</t>
  </si>
  <si>
    <t>Avery 498</t>
  </si>
  <si>
    <t>Nick Crebassa</t>
  </si>
  <si>
    <t>Cubify CubeX 3D Printer Double Head Print</t>
  </si>
  <si>
    <t>John Castell</t>
  </si>
  <si>
    <t>Sue Ann Reed</t>
  </si>
  <si>
    <t>Anne McFarland</t>
  </si>
  <si>
    <t>Panasonic KX - TS880B Telephone</t>
  </si>
  <si>
    <t>GBC Instant Index System for Binding Systems</t>
  </si>
  <si>
    <t>Tenex Contemporary Contur Chairmats for Low and Medium Pile Carpet, Computer, 39" x 49"</t>
  </si>
  <si>
    <t>Adrian Hane</t>
  </si>
  <si>
    <t>Luxo Professional Combination Clamp-On Lamps</t>
  </si>
  <si>
    <t>Bryan Spruell</t>
  </si>
  <si>
    <t>Color-Coded Legal Exhibit Labels</t>
  </si>
  <si>
    <t>Computer Printout Paper with Letter-Trim Fine Perforations</t>
  </si>
  <si>
    <t>Office Impressions Heavy Duty Welded Shelving &amp; Multimedia Storage Drawers</t>
  </si>
  <si>
    <t>Avery 48</t>
  </si>
  <si>
    <t>Mitch Gastineau</t>
  </si>
  <si>
    <t>Dennis Bolton</t>
  </si>
  <si>
    <t>Tripp Lite Isotel 6 Outlet Surge Protector with Fax/Modem Protection</t>
  </si>
  <si>
    <t>Dixon Ticonderoga Erasable Colored Pencil Set, 12-Color</t>
  </si>
  <si>
    <t>Sample Company A</t>
  </si>
  <si>
    <t>Flexible Leather- Look Classic Collection Ring Binder</t>
  </si>
  <si>
    <t>Pencil and Crayon Sharpener</t>
  </si>
  <si>
    <t>Xerox 1948</t>
  </si>
  <si>
    <t>Kleencut Forged Office Shears by Acme United Corporation</t>
  </si>
  <si>
    <t>Dorothy Dickinson</t>
  </si>
  <si>
    <t>Fellowes Stor/Drawer Steel Plus Storage Drawers</t>
  </si>
  <si>
    <t>Career Cubicle Clock, 8 1/4", Black</t>
  </si>
  <si>
    <t>Motorola L804</t>
  </si>
  <si>
    <t>Tenex Personal Self-Stacking Standard File Box, Black/Gray</t>
  </si>
  <si>
    <t>Peel &amp; Seel Recycled Catalog Envelopes, Brown</t>
  </si>
  <si>
    <t>SAFCO Optional Arm Kit for Workspace Cribbage Stacking Chair</t>
  </si>
  <si>
    <t>Belkin Premiere Surge Master II 8-outlet surge protector</t>
  </si>
  <si>
    <t>Blue Parrot B250XT Professional Grade Wireless BluetoothÂ HeadsetÂ with</t>
  </si>
  <si>
    <t>Home/Office Personal File Carts</t>
  </si>
  <si>
    <t>Ampad Phone Message Book, Recycled, 400 Message Capacity, 5 Â¾Â” x 11Â”</t>
  </si>
  <si>
    <t>Newell 348</t>
  </si>
  <si>
    <t>Xerox 1927</t>
  </si>
  <si>
    <t>Panasonic KP-4ABK Battery-Operated Pencil Sharpener</t>
  </si>
  <si>
    <t>TOPS Carbonless Receipt Book, Four 2-3/4 x 7-1/4 Money Receipts per Page</t>
  </si>
  <si>
    <t>Newell 347</t>
  </si>
  <si>
    <t>Hoover Commercial Soft Guard Upright Vacuum And Disposable Filtration Bags</t>
  </si>
  <si>
    <t>DAX Cubicle Frames, 8-1/2 x 11</t>
  </si>
  <si>
    <t>Maxell Pro 80 Minute CD-R, 10/Pack</t>
  </si>
  <si>
    <t>Eureka Sanitaire  Multi-Pro Heavy-Duty Upright, Disposable Bags</t>
  </si>
  <si>
    <t>Fred Harton</t>
  </si>
  <si>
    <t>Helen Wasserman</t>
  </si>
  <si>
    <t>Eldon 200 Class Desk Accessories, Burgundy</t>
  </si>
  <si>
    <t>Plantronics Audio 995 Wireless Stereo Headset</t>
  </si>
  <si>
    <t>Saphhira Shifley</t>
  </si>
  <si>
    <t>Hewlett-Packard 300S Scientific Calculator</t>
  </si>
  <si>
    <t>Meg O'Connel</t>
  </si>
  <si>
    <t>Innergie mMini Combo Duo USB Travel Charging Kit</t>
  </si>
  <si>
    <t>Newell 346</t>
  </si>
  <si>
    <t>Michelle Lonsdale</t>
  </si>
  <si>
    <t>Erin Mull</t>
  </si>
  <si>
    <t>Eldon 300 Class Desk Accessories, Black</t>
  </si>
  <si>
    <t>Eureka Disposable Bags for Sanitaire Vibra Groomer I Upright Vac</t>
  </si>
  <si>
    <t>Acme Tagit Stainless Steel Antibacterial Scissors</t>
  </si>
  <si>
    <t>ClearOne Communications CHAT 70 OCÂ Speaker Phone</t>
  </si>
  <si>
    <t>Maureen Gastineau</t>
  </si>
  <si>
    <t>Memorex Micro Travel Drive 16 GB</t>
  </si>
  <si>
    <t>GBC VeloBinder Electric Binding Machine</t>
  </si>
  <si>
    <t>Adams Telephone Message Book W/Dividers/Space For Phone Numbers, 5 1/4"X8 1/2", 200/Messages</t>
  </si>
  <si>
    <t>iHome FM Clock Radio with Lightning Dock</t>
  </si>
  <si>
    <t>Sean Christensen</t>
  </si>
  <si>
    <t>Newell 351</t>
  </si>
  <si>
    <t>REDIFORM Incoming/Outgoing Call Register, 11" X 8 1/2", 100 Messages</t>
  </si>
  <si>
    <t>24 Capacity Maxi Data Binder Racks, Pearl</t>
  </si>
  <si>
    <t>Personal File Boxes with Fold-Down Carry Handle</t>
  </si>
  <si>
    <t>George Zrebassa</t>
  </si>
  <si>
    <t>Sanford EarthWrite Recycled Pencils, Medium Soft, #2</t>
  </si>
  <si>
    <t>Muhammed MacIntyre</t>
  </si>
  <si>
    <t>Global Leather Executive Chair</t>
  </si>
  <si>
    <t>Fellowes Officeware Wire Shelving</t>
  </si>
  <si>
    <t>Cisco Desktop Collaboration Experience DX650 IP Video Phone</t>
  </si>
  <si>
    <t>O'Sullivan 3-Shelf Heavy-Duty Bookcases</t>
  </si>
  <si>
    <t>TOPS Voice Message Log Book, Flash Format</t>
  </si>
  <si>
    <t>Dana Swing-Arm Lamps</t>
  </si>
  <si>
    <t>Sarah Brown</t>
  </si>
  <si>
    <t>Xerox 203</t>
  </si>
  <si>
    <t>Chuck Sachs</t>
  </si>
  <si>
    <t>Hewlett-Packard Deskjet 5550 Printer</t>
  </si>
  <si>
    <t>Okidata MB491 Multifunction Printer</t>
  </si>
  <si>
    <t>Square Credit Card Reader, 4 1/2" x 4 1/2" x 1", White</t>
  </si>
  <si>
    <t>Tony Sayre</t>
  </si>
  <si>
    <t>Wirebound Message Books, 5-1/2 x 4 Forms, 2 or 4 Forms per Page</t>
  </si>
  <si>
    <t>Angele Hood</t>
  </si>
  <si>
    <t>Apple iPhone 5S</t>
  </si>
  <si>
    <t>Plastic Stacking Crates &amp; Casters</t>
  </si>
  <si>
    <t>Plantronics CS510 - Over-the-Head monaural Wireless Headset System</t>
  </si>
  <si>
    <t>Tamara Dahlen</t>
  </si>
  <si>
    <t>Binney &amp; Smith inkTank Erasable Desk Highlighter, Chisel Tip, Yellow, 12/Box</t>
  </si>
  <si>
    <t>Jenna Caffey</t>
  </si>
  <si>
    <t>Avery 485</t>
  </si>
  <si>
    <t>Tensor Track Tree Floor Lamp</t>
  </si>
  <si>
    <t>Newell 325</t>
  </si>
  <si>
    <t>Quartet Alpha White Chalk, 12/Pack</t>
  </si>
  <si>
    <t>Sean Miller</t>
  </si>
  <si>
    <t>Eldon 200 Class Desk Accessories, Smoke</t>
  </si>
  <si>
    <t>Frank Gastineau</t>
  </si>
  <si>
    <t>Beth Fritzler</t>
  </si>
  <si>
    <t>Fellowes 8 Outlet Superior Workstation Surge Protector w/o Phone/Fax/Modem Protection</t>
  </si>
  <si>
    <t>Belkin iPhone and iPad Lightning Cable</t>
  </si>
  <si>
    <t>Larry Hughes</t>
  </si>
  <si>
    <t>Xerox 1998</t>
  </si>
  <si>
    <t>O'Sullivan Elevations Bookcase, Cherry Finish</t>
  </si>
  <si>
    <t>Fellowes Bases and Tops For Staxonsteel/High-Stak Systems</t>
  </si>
  <si>
    <t>Letter/Legal File Tote with Clear Snap-On Lid, Black Granite</t>
  </si>
  <si>
    <t>Ted Butterfield</t>
  </si>
  <si>
    <t>Hammermill CopyPlus Copy Paper (20Lb. and 84 Bright)</t>
  </si>
  <si>
    <t>Tennsco Lockers, Sand</t>
  </si>
  <si>
    <t>Patrick O'Donnell</t>
  </si>
  <si>
    <t>Todd Boyes</t>
  </si>
  <si>
    <t>Joni Wasserman</t>
  </si>
  <si>
    <t>Quartet Omega Colored Chalk, 12/Pack</t>
  </si>
  <si>
    <t>Avery Printable Repositionable Plastic Tabs</t>
  </si>
  <si>
    <t>Safco Industrial Shelving</t>
  </si>
  <si>
    <t>Polycom VoiceStation 500 ConferenceÂ phone</t>
  </si>
  <si>
    <t>Mead 1st Gear 2" Zipper Binder, Asst. Colors</t>
  </si>
  <si>
    <t>Global Enterprise Series Seating Low-Back Swivel/Tilt Chairs</t>
  </si>
  <si>
    <t>BIC Brite Liner Grip Highlighters</t>
  </si>
  <si>
    <t>Rick Hansen</t>
  </si>
  <si>
    <t>Hon 4700 Series Mobuis Mid-Back Task Chairs with Adjustable Arms</t>
  </si>
  <si>
    <t>Xerox 1937</t>
  </si>
  <si>
    <t>Perixx PERIBOARD-512B, Ergonomic Split Keyboard</t>
  </si>
  <si>
    <t>Bradley Nguyen</t>
  </si>
  <si>
    <t>Seth Thomas 12" Clock w/ Goldtone Case</t>
  </si>
  <si>
    <t>Sung Shariari</t>
  </si>
  <si>
    <t>Avery Metallic Poly Binders</t>
  </si>
  <si>
    <t>Bill Eplett</t>
  </si>
  <si>
    <t>Polycom CX600 IP Phone VoIP phone</t>
  </si>
  <si>
    <t>MaxellÂ iVDR EX 500GB Cartridge</t>
  </si>
  <si>
    <t>Ann Chong</t>
  </si>
  <si>
    <t>Anthony Witt</t>
  </si>
  <si>
    <t>Ooma Telo VoIP Home Phone System</t>
  </si>
  <si>
    <t>Xerox 1890</t>
  </si>
  <si>
    <t>Hon 2111 Invitation Series Straight Table</t>
  </si>
  <si>
    <t>Kensington Expert Mouse Optical USB Trackball for PC or Mac</t>
  </si>
  <si>
    <t>Katrina Bavinger</t>
  </si>
  <si>
    <t>Office Star Flex Back Scooter Chair with Aluminum Finish Frame</t>
  </si>
  <si>
    <t>"While you Were Out" Message Book, One Form per Page</t>
  </si>
  <si>
    <t>Sanford Colorific Eraseable Coloring Pencils, 12 Count</t>
  </si>
  <si>
    <t>Chromcraft Bull-Nose Wood Oval Conference Tables &amp; Bases</t>
  </si>
  <si>
    <t>Bush Birmingham Collection Bookcase, Dark Cherry</t>
  </si>
  <si>
    <t>Telephone Message Books with Fax/Mobile Section, 4 1/4" x 6"</t>
  </si>
  <si>
    <t>QVS USB Car Charger 2-Port 2.1Amp for iPod/iPhone/iPad/iPad 2/iPad 3</t>
  </si>
  <si>
    <t>Avery Trapezoid Extra Heavy Duty 4" Binders</t>
  </si>
  <si>
    <t>DAX Copper Panel Document Frame, 5 x 7 Size</t>
  </si>
  <si>
    <t>Motorla HX550 Universal Bluetooth Headset</t>
  </si>
  <si>
    <t>DAX Two-Tone Silver Metal Document Frame</t>
  </si>
  <si>
    <t>Boston 1799 Powerhouse Electric Pencil Sharpener</t>
  </si>
  <si>
    <t>ImationÂ SwivelÂ Flash DriveÂ USBÂ flash driveÂ - 8 GB</t>
  </si>
  <si>
    <t>Memorex Froggy Flash Drive 8 GB</t>
  </si>
  <si>
    <t>Samsung Galaxy Note 2</t>
  </si>
  <si>
    <t>Xerox 1888</t>
  </si>
  <si>
    <t>Unpadded Memo Slips</t>
  </si>
  <si>
    <t>Newell 35</t>
  </si>
  <si>
    <t>Grace Kelly</t>
  </si>
  <si>
    <t>Microsoft Wireless Mobile Mouse 4000</t>
  </si>
  <si>
    <t>Acco Data Flex Cable Posts For Top &amp; Bottom Load Binders, 6" Capacity</t>
  </si>
  <si>
    <t>Robert Waldorf</t>
  </si>
  <si>
    <t>Acco 6 Outlet Guardian Standard Surge Suppressor</t>
  </si>
  <si>
    <t>Rediform S.O.S. 1-Up Phone Message Bk, 4-1/4x3-1/16 Bk, 1 Form/Pg, 40 Messages/Bk, 3/Pk</t>
  </si>
  <si>
    <t>Wilson Jones Suede Grain Vinyl Binders</t>
  </si>
  <si>
    <t>iOttie XL Car Mount</t>
  </si>
  <si>
    <t>Jessica Myrick</t>
  </si>
  <si>
    <t>Bart Folk</t>
  </si>
  <si>
    <t>Design Ebony Sketching Pencil</t>
  </si>
  <si>
    <t>Personal Creations Ink Jet Cards and Labels</t>
  </si>
  <si>
    <t>Neola Schneider</t>
  </si>
  <si>
    <t>Sony 32GB Class 10 Micro SDHC R40 Memory Card</t>
  </si>
  <si>
    <t>Nu-Dell Leatherette Frames</t>
  </si>
  <si>
    <t>Plantronics 81402</t>
  </si>
  <si>
    <t>i.Sound Portable Power - 8000 mAh</t>
  </si>
  <si>
    <t>Lock-Up Easel 'Spel-Binder'</t>
  </si>
  <si>
    <t>Jane Waco</t>
  </si>
  <si>
    <t>Master Caster Door Stop, Gray</t>
  </si>
  <si>
    <t>Juliana Krohn</t>
  </si>
  <si>
    <t>Chad McGuire</t>
  </si>
  <si>
    <t>Ricoh - Ink Collector Unit for GX3000 Series Printers</t>
  </si>
  <si>
    <t>Acco 6 Outlet Guardian Premium Plus Surge Suppressor</t>
  </si>
  <si>
    <t>Hoover Portapower Portable Vacuum</t>
  </si>
  <si>
    <t>3D Systems Cube Printer, 2nd Generation, Magenta</t>
  </si>
  <si>
    <t>Hoover Replacement Belts For Soft Guard &amp; Commercial Ltweight Upright Vacs, 2/Pk</t>
  </si>
  <si>
    <t>Cyra Reiten</t>
  </si>
  <si>
    <t>Logitech G430 Surround Sound Gaming Headset with Dolby 7.1 Technology</t>
  </si>
  <si>
    <t>Xerox 217</t>
  </si>
  <si>
    <t>Storex DuraTech Recycled Plastic Frosted Binders</t>
  </si>
  <si>
    <t>Harry Greene</t>
  </si>
  <si>
    <t>TOPS 4 x 6 Fluorescent Color Memo Sheets, 500 Sheets per Pack</t>
  </si>
  <si>
    <t>Hon Every-Day Chair Series Swivel Task Chairs</t>
  </si>
  <si>
    <t>Wirebound Message Books, 2 7/8" x 5", 3 Forms per Page</t>
  </si>
  <si>
    <t>Xerox 1989</t>
  </si>
  <si>
    <t>Neil Knudson</t>
  </si>
  <si>
    <t>Maxell 4.7GB DVD-R 5/Pack</t>
  </si>
  <si>
    <t>Nora Paige</t>
  </si>
  <si>
    <t>Global Adaptabilites Bookcase, Cherry/Storm Gray Finish</t>
  </si>
  <si>
    <t>Clarity 53712</t>
  </si>
  <si>
    <t>West Virginia</t>
  </si>
  <si>
    <t>Nancy Lomonaco</t>
  </si>
  <si>
    <t>Document Clip Frames</t>
  </si>
  <si>
    <t>Space Solutions Commercial Steel Shelving</t>
  </si>
  <si>
    <t>Eldon Image Series Black Desk Accessories</t>
  </si>
  <si>
    <t>Colored Envelopes</t>
  </si>
  <si>
    <t>Sharelle Roach</t>
  </si>
  <si>
    <t>Kimberly Carter</t>
  </si>
  <si>
    <t>Global Deluxe Office Fabric Chairs</t>
  </si>
  <si>
    <t>Denise Leinenbach</t>
  </si>
  <si>
    <t>Xerox 1992</t>
  </si>
  <si>
    <t>Peter BÃ¼hler</t>
  </si>
  <si>
    <t>Clay Rozendal</t>
  </si>
  <si>
    <t>Strathmore Photo Mount Cards</t>
  </si>
  <si>
    <t>Canon Image Class D660 Copier</t>
  </si>
  <si>
    <t>Cubify CubeX 3D Printer Triple Head Print</t>
  </si>
  <si>
    <t>Adams Telephone Message Books, 5 1/4Â” x 11Â”</t>
  </si>
  <si>
    <t>Motorola Moto X</t>
  </si>
  <si>
    <t>Susan Vittorini</t>
  </si>
  <si>
    <t>Christina DeMoss</t>
  </si>
  <si>
    <t>Roger Barcio</t>
  </si>
  <si>
    <t>Decoflex Hanging Personal Folder File</t>
  </si>
  <si>
    <t>Newell 339</t>
  </si>
  <si>
    <t>Maris LaWare</t>
  </si>
  <si>
    <t>Carol Darley</t>
  </si>
  <si>
    <t>Maxell CD-R Discs</t>
  </si>
  <si>
    <t>Panasonic KP-310 Heavy-Duty Electric Pencil Sharpener</t>
  </si>
  <si>
    <t>Ann Blume</t>
  </si>
  <si>
    <t>DYMO CardScan Personal V9 Business Card Scanner</t>
  </si>
  <si>
    <t>Fellowes PB300 Plastic Comb Binding Machine</t>
  </si>
  <si>
    <t>GBC Imprintable Covers</t>
  </si>
  <si>
    <t>Thomas Brumley</t>
  </si>
  <si>
    <t>12 Colored Short Pencils</t>
  </si>
  <si>
    <t>Eureka The Boss Lite 10-Amp Upright Vacuum, Blue</t>
  </si>
  <si>
    <t>South Dakota</t>
  </si>
  <si>
    <t>Nat Gilpin</t>
  </si>
  <si>
    <t>Verbatim 25 GB 6x Blu-ray Single Layer Recordable Disc, 10/Pack</t>
  </si>
  <si>
    <t>Dixon Ticonderoga Maple Cedar Pencil, #2</t>
  </si>
  <si>
    <t>Acco 3-Hole Punch</t>
  </si>
  <si>
    <t>Larry Blacks</t>
  </si>
  <si>
    <t>Xerox 1968</t>
  </si>
  <si>
    <t>Xerox 1899</t>
  </si>
  <si>
    <t>SAFCO Commercial Wire Shelving, Black</t>
  </si>
  <si>
    <t>Jabra BIZ 2300 Duo QD Duo CordedÂ Headset</t>
  </si>
  <si>
    <t>Quality Park Security Envelopes</t>
  </si>
  <si>
    <t>Clay Cheatham</t>
  </si>
  <si>
    <t>Ultra Door Kickplate, 8"H x 34"W</t>
  </si>
  <si>
    <t>Xerox 1940</t>
  </si>
  <si>
    <t>Joy Smith</t>
  </si>
  <si>
    <t>Michael Kennedy</t>
  </si>
  <si>
    <t>Hon 4-Shelf Metal Bookcases</t>
  </si>
  <si>
    <t>Seidio BD2-HK3IPH5-BK DILEX Case and Holster Combo for Apple iPhone 5/5s - Black</t>
  </si>
  <si>
    <t>Macally Suction Cup Mount</t>
  </si>
  <si>
    <t>AT&amp;T CL2909</t>
  </si>
  <si>
    <t>Charles McCrossin</t>
  </si>
  <si>
    <t>Xerox 1956</t>
  </si>
  <si>
    <t>First Data TMFD35 PIN Pad</t>
  </si>
  <si>
    <t>Tensor "Hersey Kiss" Styled Floor Lamp</t>
  </si>
  <si>
    <t>Seth Thomas 14" Putty-Colored Wall Clock</t>
  </si>
  <si>
    <t>Self-Adhesive Removable Labels</t>
  </si>
  <si>
    <t>Patrick Bzostek</t>
  </si>
  <si>
    <t>Ibico EPK-21 Electric Binding System</t>
  </si>
  <si>
    <t>Wirebound Service Call Books, 5 1/2" x 4"</t>
  </si>
  <si>
    <t>C-Line Cubicle Keepers Polyproplyene Holder w/Velcro Back, 8-1/2x11, 25/Bx</t>
  </si>
  <si>
    <t>Safco Industrial Wire Shelving System</t>
  </si>
  <si>
    <t>Tenex Traditional Chairmats for Hard Floors, Average Lip, 36" x 48"</t>
  </si>
  <si>
    <t>Belkin 8-Outlet Premiere SurgeMaster II Surge Protectors</t>
  </si>
  <si>
    <t>Standard Line Â“While You Were OutÂ” Hardbound Telephone Message Book</t>
  </si>
  <si>
    <t>Recycled Interoffice Envelopes with String and Button Closure, 10 x 13</t>
  </si>
  <si>
    <t>BIC Liqua Brite Liner</t>
  </si>
  <si>
    <t>Harmony Air Purifier</t>
  </si>
  <si>
    <t>Col-Erase Pencils with Erasers</t>
  </si>
  <si>
    <t>Leather Task Chair, Black</t>
  </si>
  <si>
    <t>Ralph Ritter</t>
  </si>
  <si>
    <t>Hoover Commercial Lightweight Upright Vacuum</t>
  </si>
  <si>
    <t>Pastel Pink Envelopes</t>
  </si>
  <si>
    <t>Order Date</t>
  </si>
  <si>
    <t>Customer Name</t>
  </si>
  <si>
    <t>State</t>
  </si>
  <si>
    <t>Category</t>
  </si>
  <si>
    <t>Product Name</t>
  </si>
  <si>
    <t>Sales</t>
  </si>
  <si>
    <t>Quantity</t>
  </si>
  <si>
    <t>Profit</t>
  </si>
  <si>
    <t>Sub Category</t>
  </si>
  <si>
    <t>Row Labels</t>
  </si>
  <si>
    <t>(blank)</t>
  </si>
  <si>
    <t>Grand Total</t>
  </si>
  <si>
    <t>Sum of Sales</t>
  </si>
  <si>
    <t>Sum of Quantity</t>
  </si>
  <si>
    <t>Sum of Profit</t>
  </si>
  <si>
    <t>Total sales</t>
  </si>
  <si>
    <t>Sales Quantity</t>
  </si>
  <si>
    <t>Total profit</t>
  </si>
  <si>
    <t>Profit Rate</t>
  </si>
  <si>
    <t>Count of Profit</t>
  </si>
  <si>
    <t>Count of Sales</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</si>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</sst>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2" borderId="1" xfId="0" applyNumberFormat="1" applyFill="1" applyBorder="1"/>
    <xf numFmtId="0" fontId="0" fillId="2" borderId="2" xfId="0" applyFill="1" applyBorder="1"/>
    <xf numFmtId="0" fontId="0" fillId="2" borderId="3" xfId="0" applyFill="1" applyBorder="1"/>
    <xf numFmtId="14" fontId="0" fillId="0" borderId="1" xfId="0" applyNumberFormat="1" applyBorder="1"/>
    <xf numFmtId="0" fontId="0" fillId="0" borderId="2" xfId="0" applyBorder="1"/>
    <xf numFmtId="0" fontId="0" fillId="0" borderId="3" xfId="0" applyBorder="1"/>
    <xf numFmtId="14" fontId="0" fillId="0" borderId="4" xfId="0" applyNumberFormat="1" applyBorder="1"/>
    <xf numFmtId="0" fontId="0" fillId="0" borderId="5" xfId="0" applyBorder="1"/>
    <xf numFmtId="0" fontId="0" fillId="0" borderId="6" xfId="0" applyBorder="1"/>
    <xf numFmtId="0" fontId="0" fillId="0" borderId="0" xfId="0" pivotButton="1"/>
    <xf numFmtId="0" fontId="0" fillId="0" borderId="0" xfId="0" applyAlignment="1">
      <alignment horizontal="left"/>
    </xf>
    <xf numFmtId="1"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11">
    <dxf>
      <border diagonalUp="0" diagonalDown="0">
        <left/>
        <right style="thin">
          <color theme="9" tint="0.39997558519241921"/>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numFmt numFmtId="164" formatCode="m/d/yyyy"/>
      <border diagonalUp="0" diagonalDown="0">
        <left style="thin">
          <color theme="9" tint="0.39997558519241921"/>
        </left>
        <right/>
        <top style="thin">
          <color theme="9" tint="0.39997558519241921"/>
        </top>
        <bottom style="thin">
          <color theme="9" tint="0.39997558519241921"/>
        </bottom>
        <vertical/>
        <horizontal/>
      </border>
    </dxf>
    <dxf>
      <border outline="0">
        <bottom style="thin">
          <color theme="9" tint="0.39997558519241921"/>
        </bottom>
      </bord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data2.xlsx]category!PivotTable2</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B044-4AB9-AF54-B5E165ECC3E6}"/>
              </c:ext>
            </c:extLst>
          </c:dPt>
          <c:dPt>
            <c:idx val="1"/>
            <c:bubble3D val="0"/>
            <c:spPr>
              <a:solidFill>
                <a:schemeClr val="accent2"/>
              </a:solidFill>
              <a:ln>
                <a:noFill/>
              </a:ln>
              <a:effectLst/>
              <a:sp3d/>
            </c:spPr>
            <c:extLst>
              <c:ext xmlns:c16="http://schemas.microsoft.com/office/drawing/2014/chart" uri="{C3380CC4-5D6E-409C-BE32-E72D297353CC}">
                <c16:uniqueId val="{00000003-B044-4AB9-AF54-B5E165ECC3E6}"/>
              </c:ext>
            </c:extLst>
          </c:dPt>
          <c:dPt>
            <c:idx val="2"/>
            <c:bubble3D val="0"/>
            <c:spPr>
              <a:solidFill>
                <a:schemeClr val="accent3"/>
              </a:solidFill>
              <a:ln>
                <a:noFill/>
              </a:ln>
              <a:effectLst/>
              <a:sp3d/>
            </c:spPr>
            <c:extLst>
              <c:ext xmlns:c16="http://schemas.microsoft.com/office/drawing/2014/chart" uri="{C3380CC4-5D6E-409C-BE32-E72D297353CC}">
                <c16:uniqueId val="{00000005-B044-4AB9-AF54-B5E165ECC3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category!$A$4:$A$7</c:f>
              <c:strCache>
                <c:ptCount val="3"/>
                <c:pt idx="0">
                  <c:v>Furniture</c:v>
                </c:pt>
                <c:pt idx="1">
                  <c:v>Office Supplies</c:v>
                </c:pt>
                <c:pt idx="2">
                  <c:v>Technology</c:v>
                </c:pt>
              </c:strCache>
            </c:strRef>
          </c:cat>
          <c:val>
            <c:numRef>
              <c:f>category!$B$4:$B$7</c:f>
              <c:numCache>
                <c:formatCode>General</c:formatCode>
                <c:ptCount val="3"/>
                <c:pt idx="0">
                  <c:v>289736.25000000041</c:v>
                </c:pt>
                <c:pt idx="1">
                  <c:v>259573.56</c:v>
                </c:pt>
                <c:pt idx="2">
                  <c:v>338607.39</c:v>
                </c:pt>
              </c:numCache>
            </c:numRef>
          </c:val>
          <c:extLst>
            <c:ext xmlns:c16="http://schemas.microsoft.com/office/drawing/2014/chart" uri="{C3380CC4-5D6E-409C-BE32-E72D297353CC}">
              <c16:uniqueId val="{00000000-9F1A-4C04-BAF5-A7C3DE6CD37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data2.xlsx]State!PivotTable3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s>
    <c:plotArea>
      <c:layout/>
      <c:pieChart>
        <c:varyColors val="1"/>
        <c:ser>
          <c:idx val="0"/>
          <c:order val="0"/>
          <c:tx>
            <c:strRef>
              <c:f>State!$B$3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1EE-4420-9D8E-9AAF20254B5A}"/>
              </c:ext>
            </c:extLst>
          </c:dPt>
          <c:dPt>
            <c:idx val="1"/>
            <c:bubble3D val="0"/>
            <c:spPr>
              <a:solidFill>
                <a:schemeClr val="accent2"/>
              </a:solidFill>
              <a:ln>
                <a:noFill/>
              </a:ln>
              <a:effectLst/>
            </c:spPr>
            <c:extLst>
              <c:ext xmlns:c16="http://schemas.microsoft.com/office/drawing/2014/chart" uri="{C3380CC4-5D6E-409C-BE32-E72D297353CC}">
                <c16:uniqueId val="{00000003-71EE-4420-9D8E-9AAF20254B5A}"/>
              </c:ext>
            </c:extLst>
          </c:dPt>
          <c:dPt>
            <c:idx val="2"/>
            <c:bubble3D val="0"/>
            <c:spPr>
              <a:solidFill>
                <a:schemeClr val="accent3"/>
              </a:solidFill>
              <a:ln>
                <a:noFill/>
              </a:ln>
              <a:effectLst/>
            </c:spPr>
            <c:extLst>
              <c:ext xmlns:c16="http://schemas.microsoft.com/office/drawing/2014/chart" uri="{C3380CC4-5D6E-409C-BE32-E72D297353CC}">
                <c16:uniqueId val="{00000005-71EE-4420-9D8E-9AAF20254B5A}"/>
              </c:ext>
            </c:extLst>
          </c:dPt>
          <c:dPt>
            <c:idx val="3"/>
            <c:bubble3D val="0"/>
            <c:spPr>
              <a:solidFill>
                <a:schemeClr val="accent4"/>
              </a:solidFill>
              <a:ln>
                <a:noFill/>
              </a:ln>
              <a:effectLst/>
            </c:spPr>
            <c:extLst>
              <c:ext xmlns:c16="http://schemas.microsoft.com/office/drawing/2014/chart" uri="{C3380CC4-5D6E-409C-BE32-E72D297353CC}">
                <c16:uniqueId val="{00000007-71EE-4420-9D8E-9AAF20254B5A}"/>
              </c:ext>
            </c:extLst>
          </c:dPt>
          <c:dPt>
            <c:idx val="4"/>
            <c:bubble3D val="0"/>
            <c:spPr>
              <a:solidFill>
                <a:schemeClr val="accent5"/>
              </a:solidFill>
              <a:ln>
                <a:noFill/>
              </a:ln>
              <a:effectLst/>
            </c:spPr>
            <c:extLst>
              <c:ext xmlns:c16="http://schemas.microsoft.com/office/drawing/2014/chart" uri="{C3380CC4-5D6E-409C-BE32-E72D297353CC}">
                <c16:uniqueId val="{00000009-71EE-4420-9D8E-9AAF20254B5A}"/>
              </c:ext>
            </c:extLst>
          </c:dPt>
          <c:dPt>
            <c:idx val="5"/>
            <c:bubble3D val="0"/>
            <c:spPr>
              <a:solidFill>
                <a:schemeClr val="accent6"/>
              </a:solidFill>
              <a:ln>
                <a:noFill/>
              </a:ln>
              <a:effectLst/>
            </c:spPr>
            <c:extLst>
              <c:ext xmlns:c16="http://schemas.microsoft.com/office/drawing/2014/chart" uri="{C3380CC4-5D6E-409C-BE32-E72D297353CC}">
                <c16:uniqueId val="{0000000B-71EE-4420-9D8E-9AAF20254B5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1EE-4420-9D8E-9AAF20254B5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1EE-4420-9D8E-9AAF20254B5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1EE-4420-9D8E-9AAF20254B5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1EE-4420-9D8E-9AAF20254B5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71EE-4420-9D8E-9AAF20254B5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71EE-4420-9D8E-9AAF20254B5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71EE-4420-9D8E-9AAF20254B5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71EE-4420-9D8E-9AAF20254B5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71EE-4420-9D8E-9AAF20254B5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71EE-4420-9D8E-9AAF20254B5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71EE-4420-9D8E-9AAF20254B5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71EE-4420-9D8E-9AAF20254B5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71EE-4420-9D8E-9AAF20254B5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71EE-4420-9D8E-9AAF20254B5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71EE-4420-9D8E-9AAF20254B5A}"/>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71EE-4420-9D8E-9AAF20254B5A}"/>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71EE-4420-9D8E-9AAF20254B5A}"/>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71EE-4420-9D8E-9AAF20254B5A}"/>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71EE-4420-9D8E-9AAF20254B5A}"/>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71EE-4420-9D8E-9AAF20254B5A}"/>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71EE-4420-9D8E-9AAF20254B5A}"/>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71EE-4420-9D8E-9AAF20254B5A}"/>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71EE-4420-9D8E-9AAF20254B5A}"/>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71EE-4420-9D8E-9AAF20254B5A}"/>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71EE-4420-9D8E-9AAF20254B5A}"/>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71EE-4420-9D8E-9AAF20254B5A}"/>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71EE-4420-9D8E-9AAF20254B5A}"/>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71EE-4420-9D8E-9AAF20254B5A}"/>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71EE-4420-9D8E-9AAF20254B5A}"/>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71EE-4420-9D8E-9AAF20254B5A}"/>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71EE-4420-9D8E-9AAF20254B5A}"/>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71EE-4420-9D8E-9AAF20254B5A}"/>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71EE-4420-9D8E-9AAF20254B5A}"/>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71EE-4420-9D8E-9AAF20254B5A}"/>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71EE-4420-9D8E-9AAF20254B5A}"/>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71EE-4420-9D8E-9AAF20254B5A}"/>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71EE-4420-9D8E-9AAF20254B5A}"/>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71EE-4420-9D8E-9AAF20254B5A}"/>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71EE-4420-9D8E-9AAF20254B5A}"/>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71EE-4420-9D8E-9AAF20254B5A}"/>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71EE-4420-9D8E-9AAF20254B5A}"/>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71EE-4420-9D8E-9AAF20254B5A}"/>
              </c:ext>
            </c:extLst>
          </c:dPt>
          <c:cat>
            <c:strRef>
              <c:f>State!$A$4:$A$52</c:f>
              <c:strCache>
                <c:ptCount val="48"/>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State!$B$4:$B$52</c:f>
              <c:numCache>
                <c:formatCode>General</c:formatCode>
                <c:ptCount val="48"/>
                <c:pt idx="0">
                  <c:v>11</c:v>
                </c:pt>
                <c:pt idx="1">
                  <c:v>78</c:v>
                </c:pt>
                <c:pt idx="2">
                  <c:v>25</c:v>
                </c:pt>
                <c:pt idx="3">
                  <c:v>787</c:v>
                </c:pt>
                <c:pt idx="4">
                  <c:v>78</c:v>
                </c:pt>
                <c:pt idx="5">
                  <c:v>28</c:v>
                </c:pt>
                <c:pt idx="6">
                  <c:v>44</c:v>
                </c:pt>
                <c:pt idx="7">
                  <c:v>3</c:v>
                </c:pt>
                <c:pt idx="8">
                  <c:v>165</c:v>
                </c:pt>
                <c:pt idx="9">
                  <c:v>63</c:v>
                </c:pt>
                <c:pt idx="10">
                  <c:v>10</c:v>
                </c:pt>
                <c:pt idx="11">
                  <c:v>176</c:v>
                </c:pt>
                <c:pt idx="12">
                  <c:v>63</c:v>
                </c:pt>
                <c:pt idx="13">
                  <c:v>11</c:v>
                </c:pt>
                <c:pt idx="14">
                  <c:v>11</c:v>
                </c:pt>
                <c:pt idx="15">
                  <c:v>66</c:v>
                </c:pt>
                <c:pt idx="16">
                  <c:v>15</c:v>
                </c:pt>
                <c:pt idx="17">
                  <c:v>3</c:v>
                </c:pt>
                <c:pt idx="18">
                  <c:v>48</c:v>
                </c:pt>
                <c:pt idx="19">
                  <c:v>61</c:v>
                </c:pt>
                <c:pt idx="20">
                  <c:v>120</c:v>
                </c:pt>
                <c:pt idx="21">
                  <c:v>42</c:v>
                </c:pt>
                <c:pt idx="22">
                  <c:v>13</c:v>
                </c:pt>
                <c:pt idx="23">
                  <c:v>38</c:v>
                </c:pt>
                <c:pt idx="24">
                  <c:v>3</c:v>
                </c:pt>
                <c:pt idx="25">
                  <c:v>11</c:v>
                </c:pt>
                <c:pt idx="26">
                  <c:v>13</c:v>
                </c:pt>
                <c:pt idx="27">
                  <c:v>7</c:v>
                </c:pt>
                <c:pt idx="28">
                  <c:v>50</c:v>
                </c:pt>
                <c:pt idx="29">
                  <c:v>6</c:v>
                </c:pt>
                <c:pt idx="30">
                  <c:v>480</c:v>
                </c:pt>
                <c:pt idx="31">
                  <c:v>122</c:v>
                </c:pt>
                <c:pt idx="32">
                  <c:v>177</c:v>
                </c:pt>
                <c:pt idx="33">
                  <c:v>24</c:v>
                </c:pt>
                <c:pt idx="34">
                  <c:v>48</c:v>
                </c:pt>
                <c:pt idx="35">
                  <c:v>237</c:v>
                </c:pt>
                <c:pt idx="36">
                  <c:v>20</c:v>
                </c:pt>
                <c:pt idx="37">
                  <c:v>11</c:v>
                </c:pt>
                <c:pt idx="38">
                  <c:v>1</c:v>
                </c:pt>
                <c:pt idx="39">
                  <c:v>57</c:v>
                </c:pt>
                <c:pt idx="40">
                  <c:v>430</c:v>
                </c:pt>
                <c:pt idx="41">
                  <c:v>19</c:v>
                </c:pt>
                <c:pt idx="42">
                  <c:v>4</c:v>
                </c:pt>
                <c:pt idx="43">
                  <c:v>96</c:v>
                </c:pt>
                <c:pt idx="44">
                  <c:v>226</c:v>
                </c:pt>
                <c:pt idx="45">
                  <c:v>1</c:v>
                </c:pt>
                <c:pt idx="46">
                  <c:v>39</c:v>
                </c:pt>
                <c:pt idx="47">
                  <c:v>1</c:v>
                </c:pt>
              </c:numCache>
            </c:numRef>
          </c:val>
          <c:extLst>
            <c:ext xmlns:c16="http://schemas.microsoft.com/office/drawing/2014/chart" uri="{C3380CC4-5D6E-409C-BE32-E72D297353CC}">
              <c16:uniqueId val="{00000000-9127-49F0-80DA-A0B622DADA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920440500492991E-2"/>
          <c:y val="4.7687172150691466E-2"/>
          <c:w val="0.8838061908928051"/>
          <c:h val="0.65375057731517461"/>
        </c:manualLayout>
      </c:layout>
      <c:barChart>
        <c:barDir val="col"/>
        <c:grouping val="stacked"/>
        <c:varyColors val="0"/>
        <c:ser>
          <c:idx val="0"/>
          <c:order val="0"/>
          <c:spPr>
            <a:solidFill>
              <a:schemeClr val="accent1"/>
            </a:solidFill>
            <a:ln>
              <a:noFill/>
            </a:ln>
            <a:effectLst/>
          </c:spPr>
          <c:invertIfNegative val="0"/>
          <c:cat>
            <c:strRef>
              <c:f>'profit Distribution'!$C$4:$C$51</c:f>
              <c:strCache>
                <c:ptCount val="48"/>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'profit Distribution'!$D$4:$D$51</c:f>
              <c:numCache>
                <c:formatCode>General</c:formatCode>
                <c:ptCount val="48"/>
                <c:pt idx="0">
                  <c:v>11</c:v>
                </c:pt>
                <c:pt idx="1">
                  <c:v>78</c:v>
                </c:pt>
                <c:pt idx="2">
                  <c:v>25</c:v>
                </c:pt>
                <c:pt idx="3">
                  <c:v>787</c:v>
                </c:pt>
                <c:pt idx="4">
                  <c:v>78</c:v>
                </c:pt>
                <c:pt idx="5">
                  <c:v>28</c:v>
                </c:pt>
                <c:pt idx="6">
                  <c:v>44</c:v>
                </c:pt>
                <c:pt idx="7">
                  <c:v>3</c:v>
                </c:pt>
                <c:pt idx="8">
                  <c:v>165</c:v>
                </c:pt>
                <c:pt idx="9">
                  <c:v>63</c:v>
                </c:pt>
                <c:pt idx="10">
                  <c:v>10</c:v>
                </c:pt>
                <c:pt idx="11">
                  <c:v>176</c:v>
                </c:pt>
                <c:pt idx="12">
                  <c:v>63</c:v>
                </c:pt>
                <c:pt idx="13">
                  <c:v>11</c:v>
                </c:pt>
                <c:pt idx="14">
                  <c:v>11</c:v>
                </c:pt>
                <c:pt idx="15">
                  <c:v>66</c:v>
                </c:pt>
                <c:pt idx="16">
                  <c:v>15</c:v>
                </c:pt>
                <c:pt idx="17">
                  <c:v>3</c:v>
                </c:pt>
                <c:pt idx="18">
                  <c:v>48</c:v>
                </c:pt>
                <c:pt idx="19">
                  <c:v>61</c:v>
                </c:pt>
                <c:pt idx="20">
                  <c:v>120</c:v>
                </c:pt>
                <c:pt idx="21">
                  <c:v>42</c:v>
                </c:pt>
                <c:pt idx="22">
                  <c:v>13</c:v>
                </c:pt>
                <c:pt idx="23">
                  <c:v>38</c:v>
                </c:pt>
                <c:pt idx="24">
                  <c:v>3</c:v>
                </c:pt>
                <c:pt idx="25">
                  <c:v>11</c:v>
                </c:pt>
                <c:pt idx="26">
                  <c:v>13</c:v>
                </c:pt>
                <c:pt idx="27">
                  <c:v>7</c:v>
                </c:pt>
                <c:pt idx="28">
                  <c:v>50</c:v>
                </c:pt>
                <c:pt idx="29">
                  <c:v>6</c:v>
                </c:pt>
                <c:pt idx="30">
                  <c:v>480</c:v>
                </c:pt>
                <c:pt idx="31">
                  <c:v>122</c:v>
                </c:pt>
                <c:pt idx="32">
                  <c:v>177</c:v>
                </c:pt>
                <c:pt idx="33">
                  <c:v>24</c:v>
                </c:pt>
                <c:pt idx="34">
                  <c:v>48</c:v>
                </c:pt>
                <c:pt idx="35">
                  <c:v>237</c:v>
                </c:pt>
                <c:pt idx="36">
                  <c:v>20</c:v>
                </c:pt>
                <c:pt idx="37">
                  <c:v>11</c:v>
                </c:pt>
                <c:pt idx="38">
                  <c:v>1</c:v>
                </c:pt>
                <c:pt idx="39">
                  <c:v>57</c:v>
                </c:pt>
                <c:pt idx="40">
                  <c:v>430</c:v>
                </c:pt>
                <c:pt idx="41">
                  <c:v>19</c:v>
                </c:pt>
                <c:pt idx="42">
                  <c:v>4</c:v>
                </c:pt>
                <c:pt idx="43">
                  <c:v>96</c:v>
                </c:pt>
                <c:pt idx="44">
                  <c:v>226</c:v>
                </c:pt>
                <c:pt idx="45">
                  <c:v>1</c:v>
                </c:pt>
                <c:pt idx="46">
                  <c:v>39</c:v>
                </c:pt>
                <c:pt idx="47">
                  <c:v>1</c:v>
                </c:pt>
              </c:numCache>
            </c:numRef>
          </c:val>
          <c:extLst>
            <c:ext xmlns:c16="http://schemas.microsoft.com/office/drawing/2014/chart" uri="{C3380CC4-5D6E-409C-BE32-E72D297353CC}">
              <c16:uniqueId val="{00000000-C7F4-4CDF-9D00-E047CC80189F}"/>
            </c:ext>
          </c:extLst>
        </c:ser>
        <c:dLbls>
          <c:showLegendKey val="0"/>
          <c:showVal val="0"/>
          <c:showCatName val="0"/>
          <c:showSerName val="0"/>
          <c:showPercent val="0"/>
          <c:showBubbleSize val="0"/>
        </c:dLbls>
        <c:gapWidth val="150"/>
        <c:overlap val="100"/>
        <c:axId val="419691007"/>
        <c:axId val="419690527"/>
      </c:barChart>
      <c:catAx>
        <c:axId val="41969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90527"/>
        <c:crosses val="autoZero"/>
        <c:auto val="1"/>
        <c:lblAlgn val="ctr"/>
        <c:lblOffset val="100"/>
        <c:noMultiLvlLbl val="0"/>
      </c:catAx>
      <c:valAx>
        <c:axId val="419690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9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248687664041989E-2"/>
          <c:y val="5.0925925925925923E-2"/>
          <c:w val="0.88441797900262464"/>
          <c:h val="0.71812773403324581"/>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'Quantity Sold trend'!$D$4:$D$20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Sold trend'!$E$4:$E$20</c:f>
              <c:numCache>
                <c:formatCode>General</c:formatCode>
                <c:ptCount val="17"/>
                <c:pt idx="0">
                  <c:v>336</c:v>
                </c:pt>
                <c:pt idx="1">
                  <c:v>190</c:v>
                </c:pt>
                <c:pt idx="2">
                  <c:v>324</c:v>
                </c:pt>
                <c:pt idx="3">
                  <c:v>614</c:v>
                </c:pt>
                <c:pt idx="4">
                  <c:v>81</c:v>
                </c:pt>
                <c:pt idx="5">
                  <c:v>236</c:v>
                </c:pt>
                <c:pt idx="6">
                  <c:v>33</c:v>
                </c:pt>
                <c:pt idx="7">
                  <c:v>97</c:v>
                </c:pt>
                <c:pt idx="8">
                  <c:v>88</c:v>
                </c:pt>
                <c:pt idx="9">
                  <c:v>387</c:v>
                </c:pt>
                <c:pt idx="10">
                  <c:v>155</c:v>
                </c:pt>
                <c:pt idx="11">
                  <c:v>47</c:v>
                </c:pt>
                <c:pt idx="12">
                  <c:v>559</c:v>
                </c:pt>
                <c:pt idx="13">
                  <c:v>358</c:v>
                </c:pt>
                <c:pt idx="14">
                  <c:v>341</c:v>
                </c:pt>
                <c:pt idx="15">
                  <c:v>62</c:v>
                </c:pt>
                <c:pt idx="16">
                  <c:v>134</c:v>
                </c:pt>
              </c:numCache>
            </c:numRef>
          </c:val>
          <c:smooth val="0"/>
          <c:extLst>
            <c:ext xmlns:c16="http://schemas.microsoft.com/office/drawing/2014/chart" uri="{C3380CC4-5D6E-409C-BE32-E72D297353CC}">
              <c16:uniqueId val="{00000000-3C0C-4768-9D4A-01FCDEE95E58}"/>
            </c:ext>
          </c:extLst>
        </c:ser>
        <c:dLbls>
          <c:showLegendKey val="0"/>
          <c:showVal val="0"/>
          <c:showCatName val="0"/>
          <c:showSerName val="0"/>
          <c:showPercent val="0"/>
          <c:showBubbleSize val="0"/>
        </c:dLbls>
        <c:marker val="1"/>
        <c:smooth val="0"/>
        <c:axId val="129769455"/>
        <c:axId val="129771375"/>
      </c:lineChart>
      <c:catAx>
        <c:axId val="129769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771375"/>
        <c:crosses val="autoZero"/>
        <c:auto val="1"/>
        <c:lblAlgn val="ctr"/>
        <c:lblOffset val="100"/>
        <c:noMultiLvlLbl val="0"/>
      </c:catAx>
      <c:valAx>
        <c:axId val="129771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7694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data2.xlsx]category!PivotTable2</c:name>
    <c:fmtId val="2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782B-4661-A91C-1E7A2184D5FB}"/>
              </c:ext>
            </c:extLst>
          </c:dPt>
          <c:dPt>
            <c:idx val="1"/>
            <c:bubble3D val="0"/>
            <c:spPr>
              <a:solidFill>
                <a:schemeClr val="accent2"/>
              </a:solidFill>
              <a:ln>
                <a:noFill/>
              </a:ln>
              <a:effectLst/>
              <a:sp3d/>
            </c:spPr>
            <c:extLst>
              <c:ext xmlns:c16="http://schemas.microsoft.com/office/drawing/2014/chart" uri="{C3380CC4-5D6E-409C-BE32-E72D297353CC}">
                <c16:uniqueId val="{00000003-782B-4661-A91C-1E7A2184D5FB}"/>
              </c:ext>
            </c:extLst>
          </c:dPt>
          <c:dPt>
            <c:idx val="2"/>
            <c:bubble3D val="0"/>
            <c:spPr>
              <a:solidFill>
                <a:schemeClr val="accent3"/>
              </a:solidFill>
              <a:ln>
                <a:noFill/>
              </a:ln>
              <a:effectLst/>
              <a:sp3d/>
            </c:spPr>
            <c:extLst>
              <c:ext xmlns:c16="http://schemas.microsoft.com/office/drawing/2014/chart" uri="{C3380CC4-5D6E-409C-BE32-E72D297353CC}">
                <c16:uniqueId val="{00000005-782B-4661-A91C-1E7A2184D5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category!$A$4:$A$7</c:f>
              <c:strCache>
                <c:ptCount val="3"/>
                <c:pt idx="0">
                  <c:v>Furniture</c:v>
                </c:pt>
                <c:pt idx="1">
                  <c:v>Office Supplies</c:v>
                </c:pt>
                <c:pt idx="2">
                  <c:v>Technology</c:v>
                </c:pt>
              </c:strCache>
            </c:strRef>
          </c:cat>
          <c:val>
            <c:numRef>
              <c:f>category!$B$4:$B$7</c:f>
              <c:numCache>
                <c:formatCode>General</c:formatCode>
                <c:ptCount val="3"/>
                <c:pt idx="0">
                  <c:v>289736.25000000041</c:v>
                </c:pt>
                <c:pt idx="1">
                  <c:v>259573.56</c:v>
                </c:pt>
                <c:pt idx="2">
                  <c:v>338607.39</c:v>
                </c:pt>
              </c:numCache>
            </c:numRef>
          </c:val>
          <c:extLst>
            <c:ext xmlns:c16="http://schemas.microsoft.com/office/drawing/2014/chart" uri="{C3380CC4-5D6E-409C-BE32-E72D297353CC}">
              <c16:uniqueId val="{00000006-782B-4661-A91C-1E7A2184D5F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data2.xlsx]State!PivotTable3</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s>
    <c:plotArea>
      <c:layout/>
      <c:pieChart>
        <c:varyColors val="1"/>
        <c:ser>
          <c:idx val="0"/>
          <c:order val="0"/>
          <c:tx>
            <c:strRef>
              <c:f>State!$B$3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F30-47DC-8AEF-B1243618A23B}"/>
              </c:ext>
            </c:extLst>
          </c:dPt>
          <c:dPt>
            <c:idx val="1"/>
            <c:bubble3D val="0"/>
            <c:spPr>
              <a:solidFill>
                <a:schemeClr val="accent2"/>
              </a:solidFill>
              <a:ln>
                <a:noFill/>
              </a:ln>
              <a:effectLst/>
            </c:spPr>
            <c:extLst>
              <c:ext xmlns:c16="http://schemas.microsoft.com/office/drawing/2014/chart" uri="{C3380CC4-5D6E-409C-BE32-E72D297353CC}">
                <c16:uniqueId val="{00000003-AF30-47DC-8AEF-B1243618A23B}"/>
              </c:ext>
            </c:extLst>
          </c:dPt>
          <c:dPt>
            <c:idx val="2"/>
            <c:bubble3D val="0"/>
            <c:spPr>
              <a:solidFill>
                <a:schemeClr val="accent3"/>
              </a:solidFill>
              <a:ln>
                <a:noFill/>
              </a:ln>
              <a:effectLst/>
            </c:spPr>
            <c:extLst>
              <c:ext xmlns:c16="http://schemas.microsoft.com/office/drawing/2014/chart" uri="{C3380CC4-5D6E-409C-BE32-E72D297353CC}">
                <c16:uniqueId val="{00000005-AF30-47DC-8AEF-B1243618A23B}"/>
              </c:ext>
            </c:extLst>
          </c:dPt>
          <c:dPt>
            <c:idx val="3"/>
            <c:bubble3D val="0"/>
            <c:spPr>
              <a:solidFill>
                <a:schemeClr val="accent4"/>
              </a:solidFill>
              <a:ln>
                <a:noFill/>
              </a:ln>
              <a:effectLst/>
            </c:spPr>
            <c:extLst>
              <c:ext xmlns:c16="http://schemas.microsoft.com/office/drawing/2014/chart" uri="{C3380CC4-5D6E-409C-BE32-E72D297353CC}">
                <c16:uniqueId val="{00000007-AF30-47DC-8AEF-B1243618A23B}"/>
              </c:ext>
            </c:extLst>
          </c:dPt>
          <c:dPt>
            <c:idx val="4"/>
            <c:bubble3D val="0"/>
            <c:spPr>
              <a:solidFill>
                <a:schemeClr val="accent5"/>
              </a:solidFill>
              <a:ln>
                <a:noFill/>
              </a:ln>
              <a:effectLst/>
            </c:spPr>
            <c:extLst>
              <c:ext xmlns:c16="http://schemas.microsoft.com/office/drawing/2014/chart" uri="{C3380CC4-5D6E-409C-BE32-E72D297353CC}">
                <c16:uniqueId val="{00000009-AF30-47DC-8AEF-B1243618A23B}"/>
              </c:ext>
            </c:extLst>
          </c:dPt>
          <c:dPt>
            <c:idx val="5"/>
            <c:bubble3D val="0"/>
            <c:spPr>
              <a:solidFill>
                <a:schemeClr val="accent6"/>
              </a:solidFill>
              <a:ln>
                <a:noFill/>
              </a:ln>
              <a:effectLst/>
            </c:spPr>
            <c:extLst>
              <c:ext xmlns:c16="http://schemas.microsoft.com/office/drawing/2014/chart" uri="{C3380CC4-5D6E-409C-BE32-E72D297353CC}">
                <c16:uniqueId val="{0000000B-AF30-47DC-8AEF-B1243618A23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F30-47DC-8AEF-B1243618A23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F30-47DC-8AEF-B1243618A23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F30-47DC-8AEF-B1243618A23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F30-47DC-8AEF-B1243618A23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AF30-47DC-8AEF-B1243618A23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AF30-47DC-8AEF-B1243618A23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AF30-47DC-8AEF-B1243618A23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AF30-47DC-8AEF-B1243618A23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AF30-47DC-8AEF-B1243618A23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AF30-47DC-8AEF-B1243618A23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AF30-47DC-8AEF-B1243618A23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AF30-47DC-8AEF-B1243618A23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AF30-47DC-8AEF-B1243618A23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AF30-47DC-8AEF-B1243618A23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AF30-47DC-8AEF-B1243618A23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AF30-47DC-8AEF-B1243618A23B}"/>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AF30-47DC-8AEF-B1243618A23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AF30-47DC-8AEF-B1243618A23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AF30-47DC-8AEF-B1243618A23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AF30-47DC-8AEF-B1243618A23B}"/>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AF30-47DC-8AEF-B1243618A23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AF30-47DC-8AEF-B1243618A23B}"/>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AF30-47DC-8AEF-B1243618A23B}"/>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AF30-47DC-8AEF-B1243618A23B}"/>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AF30-47DC-8AEF-B1243618A23B}"/>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AF30-47DC-8AEF-B1243618A23B}"/>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AF30-47DC-8AEF-B1243618A23B}"/>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AF30-47DC-8AEF-B1243618A23B}"/>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AF30-47DC-8AEF-B1243618A23B}"/>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AF30-47DC-8AEF-B1243618A23B}"/>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AF30-47DC-8AEF-B1243618A23B}"/>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AF30-47DC-8AEF-B1243618A23B}"/>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AF30-47DC-8AEF-B1243618A23B}"/>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AF30-47DC-8AEF-B1243618A23B}"/>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AF30-47DC-8AEF-B1243618A23B}"/>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AF30-47DC-8AEF-B1243618A23B}"/>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AF30-47DC-8AEF-B1243618A23B}"/>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AF30-47DC-8AEF-B1243618A23B}"/>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AF30-47DC-8AEF-B1243618A23B}"/>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AF30-47DC-8AEF-B1243618A23B}"/>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AF30-47DC-8AEF-B1243618A23B}"/>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AF30-47DC-8AEF-B1243618A23B}"/>
              </c:ext>
            </c:extLst>
          </c:dPt>
          <c:cat>
            <c:strRef>
              <c:f>State!$A$4:$A$52</c:f>
              <c:strCache>
                <c:ptCount val="48"/>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State!$B$4:$B$52</c:f>
              <c:numCache>
                <c:formatCode>General</c:formatCode>
                <c:ptCount val="48"/>
                <c:pt idx="0">
                  <c:v>11</c:v>
                </c:pt>
                <c:pt idx="1">
                  <c:v>78</c:v>
                </c:pt>
                <c:pt idx="2">
                  <c:v>25</c:v>
                </c:pt>
                <c:pt idx="3">
                  <c:v>787</c:v>
                </c:pt>
                <c:pt idx="4">
                  <c:v>78</c:v>
                </c:pt>
                <c:pt idx="5">
                  <c:v>28</c:v>
                </c:pt>
                <c:pt idx="6">
                  <c:v>44</c:v>
                </c:pt>
                <c:pt idx="7">
                  <c:v>3</c:v>
                </c:pt>
                <c:pt idx="8">
                  <c:v>165</c:v>
                </c:pt>
                <c:pt idx="9">
                  <c:v>63</c:v>
                </c:pt>
                <c:pt idx="10">
                  <c:v>10</c:v>
                </c:pt>
                <c:pt idx="11">
                  <c:v>176</c:v>
                </c:pt>
                <c:pt idx="12">
                  <c:v>63</c:v>
                </c:pt>
                <c:pt idx="13">
                  <c:v>11</c:v>
                </c:pt>
                <c:pt idx="14">
                  <c:v>11</c:v>
                </c:pt>
                <c:pt idx="15">
                  <c:v>66</c:v>
                </c:pt>
                <c:pt idx="16">
                  <c:v>15</c:v>
                </c:pt>
                <c:pt idx="17">
                  <c:v>3</c:v>
                </c:pt>
                <c:pt idx="18">
                  <c:v>48</c:v>
                </c:pt>
                <c:pt idx="19">
                  <c:v>61</c:v>
                </c:pt>
                <c:pt idx="20">
                  <c:v>120</c:v>
                </c:pt>
                <c:pt idx="21">
                  <c:v>42</c:v>
                </c:pt>
                <c:pt idx="22">
                  <c:v>13</c:v>
                </c:pt>
                <c:pt idx="23">
                  <c:v>38</c:v>
                </c:pt>
                <c:pt idx="24">
                  <c:v>3</c:v>
                </c:pt>
                <c:pt idx="25">
                  <c:v>11</c:v>
                </c:pt>
                <c:pt idx="26">
                  <c:v>13</c:v>
                </c:pt>
                <c:pt idx="27">
                  <c:v>7</c:v>
                </c:pt>
                <c:pt idx="28">
                  <c:v>50</c:v>
                </c:pt>
                <c:pt idx="29">
                  <c:v>6</c:v>
                </c:pt>
                <c:pt idx="30">
                  <c:v>480</c:v>
                </c:pt>
                <c:pt idx="31">
                  <c:v>122</c:v>
                </c:pt>
                <c:pt idx="32">
                  <c:v>177</c:v>
                </c:pt>
                <c:pt idx="33">
                  <c:v>24</c:v>
                </c:pt>
                <c:pt idx="34">
                  <c:v>48</c:v>
                </c:pt>
                <c:pt idx="35">
                  <c:v>237</c:v>
                </c:pt>
                <c:pt idx="36">
                  <c:v>20</c:v>
                </c:pt>
                <c:pt idx="37">
                  <c:v>11</c:v>
                </c:pt>
                <c:pt idx="38">
                  <c:v>1</c:v>
                </c:pt>
                <c:pt idx="39">
                  <c:v>57</c:v>
                </c:pt>
                <c:pt idx="40">
                  <c:v>430</c:v>
                </c:pt>
                <c:pt idx="41">
                  <c:v>19</c:v>
                </c:pt>
                <c:pt idx="42">
                  <c:v>4</c:v>
                </c:pt>
                <c:pt idx="43">
                  <c:v>96</c:v>
                </c:pt>
                <c:pt idx="44">
                  <c:v>226</c:v>
                </c:pt>
                <c:pt idx="45">
                  <c:v>1</c:v>
                </c:pt>
                <c:pt idx="46">
                  <c:v>39</c:v>
                </c:pt>
                <c:pt idx="47">
                  <c:v>1</c:v>
                </c:pt>
              </c:numCache>
            </c:numRef>
          </c:val>
          <c:extLst>
            <c:ext xmlns:c16="http://schemas.microsoft.com/office/drawing/2014/chart" uri="{C3380CC4-5D6E-409C-BE32-E72D297353CC}">
              <c16:uniqueId val="{00000060-AF30-47DC-8AEF-B1243618A2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187303510138161E-2"/>
          <c:y val="4.7687248718706249E-2"/>
          <c:w val="0.8838061908928051"/>
          <c:h val="0.65375057731517461"/>
        </c:manualLayout>
      </c:layout>
      <c:barChart>
        <c:barDir val="col"/>
        <c:grouping val="stacked"/>
        <c:varyColors val="0"/>
        <c:ser>
          <c:idx val="0"/>
          <c:order val="0"/>
          <c:spPr>
            <a:solidFill>
              <a:schemeClr val="accent1"/>
            </a:solidFill>
            <a:ln>
              <a:noFill/>
            </a:ln>
            <a:effectLst/>
          </c:spPr>
          <c:invertIfNegative val="0"/>
          <c:cat>
            <c:strRef>
              <c:f>'profit Distribution'!$C$4:$C$51</c:f>
              <c:strCache>
                <c:ptCount val="48"/>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'profit Distribution'!$D$4:$D$51</c:f>
              <c:numCache>
                <c:formatCode>General</c:formatCode>
                <c:ptCount val="48"/>
                <c:pt idx="0">
                  <c:v>11</c:v>
                </c:pt>
                <c:pt idx="1">
                  <c:v>78</c:v>
                </c:pt>
                <c:pt idx="2">
                  <c:v>25</c:v>
                </c:pt>
                <c:pt idx="3">
                  <c:v>787</c:v>
                </c:pt>
                <c:pt idx="4">
                  <c:v>78</c:v>
                </c:pt>
                <c:pt idx="5">
                  <c:v>28</c:v>
                </c:pt>
                <c:pt idx="6">
                  <c:v>44</c:v>
                </c:pt>
                <c:pt idx="7">
                  <c:v>3</c:v>
                </c:pt>
                <c:pt idx="8">
                  <c:v>165</c:v>
                </c:pt>
                <c:pt idx="9">
                  <c:v>63</c:v>
                </c:pt>
                <c:pt idx="10">
                  <c:v>10</c:v>
                </c:pt>
                <c:pt idx="11">
                  <c:v>176</c:v>
                </c:pt>
                <c:pt idx="12">
                  <c:v>63</c:v>
                </c:pt>
                <c:pt idx="13">
                  <c:v>11</c:v>
                </c:pt>
                <c:pt idx="14">
                  <c:v>11</c:v>
                </c:pt>
                <c:pt idx="15">
                  <c:v>66</c:v>
                </c:pt>
                <c:pt idx="16">
                  <c:v>15</c:v>
                </c:pt>
                <c:pt idx="17">
                  <c:v>3</c:v>
                </c:pt>
                <c:pt idx="18">
                  <c:v>48</c:v>
                </c:pt>
                <c:pt idx="19">
                  <c:v>61</c:v>
                </c:pt>
                <c:pt idx="20">
                  <c:v>120</c:v>
                </c:pt>
                <c:pt idx="21">
                  <c:v>42</c:v>
                </c:pt>
                <c:pt idx="22">
                  <c:v>13</c:v>
                </c:pt>
                <c:pt idx="23">
                  <c:v>38</c:v>
                </c:pt>
                <c:pt idx="24">
                  <c:v>3</c:v>
                </c:pt>
                <c:pt idx="25">
                  <c:v>11</c:v>
                </c:pt>
                <c:pt idx="26">
                  <c:v>13</c:v>
                </c:pt>
                <c:pt idx="27">
                  <c:v>7</c:v>
                </c:pt>
                <c:pt idx="28">
                  <c:v>50</c:v>
                </c:pt>
                <c:pt idx="29">
                  <c:v>6</c:v>
                </c:pt>
                <c:pt idx="30">
                  <c:v>480</c:v>
                </c:pt>
                <c:pt idx="31">
                  <c:v>122</c:v>
                </c:pt>
                <c:pt idx="32">
                  <c:v>177</c:v>
                </c:pt>
                <c:pt idx="33">
                  <c:v>24</c:v>
                </c:pt>
                <c:pt idx="34">
                  <c:v>48</c:v>
                </c:pt>
                <c:pt idx="35">
                  <c:v>237</c:v>
                </c:pt>
                <c:pt idx="36">
                  <c:v>20</c:v>
                </c:pt>
                <c:pt idx="37">
                  <c:v>11</c:v>
                </c:pt>
                <c:pt idx="38">
                  <c:v>1</c:v>
                </c:pt>
                <c:pt idx="39">
                  <c:v>57</c:v>
                </c:pt>
                <c:pt idx="40">
                  <c:v>430</c:v>
                </c:pt>
                <c:pt idx="41">
                  <c:v>19</c:v>
                </c:pt>
                <c:pt idx="42">
                  <c:v>4</c:v>
                </c:pt>
                <c:pt idx="43">
                  <c:v>96</c:v>
                </c:pt>
                <c:pt idx="44">
                  <c:v>226</c:v>
                </c:pt>
                <c:pt idx="45">
                  <c:v>1</c:v>
                </c:pt>
                <c:pt idx="46">
                  <c:v>39</c:v>
                </c:pt>
                <c:pt idx="47">
                  <c:v>1</c:v>
                </c:pt>
              </c:numCache>
            </c:numRef>
          </c:val>
          <c:extLst>
            <c:ext xmlns:c16="http://schemas.microsoft.com/office/drawing/2014/chart" uri="{C3380CC4-5D6E-409C-BE32-E72D297353CC}">
              <c16:uniqueId val="{00000000-D927-4A94-A3F3-AB6AC8829A7A}"/>
            </c:ext>
          </c:extLst>
        </c:ser>
        <c:dLbls>
          <c:showLegendKey val="0"/>
          <c:showVal val="0"/>
          <c:showCatName val="0"/>
          <c:showSerName val="0"/>
          <c:showPercent val="0"/>
          <c:showBubbleSize val="0"/>
        </c:dLbls>
        <c:gapWidth val="150"/>
        <c:overlap val="100"/>
        <c:axId val="419691007"/>
        <c:axId val="419690527"/>
      </c:barChart>
      <c:catAx>
        <c:axId val="419691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9690527"/>
        <c:crosses val="autoZero"/>
        <c:auto val="1"/>
        <c:lblAlgn val="ctr"/>
        <c:lblOffset val="100"/>
        <c:noMultiLvlLbl val="0"/>
      </c:catAx>
      <c:valAx>
        <c:axId val="419690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969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248687664041989E-2"/>
          <c:y val="5.0925925925925923E-2"/>
          <c:w val="0.88441797900262464"/>
          <c:h val="0.71812773403324581"/>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'Quantity Sold trend'!$D$4:$D$20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Sold trend'!$E$4:$E$20</c:f>
              <c:numCache>
                <c:formatCode>General</c:formatCode>
                <c:ptCount val="17"/>
                <c:pt idx="0">
                  <c:v>336</c:v>
                </c:pt>
                <c:pt idx="1">
                  <c:v>190</c:v>
                </c:pt>
                <c:pt idx="2">
                  <c:v>324</c:v>
                </c:pt>
                <c:pt idx="3">
                  <c:v>614</c:v>
                </c:pt>
                <c:pt idx="4">
                  <c:v>81</c:v>
                </c:pt>
                <c:pt idx="5">
                  <c:v>236</c:v>
                </c:pt>
                <c:pt idx="6">
                  <c:v>33</c:v>
                </c:pt>
                <c:pt idx="7">
                  <c:v>97</c:v>
                </c:pt>
                <c:pt idx="8">
                  <c:v>88</c:v>
                </c:pt>
                <c:pt idx="9">
                  <c:v>387</c:v>
                </c:pt>
                <c:pt idx="10">
                  <c:v>155</c:v>
                </c:pt>
                <c:pt idx="11">
                  <c:v>47</c:v>
                </c:pt>
                <c:pt idx="12">
                  <c:v>559</c:v>
                </c:pt>
                <c:pt idx="13">
                  <c:v>358</c:v>
                </c:pt>
                <c:pt idx="14">
                  <c:v>341</c:v>
                </c:pt>
                <c:pt idx="15">
                  <c:v>62</c:v>
                </c:pt>
                <c:pt idx="16">
                  <c:v>134</c:v>
                </c:pt>
              </c:numCache>
            </c:numRef>
          </c:val>
          <c:smooth val="0"/>
          <c:extLst>
            <c:ext xmlns:c16="http://schemas.microsoft.com/office/drawing/2014/chart" uri="{C3380CC4-5D6E-409C-BE32-E72D297353CC}">
              <c16:uniqueId val="{00000000-D296-400E-84DB-3866FA3FE15D}"/>
            </c:ext>
          </c:extLst>
        </c:ser>
        <c:dLbls>
          <c:showLegendKey val="0"/>
          <c:showVal val="0"/>
          <c:showCatName val="0"/>
          <c:showSerName val="0"/>
          <c:showPercent val="0"/>
          <c:showBubbleSize val="0"/>
        </c:dLbls>
        <c:marker val="1"/>
        <c:smooth val="0"/>
        <c:axId val="129769455"/>
        <c:axId val="129771375"/>
      </c:lineChart>
      <c:catAx>
        <c:axId val="129769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771375"/>
        <c:crosses val="autoZero"/>
        <c:auto val="1"/>
        <c:lblAlgn val="ctr"/>
        <c:lblOffset val="100"/>
        <c:noMultiLvlLbl val="0"/>
      </c:catAx>
      <c:valAx>
        <c:axId val="129771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7694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series layoutId="regionMap" uniqueId="{7D4BCFBD-F7CB-418E-9E38-A590054038EF}">
          <cx:dataLabels>
            <cx:visibility seriesName="0" categoryName="0" value="1"/>
          </cx:dataLabels>
          <cx:dataId val="0"/>
          <cx:layoutPr>
            <cx:geography cultureLanguage="en-US" cultureRegion="IN" attribution="Powered by Bing">
              <cx:geoCache provider="{E9337A44-BEBE-4D9F-B70C-5C5E7DAFC167}">
                <cx:binary>7H1pU9zIsvZfcfjzFVObajlx5kSM1DvQgMFg+4uijUEqbaV9+/VvthswaNpj5gz3jeiI2+Owx3RX
K1WPcnsyK/3v2+5ft/HdpnjXJXFa/uu2+/19UFXZv377rbwN7pJNeZTo28KU5r46ujXJb+b+Xt/e
/fat2LQ69X8jCLPfboNNUd117//zb/g2/86cmNtNpU16Ud8V/Ye7so6r8i/e2/vWu823RKcTXVaF
vq3w7+/PongTmGTz/t1dWumqv+qzu9/fv/jU+3e/jb/rT9d9F4NoVf0N1lL7yJaUMW6j3Qu/fxeb
1H9421LiyEaSIiSE2r0er73eJLD+NRJ9l2fz7VtxV5ZwS9//fL7yhfzwxvH7d7emTqvtvvmwhb+/
/5jq6u7bu8tqU92V79/p0ri7D7hmexMfL7/f9W8vd/4//x79APZh9JNn4Iw37Vdv/QmbE1PrUm/S
twQHHSmJEeIcP23+C3DwkVRYEiLR7n32EpxXibQfnWdLR/Cc/HGQ8LgmNsXmm3ncoTdQHXmklLRt
xMhe1cEIdIsJSTl9vOhOZ14jyn5UfqwcgeKeHSQoj6btnbl/B/dWJ1/1W6oPAIQAAExBL57rjRBH
CHOiOJV79ebvirUfrP3fMgJu4h4kcH/Em6+bN/VD5EhwzghHaqdMoDPPIZP8SDJEKUHkyRTufOBO
p14h0H6UnhaOgPnj5CCBWd+171Z3RXnXP9qcf27oGDrCVCFlU/BF2xd5iY1gR1xIG8KgB2hGbuh1
Mu2H5/naEULr1YEi1Gy+vaWVU0fU5ozZ9CEIkC/RwZgfcdumUkj5HT38+GTsNGd99yt5fobMbt0Y
leuDROVUl+X2V5bpx+3554pDwagRBBtvPyiGegmNVIAMJxBAPEQQ/PHaO2heKdR+fF4sHoF0CgHz
AYbYfxR6MG8aYLMjoijEz5jtEBIvAcIYH4FXshXAtE93XiHQfnCeFo6A+ePLgQITbdJyUz4+vm+g
OgxSGyURxQ+6M7JqihwxqrBt2zujhuzHaz/EA8WvJfoZNI8rx9h8OEhsru7SFBLvu7vHDXoDcGwI
xiAOY/whfh6BA8EaZZQwznZagyCYex6svUqk/eg8WzqC52p9kPC4m1jfmyJ908RHHBGbca7wQzAN
Lv95MI0xOB4siMDsIWR7ic/rZNoP0PO1I4TcPw4TIQMKdFvp27p63KZ/rkIMH9nCxjalD8TbCCIB
oQOV4JjIyLC5r5PmJ+A8XzxG5+og0bk0dRW8m2wiU23eEB4G7oVjZj/SnuPAAKEjQhFTmI+SndfK
sx+gl6tHCF1ODhKhyV28aTfFW/ofdYQgrOaEPgbWL+2bsI/ANXFG8YN/GunQayTaj8+PlSNsJtOD
xGYGpKh+y2yUyCNb2TYmdJzrQMAmBWVkW0zYvkYxwSsk2Q/J08IRIrPDJHBu7srq3bUufP22IYE8
AnbNFqATu+0f+RuJICKgAmieh/dH8LxarP0gjZaPoLo5TM5gfmcApjf0OsAXcAZOH9zKfpDoEWOM
CoYekp4RSK8QaD88TwtHwMz/OEirtvwGVdI3DQagUIAEeYyWR+kOxkCA2ooKOc5CfynIfjgelo3A
WB6m+7/ZlAFUySuTviEi4ohhTG0hH6rS4/CMoCMbSFGJ2E6TwNo9T0BfJ9N+cJ6vHSF0c5jqcnXX
vSl1gyH6opJJvN+KKSCsoZCjhHgo5YA6PQfnl+Lsx+Vh2QiSq08HacG2ZY/Ppoged+YNEk5ypKgi
bFtC+/4C3/GcE4CYGZhoZEPSs6NCR1z0ayTaD8yPlSNs1p8PEptlHOvU6PINsYECGzgXBr0Eu70f
ORioE2AmObWfCgmP196Rna+RaD82P1aOsFkeZvR8qrdk59tSAVsyU2Fgmx+CLvAlzxVHsSOsIKmB
MsJLVF4ly35Yni0d4XJ6mCznMv32xq1R6gjYTSWgLP3weokKUNBAnknE1QO/NqJpXiHQfmieFo6A
WR4mMGtTAH3mbgoDRm3z+AD/c3ez7SukEBI/VaVHEZoAkyahKM35Q4lg7G5eLdd+mMb3NUJr7R6m
6zHtG2LEyBES0PkpGNsbEigKvZ/QfYjRw/sjjJa/kGY/MrtVIzyWhxk5H7911VMCScYgLhZih8jY
18gjKhGYtUfiE7Tqeej8a3n2Y/K4boTK8eVBask24Dy96/TtG3IAFAoCBAgy/Kyk+TwKwIgfYWiU
VkgCZs8xeZ00+3F5vnaEzfr0ILE51beB9jdvyQVAp4BgQkGf5/7g2YZKGoJIYRsvbF8jK/Yaifaj
82PlCJvT5WFisyn6eJN+e3x+3yAKgA5cmwiwVi+jM8GPBMLQeqMekk1IRp/rzOkrJPkJJk8rx5gc
Jnt2DNtS30b94/68ASZwogMgge6McZZpQ8gMjgcOg+wUZRQyv0aU/aD8WDkC5fgwGYDTTVluboO6
vKuqt6QByBE0ZQC9D/bq+2vk/QU0oyEbmqDlyO2/Wp798IyWjzA6PczQ7HSj0zcsOTMbWIBtK+Cz
yOu5/+fqiGDgziCg3qs8vxTnZ9B8v4sxJIdZbN52pJq60G9oyyAe5gJaAB9o/nFn+rZLUAg4gGM/
NAL8yff/WqKfAPN0L2NsDvMkzqlJqzc9u8bgjA00N2EF1crvL3DxzxUGI+hBY9AowLenc144/1+L
8hNMHheOIbk6yHDs+q5I4I4eN+efe37GIN+3Cfw3wgKazTgnXHHIX76/Rv0yr5BkPyJPC0eIXB8m
Iuu7r8WmjDZvCAm0AUIbJhXigQYbHa2BWhkcAN0Wyva3Ob9Gov3Q/Fg5wmZ9mM5lmyovNkkGxea3
bDVj9IhLKIqpxz7Nseps+zihEw146J2ZGxUBXi3Wz1B6cVdjqBYHadjOAv2GzAycTmNwDgBqNA+c
2QghCZ20COCT5CH/h1z0ubv5lTT7gdmtGuFxdqB4FHf+m3ZnUCg1S2jApA+JJOz4C9f/vTsD2gPo
iCo7+6UgPwHjYd0YjsM8sHGjy1uTlvptOTIOrt2mcLx293qJCBSYgRGAvk21vznzVSLtx+bZ0hE8
N8uDtF7ncJ6m7ONm86b9mWDFpIITGw9uHqFx7i+OJJVyWxjYAQjkzXMr9lqp9oP0cvUIp/PDJAA+
BDAb5N2yfFtGE85tcCJBVR4SSjUi0YCjsTEctN0eGvz+Am/0HKfXSrUfp5erRzh9OEx92h15+F+o
QIMXQkAwk8c2tHFcsNU46KSFM547pEbcwOvl2o/VeP0IrUv3IK3fx2oTPD7R/zwjpdAKCIQnxM8P
XRqj9Of7+VsBA24IH6HzKzn2Y7JbNULi42Emo/8LZwSgMoCJVECpPfmY53GbgDME4KAYfay0jWmC
V5xa2I/Lj3sZYXN9mL7npjcwuMt/O0WBVg2ABDianxyHBo4AGp4xTIFAD/HB47V3HYKvEGg/Mk8L
R8DcfD4I83X7l3PEdo55Z8ZefPLvDlFT0CgD3ehwNGMv1wksDjRtAA39WO5kL9EZjTf7uVj7MRot
f3En/59mp/18rtrT8LnJptpMv0+tezZa7a/f/X67MEtvtPQhoNrrfnZ7t/z2+3usbIihn4bhbb/j
RST2x2hCwI81d5uy+v29tZ3OwWDuAySxDGI+hcAFtXA6C96Cnk+OgS/lhAmYQGArADTddqzBQD0O
zwJXBOpAiMApeAFGstyeUYW3KDwG0PWmwMQKJeGgz9O0wHMT95CDP23Hw9/fpXVybnRalb+/BwLj
/bts97mtrDbENfCLIltg4D9AUhAiu918AMMDH8f/k+ucsIzUbGnHUrq1bTXrIq2a+eAF3Sr2c3sx
WCbsXdO2/TfblOLEjljuOxAStR+MqZFTl5m1iUWMTiObqfWQevSKh6H2HZ7xdOKXTKyDuCk/9GGj
r5LSjudR3ehl4nP8xWSenMahCFeS8GnVl/nXpgzDRWfJQjs6bLvCKetsuEVZZLna8zlxvS4il0Wp
o5VK4/TYEzSe17R0aFelp8Ym2lWxl0ysMAlWuCnbZaqTJHETi9MJsXyxSvI6ix0v7s5MJuN5Fkt1
0pd+EzqCd+Sis2q1FjpCp7jX6LSnvdU4jaH5DFjYeI4N8T9hpdUaW9E57nh96hF8NaDeTDD3aifN
mbIclGf0nvZ94LRJz12Jm5S4RVJU56rHzMGhoFPK7K50iljXcztG2be2hYvQgkZOrot4ntYm+piz
kOdOF7NwniVduFBlVU1a1iYTJHrsVpjUN0Zq76yqg/aiMnq4VX3bf0qLml74kewXtA+LNadhdwFz
ZLSLCNGz3LPrY9Tx/GtC627SpL6YZU3czAWO4Db8rnNYlMaLJm2Jk0es/mYp6ujC7l2qsmOS+kvm
Wd201jFyImTSSWl7p0mUJUtLWss4EtHEz81ww5oin+d5Y9/7KjROGVb6uOKsnQPL4C1JEiTneBAD
mSkrjFZBX3rWlA5hfZyxPrz2e60+i5wn01DzbOVlvL3Mmja/Uh7TpwPi6LQtUdc4dUH1jVex8iSs
UXzJDMvmCRyTU06bG7Swu1iEThRTejH0Qp/6PhtmvRBx7FiZFB9SneHGSatcwkA22pzwVqNzVcCz
YvyKe244sPi27rps7XEeL/qupse8yuJ5knH9uZZCf8qzAK9TP7MvEhkPiy7ouzWyGnpMWtssitr4
ZxUz5VU4UOV2SRkvE6teZqnXeo5KbbkmeUY+p3BY/DT3WbTUOM4WYRizxEmiMp61LLDP4qw9JkHL
4HHMi4WFqmkd+BBt1xL1Tt9FeEoyT2xy2t7ZeZcs/T5rnKRP7KXJPTYTMpOTXqTkmrLotm9p5ruW
z8hnIdMr09Dhuiyzfj6gFF2YgPPU6QLPWtlWiQIH6Dq0DhpsY7e1eL4pvSI8F36Uxw4cGFG32pPB
PG1gkT/o+KPUKHEbahVT1ETJcegDiC2lesnrmE8ki5NLQcvqK5yaawqnivAVnP5a+qTlK9Pm8zSV
3B24SFJHx2F0QTGOP9hevOB9W624N6RLFiVmUmZ15NRgLD9XRumlsBNv1muaT0RZdY6XduGHrETs
buhy49IoDNwh6CMnzOzok0BW91GkmXWRkcS4AKhAThFEZJJznJ1bRTdrY54f50UjQ1epmV2Fydwr
W3QKLEs8z+OLxvOaT5bXmknEKb4IkU8XKfRelm7comadoqa4pVUPkjA0aVEn5ga33bSJcW1NA5je
8KkSfZ45GRpi7bSiN9N06P2zoTTR3OqqQTt9bwu3aDquXGm1xvG9flqnQ1k6g6lrOVGq+egPPQud
OFLZJC78HMxcqWMHZiUOx8bq8tM+9dAUY+tTSKJCOr4/0KmOlXDAAiBXFSl3Y0vfRLJFyxiVaGpQ
mDskjMzXmAfDsWcCdWEnki/L0u4SZ/Ct6kJXVjQRInXtNCs3PBTdPES2PEclTyo3SyhaN9IgV3rJ
EDtExnyaUKOuFXiN9cCC4KaQTJ8kQ/NFDRVfgEcc3D4sm3XpMw2PUhuelCFP3aq31ElSs+K8Cr38
NERtfm15Ol6XUZJNDS79GVbGnwwkyKZ2mdObqE3Igldwl4UnzSzoQnI3CL8+bW2VbRjNt86lHtin
IIn1x4rgJna4jtSMhsqf10MQTU3vt66FveAcYw1GXDHbafy8u0Q1bH0a2MOk76tsWnZEHsNpXDuc
dLEJzqgIW3jQcOsqi9k5IFsP896n9TzVXbWM1JB9jGtvrnEWTqPeG86jhrJp1jQoc/oKDaFbWylz
bL+b8dw0a9z4ZKWwH31pcxJNWsKl02BwtxpU/Lj0SLYQWHbGifJCfY4415MkbdGn2Cu8BVimYOlV
ZNITbp8PdWjdZkygVVZJa5b4ojzDOo2XNrO8GWd+eRH3rfzot9KbYZSjy6DRCC4nPMvte4vPaCCK
ddHnX9Ny6G/RUIP5r4tqKJ24Y/68oy2eDFRSh5TWsZ0i0lROWugud2rT2onl4LRGGiyaRhdwHqYA
3x+G/lVtQyDihHUe925KVXWR+3m8MAGotNNlIoqcoSza1BGezO9VkUXLJg6Iw7rWOtEkmfYyTc6b
Jo0WlV1/tgvbd8DW5oEj67b+GlX8s62DDfLqexEPn6XpPqR4SFxraDO4Xp4si1T00yLXVyT3s1UW
CHHVZBG5jsI2vaWKdzeFBwublFvwqOu+KqJV5sNd1KssL/Ommse8ywd+CqFW6nNnIBGyp5qYik25
0cFJB+fqJ3Xb1fI8r/Kefyq5d1/rnspF3LQAnNUHJJtZzdC4nkHzuoeoZ54EmTnVWW6ZzxkYUIi9
VDPBnRfN8qj3k5W0omJStiGZQJAXHWO/T1fQPCM+272df0HC88NzrwviYxHYuLiqgyHw5vEQxUPq
dmU7mNLxKzv8JoOutD7audfZUxw0XuoYS0dmmQtNJ6mF+nmhTDpreHlTCr91is6PJ6gHJCuf3XQW
aRdcZ8Ltk6pewye7mYoFhJNxsNIFO6kVkb6DLGM7kQ9exhKNtYBY5GM6BPE04ESswINYl4Gl/ZNO
xNj1U9yvm8DP1wWguRqq1qkC3W5YpPpVobjllMyq5zjteiett+EWHUjtQPWiONZ6GXmzSPB+0hiv
WsiYMjfKpZ6XMMHa7T12kQxBOQlzy18OzK+Wted5qyIhelUh/4TjOHaRwNlJ4PFq0vsi/1JTHruy
s/u5zhs9C6tSTS0fedNCx2baeizrHBNE4Mi8rHRtgHlRo4w4VUySuY08dM9qD8LoLMp0px04C4a/
cZlyeVOiOhXlbc1EHtkfvZxBxOHqPNZJ7DyfWP0i+r81WV9oP3gYF/701/9cmQR+fR9h/eOH22nj
P/4GHcm7MeV/+Sk47b9lBcrxh7ZJ3NN3/RiWvc2cniZnj1Kx3WDzn+Rpf/nm65I4CZv5V0ncj3ks
PxK/3ZqHJA6OtcKUHkYRHKvAwGtxqEU+JHHwFpwf57aEOVkMAQX5I4eDrgsKPxAKongBM+gg83rM
4eCEBhw9hxSP2zDKhMAYk8e7f4EiZK17cjhoI3iZw0GSCM0FGEbbwqiabYqJXuZwUdgEIR5Uvuh5
H3yqwirNJjyjbe10A8Q1nSiSapbl/XlsyNC6cdC4MKtduRAUZDNIytLQGeiAP3m6TgInTSPuaoXa
u67i1kTCl4MLh5wk9qvzVFqWU9TxF2YVckJrnc1SX5XzniJ/WnSK9w5sol54iW1fhlWbnnQQxKzj
0AYNljUaFiIvPeZ6YVKs4NBQNKmN1zmWiANQ8CJ3wNYWx11ehA5PKETnnR3OWxCOOLTg2VIM2lsa
q6g+pMpnK8gCv4Qitz7pOLGu/DzlDsu7dA4Gx59mfkadTJbZ2dCVcpJ05UUj/W+2FcFNenCnOCAX
jPTRTKkomPQ2tZzQT6s58qP7DBKK1kGqMpMUDdXUzvQwI3mVzfIBrh405ILTDjlaVKeVyalTE3Kh
sbzymvoUeyp1gi69bPMBn3Rtto3N0gZioHb7W3Ji+uSEyeyTl1TEHXDVrcCcf1HcW25dvrPNU6I+
+pLb25zUmMsutIbPUZyiSUaDYBLJrJ7VqG9crSH8Euqqo97UEyF3Io9vRcgdbsNXq7yjczEIdEYj
y5pVTWQu/VLF16av2TXuaDqnaZy5ue/RGYcoAnKgKncClNyXQ3YOFaph4TFrVbE+3xgGLiRTVeME
2iPUpVk8bSXJzuPWXnhykI60q/ysb4LiE4vkFS+1mZuu0HNc9mBWvUhMB6HwQuVcTotYfoyHzMoh
e2g/+szzVywBfsEVfplcEOXVtxbKi9QVOaIXFYnpOtF5gCEACjoJxjYfpnGQXlILd1NapEUwIYZ+
KONKzUrppRNKA+56oDlOqBs9CWKrcZuky9W8yClEEH6GsePr3jghtqVTyYabNcFdfexDdFvP2sKy
PwrW6mOWcPSFwY1Pyr7SbqJDoic27KWZYVl4BTAPPTpu+9yulgZCYMe2w6q/t1J7sOayMMa775Vo
T2NS0MDxUxZNY3CshYNjH+LkEF/+n6H/+T9V8cNoE2QzsI0/p+tGTep/Wvlg76EPGwISMKnAy8Fp
LbRl5h7t/fY4I7QCg93ezUsGz/JA2gG9LrfDqSQsQ+w7M/do8KHgS7Zj4tF2kP93R/F3DD74lOeU
HXw1hgI+HIjBNlwMqS2l94yyU7TnVpRZ2ULq+D4wvppb0niOlqjdRQy7f+Jij2vZdyWY5wCeT3AK
J9dGV4pTlrKhw3Al8BtOgrIvWWo6p/WCGiqTTzi88kpwDWgdgZOLjMmtJM/uya8sb4CwPltUbVS7
Xo3OyiYBH5AP13/7QtADQRgwnhxui4z4zgaCS2WKIVv0ZXQfxdG9Z+n7EP78by5jS4ahcxz6+kY7
V0HSXAZ2ly08q1VTJfPcKQMIIaNO/xdbB8+qgsFoCmbZwKTu0dZlKGEmgDtqvKQ46RDwIZ4h8qRI
w1/c1PabnnHF2wdPckIUzGWjMLNQjvZONIm0KtVmi6BtI4fX/Yfe766x1V9D9ionf72D0APx54tR
ONoNpVtgz+3RbVnYNqCbJgNvAc5blEmxCGXubROTDZJ+4mpWUAf3XvX3H8Xt2D84eS7gYDOw8C/3
kxemJuBYskWWa3NZg7NwbGVF11YI//fX97jdsD9tqC0gBuRQ9AGtfnkpSMfrXpskW1g10HlJnfXT
kCBv5w7+jhZLOKD9dBUwWc91C6gq1lg1sImW6uxjUnTXTdKmq7T477bu2ZVGW9dGSWAaiCcWQVz3
E96Fm8FYsfsK9doOxRptnYLpQBB2w6FMGH0uRo+HgQBTJiZLFllDzCRDjRU5fVZ15wNL+qnyELDY
qsCzHBrWFqjozCSMqZrSnKWrJrc5d1sjuqns/NotTNreikAnrgg9uoQeUTyrRXTfS0aX/oCb00yU
nlNkQ8kdokzumAw+0gdeMkVRS9waPMZCdHly0ReK3ESCmKXthd6XJmn6SZt0EB+JIXJMn6p5G8Lz
HImO+27Z11biRGknJw2QvsuqCtJpDXHetCIivayskK2QGtrb3AMrjysOsnMMVwmZOW5l2YRuIGRg
pj2L0dcwCqBEUoI8FlFsk3hw01EDEatRfnbmk8FMqm0JCFhZzwsdXMeqc3JaqTn3CohrkddNwxwY
RavILDdBcHdDAoYrCUXligrKF54A4xLA1MEp5+ACUtHhWQUUReU2ClOI3xo9D4vBHGMEcbNMcj2X
KrFcKA6RGz9o7OPOx+EXX5r4mreRnuclzT4DvU+Au4cvckSLs89ZwoAy417jxU4gIOB0Ke1B1zvO
LO1YrIivy1bax9KCQNGydPXFg605DsI8O+N1eI8wYFqHnNwkUt8DzeFdVnwwy3ZrGgM4zHPcx8RE
syJGkQ+6reLgHMoL3Yew02wJFr1yvSbR88aPKYS0HNi/mNTpSvtbYovVvl77NFNnIffTe24pvMYm
hE2sYzsF5rWVEphZeOxjoDFXA/LkScBhy4AsgtusIZsC7rN3kzzzr+RA4JZ8KDYBBdqBi82BSfbs
IEwmcdWYwTVDweO5TgnKTnHdZGrCA2CcAy+z1BRoy1K6qYn04HCUFicWVH9uJMSdV10aJfdEBGYF
99hPobLhOTAONV+wEKtrAz0CVzQ18PzYBbK1WzAIZx0VBI2Z1V2iTooOcielCEBQQb3NdjqS+cax
fKjCoZCr6zIvQO0YGiy3YeDihl7JeUWzpnbsuM2C6yq1/GZeyzTcqJZYM5WCHnFhsO9o1cTzsvG6
D0B8NZ+GYojmdlZXUOSwCihOhRm1h+kQyih3itKHPJZDaeProLLyGxlAt4Ct7PEE0o7yYyOq7LMf
MvtY9DHY0M6AsEVt0RVHTPcTiN8tF0eAhB0AhZr7JF11np9CsloSNyrCeyIDdeJhTlcgCJ5hP+kn
FhQi20mQ8GDtRwrKXH6s5qEFCNUUXF9NAd5AQgZsB8q7DJuijiZB1gV3aabsBSTQjdPzgA8nDNef
srJv5jQxSeGoGh6EoZXpqmX6vvSA9MytCrkl1BWh3HRX1YWYBGV3meZkUZnmax30epWknExrKH4d
gysUF0ENSolTEAvhuDltqkJN/Qj0nMnKcwjQpTcSZ8MxUt0sGUTs+kOXVW7SRmXkRDrUDq1ieKjB
KnbnQZz1k7QO1RmFoHKWW6D1UR0DddZknkPLsJ8OBVi3pIWiMN763YzBfZMk3OjSkmeyDe1NDPn1
BW0qvDZ+i69C5tFVV8MTFYFB/VIrD/i0GMqjTQq3b5cDqFEic3VWpXV7W1pFXDg+VJHdANLGC8yB
BmAo3tg2GMqiAPvBA0tcDLqLHFIU/cQTeeo5Nq3lhWei4gS3NViy75FWraDcGKOknoR9CEaM1GbC
W7g0ZGHFQpeycqHXr70N7BRqbzHUqlSJ4AlGZMvkndGsgmpBSyWAkGRnZb6Nqw0xxzHO4GFq86AG
8hoDnShgd7Sn2knCazz9bnXbQH+uIonvUAvWCkpfsWujAa8jr9Lr0O78WdMHkM+3EEk4llXZ69C3
ZyULB7cxBXFtOoBFrEznNgM3H4E0V2eDgEy2Q6JwmVW2bg0IA5eAimIBdckUOGrfcyVP05U31MlF
WYPtsXywHq0CpY8aKJA1UG6BsgZUIvy00WvqEfRV4bo6biwb4lFTn0koLy5Kjpp5CIT7PFG+dQr/
mOAZ1RRqW2FYnvVdUJ164XCjEW1vZNTLieyNnrMBQ3+A0sM0DfLkLLMK7zyOoGBbJBNNg3vje77L
Kv0R9Pm6aJC/INJA3ctPcrdCNDtjfUlicItQOeDsq2Wb2iECnF4E5M7S0kF8nadgeaE+pa5RIvGV
RjgzUBds+2xnZDkrs9kAGEBxk7ZOxDtgoSVL3aaPu3qRwIz7Yp4GyiE4yIBELlWYOn0cgzELIcnL
4REJVeJiH0XLtM2RcmQmtJNGUKqf9A2QPU6cUZ041M8r5NhemydOlpCPZUKSVZvTZGVEhTLXyDpf
0bisJzVOehJPvLwzgh/3LemSAZxPXID9S0TrfchJq9sJgmKkNWe6gTaFNlS06RySeI1csaY2qePx
GkbtuhCLFzXUE1Qh7ss+DIBkgXLqXWZz38HaF8tOigwqsr0qSohubDTNyw7sei9F1Gu3Kiog7bjw
nSJktardUvrhtMqCgkGdpsZNAran/CIjFFWu6eLLNqRd7GSY+xAhAFWunUz0zSqFGuxEZ+grk/Ui
g5qNY/U0cZhtBTPCQb/AcDQXwHtYp5imVjipRAK0HrBrc9BTQh0Tlr1Tx7JakLyupl3ubaLAjqai
JdGUICMnRuT4E/Bh3RoKbAY7nV+gScpIbUE/Bx3WoK7+rR8L/P/YO6/1unUlWz8R+2MAGG7JmZQs
WbLlcIPPXraZSTCHp++fWmvvtqbc0tnn9pwLR0mTJAgUqkaNMTCEudUZYeHNAamlYVykM8dPHry4
JL4Jl/AtYrITqiUxhZMICrnTPPApHyZoIP4ix+PrafwG5T5PRtFtUftDm5NQUTkQ4XmG3a1rLIbO
LE4NG+jOtafxpo8H0wv9ljyhJ7V8tzhGkoT2Sl6RB219xYKXV71TxmloBW8Vakj5X94PCIHloTWn
2D0v1GI7Zg1wP21pPYITXrU5MXXysFcrhnu1sM29PgIvKsPN8pnSEFh7M0kxt2Lut/K9E6Ms40nD
F2lIwio1KDYotuOqSuorQyw1tPPX4ALrRfq/XdCDBcWplRiB+meVU9WS4Ag3LwgozWSERIka5kY1
6l3Wlt96ow72eZeQD0p/unvadqZ6tdxjYk/WIbEKI1J5Ib/VazMe5459/fX7c/50f/BgOVQLsQVI
0ll5oue0Nnwx5KekLMXlMHblLwhErKmph7BShuCd874o6H6GYPf9u9El17Ry7lhbJNopD0EqU8GK
gpKy2FSeHDtVlVGxDPJK2GlwXbVZe5279KH6sUl12A9KnmJFVHZmCte98Er14AhTfHNAcccw4Lej
b1je+0XBMwzVMhePZppmX592xaoyAz+a1txO3hgLa3sXz6pc3pUko9zOIMXX3T+bHPEwqYzdi96s
m5FvG10d9nMWR5MjPjepZ5wM0sbQzxL7INtARnHbc2rba9PlRZ2NSYzr25IbsenJwJl7Nj37xZ1c
nVrpKaDePkojrqEXTW+FgReIBVcBqECM7gnbo1P0/CpDOozKxfTz5AqSZzcmcFXa7aPGDqgz3Lx2
wiWjeEho4n5+/QHtl2NMirJ5GVsBkjhxXg4vVg7RqpiSk+imWJ0KUQfXhlLBV2gT8qqj977cBoYM
HiuxPNJDbX4ZWk4Q7kYZRxBvEvrscdv2YVMMvrOPe006KfL2RP4dXGewDn80ylL9haE6Ctenu/+H
z3n391z4m5b4e2vw907h/5ONyY15yVby75n8gl7672MJ/gep/udn/kUvNTFIAPbGNezJmX/zDfsH
qfa9/wKzZcEFlg1I/MQh/Re91OLoCxBDUDyon/j4sF7+aU3aAi05iOWmPkJRgfPlf4JUn68IDkcF
kX9S1vJXFt/zFRFPs7n6uh5Otj3Q1YafxAYsbOotMThBF3qyrYhhFEW7IHkTQTyLwdK0Nx98UGuO
+YDZeL7qmyZeg3Gd++M02OPeW0p3b6UkZhAAy9Nvr+WfCfyMR/s8xP19Kc7xpW0KeG1urki/73+t
k42WVcr+SIssPRa2NVE6QUZCBdHs/vNLMZSbwAI0lgNmnl9qteZcL0JAOJnnFMLN2uzI8fKon73h
jV2WtvbvgfvpqTbJOmemMileBO557MGiJAMYUOmE42K/h1Tq/ppHdxdXKou8mo5po1QeaVPUb8Cw
ZzH7n4tvoYxZDA/77Dl7mIeKcqw/GrVwocvOyb6yRIPl8L/X0//Ri9uOHLU51hJ6Np5IZ1fpYt/p
xkYN8FuES5FlV10fyrnxxn2mSzbc1y93lpjxUNLelH0kiZy3zYGbz1+ebEbbSax+OMaL24fwRX4i
qf3lx3VJL7C8clWm39h9Xw6jRPkUUOZwPiE52lmipBIYTL5TDxs1T9LxDwpeVlDvX3+ubZh+2+Kf
nsveTnMjCYYI95QO/Zb/wW2xqrzJh6OTjkvoGMZ1bFA2WrYdzWYp33imP43i71c7e2muMOMmlsVw
9MfJotkBgjaWfaizXId1EPRhm+ffX39Ae0vhz5/Q98DREaUHTMizULYkuetPE8vOSlxxC7+4eIzN
gX59vUL1qWOIDM29Ny5+1BSi++H2pn+ppXMa4rY+jkMw7ofZhjg1efqveXaMi8UVFKWqbx7WdqGY
SWJgqmZ9IzBZf3j/W0+No6ql79kvZpzfwZive5ZROg2C8siYclifsxz3huFAX+isJtJ+Pe0cRm9v
w+L7aq7efDdYvn7nwaCMYh0Ht2SM/+z6/3tb4o+3RnzeVrjk19liyILCzVdZ9Me5T/a2SuQubZM5
any333dN3H2cUyeLzMkNil0NY+1yrkh5O1WOOWQOaAijWYW56LKwWSozdCytdqryzbCi/LmKB7t9
Z7urcbHmgKpQ9KDNexKuA3jZ4wAs+NiPvooCJ23APw3vgOt9CmzT+vuhni/7vO3CySiGqFcygIAv
r4CnPg7A7u9ysZDLOSsYMhSY3WT0t3XgrSey2TUEiwerVoW6NpPF/GS0lBhZBW6q5PIrX5z73u/B
WmFOkxAn/S2fXB1en60vF8h2pDxm4lKIgArkbLLOXSwHOW0vvUveGfmQRDSHL6x0/jCsSu+HobT+
4yXJFTmoHgId/R/izfPAFrTz6Adr3h9bpS6sTuwLK/4rqMR161SgZYH7+fUnfLm3+9BafI90F0mb
eMqHfws4JKVjxbvpj9lS6NAGgr6I68nZ+zb44OuXejlNfWQznGtArwk3qnOFTDxAwpnGml3Qp4FR
G42FO/HgvTGAf7wKdoqkKdSzjOHzAaTbYpT0vtnu3NZsw8YLjNPQxP7d6w9jvYxjPA1dYqohD6NA
eXadPDUogzWMrXm26h3c6ezgzmW8c7uqDoXqPFIKJr7pOfFl639q7fhYizx9Kyw5L8IpEiYOx5M+
xxdaUOeeP27T1GJNR687CpQZ+6kJioOasv4gpj71I0es4gJuZ7BvzfpnUU/efd5n0zGW5nhTrqtz
KXOQ2deHxv7jPeH0Bonu6VTYs20lFoZhqMTpjlU8VBdmK/eBOUzhSvPknUJnQK9t0F8KyVIuGmO5
HYCEI5euzi7wq3rnVcXPwprHd7k/79Z1+grZ2o6atNcPSwVsrPtUnmScTJfVUrxDu/FWcvHnB9jq
P4BBRJwb6/H3LFRZbVAu/sSgJst93Hr6MEwi/pgQxSLdeNlOdZYZlZ7bs2O15eWSrN/81PvQtW5w
MWilotlvx31i1sH7evXqD75Yf65SVZcOPZLDpGMg8Dwz2Cvo1bRpo99Ij86hAvIIpsVvT3A2O6e+
4IbrBT6hkcVg2kF12cu52mWGuevTliA/wDDMMvPCqWG/dRp1zOuzwPnjLNgsNCSL0fLOl7u/EEsW
OXS0e5Jeb5Cl/E5adeeJrgqLwPxRF+P8yQNO/qtro34Y4yirbTh5TlIhEOgOttnRbnCFF06pNZWh
Zw+aZpFpHuEyZpHIYuvnUlkWodJDApPvpZkBGhrBJ+1n7ckapXltSKs4rXX9zRvNB3fhQjGdpEhP
QSffGPOXqZuPbRiqXzIE13zB8QED93KVERCarPhUqaM3ZsXOWBH81Kt03sgT/xC2XXJgKk9oPuSK
Z3VSV+Ru1RJ0jprWaZD6dJgsKI5iXoM3rrR90vN8jcdCcEmnW0CuOE/saZgP2lOSmdTGH3LLiT9l
xUo3s1yoJuSSo/wyXcO/VK71FuD1h92X3qLteo7DxkTi/XwZ9jGaSpWZ3XHwli+q9+9mr7k3hfpV
eP13Sl73jQ3qHH7eVg2ernbAQa8U3HCKn18wGI1uTlOmLJyW6n5wyHsW5eyWCqKvM64/6eR/qNNi
3sWLJrkRfhqNXdwiIFzfWD1/nEwQ4/62oDXPt+V06EeZjKzfya/7nak9+LiJSkIjreOItvav1xfr
HzZNpLUOrxlFLHDwWcR2gyyPy2HmJS/tfITQqaJ18JM3asQ/ji8HhXFs3ja8L3hPWWfFtSV0d6RG
biN/nBM6mVkQuQqp49Q5rM5RDDSNGwixihYpaECxn0fjal3dt2Lky6IcttdmvWyyhjj94uxlTwDA
iBdybmbsTVppXnzo2vVmGZc4ikvLiHRXVsfE6+2wzgfzjWV1Drw/zTWyIQabvN0X53Otj0eov5XZ
HhGxJt+1B0k2nNq4v+1SS5bh5NZQa+qBD6BDFEBuGN2GBoyZoaaB3uAlOerBZboZEyemWd33gxXJ
WHY/Xp8Zfwg0mxWSS4wBiX2BxSaGny6ycpujO6v2MIB970XXgJUrmb4xJH+4FLgy5vFIQugCnWM/
aWZ1umm95tivqvwlnIVWdZXQ7Ddc8//ischBJUoDmKlc8GzC60qvvfZFc0Tl3L5HvO4e6sVTV1m7
HWz8GjDyhyDGlYBFSBHhwZ0jFfaKdKgeuFIKs3+nkBQ8lHFj06rr1tCcS4HAKlneCB9/HErqa4Ew
npOsNpf93xOYODarPkhkc1ygtkSlpC+TZqW9a027e+NSdOZe7hBkGjhdbLb/tMrOFpKfi3qA3MUU
Ea3ZHFzUfG2UJmJad4hIqyJy286GPJD3RdQ442QcqByHeb/OnlMi8pUsrtQBY7xQWH092sink11b
5f6w00XhIo1STfIN5N24yR1fdoc4KWgAddUmJ6x4JCfy3NpHwDlKmlITp0MtV/RTg2O6tN66r0UL
WyDOE+uDO9grfBcxS/uQWeXs7hFhJ/bnYLLS8qebAZbEoaaCSa7mpHXUrk3zNvnYFbW1XBQV6Nox
Sa1S7A1TW5flOs/GsRvysXsny2rwb0Q/LOq9CwulOvBvYzqUU9vlcziIIK92EAlEfON71SZhk06d
HQbZFA+jgWCB3rxRn6w2h5GxxK0NxyVJH8sOx95wHkSdXaAXi3XkDzWUqyVPl3hf6gWyUjZSTqaR
G+gJNlA3BfluHuUy7+pxUeZVaXTKBHcotb3TpdySqxTS9TeYeOAlnurnaPVF3T5omRrIanuoKneT
8saHCmZov1+MJvDuzbr04/2wjPFwQRI7Hxp/DtKDQKOnQ6HjdY26DvJW1bJF7Qu1wX8m9DkU+J30
P2ZJU0RzUdZO1Am0z+iGNVwYf3gPznsYRqk/KW0XnwvDN+/7yp1CVWbzyViygmZ8cAuR5lA13WFO
vOpeeYCoIon3+VqlR1vk0y4P8vIQD+OlMy5TZCOjzXIX7edgq92Qzc6hdJwfwjGm/VgtHffQekcX
/fE+EKl7FMFah2TMa5ihhrnqEKF993qIS2JYsrDyxm9r48rT6MxrOCKUkykdP9Pdu8i372RQtnvL
rNK73JnWCFWmdeWXRXLjTLwPqoWUlqN6nFdH0jGz3qcp/DxE7epCBSKP5iwfSCrQaxTsEruu89b3
eTFfNL3ow3RdJL/ltzno0jyJ9jKfZ3u3mnmzn/u2CDNIbHBo0IVPTrJDnuHfKV/cl0Yy763JTw4r
XKxoQYaxU/ZiH1dS13sVF/pr5XfmdZV4dEX7xoUa07dw8JoqMnqavz6A9RHBjLxoi2ANvUrNF46Z
2hfd4iE5mcdLBB6HVGrrkMvlc2kOzecqVSdPiod0WD7LWVX7yQwA6gb1uXSNGGZSXvoX4+AhfzQa
tVul8SEPfHXZKSfduXHt703am7yHZg1FFqy7hLrhPm2N8a6JW/++g1AXTk533S/KQya7SboNDqBr
IFL7Tp/CSirLU1X64y/R9UO4pNMKwpWPab8u0VA31epQmttmG6t9nQb9h7z2kzW0mTyfSsRl885r
qCPYTAkSGe3WL2iV8nfNxCzLFrScfm5dmAM0QKOG3uRaq3/FX+r9zILYK6yel+7aX6Z46r4sSet1
TbjYSkz5bu3s9othOQczixFwGjb3fPQMu/5rhs6qT04OMXJX+q0H3622PP/aMNweowXPb+OwoLlo
XALPmh0gbZOe2paRQupfFbvVL8cPCaj+nV1k9gdVVnl6MWVuu5dB2ryzJts/1Ok4rSG6/fkySTvz
u2sq8knwXb33VrO40myyf/UQWtz9ZowSZZNMHfRmnfsgxlz9CgD3B8TpbknxrUZzty7+/JE+U/mr
1S0+BUvZWV8r5HE7SjR5G1S2/pIG1bTrkm459mQsH3x09V/Gjs9ZjGLe173dXD6RO9O5EheclNl9
AoXbhGNdsqKvGpgJiRM0n5PYb/5qtMgP+Ww0n73GTk8ZjOviApuS/JAuZvdJ1s1CfYi1ys5Vsux3
AypnZPu2IaPcFDhouK6MMhKui6GRaO2BkPdUpUF7yKmbylOpa76/T+PxsVFTvO59iQQtDOJJpVFt
iiaAxhs4MN2SYpuDxnSJC0fyYJYJrCuvHexDx3AajxXqxyHydB4kVxCFuVU3Hx9Hex6mm1ip+Db1
4SHUpl5v6t73r0UCM1o7GgqYmboPY2/LFRqX11y6Oklus6nTX4Hu7D3Ambylod+4+6ou18M6zPlh
qmdRHj3Pi2+LQo9epCXeFiyihkXF2wWEby7zMhC3XpLo7+0Yt+/F2lofupTxTrMci4qlWo5+wqAa
rViuDKbmey1b/V1uFWZUuased3mTpfCIZXrCs4CPNYb5zmpFc6mtLLhex05/7xfdfh4TxnX1vOYv
2KkQZdYhYVibqlSXMWjEcQj67kcwdfJWrI0xYb4RxLdzKmFdTG5ZLj/WDFnQzA4MpaEI0cCr5dpi
W9bw8CA6GMmm/4irJKuIUIPqQjxJrA/aWuRtKmv1UbtJ/M6VQ/3Vjd18h5PLClfIWJUVjnhJ/JCD
Y9OT95vLpTXVLjaG8WqTK5/wM54/+kZGXIxVenI0P61NI74d0NitYeJLMvAKXestngfFRZurUoVI
OPJsl+aTukzKnm9QY7B5QkxFv8tWDQdvZZ0DY1XdJ8wnll++N3Y/vFjISKmluLDafpvlQ6IHei62
fEjLZHwUdT94kOq5yUKa+b3ft/qbkyXugxGseIToakpuF7esLKTbVfu5aNb5zne74dHUc36fbq/b
xq3hWmYWFDkxcqHcWA6bm6kdkmQkt6Jj1OCJLHdmbCy/zBWyizELWaEN9dU9nFRx0ZhJde1C0r1P
6zW/J2WfPwYmHZl1GhEyri2Q+N4ok+WXp4H5kBolCl6ztLo2RNw/VZFr1F5FJF8hnqaGq+5FQskV
6qFrlotyHN2EZ2cmrUbTEnohe4w7YlZyW+RZbUWltdZ3hpMB4kJB5F2bnZ+MF65T+1WEec+vGgkt
VhJmmUVNOUHEqDPrUcR62o1TZ/10x2wYIpZe855osf6q7Uy3kWtXSx61mRx+2v6wSt4ZKltDa4bF
ZSfvjuaUW22I+gwrIrsw7oPeJJp57vhz1n7zvlcVwH9j63f9uOgvM0Ya763ej2+VC0u/D6D9wwNy
LohjQYufAusbAnf/qUFhar5vDb8jxtf55iSz1Aye73g31MTqoAfVEsTQ8IOb9s5AQ9jxv64wbd+p
UsfHsSjGE6w8Xg3b5rXTihyKuBend0/UTV2J7mOrR+QVa/Krj2t90J3WeqdG7XyXAQxZoYsV1jEk
Q9uZkbuOjnu0GK+QjqbY5VBVYT855XJvle18RxIyhZXI1KNdxAJbk/qhD8QNFhYpvUgzpZZp2900
BNm7BvzHHJLxMit1y2Vz99acSutd4sHSczc27mymxs3sGnDaFqkeXAX5PEDCFRN0y3UjYcOYQeh9
IdP+clyWYpeyNm/MeGqvsVSqLuOkWkJSfVLAgPYfEOq3QCbNRe5V832O5c6PsRCXTWpahDSf35yu
2VeupaO5F1fznIlP5NtmuJhz/T2Ytj5T3R8SkOWLRiFgiZqEhHTM6uWTP0/xvVkl08FDd+bWRbML
JgwVwrSpT/60fgP/K7/kJXJg9hwGyTZETKCnwom8ZRFJlOV5d5EbJuRlZZi3eSn0oRsgnJUKjyiB
lcF7/uIByivjw9AYLqEuiO+HjosMUnl3g4nuGWAaLyJPiW94ZLmPbtcXpzT1HufMLI/ApQl5IKlc
WG7S2zqdkpvUB7ipLftCIfT+nphqOoy+YR7xZVl3fjo4u2lkMXY66cMpByqMl8W9IrkQnyD+Hys5
1weWEwEYlukaxi4a36AIgl9jPtifZi2sd0EZrLAWSvFBYwYTzeSwB0ns4tG64tGSHrS4kbckx25u
Dh55Ydj2bbzHCEv/XGk12ZGOoXE3GdMAxxRom8Zc4SKm9ZKEosy6aNZZG9FACDGzQRLkuST0Is6+
ZfgyXcZTdeqxSspCKQzk35hxrchB+tQoDyzFQ4rnFYmalCRk3vCuFFJ9LPI6SmcxYmXhmRlK9j69
98123eWl4191C9JvZSb7RBYQ7Z1W3pZa1nWUTIFF06JYL5alhnIsDbYdlHs5Cw4BkY7n7LbInKQO
m2wtWHdtRVlaGBnLiB7aeBOoPvtc2sI9cjJLxZYzYxPSrBpIY0iN+S5QTnO9AGZT1Xljihyixbor
wDLrHsrtZYsR0EmNaIL8Lr8peMtXXTV5RP26oDk6YQgzdf01uO8Sul12smYj+AzDFx24wRGz1RCV
mOtEjXbHKPMqGM8jyoLP8yLai9r2vlur+1O1dfOVjLX4WnRlTdDCvcQrpHFwxiHe9x5c+MUlYymW
1qLpHfRrFM8q0aRD82m00SldGk49id3omZ138nILg4FKuPWtMcWQ9arFq2+Bb2oztP0MrvgAVxM1
jiWzr2WZVe+hZZbv8YHJizBdCKBZMvU/ig5ufdVlCVw5c9WRbfCBDSyAS9lm9cMi0P9/bsl4eG8p
RU6JIpRdAl+6i0L77CjBrL+wW4KdrQW+boD+fKlWqf2B/JjKFH2duIzzuftR5nX/oxs6QAREZOWv
XFSgCt3aq69ml1nf86Rlp6/FMt91zay+YvtEES5UagSRXlX3w5Aa6Zm9jgGi/FxWD0UzExi6ZJ5q
qNSIjw4imEA0hjlheiT2QIJTV0X9kLgDEpsgrtVXaUl+JtBz0e68LMjlTlQm06hylj7fQXrN632G
ntrfVbC0PIqYmYtmqai6q3SVPXWjWY1WEk16SuMDySufvBqYGV2ICfhxl4hgMY7GsqUAPR1SFT6p
k7LEFNXObfGuiwrl8paMla0ugvGP5q4dYVrHQ7ppQmKJDGrYVHZD46AZmoQDJ/JpMOVoxEOIDtRK
oxVOLuo/a8VGiXqiPjoBvEincbs8Agti6GF9Vw8S/lh1LNIMuAdmQUqBmc/5SVugQLd2Izc5nFzl
1dL29YOcYFTwCum3RpNqeL7ck+AhrYb5f9XBYhiP5QLx4yYY+/HX6IKNhoMtdXLjGlbyIV9GGwvA
qvpUQrp+n3tBoyKtffPDlCApOs3A8OpWDJvMwR5N7pGsnLtOK8XLc5e5Muj/1Yg8eCesXbD/BFGm
IxjF0ej5/rWyux8p1UsacrObB+LY/UyzLkOMhO6VBkaA18HRzFN7jgqT9ROi9sHDowL/u5zQ/+D9
V/dkdDIROrsw3RYQpaW3gtNfk0ropPD3LX7WYP+KysFUeVj5A7Qqe53X4jYZHTNqthSywJSuDwu4
gR+tDDFOU9TmJT3p9jSVg/O+jP35Gi5T+riuyfRxssX4dxvs/3NQ/3Y4/et3D9t/GcduDqBP4oB/
A8MvGKhntrD/w0N9+rl/+SW4/4XYwEFjjJD5b3uDf1iooKqbHTSCAA5PkdAb6IX9Q0LF5B4geztX
DY7m5pvT/W1wanHcJ3wgaB3Q8pjYtvefMFDP2rnbFS3bDFz6mp6LQ+E5CbSwsrayplz+JMfoBzST
Wmja4aYe0/VRykHn37CyAZ2tmqVbxA79iYSEZNTK/B5XraiMqLbn3LsEl14GADujak5TUBbdTSFL
bSwkxbPc6s4+Q29rYA+ZwZkCUrd+ejM2K/dFgqPVN9+XWv3llMSUd7FL6xwJnMUKKiJB3VreJpaJ
W84uLmS7sdjwSiuvLawBueW4LK3lyi4dBP1GN27S0v8E6+ekTvwJMKhz4Qrx+mxza7P9RqbxrDId
Ejfxf+JjWGXNqS9FIeCQj13rndaOvGeK1lQX6S+CQGqrw+uXP+uvcX1IF1tHC/ksb+qFWQLVs4/8
zE1/ZFbu5IiWaqIyeVRgG012aMlr237XJliN0UkUxqqrO+I40rHIEkjBnEt4VBXanxofnpZcT/oN
X3vjJp+3CzB+wvmJ7RYWELXPS6Ncv7E77Gnd+ntFnsGsyBgPTDHGxewXeeUoyUzq4gHD4DKTJIxR
S8KEPI7q3EAJ2SS8v20uQbqgPknXYrwSUHnrt1gg1vMG4XajGzeY9rNve5AYzvtRWPAhQgUz/I41
oGvgnNp3uhjumrVHQRJNzdJwc4ZXjnytXpqyXnZ+vi7Gw6S1uuiCtgCygGSDbKhMmgpJaYXnFF4B
gzSN4t5FH4h1Hrq0TUBrG9liVZfmGhR8ap4ij2ve6NRsTZ//6eRDXYQPJWgKwRYSsL3O+zRzkho2
TQ3jh2u0I2SbGCNHrzkAO/cQGKu2d92vORZr/Rvs5+cdsKfrYvoFmY2eJ4yg8+vqYam92nD8H/HC
anep2HXRfU6EwvyWfTAdUoROCdTKMElqDh9447HPX6OJigTKLha1AvrZC4ODWI6pYc6J8wNvLK9x
IjnRFPxGCDMwGSLbKd6lhlVbN07eLMND3pkmmBEHmxUMyutT/3lXjoFA0oIjCx5nG4v+Rce5h+KU
LfR3/lLBWsn2WDe6xIMUpXAXLMfFb2feyuuXfPnwPlxbAWeVI9FwPD+jhyVeoopsMdsfwp2Ir4fF
clcrRx40DXAL4Y0I9yuWuraNrQr8R/drjRkWMugxBaOc3pgIz6kk24KCQYtQSmLss62ts/CIfMmn
QbjO32dKQkYXGwGTuzDnyZFGOLfOaDxoO2+22dhP9fZHCrb0xl1Y5wHIRL4kiJIEaihqLyRvcbBm
MtC98Z3D67zSOMGa3QIiMrGkq6NhyiDNRWnZLbYOARscxkamZjI84FGM82BlWG31EGC43Fa7RqI/
vKcMqrrvr7+5M4Ih6wWbMBzyNioRVBRu9mwzKdkgR4R4X0l2ZSZhm/uSW1FqCII2wuvZILSr5e81
XAyCrw1Pkxr2hs+X5ql33IbMFXe1t6aVOI8l8GNIRiQgGGR/pvPZqyRZ70qV1PgYtYxis3e63Bc3
cLlovTrdsBC8AjUW62OZzMvihQDBaL4jws7k3sfNqgwklUCDj60xdO47P3W3BIEavcQfIB/kFkzr
zgkI+MvoyfFeUxqvjytMZ2wDzKLYNq2UWEk4rasg4T+xtiAT8Ut88mBDyWzhj241QXt3WnZAEi6w
Pz+Vz3FKgtE8XT7wAUAx1KvnjI+oSR6489Sottyg17LMv9EFqRp9wFvZGh+EU6/9dQv8i5q5KFsb
69NYlfMpxkE1/lL5lRKPozlabAmeH5NnjE1Vk6K8PjfOAwmj/0TH8DdVB3XV2dRw1FLFVqCLr6tV
djSIZmpCDcm6zmraIkMzsapev+L50sVBH10cOhmyUnaQ8yt2rdklU+lMX5x12CYjHPht+tudl7OF
uGMj3a8qwzoUdaw99F1882QA2b6RPGzp7LM9DK4MACjhE7UJqqQXoh1giYZueflYiqrsnbCvcdr/
WTdJQ+6Q5HACMCr26vQOQ4+Y/EAnsgZ88nt7pCD1vKkYw96Om6tC+e7D7GCet4TdZLkjbHLDTKNG
UrpeMYng7WVwzSjCBdS2bWtOTOZhPSbscRcqy/ttnx7RcNyiG/E0ao28dea3tJDnWQgkZlQunLiD
tIYU/wXBN3dVgpy+8z6OQ2WSxMq2tUlix3Wbt/A/hDgl1jQzbec8cPhjgxy2xMTV25R2hmyy1YOa
3e0/7SZd8X9Kte1sCU1DuY6zTzHqLqU1vOSsOjVhqLL5Qfklq9OzGpbR63PpTAIC7QviNGGTqMYb
hDlyxutrnKpc66yyP/p94rC2egwmuYHecIZt6T6tY9zUFu6NwxO2JU6s3EJKCz8o/2YkFmm8hYcs
/1U3mHF8K4LME6d0KrZxaJapdt/hGsB3pdCQN4ehuHS7Q254rXPQUHOdLlrI7njcNx7tLNfh0fDn
oRRnqUBYJOt4HrR77FW8YqiXj048bpGqbxum1lqsaf1Xb/q5TbMUl8v10bOrLZstjRqwHQiiLGgr
r6Vr9fEhcIxh+kiu1DIck5c5zD7oh0STCtiJKSamQm/RbSBsnlJbT4S1nh2JC6a9MvkXNZbFUJSx
YCh6hPNGHyH0yVgSSWBn/Ovv8dlC4XbE7r8L27u/M8r/XcPH6/1vys6suU4k7fNfZWLu6WBfIt6Z
iDlwFm1Hm6WydUNIlpsdkoSEhE8/Pyx3d9k1UZ63Lkph++gASS7P8l98CB6cX/BkLGw3fsVWWfPq
+hQNjU9TE6BFcPgIsuw81FMVk1nmWfu7beGX42i7JEJjwCQ5lkxoS78cR+B+CWSEDj4NCgTN67iM
IxOKSJ3xcUvhdt4+nY0Ojwjo4QsDXiPNTILBpscozVLX413go3ZZHtLRDdkMWJDTg8SQiROgMVj4
o245qH68tgxMAEOp67BlrbCKttdBPXF7EdR/LX5ESxlNG2ym4068Cmmh58oftzz170cbyO/PeyIP
vx0CbBLA/8lZfo2viZ0GFJT18inPF586NGRDR8TpbKbl2bdXVy77PkfzlX42hJMyp1CNSPilWStH
e0hw5L1xJbPGcG/QckUpA+kknX01MaQ4zalyfTS22q5+d8H9yoem8xv5Oq9WPd+6E01BGguAZjY6
ENnegNrn7IVYn/Q5qlk7vzEb6xp5citK2lZGVlzqUUkKqjrsV6qh7SRdTUm5mlgM0yrnpd5pwyvd
8hDZlnIf/Xpc3Cw2tYUA+VFEc24B3lhSxKbHHN+BOg7Wel5X0lqmorjQKMHTOhtE6R8oyWYOGDRD
r5/AU9rFs3LrLE0cd7SteCFL6qicZ0iZ0He06d7AhctOge2MCX3lGbX+qAVtbs3o2x7g4YW5uRdV
17hPSF8g4PQUdabWn/SonfHGGBBq2tDJgXoHmuzLpzWYMrggouusfLiPqNNVx7SgunFYOxfNtV0E
k93O40CuQx++WU0Ztu+5LbpJY4IwLv23SI3zbMZVTT+zPNF57L0wIWj2av+YNkblnyMrMKrqOPnC
Hur8Wx62zsgoa8sJpXsD3mViSq+WpOVz7/jm6Jv7tnWFCC4QE0IW5pqeT9Vn+3LKxnm6nr00K4pD
6jaz8h7S1nb6C78EahUemCs+2BgxrSbhZz2ExRztMsP1+zHJU7mWy8WcDUZeHOcCYF0HV2l22WAn
USjvc2co3xsumByzkSJYQNhinZUg6op2I9rt2r+tgU/yY/z4S6Moav4N0IXL5dBXd/u3VfWRTZPR
lyKzt3aHEaBRU3qVgmzTgueraQpN27lo0q7ncTLH41B51emCSUpcojHlZbcLNXIR3JWpUc71Iagc
wxYXlUJ2a7r1S8crol0fRVtmHMjRy6vnAOCGsV65bg2Zbg84mS37hl27z70rw0llUF9bRY/NyF1Z
zmWY7ueSjSADYmShOROzZW23tEwG4m17M0OIqk9w4SlRf2pH0/DazzZiWlyvKem1PSkALxDpyMYY
WXrUBSdIbKHcxJdw/4Qsu76PtpjeBV2zJQa51Tr+gc7JNmJOPVb86IZ8NB7bJti2fHcaszCIaXt2
TACq1bZPp1o2fE58PGpOuZ3h60vAJAFnyZBytTq3yMiAWW6vxxJubnt/WLXexrl1I6CyiaEMyasw
AGvm7re+J6Hp4bMURFrxHFrgWCDM5R4CDkx51avnsYTB0zJeRr52x1ytrqVvwjLYbrngTYv10Wdm
cQWHf+rfsMbZJpgvje3Ne4vB39VRsw3NNFl8lCMW4RLuYcLEl2f88TxSOk7/RsEt5++QD+38x8pz
08iJXRSd+HoR5BZj8WP2pOsQ8ZVBaWwPl47L98EAfM37+xHjRvQjtj85g1dhTgAs7fHHUBsfH//X
IH98jkzRrm4CWzTcgNUa+fRW4bxTSDTo6J/om57KPdfKbCcrzEfKZVkX7byPF9Wt08hUo06mZHYB
7HRJvU3UZFr826hRHaNE763mI7ag0gOUPnLAnuwqc9mC3qyB48AaDTKzf4s+RrATrCD2tY9nym1A
evBVO5CW1mkB6s+vmR+v9mN6IDJdMz6+W/Abe4+eIN+o/SVnnmaW3C6Tu7nPXy5dbwb5E10cV42X
PKmzDe/HRFpxX+AuecjtW6xCDvwepD2H2TWM+XbrHwOKgQTKTHFXO50bgK712qq8WKHeaXHMtrqK
uZ8LnC+ma3BAW5lgmHm/EN/s/g2JpZbpA8y02R5eoofn3w7UsrcvtKfthztlIT/Q/d6WQ7N62/23
yodE9qTqjC406ush35v3joXzTDUsgTVe0ZXf5gqdnGgMjj+GPEKljtuBU1vxJZwAHRcvRVFxzk8W
1hXmE5FbGU4JdhNji0/UkKVc3EMUjJRprAUVNkCOW5mD15Sri6DLtuWsOF/5u2pRfhkeKoJFvVyi
7lDr7oTj0dZYqyO3bqZdOmQUr8CFKT6fj/3AD4JGrz7jyMX/l4am34tnzhZ1lZ5afn2eqjGlKDDL
kqtbedZNzz6gTrIAVIy2uY8vi0+RWDu9zQ4TSpRHMRRrOGKbvTbguw8XXsRRpb+Y6JGy32Q1QOTq
9KOcDJEtl+CZ85p89+viDlgZoW+VMxxH5/ua6TvsnHjt6Vyl67OTw5UenzBYymf/BD5ne3QdZQND
5Ai9VjxRBZDS2/urabHLjRKMcptYWmyzhuryNsU/qni0xwF97yxlb887FoXND8kE5/N9QUHOwPpo
pboZuXbVRjgTFeCnbhxh0bJP/MXactjJUwPz6qPIghxbLdODanuZ2hdZ2gNW3aErudWpNtEfqka9
5yL/ckzptPq0ssmd8NehuU0e2lSoFiORhmQiRXiswxAPSxw/pYd+HhZ2mvJArrcNniqcrVRAT7ii
Fl/WbcavywX2o/gyE57hGTWng5TFOXLKrUjVKY67G4hmjj/eoyXfLOlepyWeJwd/Fl49JJQukBze
BRSB/Bc3Qz8BjTzOal7+agD+Sw9+22zHRuOl25iDNLeYfB8jWY4d9VCnMFGsu5xX4Pv0S1c1G4+S
YJqqwir6yH9hv2V+GbNYGYESO4VtGokWNPSB9HKrUtWwObdaQNR0s3jxoyXvrTcoqn599v1eLOnB
tbthNP4Jta/U6Z4Tzam93VBThTXisLYC+Uz/AM7AJzQKyizbSN9OjtAlUqlO/x5NxdTbX4Y0pDRx
lJWamgi11nWonldX2S5AA04H/MxGy+qIKQMksJSlmOVNGdnxxF8a4LCCmc6UTn48yce77EVJgTD2
POzqeKzv2w3Qq23/i5Zs202I/rfFC9x4+0T7vYaclmhLIWtnmQafWJCl4EfqUJ1o9mTuW4W9qFPB
Us6IFtPzOi6W2Jcs1G1VRs32Lz+mLDElOxGqa9s/fVRlt+3UyGKpkW8NdpYtzfBO5RACut1sArd4
cZc1jeyLGT1Hfikz1q0cONAn4gduROwW/Woyv12TKviZLsN251VBp/Hlx4VQjOJI65kqxuNHxtYW
5Rrg8NUK5d5XHxtW9VFo7JFTZzYY0He3e5S+dN2kQY0QMnHe+8p4VGDDeeZxpos3XRZ2toVxuau5
RjDV222p7wvO6CrOkR0uetsiF/bWZkzaWW9zMkhx/6Glng9t0+zzsmY1Hj4GhK7NtulVob+FWO5g
GeVVbjt45fym8PVLQk8th/2BGYzmVeBbf2kC5SM1ZLpL9mPedT53HWSZZjVscABgb+62guqJwksO
q6Lf7v032d3Pud12eX8r3yOIBweJhftzPQGaTGfMQ0Cp6mNrLKkBcxfkAaykv7/UL60CVpOJ8B7X
omTF//2t9Pan5uWMSGyYEkr+a46YlQYE1YvUBT4c0TlhR/bz7aWqouQNQ6txeWU/Nse/v5efy3wo
5TB/NkJ7uHE/mef2z/eSTo5N+bbMHiN6O/5L4VlbPD4g2urs147Q+Xfj/NcLorlC4cAP0SThXf9S
UQXlgwQs2gEPmJ5wUGQVJ/5FsOB9RFnz+8r++wf8laDNE1K73dxC8a+3aEf8ckFdly4OKbX/8GPH
mHPEXHPEbp3F8w7aHcIJ+V60/O/V7Cxl0ih8/F5cR7I1GMOKXuRvqnLWzzOdMSeV2vifuKHC0KRh
9POYL5FpzMHi9A/1x6KaietY41rhhAKuLpwKXkHuqoWVGcF04Q56A6AMkH3h9Art1Z7M/uBhTedx
lLO1QOrvRc/HWR+pdcaji3wynj+aP+Jjm/37Yf31NfLioHOa6OZQkrX+okLEuduPQKOmM8TObWda
vwdCYvBadb8YoXJ/w2j9f13P21Rhtv9gSf4yZgGgRl6wqc4/jj2d5X25MxGS9joUl4vsv1Vag5lr
4RxAZZGNm6X6l+3AmVMq0VNRnj+OJYLk7W0EVc26aAfIK7+jYG/7y396xtRnYWQyUTdQCs1D/vzz
pJiXVRdy9apT0Bqy8uKgaQLnxZcsmN8twb9eile3SetAlSTJ/HWra1K7WVTmZ6ePUGRCmYK9Rtt9
w4+/nyY/oBh/erCNfhuw5CkXbu3hv5BNTZO+DJZ+w1GutpkPe9vTW09cwUdXHZ49LW3VuBtARw/R
rklXssXd6GWjBdMqaoDgZHFXCSo/17ZL7cG8a1IPjsNpITbwunOqi8rSS5zatJy+DH3fkAZJ+IVt
v29qtdpjbHamPzRJKD1KbdcOKiKOj6Xt934eGkmT4dymbWP1+qZC8T0CMqMmv7CoiZRANU4kGkGB
ujmcBV7FjwAlMPi1HHjjvE0FInRkL3f+923sI9WoZpOte84R6/XwVdRbGDBPtkFA29kheUK7gfwe
CbF8FZydod6COeNjBxRAGVjtpggtqFfAKEHo79pBRi30LRHUpQKF/FHy6Dk20cX+CGS+R1B01mbG
d+3D7RAP+onKErlFhSA3qklcsqnIKqZLk25FkQFAbAbyKer5dVk/OYS9kXP2FwDo4qL0IRZSDBgm
eKXx8pGHRfMyYFaaV6qh7EoFJqDLAD1uxNElNtCVmhEL7eHpevZd1EcimPdZ77te/8lbELfrPtFv
2DpaxICm7Z9hQdJE+IRQL2aOCSAk2smHXPaWVUJMIOj850LqOYSXnq9n+8Xy9DKGZ8pmqbhvI+j0
9r5sgfWRCbNx6DGWI9wVG+7OwrtNZm1vYlXYplLtiwnNLC+MF3dJ5+sKagPYa8Ajc0E2HYWSvmiR
o4KADu04Q95qqiVPUpeAu901QdvIzy2VF0NhJe0HREM/9qIe9ErmX4cN+3Z5gLjkA4T9EWdR+N7i
xKUdt0PnY2rU36PBNkBagog6ApchdpM0fSSO0K7sAm7DruCez5UxRZ/YxLvwUbSRUR+aAuI5dgbZ
/OgtBf6dMO/w5XQn51RgJ3gBm2A6UcnoHgKJ7bQGuI8t9FgDWXQn+SllUp/czAMczerL30op6s+Z
WXSJjiyUJrAdRC2MSmc82y1uBcJ86SqWYzsLfzMYFkmABypv1zTkAcy0uy+7Qt2uZQ2vn7N73IeL
iQVaNfjN11yoRxu+xRVKVdlVMw04kg2UoIFDZKepU1GSR3N4H4i8B4UjivdigKtY5yIDct22iZdG
/SVuA80BQiBd4FZ4MJVwh24RJGmDw8xXXoTkY2+gvdURlFL63keQKStt1WhaRaUH68DsHgU6eitW
cGY/7IBQZ0+zXsPXGs8BUnnVfJpDu9ib9mheuiZMYOxaDOfapUx3kOMA67EM0nuKhwWomdGJ3i1a
PeQzlrAeJrvMiwPUYGNvDc34MEwuBQe2gmTAb/nSGSS+vV4zh9hQRGkefi4mO1ouQCCor4ONr8G+
UwIKdwYdadlNaDV8C0cvwAg8NeRlEwFHSFxrLO/15FTkSU135Q0jBFV8i7tXsxwE1pOueTX41jZD
oY3RQ82m+VITzt6YQTVdUP02LguUXuwkZPd7t+bZaXfrGqIhMoIr/DKLfv7WG4aO7cJaX6EWdzaI
AgF8cF0HZi5y+5jaWZ2EJL7Olb70FVp2OxN5+fNiBWzEpFTxNDu1c4nQZC0upe7lwRbKvvJqJLWp
9D57M9areFaeXYvlMw1qTCgtYsaZ6WYKEm/pHOR/x/Yscld+WYQmJjNpb2fDTlVgIOB7FJkndoZy
3Fc6093Osev2CCcE31azGe81an73Qw6IO67GMXvq86X/jCVEgxe4VjpGaQhLu5L7o+MaUnNj4el8
jV0dzneRPeRgjtcJ6kMjVvTozeYZWVyscMVk3Uc0ES6ELXEHhUdy6Rat+zqEvr4uqfdPtB1cxUXT
cZcqoycjVTjHhRhb7Gqril6lQVCThMRnMCnKob/zZ786sNGjOoEOfXAarS6/A1UHtmPO5ZPdtQL5
PW0dSzH5r3Djn2by5Ke1b9bwCD8TNaG+yb4tDMgxhzig9oSByyMacR7UCLenY1tlcMLzCQ5XVIlj
TxxqYdkxRE8RagVvDk4Zn2B2dm9Yt67fFBMcVkFn37gAC8BO+7hJ6358JL40gFm307UBtf5lxTP9
6NQwBeOWcvIZqTiXs0yzI5llEVIPgsl4CmjMxGJoy2PlKfkEtsfh/if7EuK2cyh9Z/hCXa6/i1r0
za2ljh6bRq5X2VBCtA7YckmDm+LcuuZ4KZU737Ww5z9JZB++OhXmATu7X6azuzQsHmpat5Yzqist
g/mimDWs4w7/jmMKeSshPQZhSdkjuliR+b9O01zer3hnPIWUTr70awgvOcszDK9kcLNaxgji0C8O
dZR613S4LSceG4T8QpibDvNdtgdMpLu7ihL8XaY70ccgQ8yDnMv+ixiVm5Fcr+s1upzqClhhRXWg
6T7hHhs17NkNnn9BFZ4sen7xJFb3Npwyh8q8NN6N1Aawdb14SIxFWNJqYl24s5S0w+vKc6Zg3Jsd
KHXw5pFIr2dDZHdUWdDkcpf2uR7lK7+TUegtrOehIYIpVVCedVQCAoQ5XlxGnbBflJGqzUtzNtFe
CdRTYU9Tj774ZjYb5VZw5aadDA+R2bTRZZOHIqGPC1Ufuf85QSuvCXblOkbYsztpe+4M+v1XaBYE
jLVvzqO87qOJRo+lpTVftC72Co52jfugjQoR+1ri+pNHQj6gKD01uCl2S37VFFVXJIZsPXB5aWoZ
R5ibw/qAPbJU+XELPcwkwpeg7ipGrYPrclmRk8s6tgIil9hrVDrdUC2Bz4Q7QPZpDtZugUpc+9dg
21IIFBYh4tVIIj4+46m8onC/wy9o9KBFmhmUwfQ0jX5w6dnabMtPq7OkNuRw3ZuRukQFuDcvQpQU
lmNfIwKR5NPgqccIXxmk0W1cVuROGrDDqthwI/1YOKBmdnbu1vfdYhnrcSbRRBMSOrV5DbcWOqAt
qePfBDXbaQKcdU06KluXpY1RIzo61eVoLHqA8YR7dbTCbGta1EsS6jRNtaG0hO01t+PoliFOv37p
1/CAFPYD+y6kvRkra8Fe2sUrKb9GnR2DzaalzBuvo+6hnTYLjZ9AldUJ0Qmv22c0Cm+qgjJpgpmQ
PjnIdoWJH5o51Bq/lNZFlWFzB5nUC5adPdP99kd7PKPMrYO4KVMXUWQXMhdu25n/bOGo8T5t1uKO
FMgg4CRpIc495bbCLsTXudHF9OaBos27IPcfFsPtAgIzFS5FHbOTIoTPyzOwHP7KJoSy5j4X6CV6
WW8hrgcX0AryvbB153k3ljH56olmbpOeyj50X7NpeoFukT1luXjJIuGVO9KE5nEG27FPw1QeTQ4P
k03Cl7S/gvWqxvfijHGqOky5hGjUixVPJ0DVYtc0XvMo29pPpETCTYWFy/46jc3XMUvXQ9AhyNXD
0bqhwxiasYVtU5+sHDbuXTTkziO6WVKiFEGth/nAhEGvvJjfMYir7kXfDuF+gE9+PXQtnm39MCL6
odEquqBqnCFF1OjoounKPrHbvj5Ufeo9tpVp7aMRg4IqRaPFrrR7ZQuall2GJQwOJBmEUzudXlsV
qOOqbRvJsIBDODGjqR/2wsIvFPzgPF4IOae7CF0O+JhVhsabP0xiF1lNCuIbQKS6GHwebr9Q5H5c
U1m8p/S9+01ibkokixKVwaWSZ055Dv8CX4MEm576nVtIHzh1kBrBlThWLb5KZZFZL1Te9AHQTnTs
zKg5BCIo7wwox/GEZdFns22e6hIkWEbidggQI/vSzfbY7dBu6b44Ziovle1gu5tKXYZxQXH0EhkT
HhpH64Nb6Ckm2XVuS9KSywmNma9V7gQvVZpZn5FSm68nOreJJ/ruwqFk/EzxHWN69jQtdhCf+xsf
6WbiVjbHbRK6X10Yi3BY22Y7tbU9vHXwO4s9Ijk0Qikmd/5F67VFFw9YxY/0mlY81vpgLq3YqdlH
dr5RlN5NLQb7LUdeA62LmnvYlbCnwrjie2H8I9aBPonwLnDksYNkRGIEdp3B8X2JTsL4hyBry+NK
OI75wsE7o1RjhPN0MsbKT0ZRGqei9+ynDTdwsFDgUDD7IP5CySzf1IQaLjuSoQ+dSkFDdannXNO6
k1cCN416B7vOltd6UOKtskddbFItBLbFVOuvI8If8siiJE9TsAHd94muFY4M5TTt23JysJHBgJfD
Va8E88BGv8FSm9JDE+TjlYskB7ks4ciY1GlveHujb0Dom+vkPY9DXX8JxKTjanCGpDaN3jyrObAe
6a6FEaggYridP855fZwJqrCSMtt5r/scaaFeR4SeoDiM7uzkM9JhCmYn4h+N6Yk9nGxw7iBSmESx
mzd56VbTIZt8WilNtXGFxxSiOGksdEYokDYxtdOm6+d2UG11a3fWPCRkFWnFlhYhkyxiaeGjtRwN
0y5bF6s2Jw2xcukL57VGxcvAswfqX5keaJhV2ryp8s7vophsW7sIMa55M6BRwYHrLUlO/yqsdwru
hYt/FYpBTXW1hEhlYKalSMBwJZ6oDqHECykjUgepsHP8nGWoPmXJzFKhjQIbx2khYCIx4o+HjFit
vVC5MjA/3kx0vH0O/qnBsaqn1/aYmja9l6MAKDW2iVxcwyzvSiUq3oNrAJdSJUhmegATmHAe/1tj
RIHJOA5luyToNWnvs0eXKX/8KNYaYms4jDXyfY+GbaVaXGEvsbXuwQtsfRDW4Rq84xRiav8I4ntl
vfXWEBVflJhzAxGpkEKXQWablrPPEcF2PD6rnIJCeD0SUOqzWUbm4sYqG1RfHVe6W7wtjryyK98c
iHhTkyDArJb2ylE83orZFSiLIQb04mz2ISO21+gFAVQtnEtTqX7pwCEVIzEOuUPWH+AjluzHBnZ/
FSikGxswF6G7iNgxlwgJoTF0j8UYNMsiqMJOVFKLGEiVQrZon7XaLeq9QFe7Q61Htl14vRL6hfvU
qPH/241TGiEyYbl95O6DZXXcI32/5lmEqn4yQNeMO7uDfIYpH2tnD9qkeTcxhlnp0pi5rPadP0SI
9UlwKnq32j3Nx9VXuGzCibmM0E2580DHnqgDF9edmTpxZfvqprSWpdkLpwGsNUU0goVRP5aRnoOL
nhAu2DmtWJC3aueqPcrRBMWoQzGjUGVO1buA3o4Fq9x4lnCQEQYcnXV5GApj1gQIRr0nAiVDROvd
844IhY5NkjahfkPvQy9iZ2Vzbz2EVQGddi7a9qvEDFjuhnIiNWhXYyIbkaWV7wkn5HBSuChN75mB
dKsRE1HbbbxWeXaApwWL/9AoKwScY/fRxhZ3Uf1xkZ45WUMXfKnRHrCGOEht1HMoKBYeGWqwDOcG
vUmV2Kanxs9AH4BN7KQAZReD6egnAiTLBldEceuckXljA9UTh99oGm6YAzvYfAeVX18aGU4vA8Br
qFBg60QDdMNe1JCErRfRkjLG/AjLiBcT6MzYOWDrTr2o+zJWFMzeVgALzI00uleG2fGcq0C7SOi7
hZeduFEaRvsSbMU3A/ASxcNSZNcG2/DwQnI55/dB2cgt6kLV+0QE419KN/CKN7ZIZzk6k1s+IBid
3gCTzN4zaTHyiCRo4GqpojKyYje3E4U5P4XaU3ezrHMeARrb5qPUdOymAQ7yuvKiB4vyYZBEZTej
fD256IGDjfljdlx4hF41uCfUKND6mKX3iCxpdxjt1vzsy8FCBBwcIlozKwj9YV12sHCWM5xK7MVt
NaBYvqtbAPJRMUXTRYYzLdt8i5n9Lktnze3iXAk0gmw4Fm2w2Ac6RPRZEQYuhiSbnImtF840VZgR
LVS4ztnQExSgJHbjKKGuM1T2wsT0MhEcAEKIT7MORlDHY8tTggYIXpCgQ/epIQC/7Y0t4h0wZW13
xNRLgaNNGgFHqfoiR7MtLEFeUS65WxsqALvVF8LfVxMAu8Qxm2K/9prfyTzgdMBGGpFMjvjnPGB4
aqeDjufRW74E7BbTlR5bKZK6n9DOgkOsuJzn9SQEBVWgxu5unDq1r8K8rgJgQikSStJKIzSAcvtt
qYvqUhtiuAOrV8ZgwOxXOGyqpc8QREtceAMqDQHui0ui5qUcdrXEU2+v8iKs2X+lU1+Vlr14h9Gf
vWfkHIQ+U7mqHIoBXYNQv2isTSQqW3YNQIxzB8LE3Af465AURDasBrj/XrNvrBIKt6flHHNuEtUR
nye5I/twGzf/dnZmytCO3aXnsG6czz0oi2w3qfqLg6LBZ4k+1y4vWmqPICoBSmUTU76WXzJjNjNi
K23EBpHHjVSQ8QbqLigAKeNClizqTf4vuB3V2F2OXg/XQwbVNXWB4GSkZvhMxbgImAaZ/ybs1dlr
1xweJrnYF9WAwBXqpeG8RWtmA3SmpcQTDEN4GtA39pM1MgicGrj1yG7YU/0AW7ZIJMWtRDLVXZQS
PbUnfLGu2qVD4qCcLdxKF/0ZVQlrJwZlQuDD960J6/SfwIrNxPXc8Skk3D9abmq9dSDQP5v8iofC
BgMH5P8znJvwRtPkP4ppZNWF6hWA8ngnlLmku3BETYl1sN7hXIh4g7RQl+I8kC1pxuAkYQA4hd++
nntb/lFS7EhCTaLSd0WLvlhudc9GWLuPZQ43PkYV0rgQosV/egfSsnKcr4ui+i/3laAeJN84oKoG
yZ8QPkvwmYwWA+cH6Q6d692OCAayyw94LoNNkj38Z0ACeimbnl4DDcfu1l2A0ixHXAE38JTTmXrM
UWfLm3K9AMi9jE9poWfvq9e6XXUqu7AZ3ThFonI0knDy3FmyeVWgWehpgY8oI6vwzQTgnbUSNoYm
pn+y8qWpL9SiqWLufFujoeO2c/iCUeTIptILRHJq9jEvN/HGm1pwComx+FkGoAX97Qk4MmE8qKoF
LjSLBhi76wEFzUX3zUT6PBgSGpoA9faDmJcKuYW1yCrQQthRbiBy5mBPGyQrs9Xs7ycnHElhCkf7
Uj534ZxOZUIjNiTvgzJU6PJclt2Ag9sw+4jf7k3hqKF/U9U6WcuOb9mE1ufOJSTbrSJnZzil0ORQ
4KVivT2J62dmVB/zTE9B/4cystVGfzANK/4NLHzg6ysED0iYr8plSGsfISC8BabDb9pzm776f5pz
NP8gUOPDToxJV9oH+PBz17E1yTlKLaKvZgmL5EfX2/Yrj/aTxOoPtOccTqgfmI0rbVR4ZA0RaVfT
Rxni0UGJ7qn83uj6+/v6udvLbQX06WFwIoFK85Be0c+3VXgL1KSsCN6rTmyNFpQnNuBHU6GRQzTe
0S77TaPy5578dkXfMhmNjcFKy/dX8ViKhuFowpf4hkP3dsXpA1XjeK2kNT8EuasAwU2mRiA/L0qa
lR+v4r+l5nD81p1fm2/Df22/9W/fsf/9Xz/96VOH9HXztx+5Kb7Kbuj+Of76qZ++F3uzH3e3aSj8
9AfclYtxuVff5PLwbVD1+P0esm/d9sn/33/8Hx/SCx9qDq/vDZZYxYC01dfxz2oOlmlCs/g36+Uv
cg7/p359e23o3n982yYA8fEr//ITc/+B+wEEIB8YgsUaZgr/y08s/IcL7MOhl29TOKOf/28pB8fD
TyzY/DhMIDg065gPtJLH/H/9T8f8hw2xH1s8YAYoP0XWf0fN4ddeO9+y4U8sSHRbB/zXmVxawnYH
xzVOkWG4JQDXZT2pyB0+/WlMfssEQp2eywRESngGOibc618WzIoW3EIx3zgBWLFQ28RRlPQovG1m
OPO/WSrbnvCfPeP7tWCjwnCHMA944LtK8Z/gS7wLULoYsp8Wq4tuTX8zifU2L/XV1HcC6crfQSOc
XyW8ebxg01nwTHheFozMbRv70yV1NXg9QMX0hM5wSpm978ZrGlKoHHWU2D2CjTl6xnDOsQ+ohk5U
ehB0WY4+NaT22HuYq3vT5GKFrREYFWUhT1Gn0ZDBghb5I4AXlK6H6Pjds35e8UNr/MXGekpvWlK4
19cVZNnakOOTtTnaQ1EVB8jkxTldUNhCMgsbdSdr8+PSE4IU2QARaByae/TK1m80eNfnvHLlM/p9
N6Zaiv0c1G2saB6cVtupblyk+cM4Lx11bw9II63O2t2uzlw+2WaBLK6Z1gevz1uCw2aKsdqdT2aX
wqxde/sYTiYIGKh4eyunmlWPznAVWGN3JoUBGks48GrWmXGq/a08KY351CPhk+1cHaU+xxHSqEOI
dIe/NppW15qrndnPxNAydA/mYMsvRWWgv5ig0xwMJEEfsquR912ENW9FeQjagFxtTpnnsZnDZyeg
b9o3JQPxpYRl8QdCS/ZDxImHbpI5RO9lCG1oB7wY2cLGXroK5EOhDxLpSDqLdMpRg8LFAmEgt741
a0pZMeiA7jqAmnS1ULF4DpcVUmhaIIRK/+ISgjOtQpeS2y1A34dcF2ac6nJ5yEHR7vEQkV+gyE2H
DvXdQzj5yBlq+FXvsmnyY97mXxdZiiQDoniVRSH9eGv18mY/MDh5m9Y3fd2sf0B1N+4dhDCuzRU4
7G7Q1v9l70yW5DbSpfsq9wUgwxyI5cWQUw2sicWiNrDihHkOjE9/D0rqFsnulkz2b/5Fb9TWEouZ
lQkgIvxzP16g1k66FtJRHoN0avB9uplzjgnOsXLW9BuvWXENi3b8kgyu+lQYO2d5Sza3jjSVyQsf
wUCqx/3cweyekfhu61JHjhHlF91aZnbe9lWsqcUviuS9HNhPdnFbHjXISLiMq4WNNADIBvZ+QMzI
9UWrrnIAo6hIKsEWpnv5Kw60mD8sfrViwHRIVCuTNrd7iOfSvHbT4Q5q+Wz4ngcKTU7cPQv7ZCgN
NtYKAxhjJbSD02vqhlDl9kmBiAn4Zp1PQDCLdxwssJ1tSj10RIACfA4PWIyzCADlizb21q25pTDY
12241cS2RbN058e6ptc5MeR0WCv7vp6rD8KKG/OUoU1P8HaZF6yfazfDBBFP416IPmJagcXmtWbu
bwgLITUKBZZ1cwQyuZagQ6+9uVyXM30n0C+ClLGNTsE6G6vnYpiJJWBwGmka5YNouhC89pA/2YQH
ElXuVX3eND+JlVYvaQwiYSCNFgMaD3uZ73Q6DF/l1fVxnvACvSxQCClvXgsT5dabBz3MwEV5hyEf
ss4mFKLw7BfzljxMhbMHutpsApbaMdDyG6wv812C8kuhbet2Q3olY21iWIxd3/lotswD8bXVsZZG
pCWl+ZxjCncOKJ+O+CIWRE9sCCSOLsUKsaF/LIB9VRxE5FB81Jy2eJQTKMgeSvb+YgLSoq7KZxGv
2u6SNuPVn0cXvNsywSCbt2kGbbkT3B1loeqacXdtLItzMisN+hkZP06d1SaNJzNtdhR8t/9rEbvx
47qO82cgnyiitVHTvcq549yUOGj80UY+LMbSPrfQ0i4cDqgxqMatDqq9e9FHxG6uOttmWiUmYRwM
l/6Zss/QLVupgnrQIbfh7OAcuBfCMjmsgk5p9eM2ELX0nVobOYxPc3W/WHb71WYnec0b2XllGNLR
t2W1hWROyjTqiSifmfrLd6WTua9lxdGf5NZE4HkQ1f3eLYdjgDwLOG5CQykfhoK/5vXls6WrhW74
3CV4uVXNY1Kl+Cso+h5p+m7oAOW+LcO3dfxv7QL/XzZ4P+wU/9N28v/DXSATNbYZ/3kXSB6p6V+/
NN9vA3/7md+3gUw/f8Hc67Fts3Z01ne1soYuf4EqhNOa3YMkyfTHNtCmVpYNImZWXE1sHb+DelkQ
wiBLSYzRBBAEf8nf2gbu/tTvNk30ufL4RAwHcQRDjCPXjzsY8NUtCNJNu0K66XJ5ACbmreNLP0nI
wpdcrwRuE2izXpofxQDAxrm2ZFnhnYMy7AgaPpsV+P9lFxEL66bWONIxlESQTCgqwbkFJfg4Frla
4mPhAXrOrp1knhDPNv5tPJ5I1vBa79GOob4nwAZpoUlBWlbIQLgkPAEfmRqFgJEq89QLXk5IhYU1
Q8NEH4JF/tGsgYEHzB0Y7D5CNGCPGHl2Mot7oOxjKt9lmYpmdNC9s8jD6Rg4Y43ZqBx7EArsG3ic
EvxtOu/3xtD/3jV/dXbiq/+zu+Z/4bA09Y9np7cf+edNw51hY3Lm3Avw4m0r//vZyTA4V3Go+s04
L7k1/jg7Cc5O/JSHgR3X8g83DYQ8zKuo+xahAizuf+eeIRL/001DPTHvi4ve1Hk//2Ldp3tnGJbC
nUmxthhUXfRjVZU7dBaA5lXTTh5YmLyj83M8FsQ0K/0DNkvkmKJuq+HJrGy19di9LOLAJeXz7UwD
8ARkxnvMXGRqF0JYXmdvNWULc2cbEFnFrEeup1ybZ43pASGQajoz/KmGCYkYWVa1N3W5Aqid6IBA
6fba+tpBRLlwFJn0c565681qx/FTbnUtvlL3hfr46Tg3k9jT9STgwdBe5xVqEwBg1hLHKcyn1M1Y
grKUxd6X1YwmCDxDRmQvKcco+42jjlu6y8PG7O5Vb01W0VoN0w24JGaaZqpYx/tpzDY8jYleHutl
Ko8LBete6MgmO7tU4YhbmgimPBhWnW2kpqHXuu2qjqovptHXdhxaWtnAQeN+PuQbjS5MPGr+4p1N
DQxziqd3Jt16H9W8Gg8zBLvp2KicVPowsL9K8HuwH03WzR+Kqg9zp5teCBOuz/HWgDrtk65dzktD
yodZk8MvypxwNF/gZnXk4Q0qVUzaFGyjmCI3aTuo60Z/PRPq332n2IhhUsDzhALvnF1W72cJp/ja
VDTMHbOczO0hHXp8wBOXegjhZNXvO7eITDYO1dFSZRy4jbP3iuRKECnLc41TIe5DH6xX34T6iGCI
maI6ka1KQ6wYo3cw53nmmZY3AVrYlBxWbKJ80EnbOoExlPM3GN3660ZqhnYO7sbDfiSJCIqtryBQ
pXkg++0cKWdtH426T6+gDZQvDb5yP9YnYw5agOUgMniIh2Yv3pFu7MPRTOMIsxSRbpRDg4vGWIwp
SpKyO9AKs0Sp6OW7xelw9sX9GIwIoJdUxovwG6sqADlYOCWddOQIkWvNmXiPeVYVtlJwmPGv3A2Y
Fgnxy0/00hocggc1FcdEdZRalNl4nvtKHHArCHiGdTw8MuD4rM+OFlIVvIWQxRhfcAdk50YwcMTv
uEwySFzPuK5cyOBF6ngf96P4cRpSN/adgZUidCb6fgZ2lVY4xN0TVt7+tvP07VOpKopjumR9HrO2
OsUb29lA03QJPlpD6p/avZa5Werbji5CDrRNTs+LOWVx4GBlCQ1g+O/dpIOzrcn6jNcs+aA4rjFs
UnH5UNitGQw0fxwx7hxVQ9agB/TNptcu9Hu45tRkkC2QhwbuK3gqJzbiq7cR8eio9h1IYkkQTi+/
1kaxnlEJmmDZkyeU00i/jtXnXM/skJT1HDgYhE47WAAHifm6zOsHoq0UWBeJXGhMMkVfhMwa+B6h
JQFBH927ecA5xsuSbB3X/jed5r+r4l+sigjV5p9Kindf65p+K2xQ2Q9r4+8/+PviKOxfiDZ79Gmy
cWMJ+m5H6ekgYtHA9gSby4bT+GNxtM1f+FfY49D7IO+xtfxDWJS/CMMhL4lOiZoFvudvrY5vkafv
tpQ2x3GbzB47X/RFMra79PidKMYIbtiqVl9PDkxnZoP7UBfha+bIDRFGRtCHsLBWVdZXh1lBmPfN
oe/PttcY+mHrsK0GKfYbGXTw7h3c+I6r8eROxrCXn5laxe9m14WouRpMvDIMyYS8PIzE1FwNCAOQ
Zze8h3gpLUKh9NusLd6GNKZCpSeNftQMs3nuh7W/rHmX3hqkIiOhbdv72NSszLcxQkW91Ns8SvE+
PzKMWeqT3kkY6Maii1cYq24dFJijc7/h+AA2oaVwi20rz4u0PlFcnX3VDEqbZ4gIN8ymxAs+8nwM
pSbt67QqOSoaYuB5jbjIwGB0EjMi5OncwaIrryZL5u+yJlU3E7fh0YjzDbtBTMagUdMSMfPBpS2S
fNqfM0mwLCyEWu8yfq0qON34cHV/Kh3rvdfzMRsa2TCfR7d+qd1kjJjg2CfT3MERhGBQpmyDmLes
7sCkuExqt+pe38oGN47Xv0tpkjKxYhT1xRFmG+TeFgfFnPIYlqZOpMWrbmphJFA0YPSDFSraLWdv
on8whFDXY2O/DCSmHo1hqL2j18e4lsGcJngYybsf8a5Yz0tZ0MQ2Wt6Riouc6e4WxzfM67JwtXSQ
4XhQbxxnGh72hrc8cimhudC+ozPxRKuyK+NBTHfYoWtGXnZ3tBP9zh7H3QDXmNatoQ3jRwwJyfu+
spZ3iCuEnio3AuUDDqsqNMyePH8ZGJUXZsLxtWxB0ju6sm+QmT5k8w4/avQCQ+u4948l6Auj00UI
ddVp1pk/NYYKiiLPH+Kx09+N2iDCeNk7tEGfF+B4o8rmGZyOehOy3agyX04NrlC83IfRrYpvcp4/
M3PXDg2JHAbVqjQeuMhZlJalO7NGVRDspRUZnkPJGdit0K2d+4arDaOxvMJqw/zJo79LS4eXjSAO
lAJ0sZTJg++AcDthDCCjO+KKM0Yc1yzq2gt5v+Tclmn34JRty7bQkRfhDR3twOka9Qa2xRLDwq01
dVw3XLaQrlCejzQ0wI2vmVPvZLwiwHflROy4l4cV1wGdvRmesKNrV2tivPdiRJfDII3ZYtk3YILh
/57TJPXYowECaCmCQtN8NM3CITfEaubQ19bR0vdMPCfJI93Jsyvmr+JeeWmcfljsrVLE+vPSOtSy
QSfH9rjy+hN0BG81P0irRTwqc9IPQU+8ad+0NZrzskiAz+eZbmF06GZjtaZBY7NxHDVaPz1OWWbP
jwxWR/YnSaLl1m1h6VP+EWNev9UhDsaaPWfq7GGzFu9zOA2QOUIusyT5CHs6KYM8NTK+H62puDzn
ZgUPgqcgSX2q4vn1sZeh3pV57XkRcUZVJCfiYvbHXTNXn0UhjcL9yGckx4lzKW4DjHGWs7CSF8ri
fwiGnMkMgUv2Ux1G3lNdjKRr9c4y3cBUPSV3pmYs0X9Vn7cJ4l+s1A7N2X92fg1eAXRjnfxxmf7t
p/5xhOWcaljQADmHmgB/9/X2H0dY0/6FY6q+Y+recJpMjX4nubNK6wa5Uo9oL7vwt8ngP8Z/4N8t
/kLh6b8dcP/W+O8ntqwDuNUFUYgHQFhMGs39vP79Iq0Ag7Ud3Uu39WwB+51x57BLB8NEl+A83fN8
Wy/5MtVFpOuF+qgae3pf2MMCU0LW3YfvPr1/MyX8l+T5W2pb7qFfBhD7UPTHd4Msu/eljdOt2dXG
bUKrI48Z0WAyXiYFFWma7fGjYMud+X3lqY6mg56jKNAmYTNkE/UXqRQ1OzJNMduVpfGecLpnHFfX
ib8aMKOW36biyJQMk//NOzZ/mp/un58NdQ/dDn2byeZPuW87wy4N1ETdQkVLktCF7fZ+snGyHJRY
Gx6F62LQDCZQoTfhYtdaC906VniDDGzqNI6kyzAYtGK1NHeorMGhWaUMWETvFOCSmjy9K0bSLpgu
h5Cglnwe0u4KDhy1NhlL303Wp1N1/PPv4UezwX5RoJ7pgi/C5dpgLfnxa0AJw1TZlsMtqHL53CQe
VS52sT8125qarnnp5WMbG+XLn7/sj66KPdMu2Huy2UEb3P+xv63vNowY8BO7HZL6tvY24xbK1XhL
qBhuWJw+//kr7Wrmd1vTt1eSQCJxU6Csin3r/P0r0ZC1ssFMm1sipPYrmMO+PFIrvpp+0aaR3gFg
Cix99WhAtJy5+quL5mexdR/466bDFJ/ZPk+Hn15eCCvDysF4VnSFA9x+dF4L9OXyCHptiDAlNrRT
8dUf57KbCQgWjfiKqxlqnlzt68W1ej1g+kriKBcEE6y+NZmbeev6tdWo7NQ1olABsordn1Cjt/Ev
Buw/j7t3+AB2FNMABcDeHlfKjx+fzmpfO06s3RhjXL1mmPkS39AKVdu+tUIkvsxpVnwCtEX+c+sA
EmE0ygKskeKbYsbWBCsl29jC8ulr1lviC6Wvqbj8+VcMp+LnLxkSKBeRi6oNwBGl7sd36fZepvdE
Ym/QXtpYeiFFyNtxZzTKg2JqB0Sn0++nanVGePOpwExfI/H07bHcD+VF2VUPLY0Uiy/KOfkw59Qi
oUUov0XaeE92zwtjKDvMu/cTPw5u9hNxPtS38y4JdLs4kDBDzGnS2TUDc0qrExmv8sHMk7uEzN7C
Ei+6WwT3J/WmPLi7CGFkVDWHvT1utELPXn5d7oIFSpR9SXcRY3vTM2Y9xVnHNZ+dtTfFY97FD2OX
QbZ8+dwOnXocQfzgZq2UYJjUjWc4++ZTlxoz9EmhoaxsaRF/km96S1Z32q/jLsK07YBtkZDn2ehk
+SWbWnp9EVKKx+xNw5l2OaffhZ11l3gM25TvyDAtET667mC8aUGlw2mAzC0Aw2Da5aJqsBCOWslR
gvBqCIpJnVhqzJkmHcQmT4nyZan09MrsZfvo4JI/UienUabpVtur5zZ9NOhLvh2mwksOGoepV+I+
8zewDChdQBQ4RdVvCtiyi2HWLoutbwpZv4tlmA7og+WPAq7ZtTRUNHQ1annQ2ERMk5Z4U97sXYSz
3vS4HmUusXeNbt7luuxNucvfVDzrTdFbLLFcu5iayxgwS6eqiprZPYD3hS2qaW4fh1lbdkOz7HmU
N5/NtcqVRd+XGsdWv1WFgnOAYb7bjiAdVEw2PmN8l5v0QekQ3c/5ajHhGPkOqIHudI50xDXotq7j
mPUQ38TM8aOYEz3oS0VtUcoYmLRzsYo5DdellOraHZTFFTXHjTHMwchaeHC1NI/fTdw6bhIw6cBH
YVgg3A91mfXSxwjIBCdaSEwx25TUXPs0R9c2AIwY6lwqQfcf5lKUeA9idgUHp06qLfA2hydmbRYk
jau01xA5hzUZ7nDow2tqksz7RomfyPRQb0wFEMAbvVsHbSm+1JZQwuG0uAzdtp4GRNSeAF1CY2AU
D9PWIVEOdXZYS7daT/owVG3gmJiSA7E4a3nsAW5qAV+r+UFrK+p6iagUSIlFpWuUsukaCW1F41PO
qbg6W71UZVQAc3rYRibKBwRI07hK53TA6iFShOpj3E9t/chibF1wW5rFYWx5BxTVlnsdrLFsmCTz
tZ1vKo9jEA3AddtDizDGS09jTxkmsYVGIaCzIAYLzuZ+jVawfcXpIl0yXYq8G+hhKgsNtLkTNsKC
vXtRdFaYNRl1yGNMZxem4FbCJp1zO7AASm2Yo3Pmc3ht7IPRUsPF25WijQzqT5ozZeQzNdjSThHv
+HOYV3A+cPkkgHaWOSOIQoZK+7XHQ7xCweM+Mm8NWrMBeHjUeFpPazmb463bSloha7y2N0zHWJIS
/JT8gCTYYx0AxRr1R9JZdXrpACIuh2F2tuwKVrV6srFovlL3TEjDM7h4gebB3ogGd0P1JzSRwyix
gHQHSBdRBij1Y4mtw/RzNIxHrKTzp7ZPLdJaM63MHv0j5Ea9mL/HKRtQuXU/Gbfk4Sz7flCO8WQo
Uk/+7HKEDxSA0SWaqCulEplYIfFeQY7iHTXm8rnWu/3izHPqt0RJEfEdxXfK49C0jzHSueaNNeTA
jStWMPmM4Zeru+Ip2YeeISlOU4OMzbu8J+n/YHoU+54XO5/HG7VwfvNjGrzvnEJz6TKeK166abYN
h4xZqY2wuth/+f2tzzyfeF+Y3W9tp+a3GDuoen5aNMUWyGLi1mnLpMjuaziyBDlHdgUJ/41nqqnq
9F1n2Cv+a6tNdb5uvBfjDeXeZBkyfeyILsL0sqJ16sz9ocHNFPAb8QAhuLXvk1VdPRPlkhfoTZnn
g2ItuC5IxL7ONbkkf+kxI1lq0YerhG1uzvQKptCjx2pxHGrduO1k0n20IaJ0O+4zMy+Nl8jxiuoH
fPRrLzoCl0Cjjq3Jx7rHidfPRVk4d8s4EDXpKBMpPsxMeYYTEc7qG6jJ/RmSdfThcQ7wrCiDkDEc
8OfJD5oeV4eKZk/cXDaPubWf04cMEssVObncCR2zN2HglY4tfJK78rnPtSmJSrPmNtm02JJnu26M
7mvFA3m9oKFyb5C+5xrJHUJfB2JgU8QiM3dXRj9ydEaRUhMrrTXpbL27/NdegjbRVrbpl02q3vgC
amMdKJgyxESS3+SvWipjBzTMkIrOFDeTzNQwkYN0plzxZlkFAacJP5onhpNdYbQ+bfMOXiEjO2zH
lirK5qZ2F/taU4SIopRy5OkqgUmcBp4zVOkTO5Hhiw5TB/qKyIbJL9JhZqA3T17HKrB2jyWh4+zF
aDbLm3wAAcX6vlXku/nLgBIwh8G7f9Hidv7EAEdDyxGDW5wzSE/3C8r+duzJ9WZRtu1zucxUuXW3
FOXm3FZuu4eH20l3b2wjhYqysrsZopmsM5ggr6aelPADKpY3DGVkLNbSh1OJLeW4gfPmrdpLIsI1
JhgVxAwyuw/EOYynPN07FFnp5DPXejXc1ZK5xWE0WwkJk/JGFJnxI6jj2TNwlE3ivUO6eA5n1EMb
/EMJkL2LKVRiceeKjlpKPrsDBwcGbRlqCg68vk2tO5LypXveVWZ+r2XRkpui16gDrgYihz67sVHd
lCUGSb+HLXoYUq9IQfHo+nntbO77FUsuEnCcipu3Xel/Zx5/oaQIRhTf7d//xUVNNUv99bPKPo/q
BwvN24/9Y+Bh/LLP8w0Xxz2HUg6d/5RShPWLwDiDVVtg78VlzInkOynFQUtgSIr9eJ+T/HPgYeu/
SDjUjseyvOP3/qaT2v5JC2DgYXFsZdzBA8VhwPKTFsCuhMlLk02nhlKW0KQ4Kkq3WgaOUi+rW3zy
0BKhsWwq4hQtA5xbg78sa8EDilpLXXlP3uQVFw1u980ylteTt7MLNBc1pLd8RiHsUHJmmeseCiRq
umEIqPSwS2gegCklD63UMrZCoww429+3mGJCxu+Eum2viIyOwGaClW3Hx9ADiycu0PVOD/NieJlK
+TQ6GR2TbWOSVc0/0dCshyVlGeSJNxL8k+jP7dS/GB6dr5szWbA2HC2CC/uMCv9ANcWnqeflXad9
KRtks0Th8YSsFiAy3BspVgSTYmom+guwkL57cWmM99XusJ01fr2a9TpYCFOHkybOfe+doSIqtoB8
NBNb0kRV9CvkxTez0BbfpdPbb7x+CPWOv7Sc+AhsHKj8CnwMuneusmEI2ckxCdV5D1Nra1EKIsAf
U7M55TYG6Qbcc+h2Lv+1sO9nb1TR/pO5jVaTSaLHm+nWfrLyEbSApyJHGdt90pT3ktldVA68JDtC
58qxO97+TJ/82PGGrL0xXt+S95Aj4QEIasBlU39bazqjO6uHMhGvRTgXKztzWSaf41Iz+Bzkk9R1
FVl12QaDTrpxjy8d2Kd4kKUnk6JyOTyBiCiwgrsQbLRyO5CL3U6zx6dn8WDnKSnOnqE9vV0kWbd6
4Wp3Q9gKrgM2ZPfV5JFk0iVEKWNix8k/yKXfTxlvKskL+2xpPc6vnDxpAw7mIqQymW/vV5Hiz+Kq
uc0GgyFxM5iRmNI8cGOXYwmLoY8BhSpgx7nlev62SMJ9hAA8v5yzT8QP+O43/l8eI2VTiVSHs/JI
yU4NP7MPqwaj9UJTtNsNECwZ9EP/8vZ9U1JKBLjksgIfux2SlEuG9AtffYdzbHS98qIbyTducq5q
fGHsa7g6PcGl0uz3AmP39X1JT6DvesSzmbZhsZfUH7dFdjvyceHbeFo5CURzx31CK1B8mTFb3qSC
u0OK4UWAKAlcwTfsjVxMHnfj24dRt9wUs8YfbYvqE2xjM4rZ9FxKE1A1I5E2KIshvqy1NB6ITdJc
jLmHRN06ccBsW+jIJnNIRkph1dt8pPrEe0jS4cobtOWYoMtdWx396p3azKgAfkRNjQX1h0rremy4
yrCTsq+vixvP5EYlDwrDaUo526xJGencJ9jSs/spdW7fbi8r37aTbowm2UQ8NyMuFygjlMrqFV+3
nUoKtVO9Pi66VUSAILgNC+Svt+9Wq/j1tbi+dgGq8wjhEqjbTnLK5rN5u8qhA2+Hpu3lcUjsIuJk
IA+YYcqQbHYbvF0A+xXOLX6f2RuUppXHmCSNG9mb3E5vX7MaYWWpnstogfcQTbkRv7aZo52clF91
Y6sL1snQTqD7eXoRO4YiyldgFN8Sjk7Yirh7dI27mbGKDMzaiC96P9bXnDqXW2dxjt6cf9IS7IIa
sOfruDCLCEpwxrlY106Jw33aYJS5XjlWHYTLRVbTL3mtQQcItprHF+nnV2BPHt77ml2FfZRpCaiO
0vLr2JingByNGwilW/BYHOq9mWafZ3cAlFSTCV6ySicV4ViwkhMeionBw23mq2MwK4/xaN6nlvSO
m1GvRzZxwBDtidEuPowAoH9Gz5bBXSTa5oR3kX8IUqRvzyZTLmb0dtNyaJ8CLdGe+LvTO6fnkugd
+95c96hJrHm+g4bOsjNzMXULRfQu3KOiITCKdlCjK9rL7SgYRdqkSdk588r7Z43DoKAgnb8SopM8
2DXSiL2oIdQ8h0eg7bBLp37tzjQ2zt1NVx69uPvWCf51NeYRNz3TtIznia2V2cHo+8+eDnOD9jzI
mZ14rhq2v4WW3mnzeCswbPkW8Y7Lmi0YurVyKA3s9QzSzGJmqlcvGvNDepRoqNwJ+JR22m4kPWOA
y771+Sczb5bQaHNJPEM3n5wE9MvgzW1+gyIxXjLacDzf0tEe6LI27DHac5l+2mTqjvY/l/iOa5SJ
OPTwKvJgLUAH4qXph2iz09YAZNtplzYeXwE0NF8IGn22M70Z/cRaim9eZ2kbchY2giHg8T+fCF43
B04ti2zBMHVWQKU993xuT1qYsBSFDH/iGzk3m3YoLWrcb9HZPYFPyB6qk1o3pb2sAP2YHCdTSWGz
tJTf9yUN2N1KTvzWmVxzpVcBR/5DzTT9kgr36but2L8ZcvwkpO77GtsFNMumV2fS8TODuZTg1EHu
jyeRrSuY1PRbVrC4WLX3NPaNxWXFXWdnXOl//ro4rL9X6X97XZv+LJNBmCAC+qOAi9ZtrlK148mY
3x523INWVnypZ63wl7b49uev9tP04bdXQ9Z2TWZuhFV/erVtpsIGj+N4KlcukH0nIItYi2j70X/7
vf57CPiLQwDb9n2U9J9d9LcN8NP/CV9pOH/9/hjw+w/+fg6Q7i8wyXEBMJpy4K3uRXn/GKnqNoZh
rlGmKzjaMf/+cQ7ASsyoVfKf2ZkzbPruHODQj21wduDH4OADc/g7xidb7OOPP6ZLePiZnmH+NwUt
ExxHfr5fmP5x4l2EeQ0l1062Y4bnVMVhY+p+tQ43mrJl1PIAV/7kOTkKgW1tHzWzdI2dcXkCdKVd
x4yDI3qFq0NCzVAgmm24aZL6lPbWeKHnRoR2Kd0rOspB9ddDywEr0a5Uxrm5tSv3kUjaAnlMKhL7
TY59CLSUz0akC9xhwOzebMbB7LqsxocSW8e8k3HA+15wNySnIktvXKvqLyaUXT/t4vt5694thGCw
Q+u+DabhBMaIPZHrQb4s3QucgTAeC5ipSfdldIw5HPN2wJLb50Fv1etN3BOFn5UeLpP+OWWZ9rty
0ChVyKFj6Nt2xHePUJqYR7in9Qe5Tnk0sEvjSW9H5dK/64uVmoGkUK+9qaxDKSovaJ22P1mVy+tX
rI58UrSN1548rRTiPYgkbUIEm+3UFqYk7Q7YYAaYeUpU/q6Hco6xrNgiEjcGxiigeLbeWhH5fStM
MgJ4M1Yuf2rK4VJk4oaKGpwzVvUAfnCOVCyO9O+cWoop/BjhiahmQ/0A3ubQjPUjcC0jcNL12VHT
Gkxq/yXaAg4XhKawhG4d9I7mRqU3fmK0G1rLUl0AJGRXbU8w3zLREjdx0LKyPThbB+SqwPuWUQTh
0695krG8qLXRA5ph0JjpUH1eLQ5vlo4NZ2jod7PGZTmYdiJ9jQHX2cSkxrGg3c6DQR0N+1wY+ovh
HMxBW8Nh0W0kXwcWo5ccl9G14SO7NlGz/Nd2ae2rTvPOax0zw3IgK49DT3VPmRxTaxS+7NoO6LQW
FXn31Azus7ds17nJTAWwlX3Q6oy6H4qUj6KtMCLnv+adso/U9PXBnM91hJFWu3Sm/GpvWh4CB3JC
romncuCQN3NJeH1C6jNvDmNSrIGZxMQqExVMoKfZcZWUvSjn3GEl/HW1NyMo+uFq0YpP22qj0KUe
zRpkmk/7mCLY2MaxoeBayOhkD0XS0pi5sQOwkXADHZt3WBg9dnjwQYXAxufWw4R/bCW+Bs0iaqhV
PrgwcA6xlb/vTTe5qfW0OljepwRkyQXJqwuc1tWegABVQzC6qR2KMsse4AN4xMZc3c+LlP1dJvsn
vV5wEgpZPGxsYUKgkjek08uDlxczAJcUJRGENVqnLqJ6gWSiTE2/y9x+i/StqCD6eikF4oUZMuPk
RCRy92yYfRxkiTdh7UvOypnMK9DTY0jdd/t+hFV3GFHUQ9C+InATOYcMtztfdxroak6uv18JhvqK
2hju3G47qLSlK2zc4D5vRf0ISH+9i9tRvxgK3Z9ZmpuyMdWKNKJTcA4XVUHUK/GKWOtQHHir4zUG
ffbmrnYNrrY8kkqD+VZQ18QICxNUeZ46or6jx25IbHye7TY4J5GWJNEt/dsCkzhcaNi4UDbHoMBV
j7qXnYFsuZCXd4Wudx7cGDLrrFs7vBNbyjYDRLTZn/oAmpCbyocMfT42xruSbMROgsUOkmlfK3tb
DwQXrnolOFfx55kAAcNcV+IENYy/hEBiRV0eKuY0+CmJEt+ws9cOgLifeNsjvsLlJCYmAFBzQIah
HwR0WayRmTVm2NcdlxSAoRtQEYexMl9lt/u/styCKDg4j7GZ0gkvZDQyXdG51Y6L3X2dGGr6WFXj
W6ffWbelYVxir8TpWZoTZ7t2oDW0aEPI894ptfR3TWn+6rrDNZ1A+XlwlmfynowzM6Ij5Wq551HP
6icppw8loQlmu+Krm+JDnKgfDOakfDKN8UrYClCiZ16ypq8IcjXlTSmgauv9XYl8FOKggxDddd/6
HtZMRoDKd7axOcKrykLaePKom1V5zQCpP9LrwjnDiuUJk5sP4eZXuXryabXXU1PWxtXm5qAszbU7
KK+cQhBbmPW37Ym5Y3Y3FO41RIKF4kcOmjTBcT8bSXnoRwdQV+U8ctZOQ1d12dXaAT3qO6TxydJo
uh1NSupYXtKqcz+WxfJCYSUb1lV8aUZoqSlZS2RmNVMPuGiHpI73BoNJvlPldKcnjMmJe+5vfL5p
0c4D5WBzreKHJt+aaAa6u3TZ7PNAK6nM0j6M2EN98E1frKw1eRaO49mjs5JnDekKMLHuiedvdknJ
9B/BC9VI5poDndmrSMKZ1jHbLOeQiNkix9BaATA+45iI/MMM1gMYsPe0MusYiq4nY5B8szRo12Vd
xgdNQA63W9c4OA0FN1B59AsWFtNvgD6jjjXxgQaeJpyJn1v1p9IdavXezhQqGtes9n/sndmSnEi2
tV+lX4AyZofbiCDGnCLnzBtMqYF5xgHn6c+HqqqPlFJLp/7/ti+6rc1akgcR4Gzfe61vQSzbTyPx
bJyx+4bYrcc+HEAi4lFyO+zLDXdf4V2HJACNUEZjM1sesiotYNftG5PWprEWtWuGD5ZkbOQCe1Ut
8cqB03F+SbNVM9ckXa1KM3RuIf9win4hw7KcS0ajQydIXqywITq4O3Jy/wgPrNu5bf/bY/+TLfKb
8to3LM4s/7m6RqTwlW7yr+rLv1CGyOLte93in3//72a7+weHIBdyyWKFodfOcemvIluIP5hyUeXq
jNK/2lL/XWRbHqZUG2so9TTEa+FSf/+tW/T+wHdHVjyOVUTiJv/X39CWv46g8F7+o+5u6fV/U2Pj
UNWp4W1IHEgWLRfA6PdnQwVO3eCtre/JJsL79AWCxPWkwkO6KCTGcl8k+rHTw8AP5bOBvDuF5fnN
l/fXR/o23HgZYPzwETgTQxrhms3FTPidiKyCz1J7XqTvq1bpV6H9rNA7dUMWlBTtS2Gm9w1i/zoq
MRNA4UXKvBPgY4PRfLHp6M4xbTRGUzrT+qTytr0PxVgwaV1cSbYzrGhibJhrQoGuP9pTwR+i51nG
Ky17TenALv9T2TbaffXQkaGZFCAftEA5ZChU/YKlYzulsViq1az3tCigpFvWRs9Q7ljlo/Iypl+G
ReS0BzEb4IZpnSJJ4Uba19nuu8W1Syfc09Ddp5SUgDuCLruwNXnO41IGEzBTU/P7s+u/GJYWdBGm
iI5PUKRw+FwCNl0AzJgL9DgOZJVvhqlYM0S/ZXe/T4H3BehOgqGvXyVTlR3M3BvEBrDiyrcZIkqf
ZuvGHfOdO/Mxxh4OggW6sYCthqDeU0jkxo8lmRyRK7uLcilIch1sn9ux2LwlU+A6WqiuX3/1/57d
f7O5cHRf0tn/8+7y9Lnr//WYtFHyTg7919/8e18RTOoAF7FB8OwiM+If/Wtf8cw/XAdDO6Skr7vK
suX8PcTT/3AtHQAWVic6UUwA/3dfYTdiS4GWtJztOab9Ix+86/3QBrIWAxSWdTxLJGy/J45Fikj1
Mo3iQ1cIeaoAazLcMevuhGTH3uR2TzhJJi3jFlMRXN8IgjUscDjBxrgnC0mD4x1Kuoe9397RlUQ5
Y+X+Y+L1wNQWxjYob786VdgjF98HcRAThsRDF86i3cpUhvPa0ewRoIfnEINo47zbDD4DI6cupn0T
2sfSI/5n1aqoheThRQ9GiTxlNThU/r6bPuMjecT5GXKcDTv1MPfDolHI1TYZNH0DlV2eCQs0jn21
EDiIMl8Os1o+0GEPsYGAHb7gr2BpbfUFzVtp5ySsUxgwJDTvW6upLudRlTCALf2Jd/dwShHK3oe1
srbUAvGN6TPtX/moEZhulRl5SoWbbMh2zLcuHGZ8C6Mq7qKYbDOToId1ShcaYXNjnMDuPVQZmunI
64dLz1aAcPJ+DX+5Ar1Z4eDtEru/y4hAvEHRZp1DRMxMMdzWNraVklxxTud148vQR3Ux2IFZDwah
R02+4TNnG6uD+wcXt2Db4iQdTtYTkp56byTxhbCxtRgyvqa0H0hbVrqdb5hxmWvbGW38pNFsX/S4
RMJVV7o9nY8ZKG/R7/1xKbGIX2a0m8xGoA0mfQDEezA0u9Lh93DkxeyZ+z7VXxIkUhvJtQRZ2D+G
pdKP/tg+KHobRErq5SumN3U0OHbRKfLijZPR2uWAi2Mkim47G1zBhiSMnKDkorlChcXpDR1NLFY1
cezXEdj6G2KsQ0xAYngJiSw90z1KAydypws115970wKzWarZDcImiW7mMe2Okw9tm+SLNUrl6SIH
prmiv4yLrdTCs2H1z1BnS6bYIjvELnyrE32cfDgTRFg1H+jrdK/62MgvSUoWiVvUzimNGusuc21e
X+StXThd17jA6Qq+srEu2ktp6q/jZMsrrTa1wBz1z3ZZvIpxrGgZOWVzGFIcsDlHwGtQUAbQ61bh
2Y1ieT+T4AROM8wDtwlzScSRlMVet6WTbkO3KnOifcfxNY5mRmsGXNs66DTQ08BsWwyC/MoBtIoi
SDjaI/6tFkqTHusXzLMIvJ8MFZ6H2rwZHeNl7vwXJkirFrF60AoAq3ufiYm/tkXctLiHuWP0yHSf
nNC7j8L6s25K8DUpwQlBS9LM3smHwbuOUROvSp9BUxq75j5iz7nlX4hw/XXxVcdZBgPBeCAghvd3
5dogboFLj+Zl53dzxCxlaiOODvVLgUlA3ra9EnykDuWiDG8IFF3gWhnercEaNt3gTlup+ztlW/Eh
y+ahOZuziftLhkaBblGq9ISnKc0wD9RlvpqYSF12nNcCYVXxIS5CI2jqHq6T0DSmKK73ZLcopFf9
fCqRpdI762IAHjm6N9cEuxQqqOu6Grd48Je0nDx7nhwLJg8v+JOXCMZFfbGqQ2WQStXZ2SprU+eM
ozILmJMzviGBbO0xgOcMUjTHNLOIm0AhuxvsjsG8UUSX4+CMfAMMMO+bXHcOTu+1l3CytMcx2sQy
P0k9izYFA3kCmqPKCybNKohMPLkwUrGaupuqRdI8zeEcOPypU+7o1aWRw83GZa1N7aqpGlPfODRI
xCFzB4+dqm3O5Ila955Dl2Up9DaxYyDxUvVM1K8WVjRG8ix7mVNfruxJjMgADMZV7fCaZwC840HG
0wrAH0lDDha8aR6u8jlSX4AucxwdhNjSacXMKZJa7qaw+2gTrrhxGT5mq9gtjaVdLA9hoUidoFl2
QXn0yovFxSqbD/tybshHyMNq0XXW40jDpkj6j2bJ2yZgqN1dwMr2t0Nk3EW4V/aWVuinRBcQ40sv
3eUC6l48t/uu9uig8YLFEAo2yyg1WkdtqR90Yq8Z/2XxwR3ppDFl009A75m/LREsHWfOCykM/zSV
IglAv96G7qzWghpwN9Z+50FQSL7IREmsDLS3EK+y944GJF3OCA1GdaOYUX5mzUafrJvWqNZaNZlq
7fCIXpKxlVwxtiWIIK+1NQAYnz5YYhxV3yA/ls1pKogj0uE2f3KqdlpHRT0GaZ7XF2h6QWhJOz60
s/9G/7s4RE77CfWiDGQ2vhUF/T7dUEaAa++hMtr4gIok2ssxtzZF6F0NRniL1s+6gouMnkAOzhm0
cbFtte4qUumtJDz3PMbpDYgy7xiCIuNpzK8iUczbyc18Xo0EH+krd+hcerdduyEdmiOAA0l+3dqT
erAzekyj5Hu9BZIeucc5Jd79UnV6VAUmb852ZX41CzJKVlT/9lcboYspRkfC4tfzHYcbX3sev5oP
EyEQ/gNhNtf6n/7EKTNyupWCwGO1b4zoLsM/kuJenClluiy3iQA3yKepHAOVRgoodqUbbfFZVcZE
m0XS6jcrU4s3jCrnJ6uW01MBU/co+tQ4SYYNu0ZpIy3YQkzu2lDZcNQRorP150iSpiHuidzSYccX
7JgewtgPKvXSDefE9DiQWcPA0BTFrYfq8FjoBVoGywkQkI3QK7zoEwJWbdf12KA75TXb0WuMrdX2
dJMKRI+rrLH4gjKVTdtYj6JHW4XgN1IMoaTAMANGqGzvSaq0B0Q4jlyN4LBGWofWTES7XVuntpZF
HPRmWy8DdSWRg/Dm0rcYT1uUyyr2IJAIiTsiy+Oj6owy2sxeN8iDHit5yuNMO2hN41L4YcrIVtjq
/Gvixum4Vf3cJIA2Gj+oyO4gi8eS+IZBvb3QXo2NDXbTFBpR29ymPnpKTkmwhStU9rsuCeELerq7
n8EkDnh+GJSsdIS1CA9a1T/BbfA3SB+hWKRewVkH5+nzbCV0pDtnZ/XYjpkE9FKtPLRI/H0AFF1l
Me1ItHEg+LuLAouUd6Kp3HQ5uIkmXxeu6R3wfutPhE+l6wgGVIxH2PKyLTj+cuB26fU1Bp/+mc17
Diy+pFPlE+AtMpo/qOAKepcyJOY7W7DzPnGgTHlkqtAvO0D8MZLXnAPj4rokPYPpOaauoHfiy9oZ
662PN+VilAJeCp16YrvgG567nDNiQFBrvkNq0AaMoKyjJ7tm2OT4tj5NhMu9+tTcD+jtxCm0gWiv
EwKjLjqd0mzDUD/yLxE2WaDxxTOyse5JhbRp3cixt7k2R2vwzfqhhfnXrrGAuC8WWotx3XlMkxJL
sA8wI7gE0Kk+m3gU1vQbjQ/spwniAc1gKme7zwMkeMW0oRB05WC24S7SaVGjWmq3hClat+AOrABR
O8EmSmRBZif+zp8KGUC2G06zGMYr1UXjbSeylkixcULTAk6QKNH4A5lAdLLNqkLpj+zZXdVG3QaN
OfT44KdkZYV9E2guIwITddsnszSni7pL5iu0t/VdPSJPXLOfp1+q3uju/VInRdEAsrmhV+sfK4Xt
IhG5ftQJOtsK7teT3kTu2Zr7Ef5lXR1MINOBhr4PQIFdBwpzP7W/7ga4vuS6En2MPzQvyu3o1s4u
JavwgHgWur+fj/cY2aytprdBT6TcdRK18SpNi+EqFcI8sUkMGx5AHhYxkEM4sPNZWZusY62piU9K
3UAxPAHLP6hmVRUdzzrp0ieUvmEAQKmhgOrzj3HmOvNeEIcTJI10v+AOHT+5BQMfRPT+dDmY5mRt
RwDz2/+e//8vVmhKAPuX3cXLD0n5+duh/V9/469zv0s/0XIddCSUOwhufYQAf/cTgdyh78CiR1sR
Z+E3x37xB7Y+YXLq/2sy/+9jv23BzBNsMMB2v577xT9pJ/5w6Of1Yun8OxhzMUS7fLhv/aDKp1HR
K23eV2Gg/MBRHLCuv+mG/KRd+OMS0J8xgOPn5iM7xrslwlHmWsTbfc+4nSwMBpGcoj2Xr/TfPZf/
h1WWT/GNhRayBnDMmFVE+dppr9X0uXf+7ID9x9br7y6EFu+3S4ikwlsxsIScz0I/qwTM79uvrwLt
xfKv/K+GAsG2Z9CFYUdgvGkbxnsLcpdrNWnBDQZWrWw/gufSedKJBA7EyNJOmOW3aB6R+OUyPFpA
VLZ0JKhT04nx3jSMu6SGjG/Gs4W5GiDrhjHf2XSKAZDMMI0XfstQh7oa6WRPmKcxhOEdcjEIqIto
7V5lHrbPVKRklw5i7VX1a0HeIN3lLsgrY9hLMi+IXImB6voG73iclpcgNJb6hJLXTdoKYoVMDzFM
/5Puze6LRkIvbFTIrYhcNfeE+litkR52Qaw5w6mPFrlBNvU0K2QmLySM0IeErucmrulCpKIBZlqI
Y5gUYA013oadmIudbVLqo5d8mEqFiDmUxk6TImdW3aYHxkOw8KVhbzGrNisx1calpzM7Ti0U5JM5
Dbe47/hHMq+/EOSKoDrwTJJeqXouCRzjeUj9aB1VMj6H6TB+pJxW52EmSwDpL/F6ApUmWof58wiZ
4hlkVEs+vZ/PD+7oIqMYZ+Nz205w25zO7r9ojT3h5CeN99E3Ey+mXu7t88ArDH0LXzAnqMtKOWa/
KnpkoK6i91XUYU9LIkT1ltgRlkCn5BDD58vWPh0Jxs2pdsXw83PfafZqVL38lM7Tgz2bn30kDS+T
6URrW2rJcw+hl2NNw1fSxo2xK0f789xXmB5jiJPk8/H+SnOq3ZUTzv0j5llOLROfI53IPCTstntM
yGlYA/oTp8KT1DCEPFMStcYOcG98hlacIlrnGO63dbsdiYPfVThBidh1MVv6ocLWNik9XdPQjo4O
8jaKPfAnqTmj5mvSfsf0jYAKJx3usmqWd30d8odbf2lfwMw855GiVs9DHAMQIlZEZMlgYDhx7fl8
nYg2jJBWSW1uEECJK2yqaXpITbfY1nkDvpMZpoFduQ1pQMgwOqso0e/SEnTxirGdc23mTKEJb9Yx
9bbhWygcy+cu0cIrc/QJz85iITjsGqVEyR3a1zCIzQ1pdYQ/zJF9VHXbXDSaMG452y3RrrV7E2oW
xfxiyREc5S9G23kMi2Y+9wIv03pyBn0v48Y1D01Lf1/KKSd3LYnDt34iMsivx6pfWRoHArI4vS92
mmEkjaB8dlo3nloOoG8xjpEgko3NzAHyI0Sf3l+Flb98HyH5Yxtjnj6RncE32Q0TjgyKXLKaOBoV
QB0u8iiy7/UJHVCoUMWzmGPsPFG2O9p+47NH5NMrw+L4rBeNvh8SVFobW07JOhEJHogC+eJHI+v6
Y1PI4kqCxP7QEoF2WcrIv56M2brHiKsysLyeRkic4ZzI5FQ31oBgOqpb7wbYe/lBxc54bhVChYmg
8quJfhmYY6Euu8Z3TgTslTujccgZU717R6uVanNW874ZNQ+NsG6yQGMsm1duhv25nXVcFUtmloAY
4zob0jOr7RACS7IRBnDyzysi0zBHfHJml+SqgU0o04pux63hbCYEv5T/dQeOboyKTVeTfcRbxQ6k
bjenfHTnRS/bxPezWSCXRZfKv+mgWNmkvgjXpijnI582QlxQzUeam83JSTnb506YNOvUxfK9corU
PyA5dba4592NQKp0cDqfKCd3qvBhRNqujYmK4wIs7gkP/fqWKgGJt4IRpnHk5jIaT21DHOUBUUwL
ZRKMMsqGnu9hquYJv4k33ZR527zhz+7ZxobsnJOVvItTXa17doHXJPHnAG+L2PcmNAJBGtjWjKCs
ox9HDYJmBa+kltYfuqwy3noBt42I24ScHV/mjwq4+bVv6Nnx6x83S9e5KwiIPqgpIth5dsR4PWLH
v+48haLdyyoVcA9j3AD6s7GNqGhXX5dM5jqzV26HzlcqOuhICnr9DexQ9yQWpfUA7L1F7cKULVn4
nSWzxLXZReatXU7hC/mK1eOQFAAEfVnuHGfGYDuj1Es10FQj5vG1Psns6FbyA6Pb/uDRu0ARIPFS
4ijR9+nIcW5U7XDl46QnBi/G2tNiIb50OYdeGlqPkow4hWlfaT6UDK82LA5QFj153RuKY9oZQDMB
tfRyA+p+RvZMn3elT+6895PMvTOmTn/usXOj/+/46UgOTpBKEYUscPBy1q4ly4LODI+En3crXJl4
jkSj3ZOWN47kFvHTe9ZsXFTCag8yt+JPAKXCY5an7l3Rus4pJO0B4wS2H6hmw/L0a96OarQ9EDaX
PY4+B7CybNw7v3G1wLFb2qF9X+6iDHU9lKh5z+EaGwm58Tcj7c/AMjApVH6HuQqby41FPuEHo2jy
oKy5wd3Qzo4zd/SaROk+KGy9/JzyDj+YHEPvUbLMj9xI0Y0ba9F1n0r/Dp8xYnqbHIekrUswaJb7
3FOQgrIiWe4ixyCs1h3Zxjsz1Kabvs/m86zpw+cBbfdDIepwDcY+JWoJE8qfv1MGTvmLoi8bTLY1
bnV0JFcOsHfa0RmbjJUB78lNGWjOlLyUsvOQ0g0ThzPpPFlS2U9Ytuyn1KnVFW8qdxs3sbZRSaJt
tNqO9yIMGfcghLqtYkIbaQwWgZZZ09XXb713EONUBDNdm5m+1cuy4sXXpSenrQxaqnG1xHATV8qN
uJ0cgLiCiIig9NP+UKjeCuqmMNZTqzPoIX5eHSWu/uvQM6KDQdx8tv56L8/o/M6+ZnvUFZ59mr1k
uhJdCVGCjIi1YfdDA6CWdExE/MWBjq/77EOD3vWhDi7VQ55DG8jm55+b+ZIwrvnSaHAYRaMPGlQn
aIkt0CCQQUveUJgSTBY3yCXrsLwWRHBhyHdkBIG0Vo/6EumLVmlMg1mqbisIT78g7oeIykyk11YW
a1tpmdnRlgUjEILvbvAdI3Ft6+m6ER2vbhGX/U40lYYzDkRLtjGNNsRDa8Sgl6Z8OPjkAgIRsbv6
kjZvaXCKL6t78KzllsRNBMNJKboTyI3+uokwILUSx0cU5/OlGo362ITuuLVMA5p1k5XafaeTyr32
ioGK2bYWmxzbhh51PJq9g4Jp7hKCkL0B+wxe33LXG2X+qEtuJ1LmKav9xHjTIxqydoGPDH6d/qZ8
z5S0OJH9azYGp7jjwUwY9R7naZzPbSbEkc4mNLZetQeIOqT24vapSb/z3WEif7Jipys7az7rLlRu
6IzkbAM2dKd7W2vIhffDeLggZjldh/zRG4yFZbaq5ibcd0ZK8qVuzag8Qnc3NsluuaJrEU+oKXwH
iOOcELUpk+LOnLKWJlxaBsRbabveqfp2ZZHb9IojfAnYLJs7a7AUuYSJdorC4UbWDFYquyECJNU+
ew3UFMMuny2ZG6DkVHjBZWTMeSt2Tifq2q3ntWOAidDchWECsZa6hIRyBzBK3qDZpEKMj/XsFGuC
Q2/MGhRhBs3koyi1j93sXBPai/xrGoulbmsOXixMlH/J/VjhKm89LdqzW+34IgZkhXYJVoLWkp95
zygqiXpKCR6GEtyEG2+MiK+jRbrRvV47lE6N2FjUXG9Zw7FF24ygFwo0aZKoUEpkh9kQlYGbYNNc
0SEkV3RO49eIVjdqGgOFmZLTEEzeXN3VtmvO2Byx5S2Zhac4deubsszqZ6TYGEuhmrx0jKXgcQr3
Thg0uDe5V2cHOaj5aCZ+trPzWO61mOA+XIWNfWN77XyTRm57R5cfr1khhYJe2eIdml03mIjRWYdt
HO9yf063Q5NxJNfz5BiljPNQ+zZvfjsXJ8PXrD0tWsdvN2MVWbQTPUngx6kr3yjvjZeJjvmlAVoF
QIrpVOcBVphGU02ON+GsoDqo2F/iojuUiJJHsSjIhcl8jckc/q1WbqbQebNju0EtGc/q2jb69Fxi
odoy1mhf4BHCuJ6M2LxC4Ni/0CwWR7p85RMZduSZNCVQS315Q7pGgRYo9uL9VJbyFCeefUnwbv9E
m9DZI8Qbj7kTDadRU9lHBvSAHAnQIzoIKszNgGz6U9EJfT24hv2h69LK5BFBEGiQJXGBn4I4Oo0D
Nllypc1Zt2O+obAYPFglBBVyuI0M2scQX1Wa+oyj3ns2K7HIrmdvDep3pu+dp0xUC7Wixpt5FcYF
ETtSm8aNq1p2sjRP92k95MCnhc7Py9v2qDhVbKrYmlcjaexRV8+bLinuMXg9T2XfrCJ2+RWNG8RY
PtOOzKifWiu1NoSYjslKtwXKKIfKeFf5LnFiWVFd9HNuHlpG1iX1fKHCCAFRRiyttrc6jJZ7jkuu
9ln1uazxUToHA/vnY6+RoMm509txihnpaifhQ25p/QUvxfyGUjH9MBlW9ZA2WfNcy3oSuxqknUGU
XZNku6FyiPPL8OJymOrLM4Iz0mq6Kples9ZFNyoZyB8HU36ORsKKJO2dC/yjZPtS2X4sa91dq5CA
HFfLruZqyAlntbR812cIwUd+qotsqEcQQIxUr2yGG1cpxRB27DztAs9zmss2wsvbtal5y/P/qUdO
vpK803yod2a29Hnno0+O3w3QCM4diFgfp7azeHEJI2BgHJ5xYVRvCERf7bQbX2013c3S7GwMjOSg
A0c3sHZguOxrbdEdy/wOXR+zm5gJ9q2j512xDt1u68Il3c4DlHWHO36veZW9i2NXXJiZq9hcWimY
DfucTVMzenMU9kZigJb0cy3aetEk7jnq8D6J/OI1LIS+qSP/yZ7s8aTXhrnjXzE3zdT0d8waPonc
a69B36m3aA4HiE6jR7qMpdJL35/H3dCixvXRie4aOLDEjft8KVYonlBj2PfJULVgYhMe2NYHbgU0
A5qY628dzdn1VgynxRePbMjZ9VTP7pFBTbfqwQsHdV6GHyof2Erejt4eL1565U4hXs4FRLQyW6rb
qSMVNRrG8racu4gKVzsXxZJZ7KniHCaaeyMaHcpf6gLPiQfrixGVpBulIxN/RnnHsIzldekQXJE7
mXNn40IsI+aXoSZf0lKDFZN1u4LtNhgghmxmeCtn5ELuPh9r+uoALHbM8XMirCN9JaeyDpBu67s2
l/eRnKG0YNA7WlGldv3YvsZ+KfZIlXhjUQge2Ui1fWH5wwWlnDiOdhFddVGTUf/iP5d9OiBT6us3
q0nrl87rya9eRU2cvVXYzfWTUcvwBJon3dAtGbnZOvNemhphlRqhJf5VkreRic2oaaaV1VY1mT/l
NHM0i1v/qlRtfl8WTD8LR/m7mGnTpqaFde+a3edp6snsmilVWgzwR30eP6IEKo5OTjwCRRWHpGZA
pGhkKb593wg4Tuw100yPPP/OsyjcxyKiNoaLG+2pCpkhJ97HzkzkpiKtdK2nvF/VOCK6dj8IjiCA
wi6cFnRXTzBlKmgTadIzPpL2Op7sxYLrNhaNlKxsr0nX3A9E3n6JMZvdOLpmnrvJ/9JMtvYY8eg9
mKZoEeJ0FWoBv8UUwhhLrDApVTuYXBK1P/Ycl0Qo5m50AH7dCP2xC2r6unBc8ljQl4Jj/L7XCh3X
LElwb/ejTf9u0GjGJXXFPdnsOI//Dvv4Q2fXW1ZbZMBIdIm3fNeihqc1USeJdq+qiEFwx38lzHiD
PKr/yhH6vzeRWWpJPkTFBhWVre/7C9M7t6b9aHBhsRfdT3DVCCUdjEsd1P/q19/hO5glneRlKZgh
NsJkVnz3HZJqr6ucmfG+bNEiZcA19pi7KTm5eVdNNBU7pGXqnzbJWRS8EtpgpIRont8t6iRgxrUq
6fYq41vEiMVbmrw6Ar/4r19f3/duw6VTzlI4ZL9CU4GRvvsqkXvVc11r7b5QsbVoQrSUzc1LD5lJ
RzOn/XFTK4MOYj7HlzKfpt+sv9wV33fqWd+ymN+4AGlN/d1dgzkZIlUWdXuv0GjAl1yg24wPv77I
5SLeL2KZ3JiOvsyKFv3nt0OHCV6g6n2z3fc9rVsId1QREZlsV7kJAmNWJk496eOaaymSf730z+4f
6Mn4rJBrLsLU75f2HRvzlWm1S5NEEWHvwOROl0aw0PS8WVlIGVcqJvD618sud8gPV2xjfcaYjGLW
eEevtDpQMiJhWdGkOf7G4QHM7LyPXO5aX3D//nq5nz37FnsMybJI/n/wrGKl0Q3NUyzX9c59YzY7
Dv9T0IRC3/16JWP5wn64MuIXbU7gbDQ/2Lrn+a/fEjLp+LH7em+qUH6CzDmtNOz+l7SU9Z2L3uVD
HC7NpJFW/K8/xM9uWnAKroAKBK/nh4dGWD2Gbx33qIjssyMruvkRW+yvV/nZl8pPuIyvwBbiYv7+
1rEngjwg07OhLrvAkKIlsH1kEoYNEOTXS/3sgmx9SZq16Mr7yxD12wckmzDFKQxY+3FE7mqO1avr
Va//f2u8u5zE6U2XF3W7N8z+cnYxe3nF+ddL/PTm4P4z+HG4PSA6fX8dvp96Y2v27b6mdr2MpG4e
zapkUDaMyXOsscM0BFpeR/iJNjVuWwK+rd/taD8+erAGoEIRjIvxjhv1+89gO7W0tMpHaoBMikCX
3l0wI81FrqXNIav9cvPri/7xt2M9DDWQvh3TEO/94g3HKk/VVrMvyokCxVVnERviN6XEj/ciKVLE
Xzi0dkms/mqo+WYy7CMjnluYtvukx1zR1Vg+Cai6ECmzjF9fzk9W4iKIxkLI78B2eXeb+F2SzAp2
8p6tDXqPtkjnxX3dpo+/XucnPxPqExNbgLNUR/Y7XLRbFwA1W5CnMxbjNv9A4vw6zQipasLfsITf
B33xjoUN9M1S796x9KjcsHBZSg5whG1cJ6tiFKCAJ3+QQTOU84NyqMcAa4ftprHp7uttE74Qz6IF
EHz6IGX6uzM72mhFa9EAx36aHR0vrY89qqxDNMbzJUFTNPQbDLNk0moB56oepiEBVkcx5NMVSjY6
2Ojcc+LoBTAhIrl+c6H2Qp7+fm/mDc5cD1QC6j/n/csuz2fN8gEM7ecu7p98cFxXxuDdwsNLPhSz
FEeZ58xP8/ClnQDnCRypzKzdg+siqXaYzBpNna1N+UDqZ7nucfmWFRTl0bucQxpLRZU1eIgWfRpC
KzSiqYVmaoR63pI/dNTQNK8nu7L3zLbHTd97cK+mLN3QwhMXmY2WIc0AFUzs1xs/GteziKaNzRX6
fFtIFvEddPobRN/yNy+tn9xrsA4MFBy8syj5391rBFE1VB+K7yXVuouBZJ0Dv/q0j9IW+eQUWuP+
1zf3jwWPBUCCyDsb7xM51u8KngbO/jAi6t/7Xg9vNKmKoIlakL5WDaHWi/qLmNbrPaqy6PTrlX/y
+FLN6S6IKRAaP5w52kgNWizdck+bSz0P7mi8wgk27sFxpJ9/vdRPLhKBB7sRvQ7+8750ZC7KeZO4
5D2cCKYiSG9b2rXwqLS0bA8QthNv3TFgRy5r0rT/9eI/uU7qqsWd5HAyQGfy/S4vCBKi7VSW+y6s
iJsby/sIA/+C9v0r6OofHHbsZZMyBAoj4TvOuw2RHlAXVRhg9hDRnpQqx43pTfgKcsv6x7cp5QaC
KYRRnD5099011V1VgQmSOboCORJ/ROPVSq/H0XHxw7mf/ukXaOuLKcs0bIMp8vvXVgScgvjrhsty
Cmuv1QorAt4eY93lVtb9ppT68QFkMUobSgOHgfb711eDNiR2ZcGVafZ9bGlPzex9SifrPhrd39Qg
y7P8/R7IUhxL3SW5irvj3aNXWHGiSg0hhlXngUWv1K8cdPr5MK/mcjjSpvxdNfrzFX1KUX8RwHnv
Xy92LbxqWbExhmPm1x8qWKlWmzXQCtEZx9K8+Oc/HYU3GQ9UHaz47o50Os4dIEyyvSblEZrh3rZJ
ynb13yzzY2Fj6w5cHVx+gurjfUNh8PSJSB0SGwfN1O41URK4PPFG/PXF/LiLsIqhU2yQqoBj+d1N
P2nmBNzZyBZ3GtnN0lvnqfwiSvcMaoSBukeWg6p+s0uaP74pWZWNQziOA2fo/aMWYmbyOfZle5+A
2tWYEzmyLutsvpx8pvSQRjDjKj83V1plZ/FazADACI4Wu35qogM5z/mWLKD7WTnNrY8NbRPVNcXB
UhY0lemckMW5D745uovlxvnNp//pDwMVkTvO8Hz7/Q+DJCHOmWzke7rTZZCq/2HvTJbjRrJt+y9v
jjL0zeBNAoieDJLBnhMYJVKAo+8dwNe/BVVWPSVFEy3v+JqV5aBMJIIIwP34OXuv7SUHZaTP+ecv
5vcVlluErpKWkqc7v5WcuYkytwCYuSs6h9SyctipqXbnOt1XVcsnL6wFxxVVJc5SzrB/X8ktUHjw
CAsWohGAT6qE8X601a+iXj5bgWxKAAiyHMq5d3+/ypyo+hj1Sop4qIUq6rBNjRbkSADI3/Cr/fMq
mjMjMlG2DLxicNf+fjm3A+aH4Crl7Bi+LfeuEfZN3oSPf/6OPnt5FsCagySXg8HHx3hs00KbS16e
TFjudbrYtLTQemPYUm6ayHK/y6xK9nQL2y+2qs/WPBSxJnU1nbLfDj20TtXYMId0F0X6VVco5OlF
myp5AF5/y3L9xdU+e+A59sD4NTlZ/tYky/gbHbtqyY6NqnSbQyi4kXqiBH++mT/NwR+3Dm4iLGJT
M5A5f1hXvV4fSfGr0x0Ea/VBxGq5UVAcEwtiDBmzOUfeJxpYzZ4Iv6t6KtKTlTnGNnbRdM5EijFY
TqpAq8N+nUkXPUbfJ1+dbj+GLHGYoVHgcMLmzTTIovzwujRhq4L9ydltRpMxQVe/ap1HJovhtnvh
uI/9SHfCqWKGGIUhHlI5tPvQK19iFB2zXXWHSubmni6Sh7dWqVZezN/x5xv5ybvGTJsSlCgcmosf
N8TM4TOIkXJbFvNbNWvdRq0QU4awd8vp9c/X+uRBxFjOi20tjVqq7r+/aLo2kSbtdpT2ofam0nAI
ckt9JZ+z2DleQdIgmS1fVBifvHSaxsSOioYd67cSm9TjCVNnyZ+XWE+xiBRfR7XDHKOZVwZsnPu6
kXWAGmPY/fO/VcPOt3SkKBA/rpSm4iE3dNtyx1ntBFyhoSud3dCNJwchjUBCWNE/r9u44NIGAIYH
GO/DMsa7IrvWBH2sqBGRBNqAKqEwuhtZe/kutzlI//kv/GTP4XrUUABI6Nd+tO/nYUM4QcmtHZck
YsILZaBi7wwMFLH/k0sBSYFHQMHoftxEKwewTl5wRNPgO19bWT2vGqezj6LXtC+Wr8+eUYMXavEh
LJ3+D8/ogCSumOkM7Nq8v+vj8t2yahBpfH8iqm9AgXf/+HDEAobpQrc0nfHJxxdQG5m16e1c7GZ9
RuPnyHPTN0FFH+CLC32yMNNSx4xl0Hk2CVH7+9tXzYSJqSFHwCyyHqNx3LpzfffFI2HwOz6syn+7
xsdVGTJRAquK9zlxNHApojq0Vmud9R7QSpjhwxORKleWbKqgxRx3X8rGQSzErJb005TmX48ashBM
esGwrBXQFgCdpgyzWNccZtOMb3QvGv1iGsLnsIKinLeIszjd4mcdonAfWy5DCnUkJ0Rr0OomjO/P
hK0itio0SGmLzWmrDjXcAol09CrJVKrDUohVkQriV0cn3mpNO+0zC4nmYMT55YDTGHOldydKElW4
w+kG1xqanxih4A5xYr4q5Vytwz62EAun8qI0DWBtAvzWn2/vZ88mu7ij8ZyQXf9x/bRroqYmm2cT
mfBrPXavblxdmYayMfJyHSqy/B+8dtTcFHu07xkIfXgXgCoWNRCDYgfiZuk5naSe7mVXfFG8/j5W
M+mVMtiiNllSlD9cxgTLYTQjwCxE5DdVJRo0g+73Or1nCH2JIAX0nv4SNcUXRybj8+vSpeWOcrj+
WJB5VV5jZrboiZTT/BSPKi6hxlRuMLqoGf51jzNOTXDMuksHwIsFIkGFoB5mbvqwt1D5W4lU9oba
KxutMwsfSAb216naMu9kgu0l3yxt4KAOXJmIxzkKvE6z6b04cxBp4S0RTgT0zFa9SrsEu343V9E6
4fMEXVa94/nQrhM3I79kBCGJo4v/P58tP267ZO0ojv5QG9ZXX8Vna7pt8IyRZ81CsfBef51tCLW1
8iIdSF/uXifGoatJggDSuuGLJ+uzteiX63wsjCDd51kJz2MHekX1C/oNhFnF6z+/Lp+VNjZ42IV+
gzPIXT7EL314tdarsjabYsfQySVCDUieqj+WKSnScTt9YTr79GL0KzmzeLjbPh4i7IbFqIDkjf7O
zjmJkjVmVhsUoGipO/HF7ftsIYCnQwdjsez9Vvxm02TYCSqqXZM0N3rr4A0Pp8cya97Jtbwh3OWL
O/kxhnApZDk9cORf2qRM+D/cyrmtMu4vdVoyZjEuL12DCtnIvU4vPigNJd6ZVd35Y+UZZ4GzeTdF
mBqiUhSXboTFmYDE6d7BEoQ9I4zM+Yv78dljy/ds0EaifwvW4O/ftATqABqTMkfW1bvhRQ+xPtz+
pE78+Yn69DowFJZoFHuxzP39Ou2gTCTp2fmOk2hFN6d7LfDnQ9FovthIPytbaU4h2uD84PG/v1/I
kB4ODrSXuw7PCIFpZJAXNw10zsTVrrKyvgP7/0Wj4rMH+JdLfixYk9nM0Oip+U6RpCL05btnZojb
7UNTDl+cOX7Gi34sEziRMiSjfOQs/OFc1EnXrObRgSbT6dML7NMfUni2P2Sai0cfkphC7qyfsyLj
OV68Boq2KDMbRH/e0D6aNFUew9ptd72OYwFXGz6juGtuo9krA7fIsNuHrbuBFeI+uBar5gq+LIIp
pR0DgK60Nkv9hyoh4jgl2NNKfUnK/oQUp1p3lHzCHSRUIEOs+3zSbytE12z2uvXFU/vZW+wtTl1a
HDy3HwewMDQIacefsJuhBc/dTDaJaj5aUH3omT52YpJfXPCzr3hxZi3MLZqtH297lWhwmymGdqL2
FHRxoG42M6ffwID1C21p0aT/+YX5qZ348E2jmIEVpvO6cMz88E1HClQhskPyHeGSnh/D4rg1YxJO
CmOyjnGZZQ+VnrtBskRV/LQLuHGXPeQ9yT0dkr6tIiXK9T9/qE/uO8XGYoH2MAb+duSFBOHm0Jmy
HbQQcx03k31ZxJSNU1K2j7CL5h26yG9/vqb2SRMTVQJdn2XVJr1I//sbHY3WTEoQb3Q7h0hZjcjc
IEg1NqSHtVsPxvmKJwXlpJWtPXz8/sRMBueFqQV//iDGJ2vY4gtHjqFxzDE/tvdVpBHA0ESObzkx
GI0svgZhZPMN2urCOnJnnH2XoEbGYgXoO6OJrCk5c9Ql/vhaGlLdTARVPsUmhbfezeoTZXGxjSWP
FI6pFNo1kA0k+e8TYmyW7GFt2km8RitsBo1SdLvYrh2A0b0TuNFRL1MAVkYxXvHaYkIjhmF+jF2C
mDPVeVb7Kf3iYP7Z388EDA+6s0zoPzaOaLclWbuElDqwa29jZGlgGUfxKDQl3vz5Xn92KYTXaA1w
o7NtfNg1GTrVdb5sS15pwHip3cXNR5zCgTiT6PHP1/oN08kWzbFg0YfRxGSC+uH4Xyh21stccDgY
oGStQIgRgT3PprYNq3IICifTjlqphtfdqMuTrivRjd4pILaMrNpWEIj3Pz/Q/+Ibv8A3ajpNrF++
u98C2LbvJehGWmf/Rs3u3/7v//nrZ/4COLjqv+gbap7pLAM/ZEZ8lf8BN1r/slWPUZmzPLlL/fdf
cOPyov8HAKv+a4lrwDzKY7fMav4JsAF0LEvTr2u4t6S88cuY+9A3sOzlMf+ljvZQBblh6WY7w42e
ZRpjLcKjCahKfeKpu20GZVcQjPnk5toT2mBtg82EVWA4wE9z17NS63tDgsZvsZmsCoKT90xhiJOd
VHBCuAp8VPjND9jf4MNih2wgt1UvlCirXlSyKc6KDv1tVhAbG5mc/coVYhMqxbjuI+eM0tq9lrMI
8NXnx0IKyW/Dz2zIGvkDyuZgkiZC6K7x6yG/mlp2cfhYHf7zcd+gfbix2tAKSkc68JVkf7cYafxo
GmklCFLYTUW7kSCkt20XPdomMYZUHNnWybP4slOFBpORz6SqhbjW7LZZW4pdX7uGszZF9tCP0wqf
Mi6f2rbIERpeyx5y2WAMMmjMavwmCjQFqaQeNry5JPustrdWK9HYmA10L2IwfWlmNNcM461jBLsx
ez0MmC8jb3X6V32YSMLshkPipaR4CuIbE3Jmt3NXRGu+1ZWMneKMoWzTQaWcS+UqnJJs3Sv1uKsM
jwRIp9TOXqVnT91gVY/WkGxyT97QBc7PKToCUGguWL7EhUHkh3122SAEA5nvDiQ6FHX61M+luEmN
mECzVul87NhYQ6poaG5r2Ii3Ogf/IxCuGRl3bjXM1+yaYJ1KnJoyk0+hp7dvHprshzE38DgxUscJ
A277Ih48IkslQWkExLs3jiT7oWDWDQFexzvVGW717IiEg0+CYOehSNm5rAyXkYqz/mQW2LIRuWdl
uonUqrlwat0N4Npg2hee3sOG6Ot61eoVtOw2DLFTlGpxIEe8r1e1W5CnJAh9BslTkhwP0Lc8TnRB
N7p0khdHHxQbxxK+LkBp4cPPGGnXCPP1mIvyVsO9fDJwVh9NmXgX9NlIdqhCjLee5ogIcQBxIHmC
uq5TjfF6sgbi0Qi3JTwkgv7WipbvT+bIJTsZZitLDFPQ1K75WqsGNmgxqd+a3jH2CpHVYKRa9HtR
U/JvYG1ccwMVfxgnMkahOmt3FPTFAVez2Dp6P/WBiu/1WkdO8GDBT0x3Vjvwx9eABc5AiviMC33s
nNp9eWyBLqdMc/keKjfjF2rdGNfrrBEF0bf5tEQQVM8x799WgIt1iFck1iscRWuvnKWGq7RCnAA4
tW8Ebw9brTeqd2tsCAjoywpTCp8sCZPK3Qy9xq/PkALdRHOs+MJqLNs3CCS4MUeeQexC+Q/Im/BY
QVzetYmJ09Ve+qOgP6aArXw6T73V3Tug6n6QNZroe2tgEQnw4k/Yr9phm0gzefn5pCVWx9Wwz+DA
0Samv2KUSJpMr7ySFZNl+PVJDxuvzh5MT+qPslBEue5y07lpoAjuyzQczxpJCUSPdTopGb1jsuXy
pfa9WRyIqeNb00M8cgDeuzfoC+JUqBBDOQ9Nxxqx+jlUE/csCZxZxzyR6Qo/ZfiC5qleSXy+dCLD
kV80uFzRYXC1yaJYucWWOWxB+pe3dVR72zLrvPXPbyuXeXkrools5jYNaU/TreEUBT+FfDXTuqCq
JkWAGhyXkh3x63s5RSTJjDz1M/8RLrzPxiTwo16yKZL51Bbxaain615p74Y6KleDVb4URBlHuT35
nnupd/2VKqPreFigJ128y5PmhyW9o2eUqDgpKgrdOUOJ2RhDvAVM9hA1rR0QHutewOdgoQstiNRY
BKup9F29KM8d+1i/0o2y32pCs8/4ee4xoWonG74UWSEuViAHfr+GssEX+XQSo0eMLKy7sDzgvwuv
Caker7RRJ922hB64YqgXb+0yJUnQA1A7EWiwciowN8NAUF7npnUcKI32VtBOHmr9HbFreaxjUR2T
uW/XhZ5re0O3vjdatyuApaFPAGA69MYVpvfwGcLQU6u438Eu5ohViHXPgDNwaiyGtZKD5UzaGf2e
3uiwJGy7vO1xTWBvTOY3yDi+Pse4oeYlhrkb8av31cFz0q2RdLEPVIAvWBA9MNZ9uEoA6l6ktnZv
T8QPOB7C2HHK9ypDWIZ2NQmYbl+BCIclCyDuUEVztVHK8rlWexPqcKleTKnqHBoe/G2C3Duw6J2r
2Ot90gZXvTb9MKbqXAnXeRe6I3bEQKsvjq2UgZamd2DNktdpUojrSQba90ZNnHdftCsAed2BBHv8
JMM8sx4wd0WkBwWIbBvV9GcC17zwts7bt5hMprVauNNpjBsMXEY0kIlRdLoKIHdu+vU86MVFqdkn
Bi3pDY9Vs1btULs2ZpKIpA551c97zBYpdtjAbBVoeZpevbcWwYLEO+4n1I7EdVevfUYgCI0BL0i0
4UkNOaKoJbu9p9fWljS776qpPtcxcR9THd5j5J5WWPeHJY0iZeRgKZeNad2HU6H6Nq/hKhFF9IRO
rSVSxmBMqLoXpI9Ea4oE983EWnV2LKHdw91YagjIV35r2hOT3lCiQtdDF2DmkNwnDvRCszXz9zZ0
kveuabKDB9BuiWIlrWpQhg17utwAujvAASFcfO7UkxMm5Q1jqpH4uprKCmDKSgIyOVVYHV8KvDYv
ktHjCbRP6TNnhgSITjUg9QK3MUe83vHjApddmMJfWdljEl0MY5dqh1YPcanE7UzerVf32ArrXOWV
iB5AgihXttaAAzX0seZLJPqIQCm6BWlCxIzVmDwxBSa+srbI4zBnyTaISPRU4tU6mEu3PKRnTphs
HT54tejOMp0FPv62LopV5xXKqQP6sadSSLeaWtZrMWahn0mrXI7i448i1/UrADbdvWyE3FWxUz/a
dVeuMtbCgAYPFjxHols0K+GrzrxPc6qwfBiUg1qygGGCrGGLWa1fQbL0E1BAm1JoLh8rq4H1Zt+c
FtJI24TyKrUV9bIJi2aTGWWzrfUYDZNMsblVYG/LZGMqyjbSI9vP3Pk5abDiBUmBvICOfONjosPc
GrfZBiIFkL0mNbcz1INRkDvUlArbQM8BHw7ucD2n1HjpAHS5tAEVTzgHbmtspDvXSJVno/NOZAS3
79JhqlDbU7eB6BNt+iyscO0TzdQ0QgR9gy9xGXQTZqae2UHLq8JB3Vh5oChbVVoPRjVuR+YNAab/
24ne+GkUOm0lFxDtVGhbW4rWzzTs+kMZvdfjtDU6tryhLrP1wLxqPTI5O6AOxdmftOGeqNYLxp5n
vPZW4IQ4ncBZj8cwcWOvC3B0p9oa3OfZS1ldtaPTkzY2rJMqzrRqm+YyiW5oVNcBr3Ar8fK00sSl
7SlKxJYQ1aqKC1yNptx3wKaP+5H6FzshpUrqA/hIrfXUJktyTaWDscF2THAK+3ZfBoDOITi2wEcm
AIWuHHBCGcxRd+yGj2Nu3iiqN2wAfPR+ZPbyNnRmKKnTDFg2scpNMljmZWfNTzVYT3Sw9ll4peIn
QD/OWD31IPOsBJJEZX1rR5gJiV7M37RW6y5l7igboQ3viHf1tbR08Onk4gTg9M2DOXL6WVlxe+1B
qLqQjl2fI0oVMqZ6I5gU54WjO351sGevssMJJ5TGhHkfhodcETa+PFX107ot/GEQI2nukJWqsMq2
Y2eKLY2GO0/pgGal0DnAH+E4S94cHeSoWefNyQbUBXPne0wwbhB2wjtM0WyjOdOWoj+amu6basru
DQplciFlAS/ebc2dYROEQ+TxrYqtS11Bp5iVIB26dD/PIdI6WgjThSka5YZA+vkxgwd02cb5dw6g
QMJKvV5M4t1sHYktKwNRxN/rPGfXV+r8zRnsZc0Ku27TF2LYNJraPFO+2GukyuO5C73ZpwY6GyKx
roxkjsDR6JlxUE2P0LAJYjhmG/lg97I/1qCZLuaMtD2/xpp+lRY17M3ZNeJvRQ3QF+WPGDe5FrMV
qJgV8EMIt6QOyDz3jewQFo4hsrSzQPH/2DVO9TwbOfkXcQmMAFKgqbDkI0PxexWBckHRv7a02T2G
JRyCloVxDR9lLybCiyvJIasUc3oSUS+fsXuQm1o7BrSKIsbWnySMYnUuDjqEooQknpiDr/C6O0Qq
TcRAsayLGV8s1TN0KX8UcgZ4ATSfflzdDj/iNqc/xdxo19Sy2o1K8Z4uM8UWCzzHx/YCmzhkn6hx
z3auDtdR3FVnI/HmIAWwRjqRqaBvKt01sB0BKsoND3ywew5+YeB4MVKpJHf3tPaivwTY/9v1+aLr
QzyPTp/5vwDJ37o+jxNnxSL6tevz18/81fVBhQVnEyeCjU5JpTlNh/ivrg8ymwXBCaBoUdQZv2I7
rX8tsvBFF0O/ZxHI/LcJZKoEBNHjxMWJx+SnJvRD6s+fUoCWVuUvPSCcoJaqIehDpIJ4xPvZVf6l
BxT2UhNWWMtTn79FLaTE7IsG+Yem/G8XWGYXv1ygGbHqVCMXcBN7hUpv1XuvYjgJhgb52y83/vrf
n/rXOKGfuoW//TH0zSwDU7QBCdX8zRY5sZLTZweBmFgZkMCKwRCGWHsCa6entfXSJmPkfo/L0O3U
rVqR3DiT8mRNojgg9K6j/K2sS9eJSIEwY/rMWyokdTvhSmd0RGxeftE3VKnmUbWZ7GStl4TNnQsJ
7WgDEgzvprrbJLqwDozyGfITGyFWUxLWHN4ADBPEaFCsr3QWTwQzcjDYawlghh9wizWG5gpoq2Jw
StLhGWSsoJTpQCJ6/dBolbifxgx0dlhT/c2LT3GTDyIz8qPTASCywISdXIza8kUpVXuVKhEtLbcj
SAOvkmlcmQrR8Mek8zhySjoCZCgBVgk9hSNTmsDA2jq0AP5SqP7vqvHFqqGZiEN/eXh/WzX2b69x
+eua8ddP/GfNWBYGkyMAsxweUEY6v6wZzr94wDXG9aiNf10yfqbz0v7ByA4PACf5/18yNJYMxMks
KCjtmREa/6hx/NMW+Ot7tvwG9NQYBQyMK79pIFONp9ByQvsEQQHjXViM9bFwJgonxdUmizjKUcdZ
SIuKfLTsdhaV5X0DMPAeEw9/azqpYfmwve9Qoo+PJD+Ko2U4xEdmusu4sipslglsaMx8FU6K3ZnA
0aimgYMx914toNKtin8/+3Dn2i3n/iQ5OXrs0WipM3cj2rjY5+Fk+E7S134+aVFQMHILUD1am1ig
11uTOXGDDxW1V6JKyHEcMi/aXu+2kz3UB91r5Bt9xhcz7zgPeq36nMnSYc0Q1UuTpyqRNjmWPaN9
BRJLsOjoxrQmHL2Jj/MUjzu1AjzOF6WcioQgxsBxBlj7Lqwyv/n3q+5UPY70BR1EcaALmVwpcaw/
DtN4YdJSCzRBsk+L/vk8tUsfhdSAYOjUx8wS3v1ojdMVMYzGttK9x3F07fUAjzE0hvzGTJR6Z/aN
fmryHM4fLUxksUJc5EMpkaHH4tJTslevq2nMVPBRLFJEjnWeetusVIZvbeqE+ym0jA269uw9z8hj
nJEnvLPwurXvtg2OOl28970OWV6K8QmZGYz2SMDErys38us8c190HQS95SSAJN3yMRf5Y61w6aKu
ZkhOkmidjgR7jovl2iQc2LcqJy9WjixoRmR0UjRinrz81plH016Falztlyfyvl4yIVwtJHiJvnW6
o/8JVSR2nI5PPzhBoVC1IwQ07CmoslH2K5v8y7OZaun1NLXzVShj1Seytr6IDV2h8aGOFlch+9Rj
0L01kwyvXK4Y4lbabXZh5dV0EXPkugThkED5CeW1bOpmU7Tt+L1btDMr0FGd36dK9cPD10COvWQ4
lzuJvOBgJ3ajVbQXXQgLbDXaMnqL9UzxAR1bu1ijoQ8qrHJAx1C+rUTnqCfGA2RfNN5MpFChq4Vf
29CMIrftH4xx6iWws0nfpEZaU2Gqjgj0KIYBFOuWD4FUIcc2173jkOc0AbsK0SZtMIg/nhwvRM2H
cmob9eY8tfcR1XS+GlI9/lHS8YenlHkk1JN511jKmz2TwWHEMbFM0H3sldEoUoe6RwywURnVxklU
75E2droaGucI709c5y5IYmSo6rfB1rKNTsfve1qH82Ee84EQmCGGOddwdKD5Jp8QDxnXSho6AWVO
uOm7EjhLkcrpWIIr6HyX6dTBJRejIlZEiddTr8/X7GbleiaG07ftEencaOj7Vk+bM7k2jKcz2T9Y
MawywYmFJKGQ4ELHi8RRqYwJZKrnkpUD1HdlQzFVV3rmkZfkSEJvm2Faa/NAiGwXTmsh3fl+GAH1
DJL0jNiCwxV7sO6azgwvY7dorm3CZrTQbe4EAR1nz+h3TWHMV5Jzhl+OzsHqea2ZR+njXoQ5LQFp
l9dJjjhFkxo8Yrdyp9u0zarLvB30O12vkxehanWgLPFRvUSG5U6AfPcFpcjtmNS6D03HJ/FLveS0
SuOtlDeRWTcXU1IlPounemp7vm5a8BipcmGwKNReEDHa38+19saEzj5VaKD3ujbo+7wl70to8Kug
JIHK4kveNqQmB6GocJpVZH1PutHd0pqZ3iG7VeSbORNqCo7hzlRTXzQAnIge0WOfIjLdOv1YBYRw
EBGsz91RxP14D+PK3NQVCCfbHexLdQThhLZc7r0olkGYeu6zUaroyiqZ+cqIC7kxwcjTZbXsZzbB
eQeSRnnXklpZjTI20E+Y/Y8kVMqTaYnyDOZX8yukuhy91NdozqN1TXZLoJfDsHWHlgRiEhriZzTY
3UWTZ+fF33mIPbvwjaapjnoWddczKKKNhNZ3rWrCu2rjxTfYESS3NiMYDblJ/4lzrRvAACd6wYnN
d9Szw1o64/ee/rufsmZmqzCVsQ9HVbmIFbqn8J3kYzWCRjW1aj7brvQYapT2c+/GvBuGDb3KIr9Z
E+mIUKVXWLAIRpaWMF/SjJg316nFScMFvp3VUnuVeWQynZnvaTqACJaTvrMGLPwrVQmtWyG0MajU
2d1DDz/PqranelDhLRmavSZZhC+4gEEVwFy+kVUaPSojXMWkJzFrsov4GvEENH3wkfKBzOX64Bm1
c4gQIrusoGQRs24qftupF62jGOd57q/7SHRE0KukR3HD4JP3/V0y6fkBMzAFqC22hacVF/ZMEqDn
KueUmRMdtqYkCNNYOB5F5O7EaPcb0uqydWv04ETd8CKh6bQt7ZboJgYqNJJVEeDjNve8UPGmz7Ea
R+SjrHTaSiAWw/wigpfKVhTK11io1VYZVPs4D63zXXOy7FvTVsrJapub1iD/eHbNe3Uy2xMu+Jp2
CXlVTafMCFscMASWM9y3wPsOlp2/JqQK7ePEiTZEwZTbYdGs9POS6zwqUXuAOEvuuYjMcxsV5fVc
W2kAKNQayOq40aJKfya2GEw+uzL0NS0cHjWwsLtsHqyLvBIJbEfQzUZS+6qu0rM0H0aFnDzVzTOy
1eAQOWCh7zw3qrZ959ZXldsBe20rY6PW4bvLaJEAciCPdMXp1NCv3LVlNl/EJsy4ykqjpwGOxMpp
hzKo5qwOTPI+flh1dgeItvD1NHFu05CP0GkpE16Epis7MS4HVtV1FWsvYUuzIS/N+CqpStC6ynSJ
nuZiCjXzPoONeqgTw1ybiOiB8cbeRoxp+NL007g1R9G80Nug8eX15PgMyKodiWqeMOUXST4cQ8xc
20Q0uNKl15T18avSW8w6J0NdOW4Csc+bVtjLs+PYHWEim3SkS/JPzKyM/NhVSz8GTnifKHZxS1GV
HovaZau3NNooQhIedlWS24L8KqpOGYqsHM//1h3V5lIacECL0VIgWJv5Ro31CIBHwbKjJ/0uotdE
f18m9jVt8HEfmxnDGhffBuGEFjN7+dJqrLUQvqxqS1NwvqqYHfup1WiHcm6KjeXK8ZWEeDdbtfVM
kZK2NnjELAKySIyiGVhgtb8XaVy92BNDDMrc1zzywoAP8gP+eb1J6G5iJSsUGNit6vp5kpIZB3jE
9p2adBfQN2lxCfuLKW5q2ms5cIL0FTN6Cztg8szIJVua3XQrTLcMfdPkirrX78RiiNDteaOiG1rP
MtQOILMjpiNUmzHqwl1oKOoP9E5E1WFoXvUdw1B41NFaE+BuKT2adZulN5Yzp6RgEVZ0DDHCIRgA
2q/yVb+UGjFg+hgShVf0FSIzMuwZxBN1wKSzDWqZMbmqndB5IvWh8TYauUUkLqk3TsWGhHEjSk6a
7LTvY+VkV/NI2K066Bkz41TfhMUMzvfWHcM+CYNwcOPyu+jzAc1EXmRw8pwxTlPzEFquSI/d6Hrl
nZwG7lrZvY0KQF+voFJeJY2tzSScZZqDXBH7WGDB13aCKY6KQOlCqJvAzMb3yq7iN4l5GVp5az3x
M+WLEslwswB594wfACtqgzsGauuKQz+49WVd8a/L1i6fDd480NHNhisql6lH27OnsbwVjlWVq6ga
i7cmVLVLMJnu3ta1mTcYEdDJ6e27OUafUjMrfzNRkoar2ZmrY2h5cs38sDk3OazhxM4bZtJVfqPK
mDx3BuKMbpBh7sysI+oXHXxA1acH0HihuMs2X0WgYsG2LbFmmaUf1aI1D43aUALgP18zRh4Dy55y
Y+UoXE9Nq/J+FIP5SE6ENZIbWjHWIrBVX9Vqlvoqd+4sQdj4IuumZ2mFV1HiclsByI+3jN6jYEgi
ArS6flYvpwruYdIBFofcMqLQgGrVr8Kocq9cdmGkM0xE90mLx3RFqGJ+GPMkuYvcrHvuKD05M7XD
aSrm6DYnD27jLjc7zONkS3Yypy9Lz+OTEg6YucoC7q7dV+p+Str6NgxztQNBzT/tGcfv07YpzpDY
CX6ttfqhiRvtSavc+qkoI2IVHPXC1AlyYPCrAk3Vq6ond5I+cj/A3vby6naIx7YIwrAqnMt+jM2b
Iq5fnblhJIzymag5JVZn35Uq274g0kFyQ0L7Ks2m7DFRGX67iQy3C28PqGUP2JOjUHdP21e+DYpm
+BWgu2ObR1XAJyo2sFF4CcemwBhndxaTwLqh1iGKQg/C2JLfSKYkCqBUkHRC35yua8dNCcX2MnFu
iHlaqfWM/mBIen1NfIK21nHR79HfiH0MQ/PCigexB3jpnDKLk4Mz2jxMqvItc8v5Po6YD63I+uGP
Y5RcrlXCVB9TlgqdJ1+q/pw485Uylcwm+yrcdvqQnYulTjJmnisC5ADYAvs8hHrKAI/K1ycsoNwV
SahBodEWwUCxFLKa1VxYC0haFKq1rGConAjwAmLaiiSvn0qE5fkVbMvWWGcIRIzLWmMXWP0/9s5k
u20kTdv30usfeTAEpkVvSHCURFGULVne4NiSjXkMBBDA1fcDV3ZWZnX3X6f2tcjKPGVJpkgg8H3v
CO9GWxUBD5BkxK56yweNQOZ0Jdg4P3o0ZPIDkfa/DrVu9adlMpCLbIyBhXe4KlM6Pg3gpMT6GHAx
Kk13vCV9EOzJWE4Rqkirgd39f5UYZSoQIVyWRNNb6WMbLCv9zwTVoDP/A4glhcmFUDJBd/4x4aTt
9JSTsThdEkO6EXmhKZTJyCdSnQwK2ePkq105hzG3z07h7g3R793U2gU+edRq2clm2PGrHsh7jgpC
vf+ETf1vwOr/9tpW8FqQ9kbE1j/oXStr7GozRl3atv3Fb5kV4yMY7r/+l6BDFD4iAnRF//gGuICQ
LL10umW2uVn/8YxyTwXb37S7/4Yk/ykkCUL9p0/kf0KSyLBr8jT/ikr++qbfUcmALjFsOATIuGja
QB/5eb8zGaH1m4tok8C3cJVFw0r8oV8VNn+EUgynkYd52VzRRB5lQ/qf/+HQaIZJLwiQoWKvgh/5
V3BJLMN/vU4JvbMxu4P7I7EFMQxXLuJPXEPmZcA3lkzPukOTh6aCJmwXacxd2/lAPbO2RCQUlGhb
dB2CppiQUSaMgFx1BHdNd+ytKo6pqippFF18QV0e9cbTZjBN/YTOpxIHK/dn46kI8/61q5motyPK
yZwI69KDbbTlyKRckYJYxmwrG0WJJ5LORnn3YU742Qa/MZYQaxkI8M+bcMc24fS70cL4snWmJj5L
GbfwvoFBRjse1/df8q4hCJNdspjOGtRdDnKLy5wWbAugyb4P7SGNZFh5D5NArleN6iZLeoV9afE4
ZpAzHR7sVvbc5vn8pFNzuJBCXN1WrWK983VjpNs80AnFDK6ZsO3l7a10W5R9ydSBiDTzkYCg8Gy3
fXbHsXtAekAKfNpkzd6tUfTZMi14M/GQ0s4Jl7QXg2+/liFEfub05bNla28XpuJrMs7to9vMYQRJ
6lyVnfensZlFlFr2NfUWGbm15++MGcpct0Z5dXyjvDj1dHNNZlqXIFYS1HHyvnux3R6E3zhbEKzi
zqqqMso83d3GnkOdyJ8Mg6mS4kI2i8NrU4u6p/2sow/yErd99TMfybseC3ozpEtCFkCYvOFgfXep
6wDUoePJM9KOOhn+J3WX1xC9MNb0qt7i5DiPU4O0IQvr57yXzs3Rob5zWn+6ZtLsntoi/Z7bTvrN
bTwSpBJ9BzQ1Ry7NXhvPjgVP8tagN1tXz2VfVCBepbzYlF9sKdDp18bgp77Mh4uhC7XNuGM/wxHH
yIxsfZkzWUWtdu2d5fJKSZhPInOMk09LsPYRl0Fnq21eU9C+JdAHtVXbWndO2pnn2VQfJV+/clvl
kz/WZRqhhg5vfua2T4EtRiCwOAd+T5blIgwgzbzliVJQ2oFKW9U30+aK9j01EGkuxN1MME/bO/Rr
ctk/NNpZ3sAB3WxnDEN6FmtXayuKNd7VGUXUFcV0YHBPqPpUd54TyrOZeg/jKDsUvR492pBeOdFh
mrmrLokwllyDkTZnGMMYCTJl8S8GTwTUTbcAtSyFJ3diDJlMuxoNlcqvqdM/GghUrbkPo7AUN2YP
mmaC9l22vn+q8uZldlDnIaP4Wvl9uS8ye5i3VWbfuQL0CcHgXTl/UI7VbhpraDeLMl8FkbjbcQ7j
YzuNxsOESRRDeJtEuSneOAzlo91W1MGAim9LIkpPM7LMFwHDR0sbsfakKdBvh7QHX+fZZ2TbxJn9
Nvpxt1N+1VMjjYqeAvllyO6HaqBzZ0BWjsK2jlkhsALQhy2qCCy32k1TSzXulGtS/XN5I7azfCLd
O6HrnbeZimfnRIyyfqo07uJ6KOyo5YF9WEgXfBD9eJ57ZzpRwRMXEQDk9DQJOtqs2Tga3exeAK3T
mhuskWIyUS4aogyjzmIvvs7x5FT3U+Neqj74Dkfq7jxvCT/lTIV7YVMukgZZfCX+JHtEJfOtFi1o
DWXkm4XaVw/jyrBJe3P4KskWPphV2kZ9W9p3SVmzgpN9BnCVlITri5L5LqV1gGMXRw3nXdn0TbP1
6/nrosIMPQfnM0qh4T6b9fyVJNiMHMnM7J67Hrml6RGCHdTVY4OsONyMIXPpNXFjFJ/ENEnYEsGw
V7r0Asslb05tMcag7jUVgU1bh7ch93+2DfhtQrL2fkqDElAhsBBv0U0cbFqPrIp4S5e10izOygXs
p1wJm/iSLvvAHqr9nHZE1lIbMpVavaQlNXviSK/EcCYIMlU8W4zuvTDyZt6kIlcmfimW8seiDxr0
+I0OjoUCALnXoveeNA/sZ6ePuUWKiUsPpGp0v0gr68/pUs2k8uNg+D5w9WdbS3UJOKwR+3T4ea1/
60ojYElAmXOmBz04d3Ns7Icwr5Nj3A2nOXOSx7Rc6wyMnCBJ3B7+IS1IG9hSIZC+tYGQu9EW1dHK
kvRbwNQfbqoADQwuikHcJ05vgS6Ru+ZtlknFp7Fl052ccaQBTi+oijjaf9aFYDR3hD09DKOU11nb
nRn5lAz16Pjp4NrkLk6KjdCLejVjp/vW9Wb2xjMZ4fxUqQcEb9VjPLrhTxNn2YI+IXZuxliMrwZp
3JfK9E8+C8qPqnK8D5e6wgzpntPRvuGOiKNCFh23GU8Vpy3txJY9R3PZr/RizLsIUJcGL2qcXfoR
Zflh0C2NZEvZ8O5em01PcSe8F54j4a6F99grKE4D8GftkUIkmCanPtP6vWCrERxGCcrIoh6v2mfp
QTGcGtcs92S7sZ2qf6P/prg4ZUvTDAVrwt/a1FPimOmKDzF0xQ3x0XMpy8lmb6zjE4RVhVA35WZt
m6F7XDqno+diogdtY1N1Xe1oOTMfWvp739xpnn7Q6dx9xas27jNC8vpNHIIrbTRF4+gH8vFau5w3
G0f2xrswZ/k499TtbBxjddv6FA8efWNqvxLCUeOpX2J1aq3BwXiS5R3QiV/lr12QCWpwGme45QL2
jUoxp0Ol2pYn7rmMFds2qaCeBRs+rzzcOX5vvsXhEItdnZmFjqyRiglViuxGCbt5gMjyabhSNV6F
QCBldFIAX8IVYJgK27+fSVY6YwD2Iq8VZjSPBIaVCG1IEmyXrUbdvutMhLBeTjysm9ah2FiyfbKU
HCIJE07c8IieykfqFWk/b0/SJzZgQ8l6/1b0+QBYmChpbZWWzRcaTNp6N5Au3W1aGj9+eAxQD7EJ
++TY3neRpOFn2qeqb00im72TIgunJcGPsTaOBSLDKSRKJIeYNYmAMv2HcBH+19HtSYhLW5T5duJS
lDE7s/Pdn+CJh9hyXkJkmug0KkcDjPVQn3VjN8ck0PxnQYlpcMyddL4FRdyNW22n1rcxHO1tS0PR
V7bz4ckN0d7Sr2mbb2phgNwRw6K4lkypaFPwrY+wg1faEb2bGGeUa/EX5Gr1Z3TIdJY4darvlFQz
e6VBW/3SS+hy9G6nPCmu5qKyL13tX4gzxcBFS8hIpC4yacglkuSfxBCaF4VaMErCChrSxXD06JXM
hhSQ+YcO/WG7cftRfA/9xfZAcNvkhfpxH1qumgCXLWJg5q0lM/MQUiJ5kYO97CZ7iU9YOTFFCHeI
ltYp98o01T02ToCdvvqR5rbqt5ny/B8eWUzIXDE2UIsz9J8TVAnfPdHE+7Exke3xaS6rYFioh5Q6
q1PCmIXCPXaBdLI+ycUmKUT+0SIqrTcsn0gAjbTkaHGmhwba6LWMdfkJgCw9mJlrsB/E6r6H0wGF
LbzgjvJyitBMZsRqSkhOwIi+r/tOHYMs7OgAtJPiiwx8i0yZeIIFSAkAj3dta3vEwi/LXWFQOTYh
/7jnNyzvbYJ13uMlG/B8DcOxartxn4ROferKxInsYnltZyjtrUXp2bcEguaKERVyzMz+bfL83ZX5
T7ZkW7AK/f+25Mf+R9LUf96Rf/+WP5Q73m9MZezHOP8dj7i8P3ZkFHa/ud6vpF5B/gNf9fcd2fvN
Xs30a7H1Cv/Yf/d8ilW7wz7r/6EF/Fd2ZE6mv+7IBG4SWOezHq5iIJC6fzDuF1KRZMQodSUGGmUp
xI/Jcd0nhfdIJ5YQT8LrcK43pYl8Po5DK0ToO2betojRj+hLR4BRCzezJn4MWTE4N6Yko9SvbjAa
CGM87okNTXikEgKiTteBJrcP2OOJOYDWQZYtWOOVeVdWA1zapDac6qEJRbKr0i4/V3lt/XSSGjVE
KLvgu7Fih9qj7dcvVlK1STj5CcO8wbTEhwRhfuSEJfwZFN0aP+AptelsNDqbpWx7d7MgAP7sA2kG
K7ZZrShnveKdlDtlp2zFQPWKhvqjq77CUdk7YbYh4GXtpbf+F5gqV1x1pDsojFobB9/OwTjHIUeW
QbCTXdlG1CulWMAwJY5Zsh1Yl79nK6wrRy/NL66tDaq9Wv8x6xFqb+ZMIyYuvdnd4iJDpk/jeIjz
xSQZ4tl3KdSM+CTmL/HcQMhyNCmQizh5JiOWdCvZMEfAgqfjKfNi5EaT1l84Nyz34Alt/mpP3oUe
1v2taeXQbD4R4smGHoz2de41GUwJBoVt4NMeZEgcbBvDDWhOquIFML6YfLVxyvUJnlMEuCLCLFxR
7krZRx5WjbdBYXq98pvYJhziWGlWLaiDzFTOTq50AgqU9CfrFbaPlXGQmVD7KXGwiXW0DSmcwE/d
InRCQ2qRRPY8NE/FymbMDXY2s+qsJ2PlOuqx8s6xAG1Zu+S8D0x8wAsASyi9VrokRZeb0r5Em6K1
72qjvRcJLUYPZq1Mvz2zok4oykO0N0Gw440Q7RYJSt1eBQax5oSd1oJrdbKZQZPtxesBa6S4n2JU
TwiKaiugpLBFnieiauHde1ISspWhdfSfq7am3sk3dNi+lP3okxjVSOYTZAXxpjcBnlFp6LXUzGZW
OOeUpIf3XpukH1XHqLXNS59e4ZJGLON+dLNEbjEUNRdsZ9k9q0J658X19A1SA0ypkBNtdHAi80kn
lBxTrWaTVWWU3qqaQF2CGsuEptwM1gw/PNE1OhxNPEj7OsmyKxGQFlr8DoPapuljCopRv/rMfe2c
DRHJ62pCINGO4/2yZKqLbEM42ybl04zIchotiB6DSMXcwNF8pXYYn0kPTek/0L45YetyqdYqfBWl
CYFiXHGCrsXcb4OoNPzsgl2tRJoUx2XKWGd6fYQ0bPpiZ7I5DCEpvmdhytuih3x5CpXxbixhzT1l
eA2lWCB37mVoHLnsySmrhn2i5uaLjhuTIXRW6aeFpvXmIAB06gP/J/KzkBiK4chJND+LLtTNySZ5
soOiKm3vUEL2Tic/j52T07T9TzRGn13lBfdO5srleSzg9Y7Y4K3m1MezjoLWADuR0iR4P7efRD1x
P8YiZBPPf4XdKYLFcIjlh0U7wTmn+wUBwGRofa+tqbnzHRIH2Sv74oCSidJ7K4lhQPisGnqrAert
RThPhH6b495RaRl5YW7fNR5ktBPkRrgz4NzSSKTa+tQuIoswCq+mHzjz/Hvf+fm33ByMz0Bs45s0
9djv+kYI7jWh6a3DsLerLM8YTj393NsSV7HcealM+ju+QGCSJYsHH7LtMZxuaIqpAG2kAZXGAA9L
SfPxXAoQGEUDgS09NhrX6xNcLYR8gRj0KObigbFn2DRupcRDU7eKpuc6Lj9Zc+K8jNPyKriEETJL
jcE7rE37iAjGf/Kw1kUJKqtosNPuhDfDN3f1Mti70nARhjRYnW7gH+JSVrYaNxXAm/WAcIQm3QGr
7CHoGudLN+gvuLCRxg244ywEk3EZbMfRHCR0Xa7VA/SodVlQhYN1NiBryI508mTpMe7ttUFwXmgw
d+g2c/OtQP0Un8FupuAigsL6N+vwt5SLfzJPWSSM4Xf4v+0Tp/oj+1b/NTTjb9/z36SD+I3Af5IV
BAOL+OWR+O/MjOA3rFEgWnQt/CIPGJrqhrrO//wPhiafqFTsET75zx5ZG3/nHPzffP5g/bbfqYp/
ZZ6CnvrrPLUWPVm8CmI0mLXWnLi/cg4K9DtbUvpHqL/WkdOV5Tc3jzFSqsy0eUxhgR1pP56XrVTG
OG2LxLbuvbSvqP+Jhd5adPPuYjMbP3wEwY8LHvGvIQ8yVAJhkWANUkYV6SZmJ6iX+mvlcnwR6GE/
9tnEvZWDeD+gVCahvcgrxDQyLMki9IJnn6qaW6/V+GiO36qmZwcBqH8ZMOG+NUU2GtgIynoB4G31
N1TIleZGNeYFtDIhjILcRnAZZ/CTYtd6XfE9ZStKEIFWSY4usI+xiM0ZluVOs1GVoaJyihIPdrV4
QeXS2wEVupgpgOidMLfImsidQxemaGJ0Gqf3Tu6PwQ4AIFurAEvPQbxaNO+tbNu3ZjCXi5KzuVVO
Ke+SUE7vKKvqNzFkLjhhkMx3yHy6p7nNk292asM05HazqfC8svC3Ww8kAvdVMF0WVzdXuOWG0IxA
d/1mpnXmUOqsuAROpZ9E6fzqko9m2Zx8f6KqugN2H2tFHqSYD5Od+Ves9iEnhlO9a7q1gLeq4Erw
OCoQmmWenXmSUSal3Ilpdo7x0lrlpjZQSNFz5kf5vKi7QE9ZfFqk1Z3HpWRuMRM3TJBedP59YFZ2
ve1J1HpxqlY9K1GATClrWjaqGK0vmV/EXwYDOVI7ud2urkPjflqYzYYaoqTBSr0lKG+5XxJLvZbU
yXRbN6x6Rpm+u0PYM/4MERPnjEqDUUSyRNE1irrctYho86ieQqRJFmKYB+iB3tqEniq+db+shVLj
rk6yCiLdzif5lR5bItimuOuYS0gQvdZES1lHrAPZLW0L59XGdfIULi5/m2P6/bOFwXOvulTcWXYO
6Joy/tGnMeAHnPHc2sPYHafZGm9JWpVbr8r1m1En/dkxq/AHAli/33smsseN5dBwupu6LrxBpFGJ
LoekMb7kzJXXlMZgNMgB2TGsDEvxTpsNgeGKzQI0ZKmi0GUwoim9/sTnWOAOl+nV17l8kNacnn2c
/OHOaiYU4XEtUN/OSRVxuTafAqdbe7KGBltyx5+zsYiHbhSq2THjtZccejrDyVNxl1PaS7d2TtEz
29za6IMwA+//mJn8q6mtZPhVdTTnHhLUUJvlfQ2rWGMHImBlwd+KsJscMTO+zTiD5nPqpvmxm7yr
FeRAgMKngsEB7J5FHz7rkrtnJ7Uq31jR5o1VxqBRvsKpsC1am9r4SrrPSrl4OOfMGraDmDtM45l5
EdAV9wM2gIPocpd1QpJ+UMwoLuKxINMS/XDP/XKLJdryDbXH5Wf9C/6H+DHzq58RfxBGxPwp81ks
kn2IYg+vdi+21RnHSfUvtFVPT0YRhAXCFRgHB+qBtmzvoVnZiGrlJcqVoWgJ4XuC9bFPauUvmpXJ
CGZZPk29g5z7d56DTCD2ux3upSrCeLchADBDVZJeqpz7Y2VM2Jvux5xI9Yyf5BgUfq/sSgjNwn60
EsDGmc7djeoac2MFluTHrOzMytOkjPeneOVurJXFwaknHzOInXBleIgHQry4sj75YsVoAzmtZyih
euWGmBb4kOePXo53w8J7GA/mXf6LULLCwtybMv2sf7FN0E6BP8M/QUThqC938Kc3c+WoYsgqYPRH
b8rz6wCNhdwGsdZ856/8VmU2z2Pm0HOl/WE7rUSYORVjZP9ix5BaB0c6ztZVEPJM/Y1Hg1HrUHSf
e0feDSvZxnY0HuyVgLPkjKhZ2DQL+2GRnvvEFxm/Xru8IWmSD6GexN7D5mxzGd15K81nJsxJ5i/q
T3fNwXBr4yBADrcDkp/L/IstlI1FbStI31M3z+EN4Q/yI4TB5VOxko1e2H/4rBPnIkusu6UKu50h
EfNsW1db6zFLWsom4PL75GOgjYgsxv220pvLSnQmXjJfypX8nEer/7zQN7Q1XLS7dpg9ub3RcUtA
m/awiDBTUKkIvKvnsYzjJ3clWnHB4C9vzBkL7ngXguVGxUrMljr+RvVT92SvpK290rfZSuR6K6Wr
VnJ3cLyzXOlerbh0csN8dVcq2F1J4TTX8ZYuDXIwCv99Aqq9BUaIK0/pee/MS7hXk1/+9GRcX5Zp
B+Ci7qdBwEP3KyXNGWPc50MGT81W092INyqjbqWxnZXQdldqO9QyfRe/+O6wkXLrF+rGRVhewsYs
r/nauO2tVHm2kuaWZV59QiiYpiHUq5VaLwMnjAy10u10T7ljD95oGcUz/dP2xl3p+QFh4F7+4uw5
Dlf+HtH0FpdavZ9/8fuu4x2slfI3oMrPrpxm0lIyffIGHpG6WLyTUVqeFf0a/v6tzvknc7KDkY7x
9f+ekz/9YAj7M+z4+3f8PiWHDiIbMgKB4xDU+ETO/B12NL3fwCG5saG3SAldJ9Tfx2T0N2tEqe3T
xiJMAWL5x5hsu78FmAWZnPEZ/xqv/5UxGVhkzcH8k2fQAtOkoxj5kGDPh/D7h+RbNlUDQWpjkj1h
96+jIVCTlvN7oO3yslhGt0sNS240gS83n647KdvxizfmHU0mxnNn9vKsAL3gifzlQRCHhUXN8WLq
5/P0qjhGvikffQ2NrybutyBGO+i6oC/X2ndn50kIciWIb65R/aK/6QP7EgpcFZ9liWICg1OxNJjp
iqFtH4K2N9F0myywtKkW4UhIFJwBAfj7ZUlMf9y0U993n8ugHjivsVCVFo4S7XFD27BdOz81hdyn
JVLS8yBI5eIEqQsaarBFckjuMh5d1tlvZvtFzIkESV0aqwENFLEO0Ib6s3tSGZm9MU+YzM8/xbNh
sAdb/ppXnpIP8i2v4+AjIWjfjxZbatntevIOEDsH0s/MZ730lKAMvAR5KHRj3wWmAxGivDAl5AOX
03Zi65X7kdrycbc0+RxEkEPHKmnaN11TyrChuGQ4IhEKdhMJ8m8zyRr4l5P0SJDZc7Jm3G44Gx86
Qp6OuT295E3mHPJhghmpwuRYTAnZCF2VpK8ZMQgJ2WKArIF+aER/h05ZvcqE41WV8soYDkBZj7gY
xsR7x4s8cVJObwuoI+FV4bbQzinRxYseBwi00MrPZGZ+T7IGKDYuFJYOBXG2GNVB8ZYaWAo3rt9O
B+mnPqw8pZFheBuX7MUr7Z9NmQ13i2ymDevVZUk7nwii4Y3+gDMGyfpYDBnphZkTAXCRRDK3qMda
09r33XJNk6rZFHbx0uKgjlRvNLuiGn94GcNN5S3xdQobDyBXG5tQkfAknTgqZlUcxCgsnHPjo50D
hEKREx9kxeVWQArdw6T2DwH6qR3eNvPESJntqYV3N8qA0V9WEDxT9njAWpJ9h+TVZ93PM+O7a9yS
dl6VZMmPmJSUR9cYnkmDQghRzSVmVSxaddZmx7rwvHUfxcPXzC7uWVfth8AVJ86FdN/3drhPKlds
3dQID6M3/WjcojoN6dBEMWfHhucuzQ1kwH1vHCKJRreudknSg+mYlYyahiFF1khp3MWgf8eEeLcM
prTA1p8stzap6StejJL9Z6nJX5YtD9LBeHVJm0Ukr/Nz2rkh0dAi++kot/+qFn+bW+y2xUR8vhw7
JP5qNgscrAXaIW/gjld9QCOJWIyfdMtS9zkGqBY3DeLSBFRzJHxjrpAS2YWpbiwYk/9ciqK9YpHG
ZdrFfXZpaSHak6hEghCOBLm1SpV/kl7FeGNaS3LI8sY+1yrpAcScgb+NC6tYNvE04PnqnK0Zj+OV
QmsLzInLguA5VsNA6/mjg6w2d8xX81kNBLfaA/x8eBi4tPTWIKlLbztebYHUZhp+Wl2H4BxjQbv3
tFLpT4TrENm4xUj8EGbXEuoauPJNIlLCJJEKpCbWWJl38N3VYcpAudPOsElIBJ7sChBOdoyDnzac
Eho1QWOS8uQ6sAhOuxaRtJ2zI5+lPJB2RuplsHxBFhm++FmrL2VufOOWerXpgyWXkTDQqhvORL6I
S27aRdSXdn5HcN4HKdx9lNlt9lL1edmglnCzB7tnTNuQ8exEi1VZ166KP3cl/A6dCU543+LeOVvh
sHd8Z7wfVdbeCKYwnqlL8L/ZlZtFSRESTVWFTG0qSdcuRI1VO0bTv58JdHjwoER2QzxI0MNhAH1O
mx0/p943hkk003rXFiL2nqpldPbEVemd0ZUpyQbjla62bJfN8jhZwMCbeACHILc32MyxVz9NzvxG
Zat7FGMVvve2fPK1SKeNLJyRdNThizfniMlN09gxTJ+AcIOoUFTXg7q3w88Y3HWXG4NxNys3xZ6g
rKg2F1QjjSYBIgmSfSwszgOS0jCWFo+LYY4PcwaNTBmtT7iOxlgrc24t/MxoEOzkkIZCM/DbwRa3
KjIjqz/Ma6xL4AwPiEYYN50ZXQah+Vtz0PUJWJihcILxSqzpRmOfvSmCptg1AiqM3y08dlTDGHOH
igjF4LaxNF4rL6zeUfaPO3MV/CnLMKJWFl2UVw1OfGIz5Kcwy8PIYUanlJfNTw7dKTTALnr8zrrz
P1eZj50onBQ7D9Fd00z2jyEw6aa1xq6nKn02iu5jpNevHGJ1Z+myRDGEbAMpR/1ILIl5b1NUtSP4
LN9P2YBZFXn80SA4BT/5utrXdbYNEoZUIHaSVwviosgX4LzrvK/LsobNwbHv0mL4Sup0cee2cbyx
Ztai2JnmTTvn1j3XgDzARZEyVhQ/KQAO97pdvlJlViK0CDnLYBvih7ixYmK4cOny4E++V601bc1y
6K84kOJtSoAWOrkAL38Jtgcm/tZY7s827H6ATJX70mVgGLV4rXpEElUhu5cy4Ectveg3rdLDz14J
jDCSjV5wiEKITumVasz8iTBeHO6BvdyPtIbsJ7/4qqrYRNzJ3cUpNb4Gc8MDY3BwemJepZoJvRjG
/43ysvK7TejetrLn5qRE5ZGD5c9bcKJ6T+5jdW9b9rQb5oWcQmf+LlOsfiO1Upsp5DVMuKYI0+yC
F2niry4cGEaepoRqYqtXuuYNa3n5BEflb9z2xfAwTHXwqfNdvtcx5+ce8ZeH1X5rlGECTVZOV1QO
+Zufe8+u52GGLpMLZXjy6KggcbY6zQkdIJ6VwyxLxefQLVjHIRc2M4SqIEbd3nbST/ikx2mOlo4A
PJr8QmubNDYaL1270cznTMqk1TyOiKmPJqUDR1+7wdepkChhTP2et/HwiGTayHfjmI7HvB2cR0Ib
RiTNua45WVvaT6jC2YbgP5CwrssVYVa3Lgjd2zSbONs4NQ1GDLu1t2yd5U/Z02G13qgJnykgc7OZ
/d47oLF1uWVqjwa0XoaL2iqbxzwkCBUDs9r6uGaRz+VfJDL573XSncspjWFVm5SwhMT5QHzmPtde
Zr9bSW5U2wXtAH7sTK2QX4N/J6PbRCGunvW7WQYlijAlnxdyCE4xh+fDmBrlIay9K0Jacq1gNKKR
x4E+WsbC+jp6o/8RJ361TW3pP4aDm726iGIeLJW5UV9NlOJAD2/bBp8oobQ+8V8YlW+Ie/tsO/NW
XHRhk1lmxgjq/aFVCVKhYKiiUdO3wlpYHhKrz5HkTsPe8i171/K6DkPvGYccNLw6dH6ZvXKaFa88
4tSXctLmM7Ez8dHM/exkuhMTb9x5Z8I6IegzQxKfOnsT+Iid5fMdJp41ESTtz6Fhc0OkICG7NitR
paOaIklIW8VGi7qNvDExd4uJ23eAVnw1g0V9uEh3jwGo212T58MjSq7+c0MncsH91+QDoL0XFZWL
647pankJ+6EiX8xl5/2UWJywW/YkFUbUjzqomMp2HndZzv1wR6hTVe0CtP+fJ/IdvC9JYRDUiCmQ
J2sAGseN2GOHn3tPJ8RcCO/iAVgg/508bPC+ei6XerYi8kqMh7LW2VtcufW+j4NqZZ11eUIbZ65Y
JLp8SmCNYCPXIDwz1vHTyJceNSkPZ0RIz2TSUoNTd+p7XdUIw1OfsIphSe76mpG0rMdu2AzVWH2y
0gk3sunbB2CY4p5qhG4/A6NFuJ7KbWsspUS01br7yaqnp1K4fR+5Cyo3Ms2K3Zhb6h4iQoEk5fRb
+zq52q0TI1Hz8755xAGnXXrFtdmRMhz4ns2wULUkJ8hgoxBWtvKDcTMja3NT+N0knpshQazAMTZD
FvTymIdpBVafz+NyV+o1vE3m1q5c2roHxUk5R3VQakYnzzkOqee+2uQyqWiZktY/9gX34necK3Fk
GuBf9+CXiHe5hPt8ZwcJKdQQii1Ugz9x+gx9cz+CrB+VDK2b7gZ2AVDMwwI8StgKyslu6tsT0tg8
UoOT3be5m21jW/k/K7jWdxN5K8a8jEDKg67aTxJPefZmWQI5BSHDD5CVuPjlsriRhwzhRxO0ydFT
iFA21oCd/r/YO6/tyI20y77KvAC04M1t+kxm0iRZZJE3WKxiESZgIuADTz8b/NVrJHX/6un7vlNJ
YjENgPjMOfuorAme5xwuOKyn2d1G2Gt3rd3O7yaF9c2oJeZT+uM6QCxZ89eeZlt1S5SWJNbKLa84
kL3TjFJ1bSNw2OAIc+TKSgGNJqJlMYuidm0qQtgmFgnrhnX/rQtTcOPwGsHwDuW2m6ZoPTO63iac
dRTnSm8nu+m2fREcDVmh/KNxxzKZRbtGmPa7x/L4UIqGEajgyVTUAAICDJb7LHGGTVN7yz4dtSHC
hXT8UUTGsCft+c6Z0ugDSdEd0l2cFJ2JiNG2NXHNONNF3ydnQUs7raDnj7jafLWT0eRtlRb0N1yU
jG7zLN2OuD63aPtTuhFDvLXU9KsacerByGJnY4ycJNXoV+yhF5uMYRp67eaOs6uXNLcqCoy7zpk1
+sj00E+iuEyCebeXVA6G0NH4Up+nv6T03UscZxkPWoVauja4d1se/D3Wb824bo3fs9w2ohs4dEb9
kHZmdDtMbMpyVjIHgfJxayM3WJnQJk4wPe5D1lcrVkQTwaUyeW/J6MDgqbtFYqLCW8E+fT2Vptgy
yXdhhkTOa4LGbOWMbVViUUjLV0O2r8oJ0NoP4d5lfGpCmBg+sGe0yA3NGVguo3iLxhOZvAdUaKrQ
1Gt4r6s8SJDQzmwmIycFCFqnK7uavsuQJiIJN3pWH1VefIfJuVxvvVlv+64S4GocZ+svbs8ii+JT
nrXeu2ineFUmzAqpmS1zDa8fCGWD62TBnKtz7eeLwbYNgMAKNM6Nm53Rdop75g+muendqQ+3gzQH
1J7U27k5wPVdxj9T2MpjhC0La/owAxwOzV9jRYuWd/lwKF1iAkYSBx5Q7TIRkM3PLp26U4DsGGKC
CE4ogzZpquUxZFvJAWyIkx2Uw8Ms0mSXZOoH/RqlGNYKvXHnvDziUB9IBBha/TJ0cbti3nNxnDJ+
ppR6ygyl1kHTBTep74xrNc0UjnV6jMdZtayxjGZTDf1bZKnLaGmHmbD9TGYCeNMBCYb0Ae2OJLG/
oN0oV45qkHSZIbEqfew9zbVgKzEL+6bS6TkzqtdOBu1Bt+kj1vRPgsCp/zTVUZXI6jGt7VcntYqj
M1TuR+sVzYa5POoco3yegtD5lLI05l1ShWyDmXpQfE+SaJ3ZL6+h7pBt1ElubToZxm+DyUJxNQ0D
Gt1Ij1dlLYbrIoxjxk7dOEKjcjVcyRJENvEE3l70TnSteGB1K+lgZ+LtxQjEwibtDO6EcuubojnZ
FaXknCUTrU684auSwUXkHjB436WwtoQBNXMWmbXybTz82yHEpLclvFiyNPLDI//AfxJV+Gkn9tXN
ax4eYZaekIiLk/Y4XFn//YyF7NWeJXGyhRniroIgL8HnTaeZBSm3uvWMVaWCgst2preXWeBCndFR
H6wCyx+We4Iqb9HJ2R6VcNLibQCe3AzjARXUIRjUWxLOJ6SG5rrIMJCLxLjEUUutU7B2zcGhQCno
dqMjgm0g/OIkPcZ/KjKBSFPqr6lMbbIC1blJhocobz9MjCkbePzeNpqqB+VKyBMlm6DKZQofGF0K
10UzQEQ2fDfaLkk1Lmub2JCbEeDzOiGTe5+ahAdmdWkdJiTam8br22PVJSaTC9jJpvA+5BhHD71h
MoaLx2yd1vpNJIB+7U47u0A02SrvnB+xN1iPYwiixJ/02AB+qcdfXhsMjzz7cCf5XrMOTNWfMJhf
QpSDays23AteCYM5S5bZ28YU4hD51cXtCgRrs+P2Gzsbo34bJBZsgNxMyV3nfLSIvMBbpeU7Dur6
1Qtdp9wIY55/ApqKUTxoYbzXSP7uArMwDjkHHr6EIJgI48zJdBC0SGzi8nSDuefUQLbYEgWgf1Bn
cWslsnzPSIC+q0cnRg+U9j9B7H4mjaWxcYOZOJEJET2ADYvXXgZPbC0zc/wWTl5/b9uEG902AMnA
LQRlvWcKWqarqIOAMc+Rv7MgSgcbX2SgdOysQmVOpPQuk5ixXTM2bvGMeMOaVFP3kMXDk068b1QI
3qOKEzRd4GsP3Ad66zetRXMVPo/Qq1YyrezHxARO36YOcQFt/F6CQVrnZRyu0RHb2aagSTduRmRW
DonRjFZVN6Q31BDdRJoU68kmz/z+5FY8f1Z+B0dgn8TjtAyJUNaNzMKoaUrfIoVlhriGk1R668Cv
m+cG3tONUqgAcGwGcIB7kxkfuol4DW3DekVpFzm3IxL3JwSXlr8JVT+/9KJjIySDmKERA+p0lRBZ
cnF6CSqcqwdijRy7/aiq7DwvHjO4ymzcu6ZPqJhwbawsGzMbx/xSCfGUeS2FDyS5SUNu7T7vDhCQ
65UyJqQHbeiG0OOMYli7oTM9srPuGD4BoPAhgoDdkrYRPWPaSz48MhxA+SVxMm2YqREPIYYJDAo3
Gkgw4jEo6Gm88UkUa0rQUm4Ghwg6yustK4IHbVDWz0jZThK3wMaT/Yi6IVYPUzLYL4gbKhAYLg/s
ufGs+1bVCEELNYTX1ms4T3mW1ffFbGA9crP+5KBW7lekn4WXRhvdi5CGeWuWo97bMrTQHwyt8wDo
IrhGRkz7gncgusFlYf/QRSZOXRsOj7btMAyd8DNkkCt4rK5KL6xsakagHqgSEa0Fo8uJ1Y9MBVdO
E0FIYcK/SIQhOxU3OY4mCD4+jPBGlvg8OlwNm0m09zCXUSP4WtrolevpyZyD5JTDXlzj/NSfBdq4
19haYqtnrG0bJh3NbRpFKAySPFMvPfvN3Whw6iaA0jjswVDQ7GRbki/zvTRGJNyMRm8a8kyPw2h2
W9n64kw4CBECAnrtuZ7r8VuXV4CtieEqN6kxumu/cWMeJx32MKHkrafH8FCmVrJthxmgTku+gCMF
V4nRjN0lLErnO9Nbg0NslE8m9d25qdW46zuqf8aZAVMaI71qIgyguiWoFdllrBPZlpe+i34aAzHD
PJxiYBB4SRA3WZdo4NZwcpvgW+Uc69QK76vJn44jiS0n3wiwe/txsXEhuHLRsNZl3tyc2hSBk9EE
4oyX/UcVTtZ2iFnS56F+h3OOQhKIISrenLGiFZOiohr9bGROvAuQu2+ljRrT4ELfp4Ns10OjbVAk
NTObWlTaZtCGs82ZoE2Ts77qvJpa1pyb16wgv4NWgQy7BsIrB1nb34dBzRzYiqCcVXDKi+vkpRni
Yw6b3BNQsgXQ6TOcis3osb5hxmpRadTpzhIh+TGs7j0x8+/N+KEFKHhH8C9z4EE8R6393Ul4WHsG
+YyuM2+YlLxHFaLuKGHhMY4pBHqjMAkdM+qdbQn3MLrlHj3qdQ5x69au562j3pyBzcx3Tpo5qyJX
L7JV+b2f9IfYsFGOqm4/zO7wZkysQWzH+O6YFoKJmQp5Uka2lwMHNdCl9zLK1cPYq4e+tgu9MuuQ
o91aGsG0MO5YcUO8NO30CJzCPruD8QHktr98yaMbnv+rjDUYg57I/d6NHlhGhC+DREbVFOrlv2vr
qss6/e/W1uBfWSf/72vrxwX08H8276Lu/qTxZN29/OA/ttfsoRFS+l4IgBpOyx/AEl/0bAScjuth
grH9BQvyD5Gn91vEnvmP9GyK/C/5p/2bG3pMMNF4Wj74GP8/WV7bzl+4EmbEX2GbpoWeIbJNz/oL
V4IKr+riWBk3rmsNDyzOyu3sNt6xLGaBMglXoonM8+oUPszB2iWRAMf4MbRCpDCiHp80Bocbp0Va
bakOh29m0mjFOdVqRSoqB3WVbkWXsM1zDi5dJSrzhlmvWz2PvbinNOzw/ybh2qCAWlk+BnDE0dEq
gnu1ogWmxmc0bz92FSc15rJlN5CUt6yL2ie8LlB0gs7dgO8qPlDzrHTofEMP/enITuGN7B90BGM3
r31vr0bPrVZO3pfXLJ/7E829utFBOqBdgxC7HxwS2ZZzEmumj6QpIcs9z2fyYpo42nVt78D1qWd/
k/Bx3jL+s6fV6OqYQeEEqDCYlJOutFnpw2w25taUFGnSU97ZbMIDIv2rNJemt4usSyl4asUTSrwp
4t4FZb0VqdArapl4RwVUInJkyRBWmOtUIsZVNqp1IpxmzZdV3sydK3aBZwQYinJ/HddMsHrM37vJ
xuF6mCoYPGuvZSyHjfhReRVPS50+R9qyv42l5x8nNxheK6tmTNQC0TS1U8e3kge3iaw1zZpoDc/W
Mm+GCuHvY9U4QvRQQ+vQ+CmKyQrmVV30NGY98yu8JVXdEifn1WAWDOy+DOOwN1yVU4W3URKxVxpD
hd6WDZoa9yUV8cEOvGmPBIl4FRqD4G4qK0jIzJKZJ2ZGmXarcG6dYcVoxqNobkx2pshat0gZDJyP
BK0VqEhdcQtPw5HGxiinKZn3+BHmprnUeZFhdVyJmrRiZIDO0NJXy2FCZAynoOp8VMJ27F2bGWGd
QFhZZ0YuKOlqkFQPcSfKfYV4D1i6E8zDMO6iGNfIvHdn8lmuUattTeNm9q35aAwa/9bWiPICuyQa
0X6yd7CQwinjBfgIHabLmFUIV3cK0RT+xsK0XhiWTQ/jpGYMtnml7IUmy4ZMGBR/dHFRvDb6tkVN
oQfjORVeJjBUBOwKOr+cLsJC18LER314c6KwYSDNuFL5wDtHY45+Fcpk+hx7lShvDaiV1hrQr3k3
D6M/7PCujPEa3SobVaurqhMbpPRQVwVJqHPgJGtMsOw94hTStWM0MKwZRRMSoXznDbEr+sakTO5U
qtWdr1gwdxw7az9loLrnBeAnMVtvWyYK939VzIdMY0siZLB6xhLDWidQFmNFl4pvmedYDXbYnNjC
0I8ZbuDSXnktKaCrpGPUahkWwAjTogXvBiKQ8dM7HYJQcMDb1Gy7az8E1b1i8LgPlLsiote7i/Ih
eYoLOd3IQtoedXgyv/73QPz/ORBt0w05Hf73A/Hy3ujivfr4o5Tr9x/6/TAMiH7A7mn6volMwIlM
TrzfHQ9BhF7L9EAceV/BD//P8OBEv9EoAmGIYA5B3DWhz/9+GDrBb9zCjhX4XuB+2Uv/k8PwL/ZR
fr3JAIRUhwgLxSIb+7PdgTzQvMF3Nx9o+j3UECjJyUJM9LcSXw3eQgrAP3w8/4I9tvyFf9CNLb8w
wN9hegjY2K75f/FXdEXErGn29WGa8ubBBO9NRT7+O8LZP0Wh8pYWtJXrerit7b+6YjuvNQflAW7X
sPUQ/U/qQdRsljIAF+zGR27Ethk3SKaNawv299vfv0n4Wf/0NilUllrGBbXDZ7vI5/6Arup7HYLS
DjrE9OxSd6CO512BkOwwuEzU6Wib05RPGHNJiikt0oMcRpaNzIhTb03He0Q9DQgRb5++sFPOJCoA
t+CEGAW8SsH/W9S6xJZYGDNltsxZTHhxu1hQWal/qk4LcmZCsZmhIB9SlylHzBD+VPqe+h5nSu+Z
npIjKROLVrZW+M4Z5gXzwVS405AfytsGKcyTTU1/3zl9jKu9le8hHaOJY3HQRN/wjqAODc9FX+l9
yw72HFtGsW7iLMS3SNmO/t6s31ImR69WYvKD45RF51ZN0I58P75GQ1B2m6GVZn3ko2IwnhDcZtF2
ua6zt5NhmeIGLToqrKtPukbUBt4qRSYwk0LnRozHi8QGIRVkzQPGROwsbOLgHHUBizU/nS+kL2WH
mCZ+48RAVkRvq4e27OLTzKZr77OsOKpu5uU43fCcm+XwrPLZf+TbQbHM+nwLYrlAZjepnxrl+DoJ
iETPxkp/S7u4Zi9NFMKiaTAP/hhxD41NfHK6CnOoZWQHxYnxOfZSfzMbfoSlVfvicz6f4ykhMDXp
rKe+mNsXVHbVearr6FyWIZ8IbRKtvluOaKl9cJvgZgu5bSUCM3D69pazD7yInzKTsIBp4pRpfrox
f0yEBXIyyYFjH1D6IaJze4XHhds5NDq997O+OCLQl7eayTJWwBxoVOtUTbU14aUcJUstGDQMFQPX
QFxC6OU1GS2x81mk3kIj89ZIAoZfwoRojzNT7MrCNHloWPVbNqnhOaYbvURq4K8Cc7GXTMRW1sQ7
jkZD3sZiudkN5d0Zicl0CPLF1ndzBk3sCNcDrgXg9Wk1/LKYNu6RLbt3ics3EQ8R69JK6g0cf+BJ
hez5XEUi3wPyv0BQU3pvusnIKrAWcXz1zVj9BJY7X6ox1d/weIOurrkZikaJHUae7sPMfespc3H9
pkmB/srgs4X6bB7yfvmol0uUqnj4pRve/QxKhJIcZQoAp1rvaRr0ZyMG+VokQXwqWvE6Gi0U8qwp
75Lw0+wjc2DpXaJvbWNiD9PWezNtrb7bcdyzAufaXLHQyPY2PfDGdcmliIPhV0c9e8tKkotyssGD
pHxRPnNlpE+uvJOl47LrH727HmbzU5W18rX3fCC26Iu2cyDmHbT3+s0pPU3aseE9TqEOyaXLw2gd
YnZ9T0IM+2TIY8HGQSQ2X28uXHYRuEaM64QrGa4KjcJlxLdBm2+Iq4a7HKLj5POxOis+4VQp1/5o
ZoeutgP41agI996UNT8lDma+plIQaKPTUH2Hgx6dc1MHLJ1swDKdbyeh/RKKCNbGK9pMlHcZAprX
zKpKkRxoRirmsN3MtMIxzbG/aDXG3gmzee9eoe/SLLiT/maxBlnXfg/6yyKodqPU7O+4Dkk36Gw7
Ip4YqDq+seoWlZQNMySPTq4h7juzNR7Q218Nr791MZPuwjTwHhgO8uwMJueW3NjH2ItvS0M5GyIL
k0NC/OextMU3xHqMjwoA4b2rf2RhCSl86D9EaoPzrJKfmoAhCKxM3yqrl2fY1uMWLNW0buOk+7Ay
BL1J1kK/VvGuGIFLT7OINpDNgnUReBBXZJLduiS4XYxIDnpN0MTJz0OUVlJtsoIUspWEb350bRMW
vjG5a5BEHqQssgrh3xSfiZwBWjleFewxJSCCcaurroJsa5dGdJOniby0fj4SeMENq+AI3GQQj7c9
OPLjrPkibWswj5jD2c2hZF6jrglxkxisdR3wSgMbZXYXgVzbBlJFmPbRoU+sR/Zr0c53g/ZsVZFT
bBGpdD9bOY7+2lORMTNP5TtcJQWrVdSFwc63SMTEP3/uW0DQxGH0x2SEBEBdwGjdi8lg0HH706nH
fp+Q48vYmop7N+DIWoF86djI+uoKEsOikhcthIY+JSITAhdDt+ktJBobFZOYbiqGwGyNhXhlXFsz
9pt8vY+ygd164ONnx6OaroPBdRiZOOoBrX24c3sPfLzk+Yr5n4cIkkLcV+1Kcl9d3KKVN+NMiAD4
LftoTxLnUZpyV7WIZ/HiVDQ+SJ7Y4LMvnL7No5Mz5wezE7bVYSw2iI/QSzb+/C4BCB5tXc5PEhZ7
srba6IBAODqWbJfuM8Gkboh7dRKlZMRqFyWXO4u+YmQj3WJxegiYElAcaItOuhkxEhHPrAzW/0ZU
zCs2lexEoYF8D3wcp6Gpx50bawjg0WDsVIrgpk/Kh8IyOMtZphyzzJmclTsMm8RImM2HibUvMq54
ONTpMRymeAuNH0s4CR9EAYzGteym8NZSsz7psBmKFdOeFHiTD87HTdQtaqjgHE2d7SOJHtkZQqj2
2CSm4iLb2TrKtAyw8ad+c1PMsfPaQ+FkA+jBXgdujUU01YkIaYBz85csFxokRhYfNDf7ZaIv0JCz
JG32PfFgr0DIydxkHZmfXRbVP0sn982L1boD6lgLo573Gg2meUAXh4bZrKsWewApvLsg9YYfdW7V
664Yl7pAsjmYQMf5aiDFJhzK7IYEC2DJsQ7ygMuvTI+NMzTnSLW1u26wWRUrKHoZ4weAAOscjf+d
tomIITRY/mBtYEBXkFos3w2EuqVEynOHc6iw5gNq+ArYZ+zxcJbdB8C9Ua6TEcXjzhQtB47kKfxZ
FQUbE23EVynoy7nSKROC2JTxJvEI8ia2ulyrVHp3M2EEVwNPHm83c1BqikyEmwSxPyIYRtob15/k
D3bJs9ymHl+SRWwkYTVUhf9TfKnMtp4IoWw/ZB7k4cYG/UedXMYoR6clDIoy1H+cyH9hn0XBWG3t
wRWbnPybo8PM61w0M/EeZjtuynrkYdzkWItLaRNmmHrtovgqa+NaQZZ/zmxodWjUBSNvX94m89er
iNR3x/ApS3GkLg9lmHifXU5NkkWEwS5qAuuex2D14Ui/homQ+AOn9sCjkik3MoaGl6NbqfepZQDr
g5AvsBYaIeiUstH7JRb7xhxQK6YoETdJwlleU2y9SrwL61Yv5S+Gk9egQ6llt7wFJ3Gtp7Cc9Geo
ZbbHuYasNc+ilZWNrV6hMEVMUYO0OgoCeh/+vomw/lUPAWMXBm7A4p8n0J97CHRVok4S8B+JYatT
HPEwpBwOCBDKVfOAGZvy3lHhZuCLeWt1E2L+JU0LaZP37xqaZZj7l7btf14JwxSLlxMtfeQf+5na
wSCbq+7gkqRL8s/ce3eBzxAv6cb4pF0KwjTik2WVPd0HSc0csfWcw9zVb+SJcWFWjjoxldI31SjV
97533bshs6dvIxX37t98cDTH//Ri8fEjygxJScPM/+cXi/9JBIPhtKiIHKjibeU/aqLMwZnk6Z3R
c9VxFHGBQTq1ngSbu43JOXUS1YTGXlI3By5F0N+/qK+W88+Nr+MFNpNvXlTg/lPjmwAGRCiXtAfQ
htgNkNDHmzbs1Xke0VQ1KIw3PJrnrXYcDp64p4LKJc1rkC63qTuIK7RzdWIoPR+QndQf6CWDh9BP
5Dbq1MwyhlUai2bP2Pz9K/f+xYUYAL5ieEFT7fjBwp3+45fv9YYjC/bEB+a9KKawFuRbVUZ6V2vg
8DKrxk2UOsHnYOvhkOEq2hmW/R7m8mWsEmebwRPZGh5o216W9WVobPeVCVp1yWZH3CCNc95Yt6XT
BTFANdw0aRoeY98iMN3NZnJIuKFLHiWHJMq8O9NK5baZSupVpo9nCsgZd42jb9yUar5R/YjykSeM
7fbGdUga/xHhuf4sw8T0UEm5cOpQRNPSuD5171gvmkweYCkYGhrpECuVmwj+J2h/XCFNUvIk/qrV
maSqh6pQyzMlWsp2UDHfoxJQv2tm/qPrCLklK0PeCscKz3mvqEEtRg4JauXnZMb7s4o8u3hrnF74
p66Yg+GsYmSOL2PGltaY2m7aeokgzqxHgYmSwmFwz/zbszsDNyhvqLKfEb5Zq1axVD0GKMCSI+SH
bIN6g38RU9AjlASLyYCcWHo0Ah4V9w08ofYjKAia4jSmpodolC+ZBynvOCGchKklAslVMVHKB4sO
zcAdgbQ8MQ903zxiQYe+mDmtpl0xZW89o27WZSSJ0G5o3MLUlT903otdk3XZHj0m95MYuSLnjoYi
rfz+GTX9W9AsOcCTJV/DsSDuttEw578+u0hAA4DQzYfPoWNcm9x2jhYHxwN+jWwfi5SHXuh1xbHz
wvp9YvH/7mqoDJ1dwIrgthU7LD2o+gc+eg0meNWPNP1+UbUvSHTal2mywGxMPI26pber0qhAZdzB
73DnYgLoQc4Y1NekPDZtTtdSBc6K2il4KJ2mfzYtOGJ2ZdfvXttke9Olw5IW3fOGIAdOgI6glBfM
uiO9SCFvOxgY3MEuT5MurkhPIJ405M8uetTam7lHWrOvMJBZ/EfQGOonjhg+lZKEuJbucOVl5GRV
KWeiwhU2UxJx5EzM4MtVitdw5+lgCdWz1fdRB+HZGhmztIhyzwkO31Omg+rsgy7bNxyge5ap3roO
q+E5BGO3QmeR7cNlAhSFtJslO2Qi4miTyfybP0Pu0nmbhbN8Zcd1P0yB/NH1He226SV3VuW2q3JM
F2Mxf2lF5PnD16ue3IghVpjVXBg1ZpqzdkaCsJZbdVqe70iNRkKLOKY8BuK7qSlzH4ERFrl+yJiM
LM1rNpk08Mhg1QO6Ur4ZXIxctstZjPCripdZj74RYPWQrzQjcx3H56NahhI1ILObOfH1ZRqYrn1d
hvbECIbLW5mHqSfryE2YeDitVg9fEx/2RQVvJYBSYTE5gSZRHImjyQ7ATEti5MFI9TE4+K/xgJEY
fAyuorNl4MhHvwzy5izUO4GEbE1iy2cTzvoyc7thMYc3EWN1YhYWJkyvTDmJKx6yqVxRALPmCynJ
+jqY7lWPMjLFdcqCfTSL4zTzjkwSjBniIGlc19HICC72UbInwvTWssehCKqecQaDO5hqGKMQxpTe
nS1875GCx2wYfA3tS5c3TARn2GjfEXYxKPO6Uf1MciYurdnpb5XBbR7bTXE0luGK47k81ujo49PX
pAZfjoloJUAxVc3YU1alzbBHzTziHItf/zW/+TokJ8HstqpT94g495dpzku5HCxgnKKkWFKtiQL6
69IE8LKTLqMhdqTx1bSK6ixrPGgK0/I57Fr1vUZpdiByiJlav9TKY+ksaBM6rXVidjzcDbv9qIuo
fpsSip3GVBHZ7Txn6xGm+yr1VIOE2+ELYXdnbVvapy1pTYwqcu7p5XpWzfIYbuO6vQHNy0QyygJq
XtHw4xyiUGhIcH1Kl6k3dclyCtCgvVkhl4Q79+1Hr+L6PbXi5C7oJWOjZrl+wA0eaHUYRvq8HcCu
xfGrvA2B4+wSUYlrOQ5MkVyOSR8zxdPX2YAKpDn1YZLeBTzymTsxRB0Mz70LEsPjqEBudlYRZQiS
aftpZJG4joguWfsAPo54BnFJ+DkgMTJLVxmr4GPEgPiowTyeZ6evzlAKi2O5fAcQaeVr26J83zVo
eDbliKGDWJrhWY+UychzwrNZF/aTURKXHvMc+163oXxN/YL8giWu52skOHQMLUNbxidgjnCEJ8rP
lqeJXNPmgEoMJ66QeqI46Wh2Sm7sfQfh5KBqjNVrbQ71GzEGDKhHZsZOFtMqdBTOjq/Gjc1wmei1
5eL5esxOAML3TI70DbL85IWuHjGgthdUUYlg+TQ1znTfMLT5JgOqdgNSrl4P7cCHafJ4SwfuI3CY
nFr+IOnxHK41AxTLRGTjm11MZYZo01OnkYXZO7Fs2R7NCpJIQjjvgNAJvsolNywx2q0Dd462i5EJ
92TDdLrqAn0JIst6clTQ/wpYau87XvqqosBz1qCjKS+R0f9oy4aSQ8FXORJIRhMjs/QOi9zbMHh8
ajO5e0dcONwqg+Az6AqTboh0yu9UJZBs+0nHHMpmDbDT7r3sdjRIWSMRl3KirjECRHogFKrnC9ch
ZjxhM1L/+uPXjakX8ObKsPrmpzdypmLodI9A2ab7yTb0jrClbF+jK9w6GVVlEix2mQFa250rA7zK
s5fNF+nPdGRjoHdTi8nOnWt/m7Y0sF+D4qCVb65NZwr9GE8tSJEBbd/c444eeMcYV4t8PPSh+zo3
CTDiZRMDGFtuey/gl4m6D0+YP+vVV7n6X+TEv9HuYOr9+1XlsR7/pNn5/Qf+odkxf7O8IADw9ico
WwRswrURijLMZaH2J73OwqigigxcUmKQ9Cy7w38Idszf6BMYobFcDF02lf+RYAcF258bOjNyOIEc
psSs0miHnaXh+0P3iZ+pGxhmhidTldONkbdIqvHtXyfHEx9lNczH8QvBThIaOHbxRWb/YrTnPFg4
j1rjHoQ1upoUs9e963Txs5ghytyohfeedkQdH5clWLxGruBg5PmiwyPw3MKLDp41p+dD30getY0u
eSqmeVh8DIP2zoPqw+d0AkcIn3YB0Xf08RovyLRAZ8Yjtt/sOCzs+jxdMPbQIEHaVwvdnjK9+FUB
vIe+MN/mPGZeuky5V5j9gPEpo+NPzC1sFIzhIshUhJVQZfkr8zL17sbJ8DIlqlzb+Aw+DceRuPcT
jzVeMwX3EnsllDnttMBlkukyo1oEkNC4+jMoDabgVU5YI8jY5HYwbOye3PSkO9I5kLIDE+Bsp7kA
mQHXgsJzJM9xlkl1KHywl94Qp694JJJpzWQ43LdLdA+jHb941Faa3gGpAtHf18khG4sEom8Unjzb
HfZmPUmc5GXpP5ZpMmf7uUqLADMXc10COuyeIxxYK4Jgt44+MKNw7jNdDIh3LgY4Afj41nYs1KmH
3cF4wUJASQCMvy7UFN00iCS/woGqlRlJoI8g4mBNDUF/Zc2oDrBW64MwzBbwXRx2nPxlUXOq+/JR
FWN3soKQKADQvg81SsxuhVequLMgCVAIUYzd4eiq+zVA8uF70WNRxrLQheTn1JT66awxCuPIjCCd
+XG3Scox3xYt9ihyYFGdT9TbKwJiCe0cJ5TSYFex4efUNys/xXKHEPKTfaruD2Y3q2xjhE79ybS3
cNF+zwViKHfufiJK8o0D5o7iOe6n/Dg4ldrOkc4dKmR/eJdWBMdubBBuApTfRYbTIONn2IAOPmI5
OmXWeDd3bZI/K1PEE2YaCLU1dIeZjJc9u80Mo2yQ3pc2uqnig2/XRuOblk3GZ4sdEzX+GRmrrrNb
0w/K+BYtebQpF1GV5XbD6+iNPsgvJFdJyO+IW1y0qLHcRZY1fim0OssaqkNcWXJnLBIuQm389RDZ
wUkvAq+2FCW3N02vppOQiwwsWARhaD5rCldEYool1C5fhGNIp+xttojJoJiyFERfZi9Cs3qRnE21
eyWW7FDQtyBpR5bG9hV5ziJVY5vL595/KdiGRcyGUJsr0KVVuDWIM/I37SJ8cxYJHMuw7mSXTYlD
FKcHyUDjuV9Ec+Min1Ne3+PKY3Z047d4LexFaKfpkpB4LfI7vFNIvKL2ASyJ4sDLP2e0eswmV34R
io+Q4maT+/QzdfZ/2TuTJbmNNOu+Sr8AZIA7xra2fxHzkFPkRCY3sCRFYp7cMT/9f5CSushUFdXa
ayNVmSwTGREIxzfce26qHw3mEDc4aT0Ub0yAktGxHphocmr5izAwWCSC5ptYcJENpouAkDwP0i3R
FJKC+hwsIsMIt9XKqOQhRX/oLkLEYpEkhg0RsembThHkoX9Qs0t27yJjJLpkeDSljDfmInL0Frmj
eBM+ilTcu/US0bDIIqdFIAnQBI+QE+CTiWzdXTug0bYNQoariSDHDzK37Y9e4aSbOKPnGOsYHF/X
eo+e53TnekAJwSGlOVMgY3FWJk5ofMHrjX0DdvR8a2a0GkkZpXdzz9nIhtc/VLNtHzq0ZleDZQTj
NtLRuAspM9ZtaRbrQTvRGi51c/NWcXqqWCj+4pUuCr95lPS7MSxmolObdksst0nyIW/KZYDZuGVq
UlK/RznvtmDWoqhkg+BLAkOa95zJA0btsR3XMSTCq4Rp+G2qfXIdTcfYAkSf90WLetD08QEhxO92
SvvFRzR0/l3cAnJhEV+2H1Pf2QkmaIi0x/LWAm9BYklkPhI/jwF9stsXz4rsB69ZLEVNDFjHasxd
XhNx0LPSO5JLpKlH8UltHZ/SdY0Mu3tAzU2UOrXYK1DiiUlRMyAqacpr36r1YTQc61ZrJ4OsDkIT
j/H0gGze9YF5W8kNWkJgcPABr7CfYdmO4eX2qc7Qe/scmTmNfqBTHDFGQpx7h5gi632PmBgZbWTK
jhXcRjyfcMDEuwJKKQl/efgUE1SL36F29CdW90gMcVYkV+jQ9UGLEJfdbI2fi7bLULPW86PsJbvF
MPXUiiC7FqJ5o58a9h9XM9kKDEWrnrWRa6bcb01877id9YAkROxwBNSbaUDisnanNv5QN7XGjeiO
d7Gu4LRyMDUHnujja5wRjixjtpNAFayRvCVJ0KmwZ4jWXXvCBHJpu0mnICGl1bYf8TgHOLnwqVuZ
+RE6R14eCH5XyQcb/FwJSIatM0+izCSQeK5iVPslIdfbzlq2lrJHPFub4/yr3/buNswmyIt4iVkc
0VT2UM+XRWg8dfvBLB6HcWz2CSrgLTcpOkBWLZuuLPOLrCesLKV36hg6bNioJb8JsP6pj/+iPkYG
vvDQ/rOU7+br8F+H16IG8Ku+/qDn++0n/9Dzmb+4FlxJ4gpdgWLvDy0fsYjM9xmT+/5v/OLvhe08
9pGwBsj2GBBJFj1/FMriF0jD8Nik9Cy+v+j8/t//fBn/O/pa3f22PNDv/v9/Yc+8q5Ky1WCRfyyT
kSp6/CIX3wnyt6X2/rFMtg2wBAtQ7ZCVDvmDAIlXwo2ev3tTfr/o9xfhJdbf7zHeLhJgi3Go6/jX
u61UW/VGHWBwOXSZwOvkEScQe723rjO73f78Uu/K/rfXY/O28FghRsOR7y5VFSHTw0jOh7Enmj7B
ZnXGYQULpkJ8nkdJeygsZbCWg2UWwFP5i8v/6e2kVGf4FHiWZfGhLVaF77sOkc+MQ13RHGhmH0Xh
ffAT/Re7leVX/PBmLpdwqG8Ck89NuO/SOxSUYADLVnNwrOFxdOQz4AIs5YIShrnw15+/nTiL/3w5
FCIYGpBkMO01l43jd32UjBqWwIHWB3tgHRdlhVUzZDSKU+aExSnv7Sc7pLJZscPHs+fICkpSkwez
WkEIKNSGAxZPnoh4gtMCZcduIER53Vc9nCc25QQAo+BOy5VorBr4AINVlQZoJah0P4sUd16v228l
aZjJGzLgeSLqHoJW0C2G0lLexA1cDhlnckOJPT5PKUKRxI0GZNnCU6ywm6B4dJ08+sCQG0dwoeQF
q6Zz6+Bvv3eXMJDeJq+ki9ropkO0gkmILPaKNRuTYqdBFTTPR/xo111qQOkvim+2l99Xif3Fnf0L
/AgqCtsvTpzjxFsS7hEwqWZ3xe9EVzBvsnrGs7y4YlVpbTD0DV9VHMC8Z7FYT66xIQ9ZbW3Bwmuo
BvdmHHnkBIYbnkQknz0Udac0TtqFh0NiUd9/paIPHsdSUxVYaXozB0302Lo2okOfZ1XQRxuvItYL
jVvPxDkPt6k5xtelZoIcE6+BPnQ4O9j3s+2gkPghIJii4Nj6aTfuEgyicH16nzh4B4WPn3hXNYRA
81zWZGKyNlPKfbIxf32Is55epbL4PSDPxGNlZf05VwkNiWTgnSgYKnyqDrjBosFtgICFhQhqumII
uEUKDGHAIKd1OpQ46aZO7PokN5/tCgkCFggwaXEiuheYdQ1B2eZkXRn4Fx8T+CxEiVXWKnRBpMSN
S60zJFZwnA0VXrGiUpd6LtVdofQVYGT50sx++2h3Mjssdo1ra5TuoQDbjDzPTfARluOe5vqF+pNw
7Szpol3qyfFg6yS4mG5Ewris1TWhGtVdl08bQVjWdUQB2qwDVDk7NSAHoHSnAEwI+EC86LBGCezu
jDyDyfYck5XiaYJ02IdTBnnwta3oE8uv+MiPfRh7IjCKsNmM9XBB+fGUMs9eGcRx7W3mFOcWUyWB
dqSB9V00XIxwsPZCJubBMuv8wJyDnEXsdecJ1Afb/sipbouJ5wZ3NLT6FaEG5kWGzfSqjQpbO1+a
qx7E0BnoitjTnZD2TeYC9WiBwIWQMW/TmA1Xw0hT8X0xDMJAWFLuwjqeTqPhhy8AoEAB+lGAAzkc
zmNKIKC3pIi4ODH3VMzoKrLCWAmbRoSUuHGNaiOgis6H00yA2RV+Y38Xpm7AVBKzZpGxxXG9GO6c
/BBY84RCoDXvyS0xD6KXbAHDK8PPo4dsyf2wPN5pmcynFgbougdBwtLCaDeka7EZ8K1FaZBeG7qp
L2mDjbNs5l8TFFc+yCB6QJ8xyDE0om6LlukyTmAQRwYPqQECtApARs5MGdcRqrInZRkeWEM9QERr
VLXrRCVfdc/EuYprF/b2rqkj+eg4dbAurUyVx9Lr9V1n1PKVc9s/JsUg92yf8/X4ZsaIOz4hB3D2
TZhnrVjJEKFvZfn5FQfSfLRoFRGOOS+qGvQKpbixGvyQUNE6FBttxlesivYxDwASfk38WNGyNMqB
mt/owj/mvXjKiphYpdAq15GvcGT5BqZ2I9yEcIOuozD7GpJbtp4bvfU6Yb92JmtYFsb9bW1rkDtO
znePI8G9TSYatMBlw+UWQsG/w1pTDfPwkWAOUBeoVjlJgnSaCDHiCwRVdUy/BamRf7CGxnwMvdm+
yDl1NzIH2mXlBdZlIGcSEF/cbt2S+8sa3fHXopiM26xZTGzoTDPlpc9ODNRoChgyrBuV4wSykS6m
NqcH0bb5HjKkfcUueGgWmGF/W2jfOFhUNuum8b54loxobwM+9yZ00qOf+t5jrkdrXzoJvBaBztHr
pwQqJApYCxjqAcxqda7Gzjk4rePcuomVHWIjihAGYtBBVUwcKW9/H49PFicXS/XA3/Em0Scgels7
plVDpQNpTt6Mu3WHoviAlN7+NPZufOOi3fugS7khbgHEY1orddNZdbvLipQ7D5EYbr+cfsblJuPh
SVqmpldqFGqDKNRHno8D2a6SM6MZK889t1YxCfScue5+qyv+KfL/osjH0Skoav5zkX9+LfWP4OXf
f+SPMbj9C65V5hFLlWQHwqIm/b3Ct0zxi+lQPy0F9lsd/68Kn7rt94p+yUCH/cJNKqjo6BKsv1PR
E27yY8nG6DuA3uVL3LSSAvF9hdiErZ+n0eieC/SEPMTZILJGtKAyQMXRxpvnk4hF0gayYrE0VgDI
nLVyTAMi/dzSej7kVWNS42loFAqE5jxi2j/4IW3rmuOCx7vXwOO6yWJES96uUOT2DjetmSUoayfh
MQIkSMhtIwyheeFe9Xajv2Q8vVo78QhOFQZr8dj1drkdoAnSTbSsgaYHw59n6wqiR1Kvm8AqzYZj
UKTzXlhKm1fliHoTdqLJEQgoLNGHvKFOu0uNMHtQTRi86HyW0OCZrC2sK3R7Z7dUMUElU/DRkMRC
conJnbdjkAts5niw8LpOsGwXCuxyELkvDREgGyOohk9JbzNWclpvV3XYZBIVqyVtRYBzq2QMia2t
jHqfzQXbui6PP4HwQ6+vJTEkUESCL1Xgf8nH6cYHPQaQKSO/i3+E133nytvE4RFO+2dt21QG61FC
sFj1Eklgl7IspeCZTAgXLBpXTNqpmJiPc07ANp1Wg+X0B5BYxV1ndfp5jAvyMtXEs2v2pgse/unE
9KuBpohczgBcjbMkztPkV+4H55LiqZDbvhLGbVyU/n50XHXQ1WgRF9KWjzFRZ/vZ7+g2ETStYVrF
DL0x315jCRIfjCqHg+U2Qt6yZ+021EAVgaEeCIjEgtfWOkSFJp3N81WUaLiWkcdghONODnRluZ3C
v5rCZv4Ez6/ewQ009k3SzOynxfyFGBQP64NVP8zmFN50RlNdVTyrAQzMxnQ7drMLz2E39nYrqIr+
+DeHr93H1yRX1cTYJSZRpMjaegTt6pSi1BzKE5kRQ15tvDZs0mAnlHHvG5aPXrNHOzzMWzMmJvnL
2zHxz4n6lycq04SfnqgER3Vfsun7iQnH3vJDv5+pPpGXLMQFCU5sAr+bmfjBLw4bR45ZL/BoQb6D
AWCAREMU4OqlMXaFZXIO/+uE5anMuUgUFCa75afezUh+NjOx/tTlC5PtJkJRKamB/mQVlK6MEe+E
0am3GGuuJc7Ly2BFM/d42e6ThqVOb35OjQF4Z2PTEqaVH9zT87YHBZBsLxur2Zst2pvfBnU/THd+
GLS8MfR/mA4IXhxPIlO4C2b/fRbVqJ3JyYTvLmmWdXUbMG2/BUvJWc8hCW/a6qoHvOSGvU1UiHEc
Zo9R93pdsBUJf/XL0rpoxiuN2taTx/xiro3oZoobPHI2X8yXIiaLWW3zHi0LE3eDlD8nFSZlmONr
A8F4a/gk6IE2tU1cU/HGyiF4j8yJ8ac/xVMfMR81ipSIcSdvCLAnAQClvoYfjssqOPkKGU4lpnQ7
KjpRkoZVh5PAl3ez5XZPQUWxBX0IUAgneE7EFt3X52IqzHub/uqtl4fQl0DCp9TPQOQRPQgL6ATM
FLAi/krIw1S89qVs9IZZ6kBYb/hMtqaxV8msTg1EpH3XSf0lMWN1i1hz3LipPltRdaorVz96ZTLe
WcE47QENtWf6zZ6uqKeN92ZO3JxsopvGltNVGcU7I8FjDivOqu4NO3gxJWWwkUAExHyQx4u3q2Zq
0znDtUGW0WXusmBce/Gkt0PSj1eRNz+YXZTfqgmi30gyIokJg2tFOz8z7M9KF1hY6hgMP0iNmScz
qtJ7UHj1fZ+Uco2Vrrhz+hl4A6spK7tmd6EBP0RAhhap2+08N1u2WWLXBDmICtMcSeSU5XF0a2ef
50W5q702ztY4ULq1ZmC5ncmTPoz0LRgsA2Sxswm2z6yroz23w9pqIvfCu96cgV4p2ujcPEWWDE4g
OvxTbJl5tAlLM/9Yt5Z+rDy2W81gocbL6JkeGp3MN7IU45XsTe/XyItdPChtA4CcV69E367zqVdb
kcB7X/G+E8bQQAdY1fj4XzNue0Y+alxjjKcl5NS/J6hhuAl4NpydQXdbdHrB3kYxvcVOzMRpSCQv
qJX3cVuoHc5MgUowibmlyc4Md/STeqJZst2PjOPsNcYOnqU+tDMHkd2riFIAz7RAXwUY9eumiO0N
gxB1sJGsDWsEZO4LT+JZYaONraPo3VTRQ8kJoH+7iJV4Ai/pqo6mNRVN4UEYDhqMNhjCJ/ABeQTn
S4fGozNqiEC2kbfHgHSuc1A7lYMAF/Vf780KeaWV0xuyCDuP8cC7Z3fhvLb7ZeHdx7t8Eg6QcT+0
vxSDPbgMRQf1OA81VpI8CHj75ia7dmD0ApQDqbDAVPl2YccjGpt6oycOIJe0HG0wXDziP529l1Xu
MWvVUxAP82evn8dtOGj7GLhpxRBkokuqLaO64SQcXvqYjfyq9l30gQWBwNYmS1RGZvZQQuautPI+
laEXdBu0eCM9OIP0/oYUNPs4Wqx0VgUaFhIlIAIVVxNgY1BJE2qhKoIaQcR7jqAhZb9967DXh1Gd
ROJW5/ZwcRWo7hWCgZ6StNT5LZmO8KWQT2H3qvrKYPlmQSwChgGTl+PgzPAxT1b06MUzhVBzn3Sy
RemcCzLgG7K/jGaJAfMkiWDJkg3mUULlGwjK9sas+O8u92iwhUIXk/DmqOtBxPFdIobsqaZJf0SN
DL96YnBZ1LCLOZ45fB2dZV/SqCW4DG8ppHM28O6dTqbc+FhLVrOkVJF4JiRy5633FoQW1cpVO3vJ
R1OYOU5TYQ0vkc+UoQeUdW+1JKoxntqQxGDANF3y1kyRIrAjQtU+x0Gf7ryhVw+0m4S0hZYbX2Df
iA8V7qV7bxoBDWqlozvbtmsEXhBK87XwYv2pAtvCoNcqOR3Ukg4XLjlxcRM01srB+3/d+uRnLPB5
1IgTvHjQHqzbbo1xSZ1zes3l8qjtv3G+B/fMioZd47n6E/NMLgECZb6yOZt36STTo8rEuG0GsIuc
DeMxXRLwFnAs/+CmY2bLlzwj+wmWDFSOVTfHxposCmL0UodEPTxcAOq9SSxBe5rMPcKtWJr1LDfP
re+6bx/bwfBB7NFNsNuXvMje8rY6dr+kkpiowScvOGtG+ZzAkzymNAt3sFMtrlp8Ec0SBwi2XN6O
5A6ndOzo35jjTH6Ie7o6Bl6HE9sxlpSPwtj4Zllv69pObyan8vY2jQM/MI/iFkIr4XZkOAw3TrcE
KotObIp4Yn4HaWaV+KbxiYiJ5qKEHM8oEBn0oo4lCNEJ+i/9Eo6Y4SKB4V2N+6Uu+ZwvIYrcpY5c
22/ZinbKQHc7LZGL+PB7aIG+VGfpL7GNjozJZ7Q0U5VtNxmTvRkKFcjdpIykgqXWmc9uSh41Rj0C
IJGj4yec3nIhI3vJiEz1khfZvmVH4o0d6KX9JdjtLV2y600AZkvkJDwnPq741bDT/tYwbVzCpvuQ
jaGzT98yK1EcE29X6lhe67dUy6UHvyWJmXC2Nq4+TUv8ZdsRhEkyJJ9XaC75mIZMy0/SaQp+J/GZ
YgnSRE1DSpu3xGv6jbauNMcZ3yJN/GYEoglaTmKKGuRpy+bX80T2iortRRuAD53JkiQppkF9SskS
BEM0+AZ6GlItY3JqwqHcGlUDczk22xtA4tPFdq3kYcx7U4J3ZvZEzokwdp3W91Ew8LB2fOc6dio4
lhVfsasE2RxsbFyAmqVBIjGsFbAtITj2mxC1yBcS75rPftDULH9nIzgR6jUsBaYj1JYE24BV/9za
KzWomdmWuyw0qs69agtztle4ezpCJBiTA3Ui1eeqsWYHzCXnCLbS0kabTnmisB0QqX3p8cXb+46H
/oVvLcw78IA2rk3oE6c+VTwJiBQvmwPmPXvcsE2IQx6tNvVXlUv/AXuEDVLHMzCzpJN79nG346oN
ZA3/ys3TaxVP2bjmaC8ISfTHZ7xpzT0UV+9TAyRvX7kR3TSGQ+OLDWf05FdeU+4bjU9nbUSFyZSR
STDGYy/u9glswjuRRHFx8uskuI06r/5GmrBNiLoZmcfaT3MTklZvrLTsXBNOQRPL9uz6k0Dt9U9b
938C20hrwZ7950HZsg0/fVX66w+Nnfjtx/5Yhctf0GMi9ITHIWmgPHbFf6zDHdbhTP49weZW0vv9
a1ZmoQ21cDTSDwrPk9/JRqX/S8Cvw6oPlo2Gx/pbnR0r9B9nZyw4F/sHcE5S0jwAde+2q2QJsAvq
HHXA95zINfq5djtFlcrOcdg759FUTf8QEV1xqswk7hh6lO0lrjFS7zOMsNkydcrx3GRBsgasJnHl
EWUj6hHJEfGRySXotUkBRV5RFDTM4kdjuAHCEUus/WH4OIrS+ch8/DW32Mzxqx57BtkPLUi1i6Yj
qmq+y/BhYaLzLcNWC6oOiSmLxutuIFBkxcTbutduRS5N3Zofg8zCN2MYBE6W5ZCdtOrbbVX4ydqt
+cEBWMTWRhV/UwAR34CSsu7DWRgIn4zgmxaKwEzqlHFY9cWsjhGxKEjrxqx+lb3VwunWoONt7NFv
b1Q2Yy1VXvyZzz9ZG4bmpwerV0cnUzN8aUsEFczb7jiTpLb2ZMcPakpzQaIlES0rtwiK4EOfzk0E
otQ3EYa187Vb9+QvCIweBVKZQztodeyNjqszwBnQA6JN10kbrIekkh1I/4AEHM4uNPmDZuakUp+a
S9SR8UJj5zz4qCgXSoq0rpSvA3M/OFb+PGW5hy826qyPCMLYNmejyW/Li3i89evc+DbHwzKma8IT
vsP4V4Otwk0NwWz/9vfp5a/izlbTinYYXheDsBLRLqYLz/XKYWeqrqSxxJMB1QzrErXjVoOlIPUc
HgGRGolgv2N1SPu6Fu/TlSvCOD6EuQVpydWtkrvY8QCAyHnZy6XhTIiXUWWn2a6OvWIgtoKSzk6B
AvgjzgUflHE9+SaPYpxhHU+Ij4FfZ6eUh9OGqydrlvpOssWzCDoIH9mzMmT+ENdq+tjQU175cAMf
07n3dzFtlbthYytPxIZFZ9gi8YcUBgLd7uSc0XaQzeOmGSlh5Iqw2+dFpjOKN2cWutyTWmivaApb
sKoBnduYEjhKDNi0xyQY0GcK+W1wJVb2UBXEaFlyHqEmijTJdkFqtvFNllf8rgDOys6tXDGItS17
PuFVryovxUCc6fsQcynu0AEWMLsWxthmSCBbQdxWHw3+3kLnuVN5LGEP+dm+8EeI5BlAnHwztgma
ZGhx+qGt7I94Bsm3cAh59ccJ62rfoFFLu9mYtz1xAUWER3GNktjd4XnjIemJet0x6zhFQIgo2Dpf
0Vjn1Z125+KimTrv4BTTiCe2hUKrxAlOw7gtPNc+zPiht4IYwlNsN0u5LAa5HnJHPo2MsSgOJvIQ
QoU1ZUBSvULWxxdDlAk31RBmu7LtR/gZ7eLyDlMGAINmmorm/Bpoe3o7+nhlS2Nw7lonEltMpe2b
HdxcQKh5mK7QLrJLC5oEsP5oeh/72UiuQ8sCTqLSlCFedVQEl2zmGvRL6UqXKZJV0T+hHyaAyORn
XmfKf5aGqQKpiIe7eYCGjtd36GHednEvk2WuMz8RXEMoS0poLzxmdZqZGTwbrgMpufGAJgGYqYBF
R6TqbUsYvfQdOcBKEZfYabrSwcTCQWGtOtS5m97FlE9YWnWJx1l/CHj98miHM/pmzMKeJueAAOku
pD8nag2NeDawsl4VrAB5/U3XrefYq6y1V9ZqTcEWP7oeKdHIUVS2FhgNz32bZriDGAaszFS4Cbtr
mL0q6EeIJhF5SFPxWi2zD5WA8a1Ymt9UU2c8ZmCXkJIIXFzBMKaSS+Qtvh1/VnfKz7KTVyKtwEMz
X4Tbcypptwtf3k6WJmvDb8FYZKe84hsqrJlohbdvUe1yaI1Evz7D7fA3Lpx3xtaiopD3Jp4wqnLL
/RhxPKM/FzZfh0HcsyHgQhjGxk0pNH9JvqRvDebQM48ajKC84bE93WiVVRPxfXO71V05X+NWcs7/
lEv/l3IJTqwvf1YuXVUdQZmv5Y8Om99+6o8xuP8L+0CyKfHL2G+T8P+tlgJ7YQQCxUNQB7eAZ+f/
lktS/sLgVwCe8PHgkE5EkfP7IFzwCwMG7fhyBFg92Lh/ZxAu3w3CEblJG4cNLiAG6x6WjB/FYcmk
hg5ePg946nx/k6aGdW8i0Ln2+6TeVU3qtyun9szP2vDCRy8OFBElZXgyVIJPkHHJ2ss966oyuYN5
TOHl7tEKrHzGm49+TbAkri+eUZXJ092K0xE7sdF9TZVAQ4LN9tkWaLTrpZqhNQjR8dvxcr97pNA0
OAJAyKlh3xKOcaBtcx+6shtvvvvI/o208d2ulXcALoOwHd6GBR74XvBHaqpirl/XRyZz4x1mF0Qx
UwfitG2X18Xf/fPrUQR/r/57ux7bXUpgdsow1N/pNQUmXEJmsvo4GEquxij/vMj310nIe/DzK72r
hJcrgXDAw2Kx6LDYTP/42c7on2eGITk+KUbl8EeJGiQ5dO/DxXvoRW7vYa6H9z+/6L95eZ4deJTx
3ExIUpf//p3aMDUFcfIM647UQRPDsKV41vi7nE03OtRWf/9qULhYzltgJb2FOf391aLAhzlbpNjO
zcHJrktVzLvRxfd02+XB48+vZS2dw3ebmeX9DDy+rb6HNtjGNPfjxcYsyuMiM5NjE485XpGY1Qfm
/6La+MrCxzRRaHZsP64GnSHcywlZ2yaaR//P/44/v8OOaSLItU0WaNBA332sxK54U9ExYGs61EIb
5iI8L9FxPQZuzXPl5xf78z2E/GUZHvoUwjY6iB9fs2KvIImA47lszfOl8pXeEALdfa3jGvXbpBN8
H14ZEA/68+v+uxfpIblmr+CyQTTfnUtZlA5J5NbpsRwaHng9n+Ygu6VZSJB5/a1r2aQgYgta1o58
vLDK313LTgxanDhIjgnrj00zQiZY1fQB52ga5NPPr7X8ru/uobdrOWDFQKV7pu3Q7P5ww6ZFy0iX
URf8tXmwNhXDlVOe0Iptfn4dNqV/vg5alMDlkOF2FT9eh2xMrdxqTI6hCR2N4Q/j15U9EUsR9hQj
cZIQ7TGqtkoIyiBIZMtgOv4L+s27e2d5rXThHHQLRQgw6rt7h1l2ljROy9/QE8BTW33DegYmynUo
p+JURT7Tf1dOf3Gev72F795iGn9euISfhPD53cdJ/DTDsJBEwthHjahStziRZT4BWSzjvZI12Rat
UZEeOUxj5K3DgZbuOLjl+CveTGgCNKtoo8MyPESLgiZMUEmHc2pcfv4J/bu/k8aJ0sCjOoAQ/O7t
yRxJEIxnGKhtPffzBE1QrXuE13xEiMlc5CFMrCnUDc9jaDlk1yaonXwlyzA8dllln4M2CI8j6J0b
xMYazF4fVyk0zMDr9z//W/981/pweyEBsZpmtP7+TzUDGgkiQZNjEZhMSLLF98+oV/+V9v/dt547
xjc5YzjcFkvFn5hDiSF4U0idxtVMgR0kdDMrMswcwA228/Dz1/T+OH+72DKR4unoIC14PyiafO1o
e0w5zhkObSI/7De4m7p1zlcFs1kdretxmM5WN3ovUBKiPRPg9i/eWMt0lm/ij7erLxF7mYFDUcCf
8+6pkqvaEHwzwoPXAXzAPy84TNtglPUxgjdxof00PztxmKyTpGN2M9VxGvG/M+UzbjGd8xsMjcS4
6Q6Pl+gABaV0RU3edslaZAWJvTHDrjhpxP2cy/BbP3b5sz/lkHJzxVwoaOAlYUUja63wnXNPsnC9
wj4m7h2gRQ+ASMwDPFDrKi7tqduY8IofYavPF4LClvkK+7lbqAfta06YyufZoIxDosZOgcCsEAaT
4dSnsmgw5JXYmw+ztmzNZjlmZiI9tdQIVWaDlm3Qs8ZBaH3BDCOfBtzNOE0WYvEa+oP9Le9bG45F
O5J+pwmWuo4k32zb4WixVJ987mIO70pHzjcW8b5YlwVlI9Nr0wf1ngQR0caxa+8H26QYKr1R/+oj
oYXs1ngvfjMo/x7PJPcb3/4IGTVKYhartTIuvtCcnabuvJfZDh2CeYLo2lt+VrMXuI4mR0JBTAaN
bxUx1GNQyema50z+3DTTcPv29obuwJigjM1LDegrO1UzMtpjCMlXnoRZxNdZFGAfaOYYnBrjU06r
zprOivBPb+1bowE/M+OOrMyRpvINJUj0Nu8dOvGEvtY040d7TOwPnTJzAzy/Wd7JDO4EJkV+z0BG
77Xb1iS/NF7yWZnBUDKVUFO0D+aFHol/yXnAdSOfYAYpsTIE720hRfIZCr6AeVLZr2zlDFS+jkbt
GibFfHEG9oLrNlPjnYncH8kxGi4owlbyCU0xR9PS8VqTaedbudyHxVCFJ7/DxLqwYltGPATroS8p
Kmhefc699DYtxM0AfDCk9SIGgEihC1Gb6GzAGulNF2s8likvgKV5CphzjXDa2Jo6rl/jAXZVNfrc
vU5mgwoJsegfupiOgRwk49HFQMznGMFbJagqPWV+vg2IWdggjRxvKyNvdm2KOCIa5oVhAzqOkYa6
RGgZj6avyjNaE3uNgzzZuEJDm5TlfOoa0z0wIw8fo9bbVjbr1MYts+uJq63D0PFui9nbZ8mMHHKB
hphJKl8ITUAmTuiOSXok05UO8qwxzuxohVhb6B13wYgpxVakt695V8UzDNPbJCqnU2oFuzjG3Y0/
vzohb2IYYHSANfBkYMngZaEAV2vioHM8GAReCW2jEnLsF4VE5zoqkls1Ao1FQDhu+sm3WSgJuXOa
5MnFjrGFpCjOOfxrUgZhD7WkHWRBYa6z2Vos76aLXJBcgySI73U8fQ5q8QqgSBOcXsjN5GKCFqzo
4AL5H/F1hCWCyJoAyxE3Q9jV4hM849MsfYvxR3ITu9DbMtt97PvwXJVe9LFFRLqN7Wk8xXnBAWwv
NRKR2DduIiVRrLq5WEmuT0YPz2+e3avMaxbesV2kng7ISG9EpL9idK8Pk1UR7VWGfUh2bCTTk1XZ
i+fEiLyrzsn5g6rcXkiBk5ifnNmW8NoX1m/biwCRttXcUijZ8WZwF52RZ+ZPUD2jJza8w8NUOdQP
la4Juap7IFBgOuU2LNDDEv3i/5oWiTqOOYlUMeYlLkoVfa0i8x5v2XDvMU3cyrnrtsvzx8G3Xvfx
Oqmb4k637FA9vmngftAbiZXIqnCtJmqRjEFimZWuXruml3AUlQN+7JAnghcF3qFOaX0QbWabgjJv
F8wmq8GhZwOualHcAoB69vK52Vjokm5sHDVEbEGThKENyyjdIQHDFk5s/K5MM+fO7Ea9c70uAioV
DWfZkdWGGeaUDh3RJcIfgk8yHXW4cphNMTDmnDyWgYpPeJLh2onB14e5L7gxU2oHWoTcuOST8rbF
pD6C5XZ2JiC2l84mL7JlGwFaobQEfjvH+zAOczDvTSchnbIjHy+sOuqxcmwONfl+N6PRuBeVI+xh
io6RrG28Ax10cAhGAutWNfCbrzUpC9ua/OFT08prr7DN6yBUA3E8gXXF2h2jQrRAk0GJX/KwAbkD
il/S/KexzZhCWY9GYjB9AFAMPd8LHkYHOgcPYRgR0JLtLyPpHxeP1OEj6Xd641eN2Px/9s5kOW5j
3davcuPO4UACSDSDOylUxyqSIouNKE0QpBr0XaJL4OnPB3rvOJbkI8e+4xOeOMJmoQpIZPP/a33L
dxkCuP+BFkWxPEyeUcBQ78cdwg/nKZ+7+i7uO3tTRiK7irLWuuEOplsbWHA7RuIwSsnADqobl/JB
SDXcuovbAlND69nXQRyvUQGLBFbdim3pT/WhMJdmD0vefx16fhITTRuOHZqo0Cfghf5HJNessgpK
VTWhpInhOj1XJtDrwfTrD+YSse0P7NrdNJ2RVbuZjE8Ct7KxOBR55X2SuUsRp27jM95yvwYeuMKm
jGD+1nMcv4Z0Mtz3MONBiTU0xUg2qljTyUwGIFaP8pYTO+JqlMUcAER9oh/W83b1zc2UlcVd48r+
g99pfbRbktlgKPnHkrCvq8mvjA26TP9ctzq6AZJFVG48lm95hdhklzdB+9GBerJ36Vh8D2SZkj/k
oWAzhopaUlao55VSBDNK71Rbo7YIaGOguYiW8dVEwTExCXTGVdwM7GV9YeLMS4ijB/85nEU0p6FZ
I16UQ7rLS+sLpdYGOXRDmDm9z25XxfGKghrqN09U44maNeKQgDWQfvVymCVsCXRK/Z0wx+4tUzlz
dluwajAJqDzuw9Hx2lw+9dAAve4LHB7f2ZhOpZPviTG3YZ92pEHGTl9xTOqN762bVDdaNtZtOsnh
yYij8Y1Ed/9TPAQEo1VVgIJJm7hWWfbg1BAQT0WkOhquM5+QpwU0KtzxI4hq+B152YIZGQuxydpV
6DXlImQXhT7Umj1gVCBKbci9oFwKbfOtekx0VWbeOBMxykU+sWag/Jlh5Q2DCxkyr5OBTOdWH0W0
4lRU2Qzb3rFqprN5iR98MvrmUEsLOgyVcTMUVIcYl4gYyG5djEcid8w9xFueG4sCQK6mP4EMHL40
nI1WMQnuL6PkLig//RyBCcOowxbnJvEaq8KUqvTRNe3oeZaW/WpYjfHdQil7jUMyfpTVQgBqzcdq
RwdPgqbLytRSn6PGSdlOmqQ/dekTG+No10c0a0AHXFz7mdg7qDu0tziHRQyq8tmUlbkxfePijTon
iLkiBcqDHI4+a6MqDJgAO0qSpRPKnV5CulcF/drnjA0qwKnDQKdvOU2KKjQ4J2+GpK9ZKuMjyn6L
aKnpW7/YwYGzPIB3NBb7HPzSmgR6srpShiIdBYmSwx67XhxiCzS2XsRwNjMtzrMs8VMJSD18cAJc
60DiQL7BlFUcnD7VD61rkWsIcu4mq8bv5BbZmCbLauOOo3VKKezuOqpZp5TAm2NgUh6w9Ai1plHD
oUl68y3vsf1yxmfVYSN0coba2XVB2uIB7eHC9Dq7zoU+5G7Mbp4NF40V7eJ60B8mVNybxNHuUao2
CcnZIJ+jbbZ07yBvsBW806JD0lZkmAj67luv4Bw2Rr0chJsiGmyDz0Rylns1N5imGmoHCzqRbOru
B9t4TV2HPPBkZp8S3FZld4Lf/2kqlw9DHp1ANjw1KrphyqVgBGji7Krle9bGzyIILp5VHRp20yFx
2a+Bma6GQYqUXh+8CWl25IKvpghDyKe6SNXOrK03HQg2VkbMJJ9YV4WryOuwCI4cGgSb3oRR0/1S
jkGzsUqq2htJYsUunobh42IvX/CxX7kZ7tjWKwDRE9QWfzTxNBA6T0cJjx9SoZmcg7RO7YOgR9mm
L3rUHS3f5Fq2T6Y/Duio2wAMW/pAclVy9KYAnUI7Di+GpfydntCl0+UEsD8o44gIc33NZ/Mk7dR7
cTunQn/Tuv6WNHd1lbYu5dEpW48TXpBoiHCCLTSSTgdch7tc96M01D4p9YV4vuAr1J/ZOBlNQUEH
wF5HR9oaaXOeEQt29P9h0+m7wlLr51ltnr0Cp6LPSNxW1F/F4FIC1Io5ajmqmk7W048rxB6HLEik
nP3QERWBZ9wCHPXSLQ7XrN0YAUVTt5s4cq4qDDVYWFbjPPreRS4vIFelxSCRjCq2IhyktpZfcyyK
GfYDPr2ooM609jTmmt7cEHNAiAyIkVVtyXOWLvq2ZY179tuI5AWHfreVoqHo59Y1bzNDpuOuD2aO
HYPHtDStrbdKrKcTkRIOki3W9CFzMTOb9PX3Ilb5Kcmn6FNcGhS5Y8cTF9FJLJJScRJBsGa+1bjC
5U2frDIBO+ixTCcYfj+2mCi3fmG4tPiFra7Y2/PRhlsZu6TmgI6aDUeCJ4CGmpPbf3ahv25TxfYP
pmhzJ9US5pCVruCCIkNhyb+yctQcaWcTSJNIsJ6YqW78waNGsHZq3q83No6xmxHaQlsmmppzApAu
zylf3v+XwC+tC8Zy94G2fHBAWbAcLSDHrwTocAbTyqJK4NvTh2lh22Nw2KTXs4DaDnJuJv4quTGT
vt2/F4qbQtNG0WCTh5y6cVESyL1J0yQ4GHCwT2WCmsUFF3xwASp/rNOeH5ASL4cyXKOVofBCy70Q
L+Vg8tSrHFFGNGl1pQjpvss1+93FWJms+QCUuJkJCNEmvwsrdvTYSI597Zg0dSjnrD2wVeNsPwyF
p7Zjvtq604WqCMVLJoNBcDoxsc7Vzijbqzwyy5Lxby7GdVCTOEPxDwBwnlFR9JdzoBQOT1EEPSUZ
rHoJGe+EZff5NNGLh6FwC9dBnuuMOI9ukRSvogXVxjruSKsBEJ3xBOylL54LVSz3CfZwjkkahQ9L
A/w3A9kCRRGOWffFsN6TYqDLRprcPc9K39beyG2jSBk6AhozdObqQL/5X+1fb47AfRUTreMajjZQ
geWmd0w+OxjXDywy9yG2AmMXJLSXcX5Rz/dgN+vKM19Kkz9BsIkOZu1yN3XP3RKuZsDCh59vRj5o
hx4+kNsWMOVLIqSTbfM+Dw5px7hPDLbXwqPOun0vPAkwc98X4VBUAsaK7oUPzZBtvFJKxFHLcj4+
9Ra2tUDAkx/Bcb/Cp9Z3MDB5dbD68zDtgd7kRHpT1Ij6Nfc6NPStNuzNjI/bRGRZROLC4YBfWOGo
GSCy4XsPfaSeh6BCksO5RX3sccGnm5JsgNNQ0yUfu9q6THmfsdPii1tdnnwtl7J5bUnwaljKu/FU
9HN01VNyRQ8A7fR1mVGAmVTk+pa/C9QKJkGsO8gOLKuAVdL0zZfKJHgnoJl36EZyocyep9P3ES+7
5g2MhjmgYlEFh35VccW1O9/YlMBvmnKMPqkJ60+4uIs4gz0WHyobhASWa755z8lHbiumw4OJKA9g
sOIRy3UUTDhEr2UjKSlgbh3D3McLsZmCgVHiLeZbbGYNZCzfqJHUNrzTtZLQMTidYphgfgwc7lTs
xsbjwoHguxc1/OCgX8egMtEBeRL6K5Ik/OK+PcNd9dYECt/j2AeVefzmu5yTQw4Y+oV4SY1r2qcL
BeoCmBtre0yCYYVa1yJI4Fp0Y3WbTP3wmJqT/7UZneh7Snj5aZQJ4cDxxMpEPlO7n6U3x5sADNwV
mJHoU+ZKxFidgs8GG4MCN3lQaT3v3kvC/2v3+we7n0WfjUbU/6wLvUm/JGn8Wv3V7vevP/q3zoG0
XsR/f3H8/bfOwfzDoXMQSCruLl5ql17Vv9N//T+Ej5qUvAaq2PZ7O+xfOgdHrJCktSLuCJInwAH9
JzqH93Tfv1TZWZOEbTs0UuhJ03n/uRfOjAEVreiIo8Xb03NOphKmj0pCAWbKqVzcuclc1tdZLozp
KdWo1llS0NJtoNXIVy/lGC3IB8ogfkGcdJdZbSoHM+w5ttayKAElOXFhFb6Lf2gRrB3BH765wxf2
ubUm4lmOMT91DP1uoCxF3OsZNL++iKQyQonA/XoePRM88AyQ4i+P9u7Pj/6rBZEm2S+XdGj6eg6e
M1hP3LMfm4dGWpA1C8zzTG/2mkXAQLCKa9c9ZA6QIKLpWqM9CmWSOjMhHtPh4IyecwzcYYz2Mk5E
fUX/jWlrGT3uSuVGZMpaPbQ2v0pJBqtRcdytgLTHwhI9cbNRVZ+zTkSKwCzUlBuRI5nbtLgEl1Dq
AawJXiPuteGO+kIVi5wahPGvfdXUHUfZVewZoO6Nd8qLsnI7yYgVfXKNzg9dnkgbln03DPsIqwOV
WXIFlbAZBJNdyFdlkxQ3O0agdkvfiFvloz4MPbgR8CvTAFibWL+5mTgFsWNJbD0KnHeUQD20fExJ
sGOMZNZ3MQAILH5W6uudjY/5kzVO+QK622qTDxi8+UaoL+wrtHGAKBRYnSXdtIYF7D1LRHe2MFha
t0tO3YjK2+w2Lxa6ueTUq47xF7OVCw1kFONlURXYbruw9EemfloDttVz59IOgQJRVLVG89cQ2oj6
jVjkMHINLl00I/+1Gagi7rASEbuol5bl0wANlKwRCp27qVFOg1sCmJeSAF3JVyr10fMwQ3kZB2oX
8Mk54W/b1L1PXEIMQ7NruUkUqHkKrtP33UtCVmFzdBY2UDvuoz2EMl3Xr5TqOtmDksySh3lBrBqO
lrTEGVBskZyg+FiP3npzUDLmPL/Grs9Ba8yCGLQe0sAyjtNNQmH+3vBNAAWZ5uVdc3p89BeYe3Yd
R0VY7ITMYeBwvcnb1ghcdiTsxdhbW7EmTOn50e2tHtxnoD18f5GDuUwORORlvbyZ59h9NkZP3CKw
K+7wJcWvgFDTI40Bxw9Tq/JeqzgfPzY2J29iIxiyycRmZeTw5YdJNnHH0WRS77G0K0n14HCFQLLt
+nuLRibelNFj2IwKCTANqdJVHzg+S3sPzNIASVkOrY2KZHb8ZLG3GSOS2lNJTXOT2tTBv8/ZPDSf
+Ncy+05jUl/S0gRj7wJSDOuYMdKxnxrCpA7EI2mhPB5IQS3KcYx96HohyhJ47tXNJ+4MLxe7NF7K
vKmnaN+ZVH5f6HjoC5gMXgQMKNzg1KKqcMihkZ8lmXgwlTWR1ijISd7IIkvDVJYtDRZAuNd2NXDr
YQhxFc5o2bIRvG3BjsBX7gsEO7YP1F7qM3sYSz3mQG2MZ2PAcXvd4+VXdzPoHGLyZpvpd4FdGTyl
GOTyS4ST5agJ/mpDlAv21cI2dtwsc8m9VH3PvdTmRHhAEMTciMYsFYprn/RVh1klOTUtmi8IVQzk
XBs8uJq0NLV1x/Wl6BX4eTBbBK8wmdfWYzoYZGmip0rcF134g/Uhi4gICMHEvDuyJkHPws8o7qyH
GTo3caaPXhSr7LMSiliXDerq/qsNazj/qJghYBnpCCfhh5oMcFhOOjbgS3tFbOCCRdgfb0yG04mu
HM+8L5S4zSgG6Y/+ELX5N+lVFrg9Z8aeuitp/1sfStafBabGQDLLVVRZnNc22CZN8yqxbJBtmAkW
Dg9pbBLOuQDxApx0WyEQeZHjEIX1Ih68MdY4fct6eCJe1diRhUTXrkYeaw9xcgXvJ9raUZRy0E7H
CTG3mCW0v1IeDazLEyGsGbvtj3HiDN3eaaRb4flsZno9BUXYpvHN5456ZWiX5mejgn7R08bCR1hB
88Pd6h9FbsVvRRd533QM2I9NXvWhL9xr+t/tTJS70vdu7cWfpT1Wu5JFakt+m33hvF59Fk5S7q3K
jKPQW0pOmxxR7oKYQq7X5K1N9wmFd9rExZOVdd4mMLueU2IP32jUeJkUQSdjOTUfxmIpryVxjjtw
dsU903rzOQuG5GF0irvJM3V2UG3n7Nu51VQs6uowUp95iDu3eJpKp4v3ikxx/LfsCoq8XagOBfme
QhkN5HZCYlJ4HtPeaNePLDrNSyXLJtlmS1dBzDDrj4lLiUSw9FBdc+VQhTRbcCO4lF3jdCy3Mfzy
76ni/FUMjnO0lizeT+Te3Mq484CmUZKcCWhjO7BdD+7ntivrg1+0cxFmhV1feQnx7LEU91lUNwfw
ccNW8RtfiL0A0sdZxL2qSBQdd3PpDbdt70QP+NDdg9Et+V5SgAmNzFj8/Ty77q3Bkf7MhD0fzaqa
ES6urDbOu3QLlQp7QorCdpgzUk06ennpuHw1zSI7I7pYzqpSKPR/v0P5SVhERRwLEf9g6yMxC6PP
j/uTti5t7GIcS3TfKLiX5JSak80i5BhEhBAXWJ/puKnj76/6kwjm/apSUmB12ekiMPpJUoU8PfGS
SQYnLN7NJ7y+TAxNb7HH+P11fhLBvF9nFUyxXbYIAf9Z+oaIxx26II5OTr7uMDxTMWevWUFSR0wY
//nFPNPk+M4GeRUW/3grBe+wEbMJPPnFFOzqNdNllYyGRjoEf56u/ke0xa8bWVTLACjZi5tUsH8W
2rZ0KRuDCs3Jpnp2W61ZIXIikqmjW3XuPMpEv/9pf3M95EroXwXiKgdl0U8/za95bYtS0qJJouc/
lyAUGKwYsurYjXTpzO39/TXX2/XjZn1VSSFdQlPNw/t5sz6XNG5A1jsnknjYXXnk46RsSyJW4Eqv
R2jH5a9CoxxX/JqRsXz8/gv8Okh9CT0ENRMaKguh6I8/uq6c1tQFWWPDkKrjNBE3osVU/+kI+B8f
5d9exQNu6+J2JdP9p1FTRNZURUhbT/QE1HFOiZDxgFL+w838u6twoESeRZwfL95PV3F7elHS4LcQ
vYlrIiV3h1ig/49hIlHno2/jtMNx86c7luOKIqSllicrIuSIEiaDYpwnT+/mqBe3faPH5R+OdL/O
X8zpzGH8LAIuuOyPD4lGVDRPheucwOG7L4LuDHaaka3IUGAQrqjcW5S/F4bI7wfHrzOLj94QWwi/
NrB+eSMCeBm0jKVFJjpvdwRC4dy71OSWjOSr31/qb34ig8NDWLlmhfwCDPYgVHCp0jq9p8UBOKjP
S9cTnu0wYN5dhnodNb+/6N/9PqTgvoAl6IJOs368ryNZYnYC7+dUuK06VqVjXxWmnxw46Pzjm/6z
fJNpGnwvkGLHeecY/fKmJb6CCZCYp0V1BP1kopRU4NCJXFCEKMzlBeEd0cw2WU/s6yb2Wt3t2JKr
u3eI9uNwUctX6nzdVwHSnV3nUhXJnZ+7TfEPt+XXiZCwP9uDs2ZbLkaA9T37iyS/SuWUEibLCC9t
LpRGREOtZVh4pJnDUMsCtvW/fxI/A5be7w4ZMSvJDgmw/7NIPS6ol0SscSfDN9jrYmTj/NBrTeat
EiyZFLrX8Z6l4rYdivbTOMpFbO000Je2s6BEtvGwrC1+ksZ6cimS7e+/4N/dE2ZKxoqwmSV/1iaj
ASRNy+etLxefTbcps88iNuxTV9gVcSit+U9lnF/GpgtpireBUg5D9BchfUtbn03/vJyoeTqvHcmK
mPDaimGqG07jv/91f3cxnyqXSYGGqebnsekvWIfiNoD2Gmt9l1Vkspudv6JLIc7+k83kl2maX+Zj
DhCmva547wLXvwyvMjdE00XmfHIjycESQjcjixeRU+Lvf5W1kqp/WF1dpst18yD5caDYfxrIhZ2k
gI28iR2ESro7kzPcEBp+1+dPEY3j7txkI5UQJyZcLploYHIi8WwFzXpdBlGTXBJoBUgIJg5LOEAJ
PFw8pY6m4VLKoupl781irX5MLT2lw2TFaGorArDL/3QidnFbgTJD/I3q95etUFqhWfNoY55AJvrb
qRrqMwmL6SE25/9418WlGAOO51Cw9eyflzeieS08psTOKdO1iXKD8Lppa5rJBp25M7qTf6wfrqvX
X54ShhS4bu/gfeTi5i9PqVpKW7RKOie31c43OG/jCfZk8PxeEHG9jqpOuxR017W2/mGms34eIvjp
LFysLuB2UJzshOwf5zqniPoUtQpqP0EladmaGSCr7gAxciB6YtKR/0bIbO5sx7oT3W0AGOBY2SqG
J9vP5E2imJkv5lBSRVzytV7TKm89WAywxTbv6W2qdLuMFHKR3nn9bFR80pTKY2DEOZCjnBCfe5l1
yzOWIJY70GyIgnolmtOIkgEosNvR1pw0pbEuyqn75RSOok3ajrG39ePJguRkGrna0l4u7yeqDbcK
JBsaltS9q2dhLIfagzJEFbtaNqbXWuY1ZWmzCjvyVkC0oye47nO6WjjzmoVg3LldOEAv6QkdmoAq
VcgB2o5AmVhthjaVQL6JwZ3qV3C/RFhtCkF+D3G0ohBfkUXnFMUNslmRsTRrMZSQ9uRunDX/7tFV
r6/cmhLlIYA3khzdMedUBLCZ/7qgW/tz80nDlcpLUKz7mrbhXUuqQs7fqZajh8hpoXNwn5UO8it6
9frS6KVM7uyyLurrPG7H/r6zOx6I1Xi83bUom/yCd5f1Qg29aPfCdPUlNy3/OnbdOr94jei+6s7k
V0x2JpdvWJ0H50a1Yi1FTQWPmdhR/pCfLl8l8dnLAzFKTrDLrcy5HtfAeSoaA7W5lOam3rugDcot
dRAqV/2SUAj3yxm132hHfCJGt0i8LRPYtVZng/Gg65RLt/nCqoWmBovjJinsDlLQNMr+IlIDoVDO
cEnuOK/SJhOzh3eeDqVzNY4Ktfl26EcjXJqK+FLXYgqXS8wIqhAMuBvgrDDdHSSDJI0ROIq8V5Pi
dFurgpqWT3jPctAFZ9iNlQZUGWPa5+pRVFIVBz+VDLAqwXZKM1qxNrzvA6jZM/oIU6XUkLg1dTMs
PcQrE4Sl/ZZqW62/B/0S3fkLWo8/S3CyGPgydqLFo5NZ8jUFdhDhQe6m5vjnawX/YHWrM/dOnp35
r6t7W1Gcn8Wj0CJJj1R7qc1bCMaGUKGX6A6t73IySwrJfUX9xG8AuDe8zWk9EeqTUof/szWDG/A1
kva6kYgd9nawZ5zXUmRrJRbod7ppMo4/aOWpwL8vf547UGRMqF151xKsB5ZyM9UZQoXc7M5lEPOa
lo1Bp6GYHW4s1DQUweQYxOk9yUx8EWFSO9k3hdVdqkW0+jO+ENsYKfTIPL/4daCJRtKFeHSzrHLC
QUXp/M036GTsMr+1nPtZNFSBk5m9sc37N3kl6zFtAHQwCeUKxopDNyfnDe5t7yMb85yAHPJqiJrf
FHSlyTmIoqWkNm9AbDwVqqNaPxf2hJqGSGKfkkTmIKswTU2pjQo5+hwyHYcxm/7cXvxvn/Qf+6S8
NX/Zs2xf+9f/A0Qh7efb1/Lb//u/N2lVfevq/gdDuCXe/+rfjdLgD46ZHBxoh9qCTQw703/hcwLv
D4saDL34914otYv/bpQGf+AfhwJG6NB6dPNYdP/dKLX/wLxI059T3Qo0/Q8bpfiCf1y/zQDHMIZc
ahh8QdN69039ZT9nIzIgkqAiMMI0asI54LeTcUFudXRMe6GbXe5A1QMPh+p7jxJD2Du36e1vmtRE
XBlLWtFnmrsbokydgIwGyDYf9UJKGOo7dlfbqRNvsW/FT6UmWxmXp/w4Ok5/05pxf4eQ24hgq5Bg
SEfW8G5iNOxOOJJg0hwMMuCOqs+qs5fBkSm1vC9Ub78ZkxPNZ7pRSJHxevfXYwY5+MnOo8G77pZ2
IV0dSx08Nwc00NfsvXlrdZreGFKFAAHiMncTC343b21l2mGCJu3TlMmJXtOAA+kmt1O57gVKr9nn
PNuHGMagG9oWtpxdU0Tpk0jmlqQn8rRDhYTavQLWRZK1qtsH1xmsq87rk4Ols68F+/Jd6qVp2Jlt
Cu+Usv4hs9LHmSDaOzejg3nkf7FvQMtH5Ra/E1nGFSbcjcKls+uF8aqxt2x8Mysnkss9FooqsHct
R39QKWTLbilUtnJHpkJ3wYYkb8aAfpToB09cDfAiOfUvQfS8lL730KzWFdXPln+lot42wME1slj9
dszMxDZkLyNJrzvDtpCkup7HPWjGTTvo6uQCGkOYSZYXhi3Q+OxsInrDM+Ek/dATVGfETbLzUne5
tFXspOYhiunO5OSN0HmhWmT103HGxFMhJ5lxQDiQnfc+DKWjg+fjpVmwiYIBNZbHoPBIRQSL4aVH
B29J8Zwqf6hIHARbbe4G1lht7Cbk+l13oDcym90Vgc6wDvGGy1S8IjZWMU8O5bOURQAcyQmttnFu
FxlN8E+jaueiNrmidn3xk8hFHoVuPM/rCRStRM3rgB8IE+g3G/Yc4D6LxQCM0klr2hVLNIZK40Kp
DO8x13JbSgvvnrqRs59tFliHXlqvngvg7TI/OLqMTvCj9hU70yfDSO41+OGN4jL7eAFNXo7zJ/zs
SP+8lNSOcX6gmt5dtSpJdovbZtdtaUBMk2QnAsO2ToHBfJ+znd11BmiXEiMYQt2i3k9+nZ6NYl6u
zJZX03IL6ymYrc9Vj++nJRx1kyW9ETpgh/bYb3ri0Wx85ezK3hS7iZNKnfjc0pnAalOaO/wvB9pn
Yec0A+Jn2Io0GLdpaRBW0RrAZBsBsCVOkm+SCGFP03UN6D5s3NbEDOio3A9Nx5+2wTDH19XqoKEE
2xzIin/oUyh0INdXX5AEyaMycce3z86ZnA3sZhT6rxB44DsvmhkRrs3N4WU7gtnDm8MCiQSvP9Zt
i19cPrR2ccn99HoREfvSAQqLtTymbn+ozQ4iXzxdkDCTi4yc0jfJKsm4+7GbhD5ZSF3bHvxZ32SW
QW4hKsK9aop+N0YLBorIeXYJgtxMKI7xrRXfCsdUpFdPLpmXyfCQGoTxtUKEQY+CtaWtrOfUv3Ea
FFlZqekk+YFAs8puwCTbdVdqVdEcHSfGVtOJiufhHtj34KVIguHoq+ILPHhkAqBCTi7T5WlQdMx0
ZGe3SdBnBC2T4chbIe7jpL0nz2+H9XHrL3V1qxHbvhbrbJYPEcFDPqDHc9NYziW1WvdUN3CveWBs
aXQTfPLa5MU0OrYzlv6e9BBEY6/jiJK2xcYV/hxKGpenYQa42zGt32P+WMWtbnCVZ94lctU9bXBz
zzSBbQNuNnmWudt/ZF4ZttboReOmsfvsNrPQMrZ93h9MHtTerNuBjpZMLrbWwY3SJuoGkmCcrPzU
xZjhaMl9mHW5r0hJXLFTHjjYDjhaxeyC0D4azGyf2ej9JNaV18RJb3M7YXUg1FfnAlli1j8WVe7u
rXKJHqZ8ummMVoVa9NkTspYnGQfU543xtVuCFze2rjAIYIcRQ7MvC4IrE2vad2imazc7EGOABC5r
nVtLxO1h8tWXCsHeDh1udzR767GJvJwBnNPJKEmvPct2Mm8TYV+GoLkuuuTZzS3SawtY9bUDZYz4
c8CpnzHM0Hp1YCivc2lj+Hd+Zx+6NNMXzaMrN80YtyHTqP85j2LxUkjf3Srb41Uz8PbBSrnx5hHZ
OHAi3+r3cmytM8gGfwM5IaVtHmDHyOfCPxTg96+Suj/2TXYa0yg/kD8OeSUw1lwqA4E0FNclCryN
PzlrYIEzOF8coLlM2Hhqb2dMZfdJ6RichFV7UwyrRWsake1nMnlrtAt60xqudQpLtZqKJ+EQchDV
N8G4sLBmQbCzVP8wUgdtU6/8MgKcIsHtBb91sRv5PQgH6jwEZpeex9m+Qmwi9k4SYeaNESLfaukU
I7pvTATAYsVZpjLez4Y9b7ohtj/hE2suVI/yamPQnG12MGiqcCzt6o40ZTKmapUQa8+61qQTATU1
6AqYH82+Gprh2oqrCJWHxeFlMFP8YMZTYkzr8jxhK3aBrPvydjI96xmxRvXBjJtRb525cOIUs0g2
XKDY+VdBly8nPdpPjjabN0ONRnyMSrQRe+lNdrexCzGB33MArB1ZZ0F69cGX0hjvROKlIQbn/tLJ
6m6qDPKoc+O+nJPhQ67Tj6v0cT9otz6RefXR75ziUadosQ3ELxQuR8S0RfuZ6dU5TmAIX7NFqB06
KEV8rWHtMlhTB5eAe8g8TU5eE+G4aTd+Wm1lOzSrxk2MWum5CUC8YeXyv7uDjLcDbfyNTOzitfa9
+cGb8Lvkg//JzmUTln7pPXsesbgG5pkQvnD2WMUYZfRE8TTwUJHatoZASy7EtOeBZRubYLQ9Clsm
5ICvF3OC2ZXZ10blb7NpeJcgqMaPdjfiShuS28LMJR5Wlmwva0QZ+qlyIG83Ck6qqYpztyz1MRsG
XAtdFd8Iqzj2eZSHhvSImx+C+oI4osWM6CfDvdHa/gpraz8aS3Cs+1k/AqVw9iJIcRgES55eV33/
tc39L8zOBTx1N9hyhhue0kwQQYJBpwnUvMXznO4i+vQ3GYfrbW/ZiH+lRfkF54KF0sJGjWPJ9jqD
yLsp+m6+JlglOE610LCQ2i/4qUU46CIVd00zigcmyA7BGPRi7Pz9lODbqWJ0FaWTs3h1RkWcSWCf
Y3eWe0xZ6bM5KXsGQVj4iBqc2SZX2xZvFFTcN/DTCfaePg6Q0GOjoGy+o+6V762AyXKhw8YGeDx5
oPCg3JnbygbQy0FlReZWagASQKu+ZOcRJsigY+DokaAueVZoJMg7GuMH4qWpZd2w0QpJNntWwXLl
WtNX2ljuAUbzG0WUdlPSM9sNUbwKVGpsO1oGxJ5gclDOSWaEF+NmxgdEcBj50sNnfP1kfC8NZt0m
sreyqKONgliEn7A+Js67n7JBXe2L4mgjNtgkKhtPlTntImXfZklmIxVy1aFoXP+cJiVSQkjjYY5t
c16gp4+tuihY8wdTvBHywqYJTcQuK6MnKk9ESmLdjAwH/G/SNNtOqo0/ZhEN3LnakZFzhHeOsEtB
Wqa5JsLaqJowdUaMG4Dra5VCqkQCjbVpxAmRJ58ncnbhiAR70+c2l0HzpOuq3gGAQB2UlufJTedt
JnyEdJrtIfo24H+x17AuFvVVXTuXAIHJwY3tL0U1PKGskR8MF9V5yVnF6uWMT5n6gmr6bePMGEoa
QOWG0uMe3rD1TOMNvklRlk+67yiiWBnL3QwDOSM1c0OGQpglNFU3VlZTXSuXp7JtUEWh1QpTgh6/
5kpshfaW+wUBJ+h0Fzy3A2xT+9GTJ4rrNhmcW+UEfTi01Xc2wB1U6G4nsqUOEwOCv3ZG5I5dsl+K
oXxSTpZuC4dIvtapgp2Dp52Nty83s5EVUA+YYOYpL/eBKdtb1/8v9s6tN25j29a/iAGLdwIH56Hv
rZZaF8uy5RdClm1eivd78dfvr9oOYiuBs9fGfjnAWQhW4sQym02yOGvOMb4RfTa7Nt6Ecvb22EPm
+0Yhhww7T6xV7lP5iDq8hU54Lmc1nC2T4JqqmdYLFDz6JqY6Y3i8IhYGXAAA1bU/jgzhQ3+6ZvL7
pWLPkQvj2QqWl7j2yD7v4ET2vIqtTKKuWY5RIMctyrR9nnwzggbLj0dokeiy+tDI9q5J7RNGTZbI
pAnWCBjMXV2zxUVQZ+/tftxbFZxDO8tOAYILagXzypTBe9dPbJ139zL7w2s0xPiBJPdPZd8P/Y1f
Re8rQp9XbKniTwYsENS0+bFPF2jXtn+9hMHHoK42bRhWe8kLcmXFQX2OIisjs83EzuwQkzdRoRld
Zq77Yelw/gaxeZYR7jd4O3eD1+C9k5hreS1kEafL26BBfkCUswqC7thyB39SbfLVlhP3SATVH2Jo
h4vAyftxlbjFc15lRbVNU1GceW1BAJgrO6fIq1ofxmNb3k9IKw+jMTcYEz25z1IjJszdas1kXUkG
v9YkkOrRAGWjUzfvpyEg/ACg5ZHKWgJbT8q9E5bODnBIfJrMwdu15fCo2gVVdRXehnAj7srUEN/c
tBtOS5J6V1hG24OVK+3piNTOnZz20SmVxnFZL+zjsxu8LGzyYxOcZzzija7ia5uu3RrDj3tD2xhu
xzIDXYcascESVu1G3zF2PfONTZvGFAElui88nJsY7SCWRGZ2adfDMhoU7FbbvI2dAYlxndlbIkqi
Ww+p8MHP1eegoBVfWD7C3ZxvjML2phxIlm4zdcQXhnRxGs9I8DSxJEGMKsNPwP7STRP4aD+LBGFu
7ZaUQu2ymSR/fBdOtBTZaHkzJR87/51jZSXdAWvNHCXbJRVhEtSOR78oUWvnxbhjuXK3rOhEYhZu
uc0hz2ZJfcuGKnggCdXZsx2m62LP2fMow5BqmsCXG17XvIkmdgxnglpPZVcGxHNkkDwj311BHFsb
tL1XFQjUk68wcBKlnh466ei4rjpboSY0T71s+quusr81y3CjkGKt9P7CWtKzYHXfzktc3GUtl7EC
OZuRv70VeT6tDZRlKw8j2Eai6T5NTkb4AgJHWRU3sec/kcHTQV4W5M7W3P4YvHelMPfxRM8DWi/7
GTdRu4GgPqaCgNTTtP+6VDVqwv5GaTwxIAW63Da64Ia9lmVjmofss5pIuaFXTcvG7tboi1mVXTM6
JFWOJlzWLoWLupp4UtdES6DbGXrWSFe0G4rAz6OffU599xg4zd2M+voIt4S0waY5sUQ/1dFY7pxh
3rLd4k6m07/uRzzQPA3meRGDtYcFQitl4cVL3xfltngA+QQaftguoyfXTSPKkM3OUn5oyHqGiDxN
wc6iz8za+WCpWHFGeImkN7H7CqZ13LIl7A2TcIJ6NdAV2Igona6SgB6265SfQTmF91lscCEDd08q
BvGhs728R1VxRyRMT4qpsDZ2Z+76zsVp2ELQWlMsG6SM+mrFJid7LKLkayCac7dYJxl4L7DA6Yy/
9AI3ch98a0dVs9VN1bYUeLAJptw0WbkWWZ1tlmb8VvdgWgk5+JSQ57ptdPu/q421tMAik79Mv2TB
t74pS/oBMOQpXbLoU1Zld23CAr3uhtabkfo6wFUGbMwGdT2erRjb5zSyMR8b1fKbeJMjesfLZNbN
tuzmst0kvc9s3zvVhTi1prv2Mlj1wyzzYUcnBxVOPrgrUCd+wxtaNcM1U+V273RWHq6wSeCdzRuG
IKxqBMh1onWxoSZNgq6Xqrx/NByv6HYFMUpq1xoSDoLNmK06YcXnKSwaa0h3mROKhgx5viM3quk7
DIYyrwdsMJ87Ofuyv45E2NG1+D5y/t/u2e+/VrqV3f0f/Qe/UlywziX9//31l0Rt/Tiu7oD/8ovt
pRt+P3xt1cPXbsj50e+qMv07/7v/8UdP/V+68eg2rN9245++EplR9j+bln78zI9evC/+gJCpdRmm
QBnj2ggO/kTZ01W3Hd/kqsJp1jrCv3rx7h/8C4suDaZLmvIagP9nL976g64583asM4Ew0Xj9J6al
t8IKNG/40ZG6auMSpqU3codAjMOSwko58I6mK5hwn2Uxo9KfJhT/YPd5O67X8FnOkXQ1m9EDM4Rf
J+bRQLvAJm76QGoh2dlgEYJVMEcVXUJmfdBPEFGRL0TyEfaY598fW1+vX7QC+uCYwhCG8rUhiHtz
iihN2dPIIDzEjArkzm9pw48zHFbw3fIhExbujLCow1VXpvamW1T6dTYQXm+91rM36OUxTCAi2vdj
kK9tbElXkPGS2y7IsEllOQynXrX1toPpcDN0fvRQEGG8+R+cBPKKED2kiabDe/MNmq1T22DuwwPF
hLWdHXBWvFacYwro531jm/g+hcT2ZBTYKaG/1s+4M3FvVqDD4H2EUGdLZGJVx/7MHJd0z8sYmzDp
O8c5HFGVj5N4LNKh36lywXrKK+s/VM5R3wkt0kJsiZDH997KoTpstgND6PCQ2oycke7lqxm9AmbR
7Nvvv603wqvvR4ImiOqR6JS/abddnEZFLTjSiJ/toPqGi+cFzRVznObedON/k0K9eYguxwuhcTha
UM1ES9+BP02zLNGVZWHkHC9O23tWFEw/Qxz+i9zxjeBKHwXLnB7QIXZD+/tGRBq2LBf5RHBei8aS
+BQsOnaYHmQXPP7+67vgAH9W13AkjFEmC5NeF/62KGQxoqKJexBLgMiPi99Z1HjcM0px4VRht/lK
JDSfq6qXD2p0g+s69yQdVRE9JADCTxgqmvuW2PoUCAg5sDWVyAhvh5yFWGvqq5xks5R78z2KlBLK
Ek0/YwWPFXeJE3OQudbBy4FF1cfI58PkLenh9yf5XZX0y1lCDtbKPJ9+sRb/annpT1ctohrDVwTd
ZcpITi50hrKv05Rp3spdJfHfe0Qtg3snc1mnL3PzZgcyqofdeMlm1inNJBgxlWJ0toHIZn4QlkzP
bqicTz6Kmw8uUc9wgq13IizocQOHooD1ovzRMiWINaaYm14nRidxaW1KnSIt453IxvgTy5k8eD1J
0/FguQd8IdWJt0tyKEj53tqxlx6MMqRFo/OqE8sR+86ugsdWp1mjpCk2pWiSfoWn5xUDvbcuUPkf
iRQfb2u6g82KuD/nugjQQI6R527rkeQ6j5HL2hs8tu89QYYH2VbyqSdwO9fJ26XO4HbDWn2BI0Kf
Qid0x7K3927kZBgkvcRaU8d6G0OnetPQMx9RiRQfGKHIb7VIEP1IMyQKPGwTxDFTZdorRCDzRz8o
5cbX+eFuGJKRq7L5mrgA79bTOeN9kJKFgIcFnAhpa5/hqbgvKCu3hs4oTwgrNySp5fRLiZWM03hr
+O1VUZA7kHuiQWwTHufRKM9VVLOnmcuJQPSWJoXhl3v2+Nf6+9xUeMjXCBDJBaomZkSF/exqvIgz
J+YxlkVx7egMduMSxy5gNpzFYKA7YaBokSSV0+/QGe4WUb7HAcrbSxt53R2hf115hMEEAwgu3qN0
dqVOhG91NvzQ2PZLpfPiZQJtx67ngF64VbbvS8VMpJLzxKVhl9Dp3PmJAPokse+tCIAja9t47PNK
0d9Af7FqE+uL3XLNW0/U96rFmxSxTzF00v0Y58NmiGS7SooeAYxpXrGrwREWO3Rrwjl+V2awcmPv
UzIr85D0vfkQiUVts9aD5yRfLDxlG9o9GV4dPJo9RJSd3bbi2p+HiaAPGa7oLMxropiI2cS0tepH
M6IfYiQsUYP2gLFXdLJqPhnAhfaSGhnmYRA90xlQfBikygkx6+tE6sCS1mxGbq4RcyWvIaI48Y3A
l5zSdAP/xtq3HQMmd6GtBF7XZCLqKhyknXk/AIcIViWoSmtFjl19u1QmV0h0ojkpJZxjUs75Qdip
efArHhfPUJUp4ZJi5hq2hIVAHqR1ulp6AqxmMytf29GJP2aRGL5oPeFHe2ynqyIIxqMcmdCOce1c
t7Q39kwuorUbmeNxEDxfhiLLc8ixegK3ynDnHcs09DUUrwF9WJgxECeSst87o1nubNNKjiYdqq2T
V+TXqyFahfaQ7oXXlNcpYTurEojdyq34JWZKCSXMm4mpq0258cib3htewBCwM6HJZqP6NvbtVJ1N
FeebqKYoWEbCsdrKkhsAfcEmjXlziCUiStIc6i2KPAtDMsJN3+ut7QQolUaLqU5Lb3YflnByblGQ
m2eVkoexkVFP7IxZV+NXRnqMWGHDMVvP2tfEn2MyV1L/KUn7krGrD9zOpL7AxJTcElNDdTJS8sGo
0Xv5MOPT0dlsUCiR6oFdRz4Qb9d8zBizbaSJoDDFSncH1FVBiRNou8g92dVxODxVRIUfERR2Xy5c
ljzDYJu1OgGspvzy2PlfLSSlHJSy67OdgEfxOywXQLYRK3o2REcMO/U2bEfOnCDyW9IAp42LcHPb
9ItFypET3y5+HdFydBZ+xgrz7gOaP5fWCNbQSQ5kAY1jzykZZKyu0FEtMYDSzN3aYeLeChYGxBId
ueG9tRxoVMGG8+l7U6sAu4yY8lBHtlcjpHnMeYn6Rg08PqUQUYkXt5qrTOUjBGbXsfbCLJp9VBru
qW8r40FxgGRj5Lx5YU+jYXNV4n6aUETTRvKS/sH0a/5JxsNDa1qNzlgSH9HznDpcoHt/bKp9x5R6
Qi5j2id3NvdQRpDetINN3kpDXyxp5mMhLW895lmyq4BtaR/9I8lr6Fr7PgV6OrnILUzAp2U40pWN
xz1iDZXs+fp9+UqXr0mumbk0hPsot0c2WA4gVmH3Mk602ug6jAoocs6sOkz7jEGS8zxZcHaOl9f7
//ZWFOhEW3XVt/7XzedlQ/nXzvT/oQ2rpUXJP1VC/yAf67qUv+o6/XnT+uPn/hSQwcwgJ81BuAWU
9/vO9E8BGcwMBxHQz8lr9l+7U9v8A5QGdjiybnXkmhv8J7tTVGlvNm/sT6HmiwBNvh1iuXlTWqNh
alwJMvRIruFyQ67ksjOsjmYOIB22Nz1spr5xeQ6BPNA5FY2CMDbyIsVCXKn3SzSwzGBdt5B6SY/C
NRQKNayM2AwhPaHyUAYK/ZroMWvVZemwnKKUwByaOTUPJOSIm5DYn0ttEq0UrDl5HpNy/OpnAfLq
JoVm1CY2tJwMX8EDPAF/3WZAeINpQsXq83lrHnKePmSTEF11RVzO5TUfE9gMACEy0kKATexeCU8a
0LEqXK50KBOHIdAhV3U8tO9EtAyEHzIWELz0sQZ+GWOKwN0U+oxjzDGK020xxDOIOZkY7nNCpQV1
P2ROlJyqnt2vvZoYwkx3jeXrHLE4mOIz2cxJQKWrRPwA19jDmAC8ETpnXJi0/zrEFhvgV7Z7FI7+
nbEA+/5xbmUNTqsxsWEYktGUpxJabRGREVCypwDy7lpIlkZilAovYpMBsiT+XIA2uh19VZHTshCg
S8BEU68QOQQfl2HuCXQS07xFJw0y1Vs2Pb/SkvH21c2a8ewz5+jW0oztQ44wn8GRVW2mKBo/tvk9
HuB8X7QFuGRiRfdBuKvbEfbsiEXr1NLGbpymBp0pLW4YcIQrqOXV2lBhdD96an5P91V+NHWSiA9o
fG3Da2DLLN2vRjlnD/RF5lUTzs0GDCZVeynSY0+K/HNGKu9qQlpLqHdbHlMgtFdOlB/wSOQPSZ7J
+3GmjYBBE742ERN7Q0weHWuSs0NFQng7tlDowu6zW7FvKmTib2ZGu0cZUyiYU1+cMHp12w4aw5q9
Qs4IB4hXY4hkH89V+OrFUm8qoja7G2FAvMQj/WK61so8hyqgo9lnwrgqE4+fUmZp3rcd79OpaZYn
28ofM6O2nj0vBqlnOfI1tTzx5AU8VM5kOzt60I4ufUeUVXNxbO3paxRBgV2QvGxDMkDUakzi/gVd
yjZb0EGLZCK/rZ5Oo8NbMJddvrPHhcB2YkOqQ4uC+gg1wruJKl88z9Aiz4LAO2ryCdhWRhsC8HvI
WKrqHjuwMLf25LIFsQsbsLiaz+AWEGPGtXtf14k4D2OdfWzKJHvmiub7eR7s01At+WEoy/osFyd/
rePeiwiLi33Ik/ZyR0rEyCQOrgtYBTGuojrwaYP3KKQNA62XYc/pTaBa+x6usUf6M4/EIZ/bCM1Z
kKZXJdPS24FJ+vXY2ukHtP/zSOjrZN7Uckwh78nmcZDD9C5NvfoKtAcxsHMaPiPDyZ7a0etPvVsB
RUNhlV2Zi7+APC8SEt9MEhbqhXq/X8wYM0kY7NpmdL+5Y9vsaaSoD3NGAYeC5ljKujhSg9/Ayyg3
0ZCQnHjRXZbx0Qrrk3JNhRbHZpriDF+GckLbLsv8YGLRWpVkSSNG6Xhjp6W/o9CboaN7zec6coeT
CVR5lzuQab3Sme6zillpIgN1qCgP7vGSqo+EOC2vYG/Ge76Q6BakNPBJX4n16EzFhuekh6M9Z4cJ
ZNEeBq7HmH6o5Ps6xRXAZedpMeBuhb6sv9gGUrklKBh5z5Fpb2dvdmCLt/2dL7D1IalRHpI60suI
ULC+LVaC9o/Q3oFbmekbU/LHepbjTRIVdzUCl7NVWfFHK+D5XwhI381kxY0rk8r1xkslaGYAcmcD
yee9mkfSXUSnwA5VIt+H+XybNwOJtYIHFU9z7GwWlEkFqR09kxa8I1d1xRyMrYjmRNrlzdCgL/Bt
lhpkOgCDUMpbjSPeeQpV5trsDZDxjadeAbbMDDiNAFAyKZbZgRid5jMSV2reDCrnLHHINpX1KWPO
e8yJKd83BBY+ijbrHmK/988YhlBgDHiZaD/I5n1XgiKdXX+BLlcbL3U1oC0WYnrIUxjKKEg7/7qc
JjbpSEXUGmeLeyhLd7oiLHfcR50Yz2wR7CsrtzQkommeJojQd2yjoo1y8CfY6Zzc82arnz2NHw76
0v+mcKig0Oup2CCgfGFknm2BmiAA6evdVAXDSc2du/EFlGODTYlch5p9HAgJBtns8vGF8C1B8LgF
DGntLQbGgsRpnqIBlnIFxO0YXADLrmYtlw6mmS4cmw9BXHre1qni4rMdx8G+1KTmQTObx6A0Vvm8
tMcEoDMUOpC9yuL9hgSkz8+9Y4a3GeDQG6lx0EPQoWiqjP4m6jFHZI5EZJX7jD/HcvhAmx27y4Ut
3V04051GTtdxF1wTray+mvaQD6twSHldh5pTnU+98ZgkrvfcpBVLzwVojbYBuDWLdu0xE4N53ZvQ
r3WA6zlF+MuyNKoNYQAKKrImZvsXeDY+FkDakBKBR9EhWc+VH7yw/6l3Zmq/OENX3Rhx6b4LNJib
pq59PfWhwzKorDscV9BIo/JGX0BwEbbYLxTzoyrTTajB3wMJpsfYIuKVhkt1V8WW/d7XqPBZQ8Ob
pnLZPGqSOKOLLQY2C8ZICm+zsmv4URo97sbOK5tDeOSir5fNMI3hO+GiZC+bziLpohWP7oVmXgCS
vJMXxrk1zuDONfgcr2G1nkz7OrhQ0T0NSG9MdD2ON1+FvRVsMSk1X5MhhahuKLq1kcaso5is151G
r5eR6u7qJa/vpKqbQ5ZY1mG2mVgvGts+TZrgHonW/0AtYD3OZFkq8D+2/y0ojOG50AD4SNYf4dyT
bZOF92w/uozzM3vqDg2Pty4c+azPkqtJw+XpkAMcxGne0sDAdvaa1m3RICAGSm9Bp3crXm8K3QO3
JvEihYbYRxpnD5ixOA0Xxj2KTT/b2Bf2PRL64WzHQ8OktgWK3ha3gJyg5Ue0O/e878rdqGH6yHPU
zkiFf7CqPLi9wFjJH4a/rzN3aLygwmrA8w9kKCF9liD7fdEKeXTzWKy5s6HJXPD+raNR/75ZUb6O
HZgb5oMPXtuS5b7Y09EzFRAc2aCqzXG3cnOEPlqcJUEyI629NFlWcGxQTJNCg3K61zEEo5nH701Z
5e8dixrQQeXu0O5omtta9uFpkR7VSuxGRzafmB8gQdoI9CveYLRxomM6jMgLYPBkV1mPLwANqEgH
SsywOjCsJEjB/hGrILFgo2+3m+A6Gtmn09pqIVMiOYaxZt+g6lFnck4Ewp2UDXfckN9QTss2pvD/
uCDLyhzvkcbotBmIfcCQLjhL56qQvviUMlphME+jrmEDTklWeB9p1liQ5n24qBO5yo1OmKjt5aVN
FLN2Ill0BgUEU2+T61yKrkFSWOmsCtM2nLUkvmJmi3ACHlts8yx+z2Wxd4NC9c5oddjYOcWNkae3
o5OSVk84htApGbPOyyCaL99InaFR6zQNmoeI1wrm2Zh66hU2M2Jidf5GORCrqxM5UMrdJsqxnuxL
XEcwk9xBGmK7EwA61ovO9YgkCR+LzvqoCP3wdfrHonNAlGHNKGVQ0hdhsA91Wsisc0NqnSBScvu9
GJ2/BfoWPQKw8w61Eakr1yJ7JNEpJGNMHsmik0mMjowSaN7werp+WWPHJrzEGQgZqfr4XOpok1Bm
6pahWr7JyD1Jl75gn1C3PeoVrAE/7Vr/GyNFOI8ENdmX4agXsD/8tXufRMy7SdFNj1nRsa0zZh89
HYT6EjwWaGHHLJvXmlqq5JVNs+z3B387itEH95jjaKAHmeMabPnz6IDGfeuppU6PYq7a1yVry+s6
zZPbQIby4feHejtb4lC2INYBb6jp/p1ok2Lf8SD7cajaashPQCdPM56w8a+/P442mf0yJtUHwsFN
6KAFSdN7O2GUlVLYJ/z4SAyB2kGecI7ewKwxL9P+jpEI/v4xTJByK6d4qf2YHfW0xMmtESV6c40Y
tNz+/iO9nRozkmGYBprTR0yHy+bN3p8UkCBhPhJjeQWnaxbMCu1MAxAdEqXFxoyT9nVmtPxaCzC4
l2P///7RvwoegCz8dJn+1j/68MJzXsZ99Quo1YaWwI/9aB+B6fwDq6Dmo7ARRtzLaO1H+wgyyB8+
zRwdRctT9SejNfwDPoajaSfu9+7SX3IH9w+XDEMbnyBALN2T+k8aSr8+uLRYobyS94gjEuUdpsk3
Y/SlWvQ6P3j3xZgDiCzTedA5LzpvfGq6Tz99Mf+6RF0ORu8KqCpJnh6n++b+jd3Zyf2kd+4J3aif
L/A/1Y/hk4RC7q0YkNfPsYmnOBzBD/4PDm2bphkEGpDzloOVGlKgExPO/YKj/pnUHDCJ34FD/uCJ
RzuYUWp1ZqsRFWTEp6vfH/7Xrp0+c9+CBYHTKMA2Sv/w1/XRssmRostv3+cFLaJ1YGgcrolutL5K
K324mUnKv4zH32AZfhyUW4UFQ3hgKN583WVdonutQ+veBVL5WJI1eLQKD8ALq0z4VPeMqXkVc/CB
+J5un2Ag/OLVNOqh4/M9NAww9qxr4LI6owWGuCyL8+IFFmaOyB1NcSJZTtNCFwquVYdbgFzUHDH+
v3BV9Nj5r7H099PwtHeX9xu4k7dj/mBi9zX7iXXPjJF7ZcihBOcDhABybIDZpqo6zZL5x++vGHzk
vx815PHwAx4M/v7rFSMuHLur28LyE6N4LA2m/Y1fJt/gkDa4yhdyGhzAtS5hDshhKNr/harx9wcT
ONwF4oM3mJnEm4s3YsuQjZwFxR6ghVQ/MCqE4BuPjfi38E4WprfnyuuUJwuJCG/Ut8yvSPl9aZqD
uHc0Cog5JI78MRWMCyPbhuogHedlNEFIxCaM2XXtTzwsRuZDMqC7+i+X+59O3KbXTpvdZ3Py9q61
HKMKGzNigskwplk7fgSRwuohca5SzdT5/WX+p4dEK8p0FmXIub/lNIk6M1PDHi2agX2wKVUCRcKh
nXga2DacijZzjjYa5hPIW+7ykNL3XIzMidc0pQ1okkjwvxOS6SzM8fZCxOiZiH4HGCfJyFiqRFzK
qCgoUZ1SMQz57vcn8QaLdXlEfIvrhxrGtRFKv1HCZHkcDYEKxX0UZWazu/B1LvfN3Bf1c9uSyZgH
E+ue4gskxioE+UzPeU3Ph4AvVQBzSKWD+AHfLLQIEZkdyCjI17//nP+wCvrIZwIENHzYvxGSDLqc
oxc54t4F6kLVor9mUbf1szAj8dhoEuvvD6jfoL/c2aDPuat55yIepIgz33wxRR9bmUkK2P2k6cYX
9EgUzu4LLUGG/oNpM/Swvc4jWzGCGWGOGfww2kXhuxRFM5uvUkGWrZi9ZiYrgKmZRSk1OCQQ7onL
V9Tx1vCIKUnC6270q5NC9HV9wYpYPie0KDhDvz8rzuDtaXEmXGdGtI5Fw/Nt2u5CWe03sLLvKxbS
NRqUpd1kNApuMeGq/lAi8Z/WmT9m/cZymY+uoZtGyS5MYrzvOX+2STpgTU4IDUVCiHt/Ny6x0YMh
6QZB8EqsbBDGbgTKx15C1BHJZLyvjSLuN6ZfVbTwYiatBLv5QFVMy+TJyLpp2PIKQBQss7xaOUFd
3tPPSk5BV2TXDNurMxYfRL5B1ZrDqrZy4yPKbHkrKpW/mrKD6UodQEyRQkTN5xuTL8qtlHfVK4Cr
ac/7+4pA14IwJTtjfGEmbPpm0HMAHqvO3OD4CBDy+L5RPw1lnk0AdX3/HXtsusJNFqN6B9rKNrxw
45adrBeiWGbMH3yGJd8GZJfCtDos89IDzMHh1h6tRqUG/hTh4FQkJgRpM+kSSKfeYcAUA52RMW7v
jckWaEfcvnTX9IEkDq4krus7Py5ybEAhZspNkE3hU5wMvHYl9wjzNB45rwI81ZDIEm8pDSAUM1zj
01Wu+9KFDmVCGbDaUAKyEI+43x6+wzOVT1jZBpuEsQ66CIs+nu/cvw6kLwfezCKha8DAfaD/cIXc
L1M3yLaaa/RBgdjFqioSkrbTOTgiD0rOuBD6VxRHXrWK6YDrrMx2Azk6PreW0+5arLpVA3p1Ms3l
I+Ok9Moag3kTUAd8hntO0kva4A8IrWhnLXb1qQg792NlG+6q8erkCzfK/DUeIiKIFnbuG3Pg8iBT
IoCmZXixKYQ/QuZkwIZcJirnOWCeZyjYMv0XqJoeOWZpXD8aJK7K01gGeB4g8uRh8eiPUUWa2Jzk
qvI3hU8kKY5Z5aBtA9TkhpHF3wVCFmyTkrhxWhYA+ZRHYx6Tcv3RoJNh83FlhkZdNaoIdoapi58F
InclJReI1MHqZILNsFntDYecEpg6WzKZa4TlwCjez5B7yZHSyMoCgQXdRj9kXQkr1orvhHYcALxM
HSIyYTkJH+JZ23FlPTQnOal/lbE2TfC5Uzhxe+FB5NLLkSUbCMA9+vSlXy8EfILdIYU9Tk0AmT0e
xDs6JO4LkOvwaUJc+aVbQMh6g8fC47AO+U4BbaFNGpQwPKHBuig0CVA1rlY62W51oqwDMq8xlJIA
hpMspfXYmK7+TVUeXveQkJhIYiGP6CCHBXNM0fNvICWgwBkZF2ED05RV5rkoiAOXL6e1eFNjgtNI
4DYR2XkoG5YYdtkgopoivA79an6wXI+X+nc1i0YvUcPR3kLApP3jUMSroPuiQRwDsjhHPHbdwD9e
Pm3BIAI3a+Mg2qXstGhtpuquudQiMscncFsWsj3ETP3Ow8IVGR0qQ4UF6nEUCy5oDRkbUrYbdp5Z
jxeWetKD19ooXT0qi+9eoOnD+M/zq+fGY/cFROn8kOl/QpgLSCzOqD5NObovF3RvqMujOodm14Rx
85xJWI/rGS/Kw6VQWGRDr2rOcu/Fmqnvsy7n0jZ8mNkKsi8OZi6+CySnx6oxzLOZ8Eh7VWSeaeBA
AOM24tpZ+tOWVcOLB+PX4QKMB5ZFEV5popwrZP0cDRpIr6QF9TGyQqr0C8h0JOqmOjZdyyf/Adiq
iIq7bgxCB9aXAmfQpYpcsv7L982Prd/JKgtRz0ELA8fhGLIhp632BofOuoLxV7iY/iH85XteO3xA
JGuQ5wOjnLItHo/oc24kwNXKyyMkEGDOu3FudRnEm6fftNN94EzdF7AhXKM6Ciju+GUY6ySK0qHB
uan0VkXS49kLJSgMNETP40qfIZL7R06nOtlMeB9SpAGKyKKcTzsOF/Qub9xe355umYuzGWvwHk1n
jYMaKVedAEXZDUQ1A+FoErEHFB4gayKgloCeP/+7tiKXG7h30FisenJUnkiS8x8ziTR02zdmurcZ
T4AvAJf1khQTVelcF5z/ZRGQuT0/QOblW2F2EF7jH7aPhNHywHn68OT3BetMP/V5L+CBClSsF2wX
5X5zaCKbq5pacHcJhdTfw0QJGpZp9HQJu5hJS3hpA8DNkgiwYvs94QCQQ3jdth2f5HIn0vIGcEfW
gb43qNG3os1ZfMgQibu7cIYifAwqfYGAKrA0WVXUHIpWhE9pv8whzIGFvi/GGooibNLUQNYUF++g
3bkvmCzFo2XomAsmKrya5kA8TnbLl2xbSowr1vmQyVMaMi2Lax70BtUCpHju20uQCiR3VqAWA+/+
suFdJq01ETaPKIrfx5SlmwEuW9pH5KDikTAHLkuvq7QlmLhOl4rx8tpkIMMdVWvGpB0knPvi1uE1
aH5jReof0s9hYCfDoPwONdYcopgU+bJBe0wGisdZyBQgaD30PK9lgjKd7NX5wVyUTdSRvdC37nIR
rMg5ZzlKJQ+X5QSsjknXuvYq4ZbHOC0jzbaMmBZNo99AZHbJYXDDIXcf5hZvNxoHBxQagW3uC/ou
7hp+d/hUzibb1nxwjpJRRbWF5TrlV8VI0twWAbbVvEMEOHGLRAhtIUOwlKXZZe2bAUnuq1iwyFOK
xHpLzngP43jBPXH5Ar6vRXrjPmYW64JeWBn488a53LtRrONK4LqAafNT9RkrR3R/uT+xg0X7jEYA
1svGkTf+EHCLBObQHhxXjldJrFpEkpcbopiK4FtNItqIRXtsD0z6wi3CHPcFWaB4vNwV3+MopBWJ
s+fgnBBNCfHV1d0G2RkMwjx8L0xUXIwCa7VIY+03jKP2rUtrfpXqEzImdAmrtGWw0DoT/01RCIGy
E5Y4C4dT4JZj4AY6b9qIPObJ8qOGN4xvgRSF3zbfDVnFam+n4pbG6nLPTp2b2jQEaql+YtG+rIAO
tMFiU0U+X3YfGfr13Wd8S7Y/8djoFxBqkRhdw5qxOotCFbcE7jRGQGRHiQ1m4YbreczsRnHcuFbz
Q0HjGKAJW7WncFYUfoSN0GVRY8DdbTk9wCenncWqpRZa3o0iIPejH8YyucX1bFZkCxZE4pian+wS
2b7w5sdwvTFRPbWPvTtQhKA0CqES1Om+rBHJ7HhUpjtnsPx3QzAXt8jYXhMjwt4XZt3BzckP8ltW
9onwjG+x3VUrn8jZle2xpV6PuIpxW/J6zBhnNGuVAiPoaXmGVCjKe2KIwfec1qxylTst894YMqCt
ILPHVdxU/SoZUcQgsMtubKcTAk+7WxzZ2c+HUtS4GfK6Jli3wjwQzjn1gqfpipDauMPazuoDAku6
3rxq9OJ/lQGsWtYIO6mpUL+wg8nL/GhUCBxKumxIzPJoMt7FmcXlaYua/2/+i70zWY7cyLbtr1x7
c8jQwzF4k+gjGOyCTDY5gTGZmegbdwCO5uvfAlNSSVm3pHvtTWVWGpQlyYhAAO7Hz9l77dDiIjne
PN7RARyYGg0sOOqDuqqpccqlpMMxCLAy7qjwRmlgpAfQ/nFQ/shaGZyQRxWLOVJ8U/H2opkkGcyR
1AduNPBOx4/NJEpYt2cvrfNvNTUmu0vYhNts2cMtI4ueIrHEBXwcDGMzrpoT4X9oUFXHmlb7zGSu
6KepQ5DU4TkNY/c4NKF1E49e+GQZXfvVnmHT+k6O1ojbiYmXb7N/qgWs2Jcxq9VHbI/mldcf6yZK
IRbHkA1z+wE2xqPKot5EoTiXxPeWqJ5pXw2j27zmBSOwumPdU5JHqCPMbZ9GRg4Q3dv58bIyA/dg
B+JslxxsL0m/udoH1Og1PU8c7la8rLkMz8aPCgOPZW+wM5d5JdwjUBIzOHJgG7sDUrZ+JYhF3aNO
7hHR2LbgrNJhVMDn+SiERcvOY2y5ps/DJQky8mHgLNqcJEqfjcXXk/+Y0LHGuYoVrvFGnoc5XpaD
j5LZM8vvgINgRYVVae6QZQVi60+dveOVk8dE9eOnMSFVNUG/86np43zT8oSwOnPaQZ9Y2H2At7Q0
bYY3jXGnDL/Gsz6Hldg6yhkPduwZ733jeF+BIc3fCqrK78Qzt5TbQ8Fwx59sOhcLpoCibF/QXHlx
ebsKa0FEkrSUVSa3skaZ7qGiukkDZGRx5qfPZdPFDz41PvldZYEEovXM/SQ8RrlOE0G/QTNcy4m/
RPxx2lIpV2F8N1cGJ9bCjAcAs52JqlGF2v/hC/xnwvM3Ex6Uvn8HmGyxmqqf5cHLL/0mD2ZcQ6/Y
DWx/6VL/PtwJvV8Cjr4/kvR+n+2Yv/gWE6EF90jUCGOc32c7js/YB0x5wA+YWENp7Pxm5b370RLH
BfwfAyM85899IoRyzAiZ7eCLBbWBDfen6Y6y/Ez2MibsyzNHuSqK2NfdyuXsg6fcd/Ur7ouAbC6v
vqTNVN3MA6IyKci4Wldhn20tlO0PWZfjf1H2mN8mSGjylW8QPhQGaj+GqXPqqh6zGGdCufEEyHkm
n7Q8UN2Dr6FJlFzpYqjPZszpFz9PcW4Qx94FlPj70gyTfRREwd7N0SkRJWxEm5Zh9X5OE3WEeOnj
H13oAXNLm9npQTqvykHYV1Nh+89pb9f0YEo7W7Ouxmsn6fU+MxYiRlVHl1q67rBKjWE89kRq53P9
BvJKXM+5EyEBGkWHyoPWywDmckcp598O0ShgLfv4OOhQ1OYRppOL68s23gf0G9+DJg1vnawSxzoq
1bd4tCNJ7dVYd2nS9HtqSXVxW3c4ZXmAmWti3yzXTmZ/Y0+HvuSxf0LSc2AEUcjfxGYVX7XNbLwj
pFRIipoaPPAsq+OUyhdazPKS4Tnc54nQn5Km6+hkdSPoHGNWX5aMtRfc7jkKUQ+Wiu/HWQ+mLQTv
LyoCGMBoY2lJEYSxzgZr27bUm4Qf3VPIDs8M86El0CT7QsutO2Bl7HYWQrv3meb0OTXVrTHH3ilX
XXNS0TxfNVGh19hY2l0witbeKHg6WF+m3lZ8qXH+AtEJWBxXqeevlUaLWtop6IUG0VrVpc8HxZ62
Im2wZ8n0jEPmmcl+lFj/SE9JnvMuRYKB+NsBTTPW9bZEQ2gBuYKdv4IbnxOqxQ0IjtHtr3s3nNt1
j2EuX3HqwC+1TNCKGADlemjJwS1mB80OiXPD9zSze1Ql4xIwUBVAmhs6vHep740rV07BOVb1vPFo
0q5sJcrrpjPoVRqOhVSwHLBg1u4EfwGhU/wUoVD1Eb7F7hc5Di59zsaDZ4MdEm61WR7mZobnDMwE
voig2iUpK7yPoylZD4RhN0kJtGrSG195N2kR6vcqcPKjqdhwhwwg5Ua32JdcHIBX8wzJEA5yV30K
6yx6MUqSYk9QJ2W2DavA+grjru1XiTn0Fz2T6s4oM7deu7CIgJVUsmdUVsnPuIBsmsOD9ZYDMgPF
MnXTpSV5SxxcoDO0aQSio9TGvRiWDnJTYpUT6tTIcp4cbSZXtFjdL4BszGqF4J0k3kChKG7iSnzO
cPFf5x4eOcTbefg4Q+CDSwdIFd4rHL5ig2Kw3omkKt8AXYef6Gh9MShYN36jnGur96dvXqMm1GSW
VVdb6qbqJYv71loXKoMYgZBUvXYB6KIVNtPmKCJKQaBtSKpwgYbnxB5hMXXqnp5kiFI25XnmoEX1
KpS7FVDY16BgEB/qvgWH1qQbOmPgPYZOnvLaCk6e2ZJx6CQZhkGojfu671nWwHwFawM72V4Xbnqx
teHt69TMx40RUjpt3UCZr/R4Q45erKiamTUN+KpM8RMhvF6qNnkD6A3ae1g73YUaDGMhh4vsOU8z
Oa2k1TlQb/FhHDmNgVQUxtB8xgfAgcYlVuEgTWKoVuiW21u3VcZ77QWALFtcsEgcyYSP4hDUWEYb
QsH3dPXOEIn87A/T8E0WyfA6uZV17aDRK7f0VcREXTypaB1GjkQyFUb5RthNCXhriI44LQcbd3zz
EOdtQ2M0HK6Ur1IyFXO58avg5DZTt9F0XDk9tcUGP3d0zHKWTWbpcj+a5SN6zH7fKsRdDEboAeAu
UwEpfVMFkFP7W2mO89fZ4Yiw1ZYvae70qPnrRJOPaYrsltNwofsrt8Aw3AEh5UzzPBsx3J4J3Vdu
vogpR4y5ShTmk+4Fy3yb3UYjKnQ7zPxbKyPBEFe2uvhlYV6Yg8d3LIsjiq98PqLWeoK/Ul0kpvhL
b7URbsiUOn0gK+rFgQTPOR7Z/SmBsP8klmp71Q48ViJtqjuzH8s75Azob+NyoQbkLuEFgEJxeIL3
w2bGss2Wtx7LKb3p7bAHtBdI5I5tWd5kocnb9XNjZ9Gw58KQS8Cjjk9oZanWPxOQ6d+CnrWviVmO
oBPNXfTgCuUfszQfHmGUMM5INNQXZzam28qI+5JIdVkTPTBFN2HdNA/QVIMjcwbzHejkfBwm5e3H
Tva7MZLz59zNxno9SwOXuVVMYFAmUGEwibeyi3oyCD3Woz615iu7m4NjkiK5LYfsTha9Wnm0rG+j
Gigxi2weXYY5Woic9jXnyLheV7Mb8Kz19R0+t3S/XM9HVS+x4tmM+cE1gj0NXQOzo9aAmuwBbHQ4
J1+jjnjPdIQ6tFJybHgds5tOE7L5eztXwz6cwvDIcKV9UlFd3mnL0weeJ38CeMzgyWko4/mKYiIO
52kyN4CpEyhNTijvB8cs6VpnTrgmUdPaJh7m1kwW7i0EpeiaA914bNkYAdXb9BJD8W7WafhutY5d
0+rx5EsKqu6zOUT5sa1xspKnYggEmiw13H4Jm7RbELuNzCTYpTrL76B8Dp+bIBg2eWf5r3adilt7
qnjykmXRJGjNTpmpDt68VdAK6odqCl9INaVzoxP6SVeylQzcOErbCQr/IXxNjSh/gFDSyjtf4Vs7
OAGZrKvZ93OP+FRLmmfbpyWw59hYmZLo2SRdpj0hV77m8PigZLwZOQ9OOyfxg12DwGGdEIMZrbN4
uJ+Be2SYJ4u2PPSdkbx4nHHSN9vnEV8TYGp6WwVzIAY5ia129q8ta0ShSdMpT83+xC1rK4inukKC
+iaj+ZXad3wGSVy9Z3q0n0J414+WjJsT8/JHWQXTtnQkzQDZNuug10RBMATwi/mVBfC7myZvWee/
Bv3Qf2FuQAXhKhjkrde/YpjODogzijtpFdvBLY0zXw5RC6rJjxWBF9+d2dN0kBqZ46OANEnyY58W
B4Xk897xhnxaM8RL5KpRADcfhd+rbTnb832CThpEQT14pbH6mMz+c4T62yNUIBDQ/EWWOUigt+rt
zwbLj9/5TSFnur+YtuPDR0MeRm45gPzfFHIWpyKUcKYDEwjdwMKz+aNMzuSfYG+gqkP2+vtRynV/
cQggZEhuc/7xIQr9b45S7kIl+oOSwDMB5oBr4X8o+wja+nnk3kBNsyOKudug4dEDpFUCpyPSyFsD
tcgnTPS5U+0Y6yYZN6LTXMcMuNcFoKevbQQbGothaTdrkpSxFCezhICGN8V/n5XNrK5Khbtyy2Y6
11B/iud0duW5bmfza8ZEJlxZ6J36lYlkZlqKIO3sU1oWn4KuC+xjK0OtT2BK1XCtkDFvE/JTKJug
9EGG9/PrBi3t2uojfPOTcTb7qUlXqhExcLBqtjdyUp81lTyrdAKPTY94pqZMWN8IuQLNNZH5vAsF
qtYt9kxACq6fpNcFCTxHnCDBwVC9Ouq6zABrpdV4r6Wxt2nCb2o7fB6q0dknRtGB84zr5V3B7X0e
PZYDp3dgCjOOSmjfqcMCz7UswHtW1G16CBQ4oZgyYZm2KvS0OAFUi7I7ooNE3xLC5cqce45eduqd
3Gxu79pmyPyrAVXRO1dkusrbMIvU4+w387FTbmu4V4GiAQ7KwVo17uCPzV6JJim29mgP13XmFqlb
LCRBDufVDvRzqa314CZJ5xwybEC1HAFsN7oPrnBoErE6r8EpWDYuzSTvmRKuwliNtj5aJRNmjTEm
zFKfVBCOlOIjZicIGrgDSN+1Y1uXtmU8AbTUGL9S1TfZ95DJzfcpovvv3NhV65XWQwANdseCv+Qh
kcQTvDQDkwNGlKE+D8jmTz4gZS6UyqMEWmefHVOIjs6WAeI9hTWSlpTqMUry4bbFR0/xk2bcliAt
N1OTx6SbW9ZJZHm9jWNz3s1pmu8XmJOVNuOlY+iXwmkt7E26UEoAn3TxSQjK8rXrcLURkIjogJUS
Fl7hTN6xHE21Y31t32q7Kd7tTloOKvjWh0ApFwemiATg1S5T0OPb0Dq1DvBj14kLRP9pZh3cqv+c
ZK5m7l273p3BFfQ4hDXx51i5Js1Tt9wRQWHsteMSYcDLXeN/bWA4WON9VXfWQjClqkQ0EQB/E0O/
yoHLXC30cACAeHipcv3qqAeTY1gXZRREXeGefZHNJ6owCH6ZSVuuZ2dSDskIJjjsvohv/ITOxKZ3
/TMhoGSuj3n0mZog3JGrrjlVOu4WvV516hnyfyKKiglk4N0vd/YtTmBzQ0cAgJa0rueMAyWbdrcW
TuPhOWs4Q7tOY36vrcm8rb08fomblBBf6ZL7rPPi0BaoaqbUj/dZpvM9IaDRCiA33eKBmK3GV+FD
7KK48MEkLTqQp9k2bysnI0wCTPQ5n7WHHF9y6kalA4SnHpIVfeMBaLhjv5behBmyJyEeAXthOhff
dpHyMGv9bgQCqG/H1dgtM+Jj3xXvqJFC0jbwvm6MfpLhKte++9A4w5jAo9b1uyum+BHkcGziMFfe
Fxi6TCkIieBvNMYR4yox1U5Do6nXxXEwwWvnI0EPIsuyLcnj486pYnEYPYQ9Q1NBUe19YJudF1vc
6H2XXllh0j9ixIJnyPV5bFFkcluDnranM0IKY+3lUXgwgqSBqubI4CSUQeZz6Bbi6+hXyV1YiPSA
fqT6SoMr3BQmpc+qKU3T3061a2KptI6Rn13ANIjjxNllk3N3P1hG3ZQra5jsQ9g7EQQICI4mfYpp
9Mh1CNBk3WSEMK5wITqf6yIeAMj1xLgMlpttwHp4rx7iu41jNfOlpnuGulENz6B8MWk4WX1tFw2d
DibV78ZYQZe3ne57DB4Wd42ct3WRtPvRtZ0XmxiF29miHaVHMd9NlVfvlhHYna1UcxUZg/kQWGrO
1/iscrmr6zbetrU03wiqUht37OtLhs6yAySfELyS9cbKtbr4O4xQE/VYFbw6nAiMzcyttZ1ZctZJ
N2l/JeKEMT7UkqMYaHsEQvvXtgT3wRPpYIWy7E+xxHYrBi851aFCpWWBCWX2yEFwCpPpWzqp7sGD
rZ+tpR0lm9acCk458MnW0SjR0VmYkGY1Tf3ateW3siT7AE8JxCPPrq8JI4C740h1nqt6uC8CY4u7
MryW2vbSFaENSXR0fCO/TkwLwAz9ks9FqxF7ILy4DhpBqMdgtRhI/SS8uCGjCi2wtNZjlLr0Ld1h
rZPUvFW6yZ9LzI3PsajUHRDZCN1WlF71I8HkCZb+T5Zyp21i1tl+Aiq5jaZO4satCHV3+bQ4F/GK
dceqmDWJDUH/yXVNHOKp21YbA+fk2vfcmqNxYt5JMAHONqC/caoGgzZomQ/TlUfvMF+nyrK3onYd
rmPHiGGEButp4iqIZyC7hcSF+WSllv9u8/eNdR1V6V3ccR7yMzN8nmavPZjuzEYvKhp7K6bZ6Q73
r38OmNY9RoFW8crwFEKpOKJRsRHDeO5lrXZ47IlH/6c4/gBv/l1xbENT+6vi+ObbF4Ws68/V8Y9f
+rU6Zo6AhhDKCPmVSFqJ9v1XdbwUzh41sy+Io0Im/6/i2GGY4BBu5TODCIS3qIZ/Q2aa/5tiGOjm
T8WwQLyLrwAJKkW5xxvj3/9Aiiuc3qAFkeizU86hTuipc7rlLnJcmU3VWQepO2HMJ3I5wc+69DHy
paXhLc2NdmlzFKWg41Hx9q/V0gZh9O+fx4/eSLe0SeyPjomNtGRHiGL/4i4NFfXRW9FLmyUEg3aD
poqclY8uDIGP9haoWrsmHMS56ZZ2DTl6cmdqUdIPMqu7bmnrhB8dHpSz+RNhSMNpya7vV+PSDDLl
gCTOTAzUn6IOL0UiyouyOxgQNJJaYdFSWppLvvTmCz0rdcHEGe2cpQmFSGPcogPtTnlDVTgODlN1
3xq3buJi9EvhUjz2ZIu8BUEpD4wMI6zpsz/eSXbxOwwrybMs835as6A0GyfWNlrdgOrPk8nFG/1s
q01X86ya1XhW8cAuL9tP2BEJq6MAJcHEpaJcm04zP1Zdn69Na/ySj6Mi/ELnLAKGTs8yrRjeVI3X
fk6rmRJA8h1+KvKsvBGDTnZGl8wnVWKHWyXU/JtCi2DJ8QOQmUVGemeHbXYwivgWNna2C7IxJ/PK
gzSMIPZgDjXlRFL158qwUgJYSl+sunKYHlgZ+11Ok3jd0ca7FUD9DxPOvetAmsOZBXE64L5z3sDF
1CciKroHpKUFADXMutvKbshBAegmjiVL0vVMA2QnrcDYINuq7g20QQ9oPrtX8tuK72j4zEcbJdjG
5wB0W7aeceOkwS6mx/TCtaJVi3MuZMkV5YujUr1DKlttKtZqQCs54bOmZxC7pUY67G17i8ubHM6x
G9eho1O5yrhxkIfAKHl3nIy5glRQBVfG7FSYX0k52LpUF/dVqyGp+aHsSDMv51Vp1oDByT4mzAAj
BfrZqwq+wR6yZXPjKite90DNKMXnfp208bgbLSMct5ri99zMpEMWcSMObKHFt6yKszuzwbGb5vF8
m2M+b5AeR8a7YKJWrqK4tcKVHHxidHA79FdV6gesX0lySjlXwg2Msg26CO8lBdv3rMZsPPthbm4T
t+2vGVMzF6kbqe+VEc+vsuCwgme3Ga8aZLiPiJK9WwEQh2NTvNc6YJJith1dcs6Gued0+M31DP3Z
sqpgYbSR+Jh0ZHP5bRfkdO0qHBOIvNiksyw6AndVR29ic16R34S5mAqAUy5u8/KJZaShroFxUsXS
3NL297ap0ZjXILywHIM7oZ9E03+LO1neoh+Ob1Xi2htfIuotmK+gASaf4bmNkgDFk+inB1poTrxu
ACNu58xKDtSX5amf6XytSiMYorU2pKd3FbyY2yxy0LEYXpWXNwYG96fAQs2KZABs4tqVMmIlSUEA
zGX9tUCsv9So5XjtzEHJLp97KVi1SRtPsW5b5CFAbCNaBvFI2LaV0ZLNEATvRjpsBA2JZry3C9N6
Vm1U9euY80Ajd4VfM7O9thjtjoCDnLjEe7qjMonLcB0Pk8+ocjT71nyIQJ9P/qc4QFtw6ZYpKJlc
JU/7aW5sgtzWnSAGq9m42s6HB5WNsXh3Y86L1ToJCnPwPpWkVcpgKxoyKnZG33fZ14k2h5WDDrKU
YuOi8/NPk+zv6gDHdNid/3OT7Oabfvv65yrgx6/81iOz2Orxz4CMpqJYPJv/qgJsnC2/NcVs9n28
IQHnNI/4aYti4dd934GiTScLzqtYNDdLSfCTnuCv9AXWv6VWMk1ZXgZTshP6WOIXw88f6gCsnKOu
VONcB1EbPE0oNzktWQZN/bkwN1NSSgm5tj7hGJfWqrYkbpOZ8CMSlot9j5HwDCeyt1+8ZM5vakap
zBxHTvZru5EsGz1FNpNIV78g0VObLp5YT5rJZj3Wgu2w6TC4YN6v9L4fJuvSI2x7rXSkb2cVRiOj
tWo5/88qIEYS6MYuJeDnEIAGhV2Y634VMN3a+yFvcdUkbGjrOCasdmNMiAfdaQr8XTICBjvgEZ/7
zZhn5pesB8WxIv8i/yphYtymsadLLEPleBtFnLMWxCyfvWxK8FkZcVHBsZ6US2vF6mk48azyr05L
yNOpF0Sdy8ST0zE2KoKxynIaoZrxBgkJx4UKAFUi3b+3RVPfh24WX+Ys17eygDGQkSOxGZKS4j5q
a4QPgwoOZVhUcp0Bw46ZsXSIX0Wfc+JAbdg1105uf+qapgvmBlSYWXfyEFle2u/LyI6dYA8rANxu
oFJzNjdjVqrKXKPtGm8gOpaVteYIaBwR+NU9h+VYkuuV+a6oqnybisIoWGybwm2di8ZOwCDVt+A3
eGmkx5tcajeMthQsKgSPQALQjmVP4MByEHnEa48IxYg+yWTsOJVb7bD22s6h60eLIOjOLfVLsmEf
8IP6YLaDFV3ZiuiPjXRbvdw4wXyYIX3ArBqzISd6wx8Kfeq6vm/MG2sqs84hybNt9cCCm6Phaq2X
mIamPb+yuE6V+toNsisJFsjnuYju/1nw/kcHH1JoOTn81YI3/Nf1tzF9r/80GPjxa78teuZyjCG3
FcO7SRv/j4ueiewK3IRJSUqjH+nV72ugE/BLDrMxYS9LFIvmv9ZA6xdm4xbHpcWJjjzqfwVk9H7C
UZhhyMsDVSd8gDau97M7WdI1noe4ys6KoInpzaVrCaPWDTp3a4LoWljNgxqyCch73ZbGsbaTxlPY
YoLqQIa9uWeSNn1VUHGoAM3GW6PD1fPVWPnBN6mKAL5t4KtZHqouJrqUwVwxTO4D8JFZ9PGKvr1N
I7CAnkfs90Q2q4edY86S8BZfaxfc67oHM75t/I4k0QenInB27Q+6M18JscY8vZpdA1GtSmqzKk8p
aoT1KAKG65q+4ExjYPbyMTkzIJSNeEjsYF7iWRGvAaq1SE8BUA4zqQRSB5LE2grK+MJ8TmXQzf2+
arSwy3VrliQbp1YKWRjdPsrkVu0C2Ux3HuJeVBjTkPGr/mTMn5sK0M/1Pw/g//AB9K2/ewBfa5X/
9Pgtv/Tr40daB2WCLQJwFsGvOsZf53JB+EuAiNFl4/8xfaPO+K0E+UjrEDh8/QC7q7+QSn5vPfz/
JGf/2d+7xBn4MFrA3tCPCIXv/+TvtbQvtWnG9VHj/kvZrWLv1kFCcjMXg9j84dL8Kq/8L1KT7+q0
6tr/+3+WYuZfHIIfr0W9C3iFYxoE1p/ElJpdaJbY+VC2D6i79IShAd3B04fhF4hkuP3r1/tJvLl8
NozSNvNQZp5M7H/6bGqJf26EyeuVFk6AwWwW086IJbQbXedYdYvzxPmw4Pip/fjXL/5n6MLHh/WQ
oRJQwrcnlkXyT5UddjQ46y0Uz1mR0FgWJStPYWlx/kAffDgPI9v8u4/831xiyCbCcX3qyX8H3HQt
g6FBBOA1S+JIcpD6XzXaKsy6qQJ9YOKX/euP+W8v6OMLZ3fhFRfUys8FbGYahFq1KjxglsCCuNA+
p6RjICsc47MT/aax/o+SXOvfrmvg0TIT7FfhEo3x8xh5ai0K4GjUh74eJdR7P2ptgtJokK/E4C5e
GPQ4N6KoUNSj6btI7VVPVdMEA0HY+VzRTG6DC9Hhdr9S2usxfTVJe7bGcHwh9/dv7gIv+G/eLw0k
nn1UySEP+7L9/aHCr2BkxRmk/IMXMAZ+NEqSoq/auKC1FtcLOlTG1nCy6mRCFo/CH2dVFU8X9Pz4
c0xQq6eUjeEIywt3kNNiiyF+hnsJIRZ0hVlYN2OalMlJmzb2JxCwuD5sdiKCWL3Z2nBGwIppqJSU
qcmexe7DCmBgnFHbfgE0NAZ+G6ujlRalix1jVrr2vgjtkFjNtjnqrcilnV0pxyPxhVXC36QCz/Mh
M7XxTH50GF2kshW3XJRJrD6g7Y2YvD+ybq1v3KUjkXQW06URTl+o3fuxmoZzZSZYwpCoDiuNBs/G
AsRCoD5ACqNuIbVDyrwLc4mtHCVW89ovbqxZmfgYNdqV9agx+YrS0Xcm2nPsdBL2+oLZX5oFCnep
Ar5AGji9uFJHzatDG+ViSAMfTkeKTTqn3psXwnU5oigaX/26Yw9HA8GU+MMg2rtYGjZAT5lAQfOR
SBRxEZK4SKRQz3TmrehHbrMZsEG0+Gz7kC9tFhI/sZy9tx/MkZjWhXQGz9nBTsZeFY4GFriWFIbL
j3s1yWLcuYmTDvSO8pEyBHcGXAePD2tPumn37aDxpxlw9JNTGERpeczJCwLg79uEC247EHrPicYb
LxrW0w2TRpxUP+xTaIzct7oVzStueh7+DwvxpHDQEzlC+7RKuTPGnAizD1egoplJm6SpsX0hcCDR
yCd7BHNq27yOHGbKdVznsG80Jz96eCREH3ukGg0jxoWvMrg4UESMUfHj+rtjh86rF+42yYNgQxIG
rWVZhebNx890EULbEk8k68acHAw+630SdHozxGG462XLDYxcACdPlw/NoW2zKLoCNGs2aw0ngaS9
UYTEJjOkc5iJO/AQsHWb2U0n/bbxVgLm/PiAlMNkQBMxntK7grH0EpC8DM7JsTWPg9UFelwhmq+S
U9t2qbGfzB7qgYyNKbpgufKKVQJMAF950nfR2Z7D6dUPSY7VkwGOfmBKnd4N8PAGTm4Lsp7UHr1v
bSiCqxnCIenLmqGSmacMiTS4h7h9bBYE/riIvyPiVnYh/FK5KFqGD1y+yJwbj5SLNQHOhyicxqsO
0cejD/WWrPUI1LdtTDcYCv11u7D4WxMqf5NMPsb90SJxFWb/kEhO0R3Iw8+4cBGuJE47OORlp+OV
Dgx9cAUE1FVvoghZmfV8I1Qff5Uty6ZfpsGpShP/pjGrMFr1szudaReWfOFY9Wtm+/FimJu7r2Ga
4KhrjT5ON9zcIaBqyPybEK4HapsgiJ6cqu2qDV7LT4QIGozi5FtlBaSpFwxoDhKxoeYHHW66H069
Dxd5YvF/VqzL44VtjnvZjqokPfgGfBN0deQutF3z6lld+LSkTGOsjkW5zPT0eJnHJHpaiOY3jWtB
+yGZDu5DPryNNQ3IzPNZMAmugFNtZs8ZSmz8aou/GFgLRq4AB5poQjPBExVVuKxF/eh75RbmYbVp
+RgE6Til8CBIzswGZ3hNn0tlGPMRdkAvjk6pQGKuraZl/q4sVH6+7ThfiDn0SGip8lMRNtEZv258
BzU0OcYifAySRD4VnXqbynFZ/VPridjBfpNBdL5B788675F0dEKqan/ujYj0ExTK8KHDIXhA0pVz
utHD0WOcpDfOIC0MeFZA66NWYhdWdnU79jhtdzOgxzIRzaYeW9rEGmTGBimrRGZcuB7IDCeqbqrA
cL8UlsPPN+xY6hO+aDv6grk2VSvmLFG9m0VNKxW7Qg+vss2NMw2JnktXkgk4oy94mQKBIN6tYI4m
jrnJ+EgMfYjKRhsZta/1KKhFmg5wljOAXM0tzdcqQ5ygKTpZFgu3iBVzqnaiD5aJG2Nxf5KXhz99
San4ahZZSMuLiSv6ypl1CM4IWI/YxB02LgE63Mr4F+Kktm44xLKWSt9mTc9QxT5pm3fjdwtnBmeq
Q97owpooPyyogSBmNwUxHa+SHDnOanQwNftY/MpNbOes9wqj7pRo1kHtxS1Z4QuXIWzQqGWi5pUz
NhPcKnAy70Dl8Cx5AzygYGIfrxUv7ETAv+YpY8H/WAKDZHHVg3LnU0yDWSQM2CpRrfpmcM9D35s4
IzzgGKoz2q+Vk7NzWA5TPnZW6b3RvBrv2tRjnS69FFfvJFE3LHmiARUDPUR//+NtWZUHaEAmGZVE
ZBhsX8HiY5UF9l09wcPqNLXvB9LImgnROtl4ZqoWOUvp0j3HJOisTRXWr4MtiV6xPc27TsuGzzro
mZesVDoFF1c2BahbTslujcUmiWVerAZhQpNZx6Prk3DXIqche2F6iPBLvvqJxcI6KewiQ6NGXM1o
r1q2DCt+HDgjk0RlFv7ZnR3R0utillfUBllDfWJ875QM90k/hOOK90yVkxp4Te0RDTUxUvQRMLR2
1qOjJNtTrEYMnSpYnOTxmC5XVIIdJyyVwdq6b4THhqlYqh6i5RslMYavqS8XfkPL12hYklNDZ88m
gSOo7oiXLgRNV9ymE+NmrhOl5YPvpEb/gBEKodE6HZI4ERfCpkKfrYqBJgxWEcPC2U05CcPWp0xQ
Lcf7ceiA61p4a6GvM54xXYLgo6JMN91AYuuASXJfGiE1SGAn5il3VXJDZp/G1JhMW/6jOYyC81Rk
c3PN1y8vtWBlyXVivIxGmJ6MDieEbhfS0CTKQ2z7pD2MZFMXPakrhZD+pjIjfEhBeOVObbSWNEtj
wZLuEPG5s8zY2qjZKlcYeuWx1kxL466wLpXLEoOGDjtZpkGRWzkVSeeX+XeQJEiydB3hYqoRk3dS
1xuewIH08ep7hQnMKKbbcHSHI/c1hUEvzduwa8xbj5zBjWaM9//YO5PuuJErC/+VPr1HHczDojdA
zpwpiiK1waHIImYE5gDw6/uLlKtbYrml9t4Ly3aVyMxEAhEv3rv3u26/VId5dNottXH8aXZHhPds
opu8TeV2tu0bWx/sK1hY9R3fNvsyQUwndr5qbzPzBLRsIQ2r3G0SlFdjQZyPxaW60ZcmAcHkjs+d
MK1rMZH/EQFVoICc231J43fjTrdWZdxT+dVbjB36OxMu52TRQEfyXuGWQJJee9KOfSz765/oVvlC
7JFHeOc4lkw31ahDbqIimJpIYwfuyXmc1AqSquioM+TOG+hNj60JHNoir+Kqh43QoHJitcncjjty
nVRab8w0tL9dCplnDMKxYP/62KZOHT8dxX36WBgaaSwYtCA+HvsBFecBO15zaM4ebMpYvMlkvf0O
WPa30w/EDxLxgIdx7Lc5uP18+glimIi5GIgdQfCOM8rzjAdwKvAu7BkPs2uro8t5Ofz15/vb0Z/X
RdKBbJmTqc1J8efX5UheIgebm8OZHTNoVXeo+rmcd9JLWb9EVS/3rpuyFqN8osr99avTt/l4dZFh
cyrmAedNnGlzP5z58NfQPTFccZBkG5ghsGPzgbG9uMg9UvNC5uj8qTcdxxJFi/lOxji/hX/PCH87
I8T5+8O3tSHA9x/BvCoh+L/+85rNNv2P6KUTZfZBT0979Ye+nfMHxywXdJwL20LZkv9nVuijjOex
QXBm2MxnbOUa/kffDv8x82Q6MA4kSJMf46f+Gh1af/BXAd6YVuB8F+j/C6NDT//YuWN+SZESMDOE
fKtbHnr/HxsLnpJ8YkPJDzNQY2qDQMW9rD0q3Y05dcgfhqnRBQQSL3WP+JVBJVAQBgS/rxhXI1MS
I72z1rkqtoJQ1xZlijCkSp+GCACwDjBTlVGoIVOyjxC5jWvhwG4a7JFbejHz9rlsgBd8x1zKnPkV
WziABARN1EXYf5+h+DTPjb7ywE05+VGhrA3/0iBc8uV7nyLg6BWJGuhJOApmdHsTum23pbBUP2LF
1FoFkpFbs6XcHxEU0MRoFDVr6EFRnJkPVWbM911uUsUDewHI0cxed5OYdSEIR+qEf3IDD76Xr4OM
gW9FL0JBooya/PeosdGPL2T5jlExquZHEyjuiGkm3UFXUB01uXjxTGgWQmjjwZpS6/MqqfBqS5Gk
LJ3S0q3AMCUmCDz05UDBiGfjV+PeaRDbUsKjL0bO/ZZ3GVfgjOzNFMXKilXLarY6/tp5LawUtm5J
VMkyJrwBx4A1gp6YVwPtpnhbCtc3Wi4yGCaufGq74DX9wmqeOdvy2YNzvThK3QIZk1UXNfmD11ZB
hQU3H1iKzOarPM6moyUCLECqbGezVNfTnRV0o5oreh7c1/yT718owAQKRiyLVFej+obPFSNfad8/
QcbCeiDPBNu5MKmXCOYosjs6XHwEsShiZ0MlkoV+X3LUcsqR64JTlwosnTVV3yxorlFYe5wpGR7i
U2uKKkVU4/a2tYOmrAlI+ut7GivYnz7VtIpLeT+svbNbSCGyIfzQlFnNPr/zmI/aJHgAJmmMynyo
KVCez2dBUCrc6MUMxGpHCcBvWmOTP9kIeG+pAocgglJUIwUCpwfB3WB2Pd9sYA2AYs5HRJr74LtK
z2ODxpfLzaeZ1L7xxDAq9GQzvHl2gKmTJAjjOiURSW4wy/EFCxrQeK4CwE1gHWG5nOpccTuKoKRd
R6uN+83gsbwUGM3sg4du5qjl6JZRFlu872wdqVUrRUqywKFABZMVdwwhkmBlqaKSbU36CWMsdZ/Q
yaJTpop63xroGTojPTKj55chqSWg2cEpgyWUQ/QEtOx8SO5IgHg838LnGnopoHISwktnXt2kscux
WuIzGSNpMmufEx4FPGBM11OEbTuVXvz4/Zw1AAyyoqb0VYNMNRa/7/jfOXmKlILhnYt3roGYQ1tH
plnt8+op9JvTQD6Gvmc82HixHzXVWgwbDskCxhbZymWnyHhnbNVq+vBnUkdO4ZnQ5ekw8LJeUZmU
Go/nAcwiQSwK7ggkhOtzbs+dj36LjnsvpE9rHc/4GKlIfWvr8hUO2cJvEA00WvgAPl3H0etT6zZv
iRPeaB1Gk+2QrMFGLxvv4Dqdvvt+FG1nolZRzHfhLAruH2tGXbhbeygq24CHgjiqDn9DyDEGrJGJ
ceB+6WfMTfkYbLOFHGkL88B9oUg2fl0AVKuMkt9jk25yxPrpb/JBmA+64rsOcGS4gpzL7htudPgE
adE+Fzr8scDokz3uc/PhPFtxmXHGeMdpcnzqCSq2qadZIq2VDzwXBXeUFmAW3ZQmDdFYBxd6SoTH
QciqKwhCaNyy/ZnXOtomx6ZJ8i2VCvjVZyZLsxEv3FMxBR/sRnfla+16FaKLXZMebA1Uqh0hHuUO
GU+boqvoCiPh434xekYDouYulcHEE1EpVk1GitdDxYgGBGvVKGdnoGpFzyCQFmOSqolNUpTfkgIb
RJY63N0BL4GFidZABqLtwkaUf8A3Qk/9fM/bIKLOdHDeJUgc/hw9F6ihYhcyhVasKV0teySUtwN2
Kwa05OP0rG+cA2HHpZa6H4NFsflaCHaEefFFfl/S8t6goOfMx61EdG03HnO/x2CKQEN2KGg149Z2
ebrKEnJUNEour0XdeX7iqsm3H2U9zISqtU6X7s4rqxApp3UJe/XRyKy6fpRJshRfHDSwWVTaapUy
JonaMYX/E+CJ2uZjW90Z6WjSSajfAB4Ex65p1GbQ6mpzJryPEB5FWpargvEhsOMJ9oXfGOGcprXB
OX5JlwPLj0VWqZGMlBBhImpBoqlYg4uK1h0cWS+mK4WJNijv1hztpJ6VHmC+QUsez6jIeuDQdrJr
naemUP1w5vHIjFKWGHqf0kTbitXAfRN19Qh1rTuhKRrBSy3I5KlDrO6B0pcQN7UR9W5dPiAPbS7Y
Y/xb9I96zLM7WbuutWjjwM+8ZjIkLnrMRNGEkeJz5rV0aJc6/tqSNauZMFp7KDNRN3gR8HGegXCs
jEqTh2FYjn06NoCSgq6Kb8EyiAgayBdQD7um6dud5nrBbWNPYV559zG6MP3LQvdHY5+AvhEfsYJV
rKqY5piEQVWi42xuGiaKG9M11zryGN0ApG3tPAJDUh0MPLzwUu3GjzS7sHZFbU5B6JHtqI9ArJ08
LYoI0SQEMLOmgbtb3KX0DgG3ZRcl/YiM1PTS4GKw7PXGnwfv1MOUvPOyGfnzrDUDHBfjs21MBDph
m7jJ1sI/eWbM3Wtw4nVTH0OanzcqXndmvFJ440U3T8g/OfJaYa8580tpi/zz4lWf7dxry8uy7e27
tkhJmRt66Uc2GjCO8tb03jM1+Jb6RHb1kqiglZts2zpetvG7pdstWo58eWqnzTIPBBIjx8TiaCOV
Rk6WX/ldCkGX6+W+5YNf79YRmThJKzoIbfk5CEh/Kog73Hux/MpkBBxu7n0ji2e5T52F/nGJ0NMq
vDw0B6e768nooPyp3a0zV/NrPpoPcNRjPEV9f+Vn6XpHLKQTCW+sdmLR7H0cTN5lE2T2Nmn7hzYY
cZ12LpURqdetuBrWmCWqAJjmAJDdJtQNpxGa44mhpnZwAtEfi2C0L4VFOBYXrd5ORevQlCBaem5b
f6sFaDxyVqyQO6S4Rb+/8ag6tbUwbtgEcN3bU71LmJsdS9gYd4mwIqu26oOJhmPvqx3CWpqJQKOA
GWHBFwakWHvukfJu8qYLsLs5ZFFX5obkR/2+6HL/Et7z8BnPpXa5VA3uH833+DlJ7fptmMqAugRh
1ol2fEtOzyCechWoQ6MTyBD3Nx1wYnP9gyct7VoHThKx83pkidm70XNUr6WocJV53otWVPSRVCfP
8Er6nl3X7zSP2waiiMTktQ7jXo/hNTvMCCMW/2SzOiUbUZIOx6l23po0sbcmyZu0xfVSrVbGccEW
+BJ3Orgj5H7zky3MLdV1RyWY6TUsWb3YDq3tPsQtKworf1dtM2EwQslMD/EadtgKZPGmN4l+dyTh
85c4JDwcqdYIa4yFhKN2uxkc/X6SRWkQJVV2EFq8FoXbfRYbKKSNvFJG1bWfkjcW/2SX5sxRGKY2
mDWnuiETC1IgpEIr3g9uqrEwdZl78AljfNSK3oSx7IJHxi9vpJsO1XCXp+0WmZG4IjU822SYMh8b
NJrHlSzTMGB8t4NJs27JV+T/5h4uImSMn2Uy+9ziViVs7ZQ5qvBjIa1gKhCCkSjq73U6Df0XDfIK
KH3/yi1qeqRUA5+q0dSfAtm7XThydsE40dJg/NK7zahDlHOD4aS1xmqOB1atAJeFBbCP2Sgh7mHC
wQ214BBIqtlJcAyBx+c/x20J/zfOcwmeWZMLMZKhgwvO2nsgV1cHkq6t6WHSg6FJIjwBo/WMvZFd
1xzBHEZ+5lvIH4mPri5a2qXtriCZlVgdp2L4OXUAV7bOSA2K7ZNqq5Y9hYg72exNGe3j5aQbpEKc
gcP0c8uoahVslEjZJvzhxP9PhCgfu0McnR0O9iYHaNPjGP1BmzGmMT23IcsPsQhonVdCWPOX1V7H
/smGnd7uwD9TjQgGgDDPZcHm++s3oAhlP3WIeAfI52z+SyHMLPNDf0qmriFWc0gODlBxxe3u6bmO
gRGb1wbKtIRiM272mZWlycXQxGuN/qyPr5OatrZP0MS1zSx2+tcvCyoZlECU7a79t3Sk2hpjkWI7
PXwP65jZ/ZlUCmrSMy5xwClebcZqpTjSpqR5/s01+Sgl4WLw8q76DyU46uyfGxo1KHtCDRHeOgs0
asbI7UKEZg9NLecLSRcHiodFlslD4cXa0VCToNomGPRiYvhg3tjuMhVrqBdDkh4GdYJuWmSF7+dx
vqwVK/M3b/jvXyJyD4M2Kr0+Js0f06SmICH4QvPLQx1PeMSZ1o69EpkoXCXagjZC1odlee7bF2TT
y3070KtoU87ymZi7+wql8W/eker5/NjWRZVJDWSThmR7lsE2/PMl1BxINSBM0wPoTsrGswrhzGDu
afH0IKbV8VeaAM8RrFjHZuJ8UUtkEnuDLDviLPpGncG4sr9+Y9Y/e2MKJkEIGP3mv3VEPQb3XdW1
6aFx8bhSanL2IgNTormeqYqsvv4ER8C3j9DTWTFmpJ7FabLN6X60J6KwzxIHDKCclu1zXWwMHGO1
jENUYq+U75nSWpSxCtLpVK8HpQFPtkZoA6UpE6/xipDu4e37oTSr5Hw/rqoLUC8NDOJYSSGmHPyp
quNeYLpyb8EOB4zieA0noF9fDvNjW5zvyTOJfTToG9hu8FEclhoa4RPM4vdW6rAGmmJFguCP6qhz
hhuftRqokSbtU22qOfVcpbythTDxT3PgcrUSC2xX5KxaGUFU539ysfhzBr6QbM/tIctUXWbZ5XRp
wMMk2UHAhKrApUM+3iYTsPh1UdIwx8TBhuFrYVxBOF31dv6w/+5E/64Tze7CEvZ/i7dviCv9STf6
/Qf+oRv19T8cFkRdB2bpKJwLrel/6EbpP/u4Ulh5UASzaipF91+6UeMPOsImi6iBrQQ5NQ/iX/1n
/w9lN+WWsxjzEYD3L8m2jY/tZ48gMlR4jpKnom/7qMODIJyQWu84R0ZHTbwx87UgoryJT7hdpwiz
f/+FiBiy6jvOPIac45NfotwIen3+7NQ0hm0377/AdOi/JAyffiNL/LjD8+5MnY/PGzQtl6i0nxfC
YPS72JCBfcwnW7w4qY1TlHSAy9qZWRdbLAv7oNGnqG9EYf9mX2D//rAM+4pxw4ON1ZiwjPN84MfW
PL4IWuNj1gKoi58qqPT0AcYsuCqCTrgbt3G8S1OHlcZlcr2L2Q6yzwb94a/zWq9v3thzlGogqZ+S
EqtP4Y7lfii7sdgyuHbvPHQcS0Tmt3MEqzxcGo3V7Gy9sZHujUrfWkHXQYVT3aTmgl6K9GsAWT7V
YSjR5WzGccVi5zNHb0ML3R/rnms+49MvQkHLLWTZQ8iJTGTLCGW8T+u+5iRl1zTVBssvdglyjRQa
XsrhPrP1L1rXaWgEvYeR+GTiDtaWZcdzm/q6sykgtFRVnJ2wpsPCchwVmD3DnJMDwnlPTi3GeTeN
SMwi9cWcl6eamGUsk6BNLh2Zx2gQl+EL7HrlAtZLTh26kaqYdMenHreKZSfT0gWkamYctPGlABEw
23t1zLtD1pMZmxzby3MpQCELegrdxqddspUj7tXdhPgXtyGP0v0c+8kME6R1kUDSaXkwRpFu68GT
45HgqzLZMDwZ7mcCQtPIsCQAkcw19B1tq9gP63igDR86Lv2frZ2s1kU9dzQ6kiQzJUEYHEtoxdl8
raSgHJzJNEmbtindpeM8efnig1pz69ui7mZIeXDcyeZg47I74GwE4M7GTs9zsmQG6TCvMLU9bVAk
W6k57Qo9w8w9TRue1OCI1Ly6X5EOoooTY35acz/f+M7gETjBFHat9HUblM0Aax9u526gBF1DL8f+
yCAUzV40tXW/B1JrAMHw5xOJNwi5cnWKkKlK+fWc9E9b6hOhQ8bshFntVX+y06F1Q5ZCsJCT1RX5
4YwxQlwYjhW6XufmG569T4jAULeRCjUi/MhjLEafjK7K5iYkF05MUcxIJInyOa6N0Me1/FbnbMyY
oLt8b+pCvtEOrQwEXYBAwfdjjdCv4BR12cuUlWVzCGr2wJu+J7lzHVcLhquVT09KfxpcLsAvXlaE
ASNh9uPc8VS02vBKvl9ebrpgaNPIHYSdbYexq7WtiP3lCj0l6PVe9wZjO07k131aLCJND8vUojDR
4lr1BOuObJduRGH5lQEAFhJIbirXe3GIL0hkoR9WGkFsBUN92aUyazYtTayXXlB+qZqLW30GWE/f
vbgHvKQWQ/pzWO6y+iZfR/LaR0JKsDYHvFqnPtuSxs4nmLKGpAfTx6o2svsvQ+bm2IqziXc/J9i5
YGevh0zIhlaCg3pnwn0eBs5EqyGVPMjbnkaUhgpwHr/peTfqVyDSHf06iOn3o/psxAtN3cDZ0Fdc
kSmylAd8cjo79Fy2Q+6zjhbaMCE/NtfHsieYQESFtFaAOmRkxIRFsBMYy4sDxlxvTv6U6fxXgb4T
8iuIqMTOMTSucnqqk7nM+lDDLfwCorji1unW/kJ0q3vd9gbvmDOq0HYSdE2uXMnNvsXhfsMMCP0m
WQ0mol0jn2mTJJwDhODBysAk3ZB8ABaH+aJwNrD2pyNx6AP8ymlIq8sKETQAMt4B9y7e+CN9a3+6
tls83Rw0nHjc1H3nfaUfIBec6x2o4DJZawM4rbvoRJ4ASg3T1pPPAq7NdeouAdFIbi7C2NfBz9Og
2RayF996Y/hszdI9ElKSO3u0i/JudEur3GiAGae9T+sXpCWweZqBAqOz7eTxziBk+Cq1ppj+jgYT
Ii0l/VLarC6jq9F5hd3nUrRaRroTEiaXKXAql4iJLm1UxBfAJdLL0SNgJhxaGhFz6zfO1p8748KC
JnYMaBFhMe9j7aFgn1n5yMGysYMWAQuSJ89End332LIFuT9QEr162dfSAsaLZ4SEK9ZxbIeJY0PK
ZMHvK6v/8u/C8f9lOlJmlV8WjkX5wqz35UPxqH7oH8VjYP+B1ID1wsSjRzES0F/4CwZ4tgO6LvIf
82ze41/9JV5Qnj91dKRwMan3/iocLXDrDgh07NAIIqg6/xXPM/OUn6sjQweyEpiUj7wDhugfbUDd
VJDj6BrtiRwP/Px2uRtocu0Qtvl3DnWAODoBdt5wwKGHF69zR+0zo48cj95ZyzmzANBxr6ogi0nS
gDbxAEarvPBROOe3g1sD4+sy79lZ3fqUGkl5Mcjc3ARK+8gYNKtOJrfszi0CwEpTXl/mTauhVkgb
wZo/Nuu+Wox9ItcpStbUbHYV86/geUJV6R/AD6owCgIGniY5M6hYTMej45ullzyBeBYtjH6Ae5PG
Z19SgNDxzAoVncAa3Cg4+yWtyXRIdlpZ6XbEU56lM918mmfyukwRFXk7spLW5lrgbGB5n1mFIh6/
3I4PhAoB19hWoKi06lRjqoQGBwcqMB2Qa8xRrn0TMKgM45Lr2YbZUo00+WIn0EmxnybPiIw0NvRX
KcueqPsizRxqKrqKDv3OOhcIEKuxA5cbuiNd6hCwqkZI4BDYzFZTf21tYwMzw16jwiVyqIkIoTNT
2BR+Poo1f6OdvvQOqJIqWRxoxwIulGeCXtmbxRx31141aEedbJ9bHfJduAaaFcrJRkfYp/Ux1bRp
n2Dt/lQg1GPW0uuolRGg3xmlJGMjaJYXOH/FFoZfSVzXkm4yqKc7GDXFJYgyay96uzoywB73RT21
Q9jWAt/VVI5Hn8QIb0yLXVXVYoOMIrlhHl4DrCrnjQvPYWMP1Cu5m4hDvwbxXVfJ6ktcawOg8rj0
wxVV302Zu58LUSV3FuOEW5lO3h3IsekZH/m8AdFPZHyTznfcD4KZn8jYGef4tjTFAqWs0cwIZS+l
DpOajTQy7zoIivgxBa9+IG5Du9Foug0ho4dgN3mddRm7cbnXkFKsGwNE4fLIPBLJaFy6n1vXqD8x
ly4ID4jThMFJ3lpzxADOmyNBG/NYd+iTwmDoqy1o7uEoKdD3siySR1we1kWwwneDmu/IBxqVePL9
BgvPZgRz8m5Im0IY2zpzKOaC9bagRwHG2HRuOc95x046D3nrbfp8tK3Qtmbv0kBckbBPIiIO426c
blCxkPExz+KAQg9/Rr7wXWP+7+6o2OvHrp/r/RR7zTeJh8Vo4atj4fBPfNPVdmlgGCx9Q9oA+py7
2O3TU23P3UNiWOvTyDy22gVyNl9z0ekX2lqzlbet5Z1kOQc7O2/+nII2PuBda7eQBukBxV7+KSj8
8Ul38/LLQoH1xZJDpuijfvGlxWcMOZMnzNWGbk+3z9wGnhx2WeNeSAGosfKzcs/oAo50UDsnOfeB
pHuEpiPkZzUw2llBhhbGYY4BenZbx/l8YlBHrQn71+IupsWUEvBAaiHK142ttctWyBGidQxKiOsy
wL8r0yjR9AjEkDwJPag3HKTNRxtJ682gdZ+ztfuUN5r3NjvQVEM9UJwcBsUevflmzR8AH9gXFTqI
SxSyTcgJmzSuLDkGdu9dLbJDwyvG/tMKQnCDhkG8uiPklUau4taKg/UbkT5dGxqgCADaywZaZGJ/
TlLbidy2BLstq3YBvR4kV2R1j8+DA0YISl+E9kqPmHgZK/V7dyL0LHnpLfJvSkmp3E/tJelYcuu4
ct6k02g9mVT2B0vzmKTMUi6X5oxx0C5czm/DYGo8cXYKeAB1xa6jumJmovvirsh7YP/NYNDqU+Pm
qc9QxCACQodAlBw526ayeQmpGmJFIq1P0xD73wpZ0RYcMyQQ0Tl1MI7T5d7WSM4TTKleRnRiF6Sg
0lxcBpUVOio9UGLUuBo47vWhKW0Gp0p0sNCdv/YY1S1hMoKhNyyGS0zs0qOoqHDDZkHhpsGIvgY9
XXCLOiIa9Pm1Zc+7NxB0HxMt7iN+KQOUPO6PTPyCPeOu+VIbOMIGfgNbRnTOu9Dst6xpzUvDm3o4
gy2HdvwK25bWLg85iD54kf5VYBXFJRg9SsF8fU2xA6GDUemx8/xZ6N0nCDl65BtdGtUxJ4hsdNNd
RmuJmNI1uGuNTmzJKodhaPeyPxDrd10WU7KzxyzedHVnYER37H3OsGfH8/6ar7V/35rIuVMKxYcE
bweCuq45SaIbtx0K4vLKEQCZnL6erkStJwfyQxZa0ZU77DEFizvu3ArVOWlbBI93b+3MOCk0G6O8
IcPEf0zINz7xDpeNCbsyEk7DabEsnOq2ijVnV5qLOBoApyKdTtJm6fXskmx1L3TrWuyHcR439jgP
z3AccUP4og4nr/g69Ma3vG2KaGV7vJzwM0FJ6mV6a/ttBUdVFBs6rGQZWXP/bkD82o7GMn7KddfZ
nnUdIqHzgW/KRxivxZ+yyeivaf4MexlYLe8CSOmU5JaxzdcAx5lNWi+mvVQ7Ssbumc2EtJbfOt0u
v5J8Me4S6RdvFaaG7bLiSmPZ+5r65Z9dkfVHHGpKvlAUGyQiHlu3F4QLxtvDlA36Uafbu0Fzae4w
sxiXa6Plr0Huw9YvU21PGhwgSjJt73JyRJlh59kOxkt7xJ7YbMe2DA4WUb87b6by0qRw9oWZThdZ
JZDjlTMj2cHQtI3OZDeC6TJtLa+vXwdHEjRlI88YEyMal9Q9yMnCzOFcrTbuvBrZPTKDwNwJw3lt
9eZuJEMlrMGlcVpc9yzRGhBk0oqh2oVp6ma7jESc0C3BhRa6uPaa7s7TsdT0LbD3Ck4zCEfVM7j3
taE4MXtMdlBy/LDFYRsSuYaKCyBXv5bJLrbLK6vStPugn+W+dMfgYC85g2irutOK+pbBbboj/Bza
vUBt6pbLXTCNxgaeXrnHSyY2wwrCzE4EaYXpaOzrycIoonnWjTagnGBt9x6wWWaHNY8RjTjGn23s
aluwW1WYMVMPkTs6bGRFyn5gjXfSNILXrFqYB2vcfqLXDi6QnztXA8RKeFaq3G105IJmPM4VzmmQ
ZBoBdat/qoblrsycr4TTfP73Wer/dZbyIJ786ix1n4q3P//j2JcvNXONP8+/8/j2X/8JkkH94P9C
HAx1WnLptyO3Dn5gqCi+Aw5lPfgfusNfrXgoUqbBnFeNvOjR/3Ciso0/mECfNeBUTP/KaYrR/s+n
KbLZfeyttsV74H1ZH4eQLT6drgqIodF4VMN8SQVlDmsD6h/i2jLTeZLVNF3BhET7MTZPJcFsFOA0
lsRYUuyvabFpKJp5Kqr6thz1R8xNCTtZ2eY7YQOBWDliHTsUIJiING/HPImAwN67bsqpCM3ZuM0x
Xr0EVnUFNOjK0iRCRCYCAzNQ+t40c8tp9EOOZO+jPmbXFZSMqPUanG6E8oa65q/oD2iTQk26EIF+
6xq9FQadfBGznAEKddvFBgXVDdl7X+bFprKSZYvG5tqz5r1knIUit34PivpKGtN9PDuEIGTjDuXi
FUzmWztfLvSEv8XGifote1maQWxEu746rC3lZLwKz31ql37HIkhSZpVaX+LWPmSdz+xfZ6woeoXa
1Hwi/KynYipfPFQNO7Lk7vWuuFJXYKjwlJPB9Z43SncKnntHjjynjAqY0ph4PPNyekgsea+OvpFv
usmxK4NXgjKCvZHahC6DWyeO67gq8bgmey6MrtMIIi1c6fzmYn5wKVpkYz+lVnGiY0YIYf6CKuMa
pyWVi2v3W5sPJO3sXQzLrV3yXS3WsGuDhg6SXZxWFNDhTOsrBAePnEpwocy0w2vkEMzBPCXdZqT7
RXhJBaKDbCEjU13LtHphN5QhuwL54BJnnnqtxuYvaO16K3v9djAhCqbrheGj1tUm/aLxhBbRqX23
IOQQo5tdFcV8YfLlHECDuhwT+IREQz0C/mTnGdwSQLqlkebHC00ZTes0sNfLzslPHGUeO5usTZSf
D5XubOallmTOdgP6oeylxvy+Lc0ZfuN6MZlJFuVplwHM8p6yWf/mt9ZNIDN0jdLYLUSbrQ5aURhp
D2vrHJDkD9yo1iGp+I403S+jYiDgjRnJBXLjdCshLkYM2yzM99wJRNtzpDQrC3Wy/lgnxmvAIQLh
PCFLAwh2arWHthsf7Ll8rwiOj2Bzw+Kv5geLWHkYrkNDBSNAQrsajTSwCNH5uhu1y0nQfhLEHu6Y
o183ju2xa/FzKjQlnT1uRct9yrxuYTfhdtSM+bqhUP4KWTSIvDxdNhQm052FLH9TzklMxUjZvjAa
OLTeMp1a4UzHHqjocZ40UmXgTWzbtamIxWmWHTiG6VRhHI9MrbReB6P/ukyde2n4qBm4a0TW2puO
E2y+CarW2njFKl9iT8Cw5vzPACa32/qxqOPHaubkvlntntx7nADEy8fXpBB95eQ0RRiyt5xzF2Kj
sk0zLN2WyjfFY4iPKw8ztNMncutzhgbtNSHYt7UA8gzT+VFo1JSoIinHRnLb66V7rWsIHrWWp9vS
bWF1LnnYrIG7q9iUN1SJ8a0xkH1Aj6LFtm6+CkPAXmgr4tAmPXJn09hZHhs070IZ3bkNWxojm5lZ
JwZDb9zPKuB1KbwnT3PJJmrlMZ66d012F7ZbnH7YdP6JIumj9sXHFgRrCzfRucP20TGWwYGDPFBw
VJ40KMBjOyCvnq8zp71aY8P9zYTy4+xWvVrAhmZB27IN/6P7D0PpWLsL/KyER31TG8XJLC1klRS+
v3mlj3NYXknNQjkuM8hm+vxB0yM9b7byuBEHcyheGC0AFWU5ziHARxZNe0p5ZGa7X1/Lv7vveE2f
DZzBNPgyT13rH9x3iVUHqQ8J9LAMTrp1+ukB23kZaZZ9kBpZyOrzYki56HpWt1+/9N90LufPGyDC
UcIgmC8flGUoLuTKOK8+9FVnbXIOhbcL8021XFzkIi8OejC/yn5mbieJHMmnnuc2qIlTTJfXFF5/
Uq8XY4IshwnEIcAgFYHJ3Zq+vJAuyzc92iaiTRG2Ir+q3Q69+3Q/V8mj7qRoOGb7eoQkGBEAGOwJ
pWyeE04Oke2zPPz6k/6TW8iyDd1EymPojml++GLNMiOU3bTrQ2r2O1vot3qw4gyhe/Cb1/nbLJ07
yDYg/ngOygXMdT9/m4E0/Jl/yb0a4D7r8Z8sHCO25LfD8XCDfINK52pIjOqunJZbsl2ru1R5u+w1
eW8n1mVVquQFBYRhzheJxuA2kOODFrjXVjftyYYk1AWXP+RKsPDtbM5PiWMu+yoxG8XpgFmvd/19
XcyPM1bo3Whm9mnI/GormRheIHV/jzPHDWui67FJ+2I/a/l7LNZHHwf1OvRs3o11QL52QHmfRWQz
n11qF4WHdscc11tvYXDKNMYgI0b72jnkLnkGNdavL+Q/WWHo7KvYLvhbJvbEn6/jymGktbHFHFaJ
+4ByYmZlo9PqovS0Dr9+LQrln2Ro6ilwdPYpTLhe4HxUN3bmkqESXmr0zNO93WenSvxuwTw/ST9K
3XgNPBumzbTCMP/OgYI+UgylrsMADKZm12ezGUH8fFUrfbZay35gVFqY9iHQzGsZB+nWq8sT7dUv
fZ5/82nSM/SbOnABuXWA3ssmG7A6NUt1ZRjJ++pKIgXirDiUlktAuWPhJcD2dllm7nbym8/+wD92
ez85EpBMQDdWF6DNGM/boG12ZmemIYlq5h5k6RDqZvbu0CtEePLf7J3JdttIunWfCLkQQASaKcFW
pKhetjXBkmUbfd/j6e8Gnf7T1s1K3/zHVaOsqpQokkDga87ZJ7nux+QqUcHksSqkQBUD1a8ovRzM
idfr7X2RG+FGmvPxN9/J39yxfBdozQi11SHhG79eALlRtmMxZflepDQKfZhFXgTpfGWg8r4W7ISX
pPh4nU7OOUPIABS1JstFZDdtzLXsJ9gCiMrZDv48YPUXxRot88chLs01FlMGrL119rHZeJ2vziHW
JwaMnEQlSr81Codn3Rje5kZfRXb0gLyPqqriDdfaSD6r/jxRiK1KPyx3ZkqEXTncB8paRBNcn7Lk
4GusfgAcDls281N3Z6j52S3r/jvn8D/Sxf7mJuGZsfxHwAg23suGhqCy03bo8/2ALJsSB23iwJ8j
wQv5ZfCbb0SId5swejeeT4teE8owMOH392QlzQlpcJfva6PJN8JqijXp51c+TypX8P1AimSmPNEg
wTxvV3FMBRikiMApALvCt5AfuOAmsr7auBZgVhgqLTNp53OTiBPjhpvUJWsxdKn2x7ww12bZvGXx
fD+m0zGzl4cxl1lgJq/+sFSpJFnGs35ddfk6HgvDo1zd9Gz6ty1f6aW9nOVortkYkYq68G0YWXpx
OfTEpXftKp3b8DBiQ7w0QX4+FuuhxYabY4KKWhpJJwk6whRp9dQ8PNZtgIVAkipj9uy1xS2ONlgL
VGvC7tZIMCdWHt1ay/hf4MhxQZYdvHlZN5vlNmpGBbd2eLSCpYFQicb9BMoqraiWdD++Bg7nrBks
NZtaUx+rWHGLtX51ctX4BpFvPSCzRzoZXUeQwSFzUYojJv4Yhz2GR4k0q1B7nNBXWo+KBgzzqsaU
xXA6vaIp3mU+T5Yo6LkwuTusob1m8/4SAmi/SoRiMA2Ox6gnb2mM2LoQ71gxY3ao7NNWfjTq6HfP
Y+tvbm9qHYJbgR5wRb1Pqk7B5VTYlrJ9Y09vAPTvEa6cqS/48BS39VJ/XVrtonXFtnWp9C73fB62
22lohhW5E285+A+CGHNCchN37fS1aUOUCfDfGU6+ccdu2qei0WjQkgzhFnKZKk+DN6zP7jVWlXA9
A2PaMOJCPctZ7s02MVwaZ0zcTs+9Sbml12bpsR7pvDEglyB1qKwDGkMA+aFZ8IVgXz/YcffY4qxd
1QbOCoeW1O3S677r7qXqol2RWuMGOYa5rob5CMoIa3QGSE9oaFmL6c1q5nK7mDJsuoN9ElnnnocI
TWb3aIK5W6r51v7xfP2vzPU3MleE+oJa4j/LXB+K7j8AF/780R8zNucPxa9i7kZK4XcBwg+9q/kH
pBIKir+kCT8UC+oPAzW5ciAhWJJNO9XhD9UC4zeedYpbAvWCAQXk38zZlLs8Hn+uN5DV6kqXlPT8
HRBN3tVPXWSgzoujYj+yRB82bpgA+8rzCBARYN+tlXOQIzWKnTs3MrFmGFEenQeLQ7AnCMVZ15CN
uFAj8wO7zOm2sIz8oW8s/wVUKsSo2WSQbmPX3JPuzKLG5TM6Rkt7Zid5MXrDmFjZGsFEjCIAfYV5
os4Pz4ko6BdheJkEMVRptancCC0P8U9UeQnLnnE9I3H41mTs5MARTHKbaI28CZFL3SahLz2tYB6w
0SvNJKh8QryHOiSH4G6GRoi2tylXfTFZ14ZWE9zQGtjTu8w0r4bZMQ+cmnq+GdOq/6Rn/FFrUEnt
V15FoPiUOTpUvyMFjcVyFYX84nT67qZH4mfVCAjaAvK5NjCH0an2Nljssm8RX/gewhewyVxh3xZz
5H+ZLcUJnGDy+0DeOyIGmOjNB8ma9EM+6Mm9m+hwGAFh3gydnz+WSFhv2oZcqeNYjYFiJcR0ixA/
28EMm6XCJ9+lKihvwtK5GxP+roqHB+eU8Inf1s3IJ908Hu27OZrLFxE4zq2fUsmsOMt1sfZdXPRr
rLjF1nayhseZfRjLrLxJROXeqoYc4FNMEtG+4fPb9gj4TqkVsdsIw8WsxqJkvIDEyLEqHnCKOnca
fQRdCllx7uSofSZ4JvGMwZyNPvmAIdC80ghXPCD7LW6SusIYMMts2lh2LK5Y3Q0e3q1O8mw2VLMH
fN/ynkkOJLW9+gyzvfpUI+T6UOqTND2X0Ze1aLeaL0LLSABpwxZw1jC5d2OJvXLiqfzAMyq4G+GD
BBz86BE81ZsvDPAaTAKpprAjIux9dbCdQoIT7qksTTvYdpMeXMkxzqO9b1ftfAAlSTMV+Z12MrDW
DXAE7Az7Nb43nI5k/7SHUCUKqexQdvdIWBXrTHPEi+towiTn2bKecjHJ6/C768y8WNBIulv8aNbF
nBaQoY5TTfvTt3YxsU0XQxvsqUW1vNjcwnKxvCUX+xs2pMUL59iOsw3qi0cOYJ7WXrUX81x6MdIZ
ZYOFDlmUQhezeO1sP9Ae2KEzIkv8azvL2Jst3rwQk56/uPXSi3Ev/u7iM757+oJMt0lZXLx+ykSp
G83YAfXFCegvnkB9cQe2pp4eyIAbniNWwGvNDYtrhNjVpuEZFi8Ow4gYGVR/sSEcxMTh8GxZfmDt
ub21x3zxKBZ1jXynw7xRIvXGxRgtfkYyfFAZtRBgv5ClaKT7SY8wP/ad0a2ndhyPGsTMA1F7aj25
+X0xO6cWxQCaedGwiS7GqyGKu40N4Z/RckjeUcHAXZPaFzVz0qQ++T3+vBsdQYhbZIAWIxrhjCTl
AURHsLaDYVESq2dR1wgou66jlu2KG6hw96TEGqwEaIVResPrk9WCsGDf7mAQ2mKH85pY5Uc9L5uv
8WSf9dnwPxHFN+xHqHoPuUVxG/dFgwYInqEko+6WeFZzWy0GoCEKp5205nNUOdMulXrrhWSvb0nh
xv+u8VOCeQBAyroosb3OnwofAQX265u5rK/bIfHRv4ZMK4G87Co/r7expenXbLeHG6tBCUT+1GeE
ktUuj4SzifzJ32IuilmxK6LNhVHt54JiJu17bUnlFMcpxefd2cHLolVdB4LOJ7ExN5PEVVCYFPWH
Ia6GvZ4F7RPznpYLY9B2QT1+62or3U04qDdtPYjHXhj+i5koki3GhcuD6DcD70uXcegsuoW9mUl1
zIHIbIEqItEtUWDtSihoVw4xpN6oafZdV4buLpp5NMUZ5MtWSVauvTXb56mpCPPBRhfFG6eKWpaq
lf/sVmAwTZX5RCB24Rm+T/U5L5KC3oR4jo8l3mDUqjTTfmQ42wzGw64gtu9TSUbGB9bh2qbtIQ4V
Qz6f0ZMVx6ka4HEB07wz+T+uG2vUbmiln218T7onXEz5QYP4tzZw665Y5yfiSo1xcHKTzHGZkakK
CkHU2V5iUDXCeEQfJQcUEgr8oNcjOzybiDxWWBXHeqWVeMVsNN07u7STK+QCaL5LJAAV6sHnttQb
ZF5NXq2jDs2Lbtb3lh8Xdwz79bMZE//htHzSXcplIIetPhqNNy5LGwMbNXQ9qYE+tuOvJlu0r3jH
mcMBkICa0foDqa3SgvnCmMT04qkiyUlF4qkgY+g+RI70hWClYFO6lXOqfONFc7tvUZQHH/H2ELI4
kR/SSPWUS6XhVG8SzzAT6KgCf+48Vf5TUMsdA9YX3+reHKNSu7mQLXwbpItmNH2c+sldt2lhrG27
fq2yNFn1pn5IUERtamGUXwMSDMHSaCD6cAnve5B6hWfMk2RB4YtbONP1JmmG5C4X1jkP0LAz4us2
WWugWjCIkG+9IayHctOIbD4HU+tvyqz5QpTvI2sISinqC6YxguVFj98ausqa7SIaFXc5XBNVLcVM
5XgtXd1q5Cm3CXOfNPUkedQMi/3ZUOkvoWHjXYsc+ytU1fuuF998ug+njrCca/anHLoFUgkIm2Oi
21fu5M+nUu+QHZrVpyKgF5jd7op0Mp+zsyw35DAkayfoiSQep+xg9iURWsgKYks8RcOUnFKuecQL
ltiKumHUELf4U/R4V/dpeVW044Ocw2Yr5jBns6k8IMjzFzAN0mvNrnhgbA+fEWlCsvIzc2KeQg4p
6NkWUEWTbUkOhaaoOW9+YHyEEeF/0itl3uDcwu/sKBQ5LdeVesuMTByA/7BoI+r2SIrrhRr41c4G
j7rgC1PPKkTRmZawrJph75R+vGpkKTcRrM9V71jhjorFvgdTGazRjsdbnerxxsht/7YmKrPmSycR
GqCKfg6nRnoYHblE2eABcB+NNamC4myW8ROEaIutatjtyiFSRP4YeXHfhQCJY1pBm1xShWRyJXmk
n7SqsdaNNT+3AGSWYrMS+Q2a+8CTg0uXV3wjBW3PAg0tqabf+ENzM6cRuNC2ASFjr+Iye2EvmmNC
Gh+HprstRYvwLb+mWsOdas1M2loYEaSbAsrsu4CYbW5zRLCEpCozUqyqbKlOmIick5VVBHThBTAm
jBUrxlzzrVHnyfcxzn8bv981fibT/39q/B6/5vnXpvn69Wddhfn9p36YHMUf0PWw4DPat/llfzZ8
rk5apzKRc+NzZJXjMDj70fFZf6CnIKtTGqyulkbxr45P/uEuhkiXRZpyTBdL4r8A7GGYftfxOWjU
ydWSkN4sUmrebx7sqYYbOqj8oJEAKcpdTwUY9xvCgQeDZEbqrNVi8x1O7UKiyBqkkWKhUwCBs/dV
JiMmLz7aW9pWcW4WogUHVLKxFspFEFiN8oba3GSBNX7MwKsiIzOV+eoujAxjoWV0rqKsXwgaxJZ/
6fISpoYJ5gmLVbCG/Vx5YmFvwJXoAHrpOu0d4i4k1WOzVVSlXpo7oDviqfgokQ3D3GuyQzcGIGgi
a9s1eAH1llVoH0fBjViIIPkUpY+IAREy8lgDGYKTtPgYiq7aGRigrpoLXASKrPXZvyBHxgt+JKuD
4LrAp/eUQHghhXTW77uhNtZ5at+htXKv9RiVnJMFwQtUU8ScPMX2s931qLA4a/1Yr3cgvhi7RnCl
2RTfFWWByBjL3dbSEh52nPo3ue1eBXmyVsWY3GqUM+igSZ1GmuBsMEoWq24hs9RLTPhQSd3TZylP
bjw2h66Ztb2vzbRKSahdMf8uETRXsxeCcUXDrBfXUMBAwlSOBh5mYD8kYEFvDCwMp8DP1E4Cldsa
lan4rc18V/ZGc21HGo+Uzni0FhLNRLe9aQbkv76dNHdzwnlMyGC6tQiqWKMDRnG6kG06ji8wcC96
FjU7vJvxvusDYwdEzX/unajYEuxofXEi/NhsB4z4OlCo69ILVGcc4es4WdqvI0YKe57O9Ra+dbSe
9CXmGC/sKlgoPVB53M9OnQ/fyDl0tzOhpw6lOjAC7ht5Jxn4pacpLp/Qu8VPDmuBV401Hwu1WenX
WpH0R0fjkVhkOlyZyAWMUwa0zpYBX4ikOefKX5hD5kIfAnT6BM6P8T0L1mrvdEVyNxYVKWy52d8Y
CNyOsoqoZog2i2svouO0951G1NO2bhaGBXQdUEjzQkWijNvGF1DSPNbmNlzoScYFpFQtTKWpc6ix
ZxfQEsMWPfdSo8uoEebegA0Mp40qJFqNxpzd4iXbQ2BIVmGXV9e1ZbwWaWX7pwoWV3hEbPrBimr7
HubiDp+j0A5N1Enf2KUtBZ+96t0hd9+A31foqPxpvpmZN9w2neFkb2xrqTBkjvjAabsnhXZ/SYkL
qYtSXLDSbxif1h3cmTR3r4bCNjBE+g3EmjK0SshtWhZDQ576YF9KO6mfjHSQybhWepK34LSJaIPB
3yin0UB7xwTRc1DyuWd9OW99K2Z0sikCX/80h9XQejqMqnM12Zn9QWdOVoHPVJO4y0e387/EPooO
CAPuihOOkHCpsTmlSOHKVVg2XMwhKK2kSLyxXzDEeuvGn4m8n7S9k/f4ElWRDtqqcLouWfeX4Iel
EpDXAyGaAPjJJEmwmnOl6Bj6DiJs9X6VV2BbcM7KLwwb2mTH0KBntjXh8lz3xMgzRWfM4m5ylfCS
aDhrQHCjLh7NYIZwmTQp+wp9ABnI2Ye1rE18NNnYF+GOZEEUo6WP3Ly4AdluFBZ5L1VotkdoX0pf
FwXkwMAebVCMYW7djCC5t2rBJOp62kN+UnzGzA386ZF8I+NYEx5WrxJU7+jXM3dAx2Ja17krq0MS
udz3o/LXCmFyy6qWhD/Yp+Eut3tnV4R1cpsb6WnG9WGvaqEK4ntVePTL0saR18qQuZxjc1P16LjX
Xd4JPBCWscQT7pSWx8u9CiRLBFa0qcFCaVuCu/QHOy3jjWU0s/CIDtGAeOQ5Gi8S553eZnRtMW3D
H2hQgJvuEU+SuUqJ0V1DuAzYetImrOa5S/VV1szTWzVVn3lG1WeGqxb0Yx/xOE5MZ2Xolf4QzMLf
EpriPCmyKe4kmngeDnl6SEnJuSlaB1K4NulXPZTwtxlILmoGsW5s5Gscnf4eoJT+MbFFtCa2wPnU
I9gvSJ4wyn2sqvFoz/Z8zSbSWcHzQmY4TDHVvEkzVxU4LQnqpbaTaNL0OaZ6DhGTx70pNzE1/C27
/ZjwEHfXpHn5NNtFe5isvoNUks87IiMVccKCwdfcaERxpEV4A4KTTUc9Gs4Rjl4Jf9HEvlrjYmKx
NwLOkGplCCaRgeGHt+UUkFaP/HEjYzfYWbwB/FnI+2CJyZCjcZYfTfB1PAuVW772jtFeC3sWX5mf
FFvVzuYmEb7YW01lftBGXs9wi2BdQmLcEotSbuq8Tc+JPlTPHffhNW19fYtbzj0hl8k92of4RCcG
+tQM+3NSKBBkKKn2JN6/VI6MThMa5w8+45mz7wv4t3FjUQlkM/4Ep9C9IjP1czOGWetF3Pm3KrbH
nWtY9StqCY9CPFmbtLB3yFzGbCUzxzpktF13CQDZo4iT4vOA1XxVjpm+SaZCP4R68IG1lkVDQRdO
rBzpEAR5oiFNagfbPUz53CfnmVyW65HsEnykDWkQPP3B0Gsm+bg0xWwacbsSiAdHsWsCpoUS3KKL
1pzcm9FyvQrtjMcIAU9AHhjsy7NFwgO2xxIBv00fHFCZ3NR1364LlBWvxkgtP8Ibxaiux5wENU5c
NIw9szP7wYSHBpKeFJcoCB8bayqju0vR+t/6/nf1vWTI8E/1/VP7Gv5S2n//gT9Le2yeZEvqqJP1
H/uXH+U9oug/dKjzaOV18tFYqvy/8l6ytcG3KlD7/FXXL7ZUXTdZ9Czm03+pmL6ASX5a5IChRx7G
0n1ZJxkuiu5fdRAFnWRYTPj7Xci5c+I5QzlNW2gEPNAyaR5IfV+QpwEkykZJRuTTxGiBCuZ2qvJ6
X+ORWjpZ1txw1zYX/nQ4Teo2486nhCrSEe85Gr5BJ8p7n2WW9Id7zZ6g8VHS94jJn0J/dLNy32U4
q60ACAYz4dTXbtxM9tlVUcfMHSh8ROF8M0sb6s9+YD029ofA7kTkH3z8GzGKVKfqH8qeD/lBy6kz
NqWErb0J4qHmDreVNG8cwMGezsty6JW6xW1icM+DTJrYrGYSnvSQRmdA2+Guso3Z9Ibc8h/zzAgf
57Yw97wp5KQowD+TlBs9OrGsMWBlYUyNp4jRw1E209Jvw8LvXon+i2AUQI8lwbsm3ouy33OLnskq
C/aZwcFVzMxIkSc+J5j3UNeCjTySiLmE48ZLUG4YJETkjkOxgGMTLZgetEl0pOkCoo4Xs0epDHtn
RMs4ov+ewEtIhS+Wcyjpq2S8x1QS1dfl2BR0P6sM6VrWH/57IvxfzBS0n/9spniO6oC15usvp8L3
H/qx5GVhK4mixQ2B+oXGnjXrX1tey7ZZsLJpJQ7W/Zmq78LiX5bDnAKWZXC0/HU4ANwHd4bEyLId
w6D1/DdNP/Ci900/L2/aNr+Sv2JJ+f71dHB6wJ7FFIi940w5ANm+cLx6gcrO+VSdIlRhPARfptyB
PEv8dPikdyXTrQVMC6uvO5uFFVFSg61Vti/8TY2s8TZcsLb1ArgtcnC1K+Yhh8pvH314p8uzrnrV
zZI7Zl3zAT/h/s2fjZYDp8wGnnc9u9cvys8Bc4egTGDWq9dcxyHuMYlWr2aJR3gF0s99bq1C+5qM
9vjE6iIbvzIpce2YAEE5nMPC3tSogcDcxEc9TkpnZ/XsShG7YFdYBVqHdrTl0FkbYaE9alLR0lGk
9JvSgS9us3xZNdkiA7cNczyLemSInoTOS5qkFNJN2zt8LMAi9mgXAzz1ovMwuy9HGzP6je8MGLhF
pcuV3ySfZTbnxwAcCrO7Wa4VLPuPdYwISglfrjV20LDdzeEZ9sS0dGk0F7JZtB9sWW9xquo2kBH2
HxyK2qe2SYEnIg19CvUmZKaAR25VzX1lP5cNOzrPZsGA5r5m3bsaYx8wpe8uGlF7lq1xU7GvBwCM
jOCxpvB67ThG0faloFNkIJkjLsbPcViCypApLQFRC7DaTeAokoPAUiaAscpeuVT8+pbw3gV3BEG9
YcfVeXbbwGs3yxzcu6PY36yc0AXDptUVQOwh74qjqFOcqZd/TEXM9+qXFj0ROiz+vSnM+BllIkQ/
lQs523AxP3uqzYgakA6IaNURW9T2km0PuUvQ8y7BCE6RwHFB8uQ+i44coFVNKg/dNt3eI3ONBfdP
NM1usIuOFV7rQgdf+NIl2/xmJ1vG66hZm/no5ri+V1NGWosRCJ6MsZx5Qxc3LN0m+MU2IQbqSnMm
/oCBDiDY2AHCKu+Su4iZGzVD4PeYPhUTNWhEMOrk2rFRQJz9fuGUNy2Oo0Nb9sDogiJuv7DdpU1h
C8Vqj60AlP6CJOddGscA8nDxIa+iLVoI3qSn8+tHa3nzzoxScQXVj0+wHhbO11xB2ZEWJPVxDPla
Zvx+n6ygI/FQKxeKPnvdWyfqLVKfeEXL7iAJ9hpwerCyXJvfs2HigVSHoU5gmJpSMWaQg9HPu7oW
8lWHdgApeUlxsXTyXCpDMNKo1Fjv6VSVvLtw3hOzgmoBzRM1GqsaOPmVgfVkFZgpb2vKKHBBklof
ZItH/vnyVzo8dIN9Osko95iV8seq0uIq02ifzm6dQutKk4bWpkGpSnwFGsD5gdVlkWBjWr5SBPnL
ZxJPenNuJ3cxOIP2n+qC/+5OC+/weyiBVszRLimWDAGcHezJhpQTyo7BA8pMF9N2QbN+m2fFFcka
dLmmhIHBOFCak+2KrqccskU2EmNZJiMAwqQd1q1rzEAULBxSS1pGH0/lJ8wWHVFiRccSOw1zSE6u
dMtT63ReUSo4XMogVHHVGPhsuoy1tjexElhctv7xEt/Gl2mFazLLxT12lxZQf92Un1rZNf6W3fiI
2ds1d/HgZFtWThiE+0CBBGqbt1hD0cMMjagHcp7GB8fSMs82WIGtjHqoeTN8ACdLlxrvLksKE6+o
YgfdAnQy18rNcZ3zkVHOja6y9wO56G9VGRMOIfLCMTdUeKydjQapRhDE8oDqgs93WuIIa9vmBOno
d3nBbLgZhJIbcBgGZLQWUTEeE+HSQ8nyYI4LvyJ1wpAw8Slg51bm92lfWMtGFqTPyk5C48ktZnuL
CWX6Ku3MvPKxxe3j3hFfUmVfNOejvQUpEp+q2oq+mtU4PGKbmQ6gSMEqxKnvFZH2hBeufqZYbNZs
w1p20C6xCpjbsYURzUEaLgmWqTvmW91BZZIH+vwVNjtaDxNuyNFRg82OKbYnSdyLb34Cg9BAWUHy
gZ/JFoduxhhH7aXWCsQnfNuxNSwv8mf7pILqXFt19hUpY8ie0WGtxuqvYknajs6ZcdM9yHZj3NAO
mIiEnL4Rp5RBYXU3SxNJku7u2mWqM0MmXzdVUl7jZilgUXX+bd7XnCaTzfpOK7t7kecfzWDAOtS6
zRzs+i4yTyXxfsaTX5rFM+i4+oHp222o+grw8MLLDBpx79OiPOQ2CHwwA61zU7HJ3CNpLzfQx/WP
gTGMR0LAHmdG4R+6ZjJ2BUAGpjpDXrjcHyU0sr4GM4dGbD+WLmV2adw2DWsyKytDktf0UD8NxQzD
xK9a/a4Ji2IzGra+SeNaoCk163EVgqkqNyDvcn0d+uHw4tOrp56QnWKZl3UdE9EqTUGRCZkSl1MV
njPq7aORJ86nyHD1hkehqd90sezIX9DKQ2+BW/TIFXkhNq48AlHpzqxyX4baqa5LxkUts4+xtKDN
+O2JdVu87slgfpgQXh+nMRZ3ibDab4Di6pfJJb74ldFN2t8RXObDKa7n5BCkSU5oQv3RmGb/LgyF
v07QK68oBcdT3wpSFxtKGtuCEtGY2k1dt4zNDSydMMWzr6ivx1O1yA98NRl30Mv7T8zC/XWQhdat
W7rqZuwG7P5JHrIERv5XnplXJteEYBj5Oux07Q4YnVrbsiMrLkuZ5UprvCqbLH+JupY1Z1E++V1J
mp5eP7c8Ejewv9WyBPgkjOAQE+p60iYlPw5DYKKGS6aaPUsj2PuE4bEJZHBjEtB63dk1w25U84lt
YB7QkZ8QFVCOZDeGreQdOsIzQgnkC4Nc1/Lw00jl4VLREYdlhIvujVR88GNpr4LUYidsFNLLEUyv
CRFM14K+jrOQJUTI1IQnhevPi0wGo4nFI3zrIgEmIsAozTsnkNat49btQ1HLjgc9u2LeT9h6yTzC
a28BMdSJWpVd8GTplTjmCEMgV4xgzvNJQQ/MsocoBoXBQC1Ot0bOPG800pjds74g4lrUd6upCcNb
jI5EGZj69KjXdX+cGnPhP/KDPSvga06gnnACyBfrNnPvTIbBuzLvQv6rIcsjmojqPlSsLzxW4cOm
K0iaXYVDIa46oHJ3UWTp69q3DoxFIXMkwfREohAqd5V1z2EXfkTm63tM0OAGBWMfPPXoJoibHlue
uI15ZZXZuB/1ADgABjD2LmRRroAHDoyXM+xJnmN3OKamJARaamVt4pWjgvUNRJi0GlTycAizlC03
FIqSuNtVD7zlASWIvW3Gyo83PA5ZtJNktQakwPjc91f6WAvwwUtgJgh4uZ6nAHCdZPBNgtbUHcda
FluAyyPSJM5TZGNAOzyb8+ZLXHXWNxbXA65bS8370G3Tt9K2CXOpXX+TLqUVYooakcGEg1GKrPAI
brZQTFblJmaq7Dmd010PpTDWPokAHng+NmpwvY8AffvzTPyW+cTzDX9Ujr+v9zJ3zG7jNjKJxlEs
8Qmdte5TEEyMHjW3XiH2pyzIB/k5wdAXbF2gGtxAOrUg47mEWK3xIejT8ZQnTbNhB++OiAAc/66h
DLgGelpy8k5m8NHOehhLs4lY1Zfup6ATxf3sYxZZZUG4rZJuOqlGqXOVhxXg7KrS1l2huiuzSNvj
CPh75+TReCtU2zyGQ3ZVDdWxdOZxXblGdZOBxXqDdKnv+raqr0Sv/F0dOM8UasPWbuo16CR5FzN3
SFeqT5JkCxQVdy48MUzAkTvDnhgkyUdekeZFjE3Vmu87Uy8/j0lGCjtHXkosPFE4K5M1D4ssFj5J
V2vZ27TsgTSXjZAWIuvfBCWSiM9OWz6W3ZSzOaq/75EyjcPt4I84ylDr3hcsnMrL6im/rKHMXH9t
B7e8HhWFHHbnqjtAmQf1h3swgaYah/a9i5xf/xBl/FM9rGrMtbdFCeyKuFcUJKmnyuED0cOFJ83a
CexbDGvVLU+/Q5vxBB1+4+l6b42BLbAs1QG2kYIupYXS+hdXJaa5yQioa+26lqRV04mqKDQe54l4
NbcWv0PkKwZ+vwqudRB2jjJQBujsCN77lVB0TAy9mmKfs0M8IVGFZMnB/Ap0kkUQ9IK3MMXndMYs
2cEnqNF3QuuEFZRdxyomcudCB7eqXNY3Wd2LM+Fm5BzV4Dme+5Acoj5BqreSc+5TtmVLuDDJKC4N
vWznB4PEadzJI4EIUUeMVlvG6hUL9dA+oHZVDc4+gRzZyy3GjC8z/QSCFGekYQt8IqUjM1gycTgx
HjNiNj8N6dR84ZLJvxEZnz+Y4FgWLuMScw4Mv0Q+DbDnFNAbacvZqdNgCc2/m7Wma7Yu8Mlmd0nJ
nPgXaxCXJYlBdSgwQjTCIehs6YUvYUo/DXT/xpb83sjnwp625MKYwCnMcObdl55QIYPe0guQ/Eu/
TDQLvUEniIX7PlL7j8ar5Rf9NJSFc80LEXBGGUAwgvH+6nJqOriKENx9GhIkxXAiw0eSV3w/l9jk
JloiDklCpwlhE/S76IH//eqObjqoPRwJnNBdNCU/X9slM0ZbnwCV1XHJOn/AqxQBaKd+XMKb4Q2C
V2htmgBtyGjb/vkzFu9dYK7OCNzQ8WSLJUrg/XsfUAz7hV9DnRMlv53MMhasdlIRYhc3tM1SLAll
vZygMgSX5NA672j88sBO94EcxeN/x5v/p/Em4QTcAP/ZyfIhat6KHKbYL/PN7z/1Q9Bk/cG+A1c0
Bxb68Z9BMa7xB8mgFqIiaToXxuZfWw82HFz10oGlLg2mj/wZf9pYWIiwr7CZMHJzcI38O1HTr4c4
gBjaU3TmnKn8toVm8+uFzmQ1TCBLW0eKd1YZGc4TJVhqzBNAPK+tGSf+9AH9zQHydy9oG4gLCMrU
HUssB8xPXvyEd10aZaaOJlvgtVhizGb4y7cW2dP7YCI5859f79eHxvc3aEuLz4uAHAbM71w6bmzN
DR2oPNpFaL3GLi9gxrF4bBSzrn9+qV8PjctL8VXzXasF886T5te3BsyZeW8i5DHJBrIZ7LjesxTm
BraYk51bKHnPdoKGEibaeP/PL/0375IrSXE1OECE7Pe0iKFK+knXanlsDKYNwPQ5J4EnLxqRgCfK
P7/Yu/Pp8ka5AgUIUfIqLOf9SHws0ibDAyDhIFq8EJ5KRmlDrPNA6FubuVFukjN2hYaNUdhUhz0p
OmIJo4fqrHn6Em75z3/R/377FpN5bGKoAwnofR/fE0Mw7dLAl0dnkLzdy9hK15Jo9//5WnT7xC9w
CXPhvLugYLrpKes9eTSbgQRBqTVfbLgs911s/O4ptFwwfz0Dl8/ZIlAYD6gi7Bfn2uJA++leidqS
4PGik8feD799H4MZ8B/+/WfHIYTJmRfjlHp31eo9DWdrpPIIp5s8aqfn0eIsxlkxL/GV//xiYvl0
3r+lJWLJoAjiI3wvoXR8JGIzPp5jbGAZXZs9ryl8jeTHy+zOqRL1ij6emzRySX4KW/OAp9b8TXHx
N1cwszuOPX25VSVm1V8/WR+jt+9biTyOTmtcmUkuyGv0iSkutYYrtHKpNpLE4DE/zTjyIcL9D3vn
0Vw3sqbpvzIxe3TAm8Us5jgeeiOKJWmDoEQRHkggEybx6+dJUjdapLqpuLPuiFu3QkXqHCDtZ17D
5qXmiglmIofjx4PyX61e3+h1ATcB+/qeSFjVCXjBSrB56f7c0fKa8UWmC+DDoN3/+19F/BnTOOdq
+SOERlNz6Iao986LgOFNXnoeaHty1MemGPzxl7096jm+jQiaHaFDRhzz5/IVuQJi1wvrLNXGD9JC
pflr62Eiu76UgFtTKP/4G523R7D5ShxQItMTZDXDon93nWHM4xurk+TMTqFY0wugCivRlb2DPbPc
FZK+NrwVXH3yuMR0KaOy3CyIdkRWK+YddSWIOqan/3KCKL8iJterS9chzQGL7gqn+9sg0Zt8syWQ
bQqB4RpSKgkVbdD32js0uUt/aTz/TNZ2c7DXfD10RWgdMkdWIzi6Ri/ZtqYM2FGpLYUO9w4fdjuQ
8b3Ub3lGyiCcvWmQqSdUDtXTAkAHnd98ZV+5kLHznT2UUDCDFwdpJ0v8xz7HfhadpOFol/y1AXDE
aUTBc6BQ5NLucMv+q5oiKOqZDxG0ZACRPir1DZgca9iHwFMf4HVbJWoCae8cHTSeEX2PIH/smgTP
Kzx6i9RDFLXwwpO67fmOmJF+4br2fQw62Z98KN3QUOmM5R0rRPiO+KphB6wnVopy09lMTZZGYoaF
qB4cHJEqiAFPVVn3XyOBfsVZ45ignErijeUqi34O0XDxzdEJUxatXohd04xVyAPSpKw9VYWPFeCl
FRFKF2ttJ8EH/CXEDqcpeGx05f4QeEEfaRT2d0OoGgq4VLARzMUHlDbEFGzmJOCGcTQdQIsC67lv
wEh+itqAt/iMqPGf1r5bnKQefukv7rFW5zr36sVcKqEifkfZd31wJ8iWr+7iL0gTZxnkU4XGDHKW
HrnoKlNKozG43YdRGJcrMJjwa9OWUW5K7YDGYNwAvZKEvNxyLTc1cDVcBOjN5UNpEgFgUDqKWNl+
TqVx07R6jc5yE5hgkYmgbd8kFzaNkrsKRu9CEdrC7juAP3PVFz2rhsIebuehsQfWZSkwA+logiNK
kkbhmTDnpTVFdAelP/X1iUv3ud96QWSEX1E0fgq7nP3X2RkOVA1eile51eDBpV/c/9IuNp7YYNro
kb4AOp0WOQqaCFbyIKnekuAqRPQAktH3doy7hFJ43B90zb28UW1Ai1SAEL1coxrnAUx4g0eYtcFj
aAi1ZENDgqaxdgassVb3uK5UiXduFvrf2mlq7+O10JcQletdL5fO2ZRW7cQHp7CHs6LuQNbgSMGn
1AtU63btxp0t0/AemagC4bvQmONEQamvYnK588bPkRJrqiRBAlV62yWwEKtuV31foc5AXROaEeVl
g3BjTcJCs2V7qyAlU2BNx+ZnFwzqOfZX4LVuNF4hJwU7jvI6UJ2x4mTarjUH12wL6m7K0uJLiC+j
PIDrDX8AowGAiRXoRSftITuQ10ZgeEdBRbfsENTuxu4qKScsNzEwy79lnoVeeKfEpQ5zqlGtTs8d
3Bz6k1jO4VeEj9B/aMX6DRxSd+b5yLajyOyv3yhUVXsQ5Ss1lYlpjNMARmQ1t99KOl9q107Udamh
RycmGKVesfQS1tDQWPueGNCwTJsD2D6UBXNonm1np3djJa3TturFaTlAodLBqH+meMHtc6uwbmlS
Nl+KasLWXbeowbQFhOxe4gRdDY+RgrgcF6uFt2mTb8dpcA6N6Pig2LpCQ87m+PdSTFmrARzpLoxq
r6MA3oP2gIMHdiTrzMyL+YJINz7SRUWevi0QlfFTZH6gkCbpjup5fhpTZINlBJBgxUB27zbd+FkA
ZBDbqZWH0cgztbn9o45k9wXLUxd8vLMcpJV6u7HmOfDibG65lRBLXDneL0K/n6Fh2sxolLnlRRcl
7Y2tRgG9TrGorZCI7FGnIAYst2RLSAxbln0nlFueo/VHgA3ggsY3p616ygabAwmPZrSoUaFEA1xN
CV1GeB37eFwCsJzYCaBqh0PAtGlQil+3boC9Qer4y0299NY20lQ1lEy4j+MxSEENuD7YkqE2n+Ys
Qp4g/MIRxGlsGGAg3ayFPEpKJJ534bQ695Pw2fpjHvRHf4EnfwycCrqnYNluuwha7qaq2/orhswZ
8VwOyNzxOrcDWZtLGF6YH8fiWYvJBxMawRmsAUns29KffzbxjAcQai7BPwhyY2udJ/KIDzis9HbJ
ihEr6zL/Lif1WIrA2wd+kaE+ThNNfqlX2Jyf4OsDW4vdPL6akGtA77eo9vk898eS8t8BaTawxAly
jxs4/PPnKRiauzATz269fllc37mu8EQ6cq7Cx3MTMP0+rbunTOXZ01oU86dsjJg5djxK3BNmNhs/
Q7UBOaUCmkpfy+gMgic6PstciwbGGuc4Ogwym48qWWyoEJ2+7KXy7kK4s9ZmaKrR2YTMAlLJ1BMe
ADfgMQyGtr5cKLReg4Gor3t6fndNEeOz3jnyhz9Z9b4DgPwdKc3pHNb6arzI3SLcyNiDWoy/6mYe
15nGcl9zXCRpANU39s/0PH1PhTV/mlVW3Tojrj/Q/INv1RxW2XagCcJdSftn01PFv0qQtrocFrQl
rGRGtDOfMvnoFrNAPMgDv0/p+9wJbVgwPh4Dw4nDkUdruoXXsziui9o4QsbLIa9b7z6sBD3R1ls/
iSJHnl6P661Ct3yTTNn8daxVP+5tKf3ibCmWJdiCcLbQJEgRyr4KF9gAJ0k+yiNZrnVRRmv3GZSf
iy8SbrkoeVmRXQGnjOermRv+2Zl6eTkKMZ2ADNHnlNGaeieSPJWbziG9yDncTlDRc4qtILKwttkU
TbeZO82g9csUwXGYTsPXalFIuuHRdIHHEccofS+0aHqBIdAOYsuYApLu3EsV6TXY6KSHCx7Xkc+B
6Mw/Oxe9vkOCQuohE5l/6vu9u/fqEFzEGBV3snH6z8iqyocYkMd+WkCiruVCoyUKfciUdE4Rmyij
nSfmqKADueZPdqO4h5SNkCZSCkW98xmqm2klT2nrNRrobabFtWuD/7KH2boMCuVlm8LrvUNseQO9
GdEGh15G8Mo6t0jkycjafU7rfPlHxJ76MQcQzeZQIdBtY2AHCR9VIwwmuzqC3B173TPKBT0wtRwi
/zFS4jnIl+xGlg3qkWsh1ZmHKH236TrI1EDbsZzzaRdA6WiHawsO6t61w1TtksxQuVa9LHTJOpRX
A2ruMQK4sIotP5q+IBHaAZ3K1vIa+Edko77V1tdtUtfoW4FQuM0tj1mjqO74YFQxfRgflrxf0l9e
fv8D/v4L+BvMMLn8f18K/b/1o6ze4Dxf/8a/wN9ugg+lG4cJBBebZhGZ2yvME5fc/yBRBMJJOooK
aQiU8xe1EyVtj0saOLiPzSglVFKnX1XQgB8FFBExVvSowaDm8++gPI115u9lCR7HAeJG3dyh8k7l
9V3eGEeTbprR9n/m9irK59pgWOwdtE6rRw5YYYf3UNag+g5Se/ieS4n+/o8lrUV74WCkiyG9sHxw
ZxV8QVQQ2iS1YSHHNXSOz4PdWAj/AugJVwzC8VCeUEL2pt64YtYIUiOgVo7SvcaLUbCtMghcM/5G
I+2muhwzeBM+CQ0c+RVhjvgExmfRB5sFNFkybGtwbXF6aKdSigKDlBx/mr9l1e+KNiSmiUdxOOYf
IOLYZ76tlnQScT8l1+CnkPOUAKxGvxo2++B7XnWZZMChEBh1irZ57kOEzO79iJr3ANhhHHif1pmz
5fNva+vmtWD0v9qxuemKVknE1/94JPQR4FoiKBlQzsA99+0jGXRX08khe6L1FFSXaE9nL3rWRIcn
uRUWSNk1UYGokaH4xyOSBougGVva2HsiIy416kHRyKV9BjpTInS9ptmKSnG9MBV7RWa7PuRDmFrL
PlyrPrxaMTPh1xqMU8A+2BlndvKX4ti7ch9lC7MG4RUDZEJU/kVw6rdyX5pXBADEST/t2dLhpwDI
UnfXYGG83nw8euyo31c7X4QEr++TRjgxgxebwf3ti3Td9MlKIPmEbBzKGHtRp5WP5YbNDl+8qPSv
MakLOMHpt9aW2goni6a7CnGi8vnjJ3lX+jJPYqS6YG1TtjHtvrdP4oDyQf+2DJ8mScfvKhC6RE+b
lMGLMDsFb4SO6sffaBbGbwVIvpHDxHcgPnMaIaLwrqaKCFdd0aJ3nxYnk4X/04WLkOenSAmyFgAw
mdeudWiYHB9/8R+zS+WHuhskdscmxXhfN0au2oq4Nr0f9Yjyn971WkAjR5cBg6y/Sbs6f44rfXm6
QyH1XE7U9yXFsuucap7c5kmiBAa9tqBw8Ll2FQfHVkFHz8T1kqyp3Vx0xdCG9j6Y8mp9KGWEatOm
qTmlgLIAr0lu0ZikPbXNJ0NtxAlmiPVxnH2/+VsZ9M8BYuGH5n8oX3JTvKvJegNGUElZyR+LnYwo
XJZRHaPe71oFS+LjufhjEWDGi/Apck5GMeCPrpeDzgrFCrv90Wo18MKoWVXl8+RohCG7rglRxkyb
qUNH8uPvfeluvVl9L2qMdHShX1MVfX9spZZjL2IIrO9rYDlk0jAfCqKqKBb5gM6NV7uyPrJNquhR
5zUg4l0/DAOSno21uNN90awzMpOU7lb1HVmAMkHPK3T1edBoX8a7j5+W5flus/CAEew7ViuypIgs
vDsoAiS4hmYcuu95jG8EcN8YlO0N6jwD87Oi7KUnLFooOl1ZXlqwqGXr+1wGaIlrDsuk8jP9g7ls
yudQ2kw915+PiiqCNX5XPr8ewH4qOF2CZczCLxIz0JQyUwNoWG0mkm5mpwURyDXc0jpgRnLYRBzR
FugzvtDVSx3fIhOrlq+rNiHEpl/WlLFwSyQGeqS1KOqWB9fvjSBvj+Eq1aTQL5uf4Qx1ysHxOJXr
DbswCb5gUMMuGFaKkWSookwA+zjQdL/QGhFlux9B4q0Pq/Ki6X4a+nC6kyX/Zd5A3WQjGyebjjlz
czSp+g0xMDngtvQE2nlEy3wGbDB8e/PsoOEit8EGeQCX3wzhcPErRRihxw+VdcnVrZojo8Wk+6Xk
CJaAvzC5KLOEr7aKOeHXUQg03wYnSiBdnaCc8LWPi2A6ppTjisvabxG7mh1c1c7z3tLjGV5IC2tp
icEW6B2sX0efx5PMuSztVJk7s48ppgxHEfcKmerOb0VVHX+9QIDsDa+KZXJi/Hvt1GJAA7tl+ckl
Mwdm3USYEO57CmX8Cx8O3ZQYalfUG399Ri96iseo6YEU2rLkOgR1PUwdGYMRfSK+ehHUlM/w1eWd
stdRRQ2AQjC8EIGW0nGeVV6dgcMYQTw5eWK+Ed8wojYt0pBhEToip95x3prl0iWolz57VdeyaBBS
KJu7VgVdhG2JB4yeogaMevbU1CbUP3aZO9TMmbfYfCCVNCfFdQFh0piU10f8+0ffLBNj2C3UKUFc
cQY76acY3yLGBAEL3MROAf9NsDBwhjWxW+ksHj/TcHLMS5SJCJfL3kunNtt3aCjyxJE7cQrsh9Wb
eJmO1hRPMnioczeYtpCtTWeJBLVa7jrd+WyFsfTQimbmVcQVAlBU8UjIypsvmsfSPAuIRyNaC8GK
Lajpq7FSvDUM/eMUxh6PhwwZ7ZHtkuIYV1xJupHBF6Bq/GGbeDrisUpM+njHHhuY8hk1hpHhXKFp
8Ek1IaB/LNVCPn/IMNBjiZrQeroXccv/k/nWbOCoVJwNhI4rUYaPM8t0pwe9msMjh5jwWPbeYLa0
n5gPxQ0LKjcOtMSN1KuE4033UVFhN7knJxRSH6fFJrW8nKgA84H9ADGq3q7EYmZVe0WBA4ioktUJ
juj7Q7nYlfZ9kgcFvp4OrSNzMuU1vOEDNYpDUIG58g6q0plvI14IZ2WXTbZYbwKtF5Z/LPFm8Pf4
3lF+5L6m230VBuAHMfm1VY1AAKpgXnHdod5GIYFY3cwwJUTENw64OkiIi4WkK04BdehhBG2XWkpr
Pq9SiVkA+iOSuQFKXnTwt6RDswrBuFJnGPbgEe+3+H12CXww5HH9ud5zEHPc7Enh0Q3bZmLskgTs
VYi+1CZ1Q5UfU68cAzwXIXn6VfhjRS0A0QEOW23Mmkv6fOBrh3zJ8+yiQnLMiWBsJtIsnqI0R0qk
Zo12aaVTsy7xg5asodQrcHA/79Zu5We9O42Dc4WTN0cl6nCM0q6pmI92s9iWM/ZXlJFdjtyy7Udm
qXWAseR7hMZnPivpbXMKUjQ1gsN2IVI1oUMlZn6TFKbnZ+i0m3OpsqdmuU0AoLKQcgqxHE/CX0LG
D6FJToeJUWQvOK6SLKipHzyM4Jj9XgfnsabOf4xrufLgiJGMfLXvUOwUB45LrqNJY0jj7RpKO+y8
2K/NJavU2LMcFwp2kH+ieNCcDzrOLf96sTUCcRuOqMA/il61vFLc0UxFUc410YptzZX+0cQ92cjq
jyYP4dQ3gzN3vYf5QjVwqib7LC9ngKBjua4DjfbYy3Z9OrfpHknxtP+U9gsvX3Rc/no/abpPAirL
jK32oWvyiI1dQn5l8cSAlBnBX8u6KWbzM+13Hgt3LRYTOMP9M8e9tKAOPaD6ZTPGXjQY7ChRb2az
P62sYOf6lPIjJNlyB/C8W3DsUiGsaOHQQ3N0+M1qZ2gRdrPU95hEJyjaDAMNorMQx3Vsc7tpFD+g
APfW+ZA1ln+Z8qTetmtF0X8rOHPXQ4Wfe/3kQ2UbIO+FzfA4r9h6XuP2ii4FXBk6g8ILZjyg4rJN
kObufQ9+3wGOIBbcQw9B2lAl7Ma58GquVeiDanK2PXOE5B52Hv2KmSZsD3/ZZks1mch6HWZdU2/S
tZtsgFJo9RXE3eh/CmulfYzle1RWrE2Cg2DabUTC+6es0zRTpyrnJquhA9bzuu6Sol7t4ZC6OIOf
L2wOvAIVdou27SDmmkQZlCACtPU+K6FKcvGBDTyTSJLFG89XrrPVDicc9naZksmOdmBU4ucXufjB
B3V2hD6pdojPol2dJq1tnzizk7sHyB3YGm4U3a1im6deYN0IjGb9z6PE8rE7sSGCC3TeO3vBu0Et
nrq06ANZd77lSwTXWlb1BpJWOKCVAQzI6EqGEVbp8RJkK4W2KRLhDhp2XZ2khSoh0HR+3FCAhe/k
5ttoWGUff3eaMm6fcgju07KrQqX7n3iWeyNkzghNJloRMlD2iUrbPkDhobIDzH9S7CjDK2RQrKo6
QaqdsDb/mYObRmt828VoJHU7sNx6DekkKw/BmsHlZcqbX9G3rYH5O3eIynT0DuauMBeqQCBSBJ9n
HQjh70Q6D+lEPAURvDrqKQqIxlJ7ZsMM6L+y/lsLAmlxMniLcf0IUJY1m7vHl5i7lguc7YC5sjnh
GqSmOUoKCzGTFD+zes5gb3lSzPH52mcWISn6WRNXD6YqJbcM3cfMXU9orvKZtIA6E/2FsjKZAwK8
K0+r/anBl2DsmyL8AncMGCHqTlaEfklmKWoNYuwDjslASiL7GHtj4Z6gaE0UPNvEbvgh6FlwlpVx
YS4NVMZSnBO8RtLSwQE5XL1j4rs1IVHrkmdbp1gP2rwocQkkP2gRzWAOxKZ2uaNnZJ4ITRB/UgyQ
aCNzc9KAXXjSIcsjvntEnKVbP01+AGJg26WI/LbkgB1MzY2EzMTzy6Q052TlRzW/4pZOwhNhiiod
7N4GrAXQ+IPBSXdbjUP4nSZL2x1Ct4zaC2icE9eiEsLEUq2ITMgCw8GMkeraUDnPoyU1KvMwLacR
2AbtYNsBXAYjekX9GiuK5pIzXJsQ6aXcEyIswC316wYDYcY4Vp1tKhYhVsA8veOlFgNJtb1MOhRp
G5KOegStj18d9wpPMEorZ/n8ayTWni20GQX8X+pDbc4ndo2CL7qrHGwUYHhbeNzhkwGwiJylWdLg
Sz041J5ep5EL03EeSP9GdR/36cIbe7RPmKORxpYzIJlZTbiMrqDlUhzEK3rI1REp4qyZT0FMhriQ
gZ7krZxVmOLTMMDJzU+F3ZqgwkZFkRB8xk6FSzEOexZLQ73OweV5pvOKxjO2zATObmqi+akTwxAc
bZHJKb5ZVe52xUVI9Zzn0SsMG7n3vMHmVaeKIPO+RuKNLdJjbkDBq4WDADt18k2g5qDw/KXoHbPA
vHQsevekdyP6cHCLX27XfMLa29qO3UygusW1gSgw9AYTb6rQrMcUsi6Rtc0I4IazRtg5bPnv5reJ
SgZs4+o44rp0cp7LRZ83MqFhFY6ZCebRneRhXrdHpQLmpR7njkkF3OOp5sJbvCn7NsVzVoC6dCKa
JtsG31uWaaGJCcqDP/hm7dYtFt+XDRRA5GSyWsYOJBP4Th5B7dxp5na0pobvateBV7ANB5m6CIqA
GJ1BvZzuaFUUw+M0AGxpNkB0hOJw0bPvXfizoyq8rgOXddbgb8LI0pUkY6OLaiZE+gnhJYkn86x0
sKKYAxVIn4MQ0gu9Kdfrq8cpdxYGJX2NfGRmT8QasosH3rZYElhQ+18Zcby2CYHBkmUIesDJ7D3+
hAMvhWNtWdbyAzFd/Phs/PfsrZcDyIp3Uz5kGJCC8PPG+3CtPbjP1oxs9o2F/KyJ2cPYRGHD4pgk
P4JZzH/M6KFO96lMM2ZNNRR0aWjG1greYZiClhglCTA4YtTNibs6PTnvaU8nDUIE+QPLKQz4ekp7
KNHysYIzOTyKKMB9cN9GC0v/CIwHyytdxcRRr1uvnWoTWtVWAz9+o3twp/jRThP0cOh+sylV0WTX
ZklGdjy31zacibZnQFaTcQeJpRjI2YnMFidbzsRlCOiP4FXPZXaS5u0y3oZLtMpTOuVOfYylS07B
xWb5xAf02HEjP4C16PiYxFcDZ1XZtyYSdXFM5JyZX7PGpcposp/2oCw4pAj4xxBvupnTeZ9kk8kC
XxOLOl3NQ3frMutsyy7D5Waj4pWM15/ikoVOkmSz+ue8bZnSwsGenj5mi4BCg0/emCq1R1nKry4j
QXGEX1w1KwrcljmwFNOIi+BSSSSD4cMjOktnIPfa6tHrFpOhI71uTg4EIU2g2ziVWZUfV43+i5oR
3AnA1jR0osB5X+dEOxDAFUr435dUmTxzAgOUBzsL6bw62chx4H3/8pXvK4eUqTDOCWClgPzBYMp9
W0XWom1jW4XqexDOpnvzujRqpBu5uj5+uz+/CikiYlyc5FyK5+9NVdw8E+tEdeI7nWxzPnWh7yHE
u3BYc3Z9/F0v1cDfq4UOZeoIw3BQxh7Y5vd9F2k7sp7ryvu+eM1IIjPmDVoqKD34OdswB63PXbiG
HYfGiCI0zi7I//Y424EUIe+mCmE6Gwkprzl7Xk/mX72PdshMitCig8udEIX9zJ8+fvw/hgo1C+DL
aPxg1wY70Pz8ty7DMqSNyuYoeMSWeuE5uKBMWsjlSgr18Vf9seY8atBovIZ0giBNvC8dE0YVbksA
9QjN08OTJtVxOT84KygSlyQ9Q0LsLy/3voXiMDGo0YL1p2rq/gEgHqCXxhm9gkekQcwZpRY22w2O
8uaCcCFTaDwhiPcJJjR//llDThyujddq8Bcs8/thpmsaIJtluqpsN7zc3g7zDEl+mpPM+0ZNgtRR
5zlVqhhpVE7Af2+UXYgivK0HtyGig/S+eF0RGMYeItDfYNdHUEhFbVLzoiRTO065wZn+pfGI6teb
Xo0b0AaLDf8roMNH+ejtq0H6XTlM9PBtaOkT5fsB6hfHHIeiZl7Toa8XZ5MXmQalElVBzs348Ru/
UDZ+34GEWgBZbTCLEeSdwHPfPgFZYl47Imq/9bmts3ZPL2ut9lQ98qQ8eQ1bpiE3oTGkOXN+/yqK
WxA/SC+wuIfRfDq/Dk6DgQFjROlfs4s7WD5kC2sNAMkjjpi7WO5iT1kxxsdOpTitozkwl+WERwIE
7jy12fgo8NJDL3cqGikeOfOwzOgRVpTo9jHBvKtgGk59vO66yjKxlZxAaWnEZdyILEYC62TOQlEQ
20QSmih3sRgEjxW9FugloT2nJuB3EzSVsXqJ+FzHBMtpiVApVRvAS4x/nJUDlUl3WoA9nedtRVn2
4+F/v60591xU2QJgTsDv/ljaI5kFouCr/trlvUfMmgkE9LtdgociR++vkvXHX2l2y5sJ56hNwGSy
7sACQEF8O+H0nDQkzHj+mmShqTGORRJWlzC73Mq6sqXNExhk4EgStQAcYiJAYZun+fgx3r85QHCw
86haoyTEnntpf/92draQVGfmMv9adZQ/z4pmUM1nt5rd4cKV6i8UqfcnCD48QeRRKQohm8E2ebfI
Q/TSilxI+W1CwmR9QDbSLAvwviay+vi93Hdbmk+PgStBk4rovHme/a6jlM2LXdft5H5upbLjXUr5
UmUHSDUFmW5RztwOGxreDf+KKNiwLpfASx5I1gIkJwVlXUowpDymfy9mCNTUEVbfBOoF3tRfkGxm
VwAmz01Za7FMGSBGBItNiAC+KRNXDd2R+wkKCi9nVQF3UZaB5OZYmTDbIKty0PzpTy2Lc7Q+gFLN
/L94Cr4bb8YATqdns099BGr+aM4GwPSTJhyXz2NTmps57WhVVLhudmTOH4+3kUj7fT2bOeXwQnQc
Kit1/ffree4ENVXHT+9jv3v5rhHVoKsKYTxzNXHUcwS99t5rQDqMQru0pkr660/DNJoKgTXbDG7g
R6aeSS4oOOncRqZUFKyqHK31QrJVcbUtRFPNJ9obSZj28NNJjwt8oUhLfjX+6BaZJpJVly57Z43t
lZ9NXWMmfA1KvgWZFsLh6LU0AW7O1HhxHTczWTpELTMOAxz83U4NOEORGb220NiRrN2Sngf3XppS
5QAH7zQzJZCPh/Tt1owiLlmuW5TvoGfCzHwPnuhI9qM+yNonGmHLTeKCyN+H9YtH9WCHnz/+svjt
WuHbUJ9zbSNwF3Dxoj/39jzqGa4ptkX6o5686Es5gHo/uPRij2EVC5+GAm59AP2Tcx0XdboTPprp
DYJXD1NWAPdt47GlQ5t5OGVqo9edq/5zSrIsQf7KKd/idusei6S8bXidHwbGC11xsHIcZ6MsvEZI
oTvP7UJecv3lK6WBfKp2FnI0/6w0rSfUhmAro+Sd2P6OEmX1YK2WIhNBVHveymS48bkCqwPe894l
+vnTTgnd72nA1w8Y8PjYLru0JEqhqB121Uy/UDn1N5ASAfIyGZj/ce3x1/LEEN27BAOPIu+cYJMO
YU69JJPyxC1bNOsib3woPA9LotjGOmuHLoD4Wo0QPGpLDJ9CH1sCCmEjFh9jeaAnoY37I53s7TIn
wG5Hv5nOAG/u1ZwAAY/zsvxnhHFIiT5F6Rrdp+5+LUfqbz6CApQWLR8rd/vWV9r+7molv4HvRsdz
DJC9WsIGM19Z7H3jFvyXFfFmQ78uvwignLnmieHeRyTp6hPaYRD9BAW1ASO02PdOS30VRROcZH1v
JP/LuuaWFmFU/SUe+2Mxvix8sDq0bDjE3+cjYyATzMeG5glPIBJXqFzQMRrPAfj28Uu+fNJ/XsMv
bwkrD+ABvquGGfdu2S9uU7kTuJwnZ+5Yxp7LdbHpSHjQocnr6K51m9TQuSwUyusgERAJRVGfICUa
QjJVwL4A64XXQzgkZ63VR5+5b+ENUFdUaLoSvLiqxffdVY5/CwOyfW5GL75oKc/eTq52/0mM59LG
6RwbSZwqu/agNOUbK2pCqjcVvTgHHtDRHhL9VHaZopUwDgcnC+xHG4jwdmX+/hILvWNOMiQmDCAM
YlygTrrvQwIHu9XFj/X65I9m8PPCy0+8rqyPy7o8tk5Sf/WsZNmNbkbTo4c4evTR8ml3H89MYEb+
zcxEBqxp8CCwIrjG3wVITpU2tA/y6CkbaRxQTkMFcokDrP6Qfl7VbvLR3Ikaha0YilsN3Z6uwatn
SS4nEWJZW0eZdb06mX/0Vk3hbEiTb01BPX07VNZlodvoQnv6pPUa754aaH3dWUzaJqQxhn2oWmi7
lJ1Mt5FIjCAKyfdh9otnHZbFlRchEQ8DBfvArBPXTaBqIxktx++6zsfPEGyrW6uNuSDCxZkPnqvm
ceOBd7+f6ySHydbbvEC+oL82qYwWQFT2JY0Q7sRPGC7FF9iI+f84VLXRG6qqYPnLsn8LS2KKGVuf
6gJ8dbLZ6D0Vd6QkzLxH6VNf+MGV1Xvlgyg8jfBt39pXzmzUkT6eTuct8PXlK4kNSHEcF114oHFv
7xf83Ouh4er8CYfHP6Nsho9YOmrrnEJleaARoTh8g2x4EtCeH4psURdFkdi31pR4h4+f5YXo+HZp
EWpyobroe4PEfQ8GHOYmkHGGhUy20GAgb+/Sbx0SnRMukjrY9LZbUeFoOmQ3VUCtcFfmIR7qwGF3
1EmSZEvDEyGYoQujL4WqJ1P6pYTeWjK/rMJCHnsPndJwzOGgIDnsbyDeuPNGwvN6EUPG82xAO2Ub
N2sgTiyG5VBWyrrEE8aoJc8RioDGqVNDh8IQOcBSLUPaCwFKp6guGtq8RJQejHvk92vjmjZj0jbR
9HwIJlJTYhH5SblLe5o3tTdsBhwabFYi7aItFjDyxkuKlpYr4L2FjiZ9JRXWdbaVYB8uZ5GgnN4V
6IBuGb/OOTU0r+HEDjP3HzV0xZcRqbBnv4BWDVehTP9W+Prz/EGJ99UtHLY4Bj3vjmTPpRNaLXP1
Mw6pD2zgf5TfQXlouoZMGTlV9LTKMT0NW+u7xj+9BT06ieb/Y8EiEUHY7IFcRXfo3YIFKSWxMYjq
n2kT6nH3MiHhOub1RVGH2OStU3LfI4dygN2G91iSLl9zFAUF6wSe0scr9l2B7mX3xEaNCOAivN0/
ELsrbhkT3jPlzyyyw0996Mg7t7asXURh95x7cbwa616dCUQJTuvFcy5VG3GRYSm+3BRRHgNIbufp
orBG7xnkfB9s8NirPv3lKd/mAOYpQ2CnAVsczDRJ5bshm5pUN0nvjz+pevfZZyKLQG6pJOrNKO3p
yg2nip6SXEMMuYege84R04WqhmnDfIJGp3wIkjq7sLEH/+yiJ0eHhFvggCZ5zXBnZbT1e9q9rxP9
PzyLey1+/p///fjUFO0OAsxQ/FC/q8fQSDJJ2n9PtDg+zo9F8V/8lX8xLQIfxRmDcyZHIVcJ3X8x
LSyoV0Zsm11Dso+mhKFB/KJauO5/EFtwFQD39JHtjyl4/qJaOPF/QABAfwKcNsINlFj/HapF8HY1
EjigPoDthiG6U6+H2PH2xqHkUa8l3fNPUgoxbsTaSA1Eiec0LFdsY/1suM2LeviBNaN7n+eVdecm
CMC1PszXbV3EKEHLBQ1Um/xzh03RViWW2AfLhB6YbfM5oYWa6gar5OKmHMD94/eIAleHyeFhJLza
C4CzF65F+obw8gz7otInnauru7X01iNcJEwIHWv8aewAwHr5s39tGSvhpa1RWsulmjHlEvoRkJwu
dgiA4j+cw+pAILka1kNU2/0Z6o7i++jm5SNFcH2DZxU62vQ7v+phHbaJIIvcenpVP6chczYuXkin
GeX02ywPbx1lFQW+AdL9POLYUf0lhnvJEf7zon2ZAjSKImbVtpOYvtrbKWgomJRWKsNP6+Alp2A5
gr1wFwiewPDYyJ7bq2hTuE3y/7g7t+42kaUN/5X8AbQ4CrjZF5LlU2wn8SRxcqUl24pAQpyREL/+
expQIojjyUxnfZu1mbnIjJ0S3aquqq566633uB79JqQNhrmhYyey4GCGwrHycGxclKMrtyp2t9Xc
8u70woye8YPKAziQ7N4Tnhd2sPVtYeUatzIvDz4HARM3V14anxeZEb1znPRTHhjWJbx1N8yG1T/q
nn5hey5MiOPk8eSQvG9Wd9ox4vYyT/AkiRw51RuoBUyTYlF30THpEWYkxURy0Xb+VRPf/gqY/BcK
CvSzkp0Hk2WkV2Q485kJG7E+2QLTOM+MdXULblZ9jDca28AItvLdigocg5wM66/5gT8lmNQlABnt
7UrR9++8YgxKiQEz7y1n/pnbuX7h+n7wmZLlbjreBDDHhvuQNpVUoTPQGJ8dojSfVeoWnTagyHyr
VsZzOC5u9lDTXdIHZF0enBS/Yc5pFSqhAyytvT5T6V+E+u9rELuUD81o/8QYC0iNIRF+isGVQudA
W2+aw/sw9+B6jHfFOSDf8p5DubmzdwqHKdv4lxuDPkJ/nRJjp2M6uNcV+DmTcdNMrSiLM9+nrhTZ
a/dCrVIuTj49+XYYlvdUWsfc9EN/fbv1jOQGeIT+cMjDeOkEyZa+n30K/QSkvglXFFujEJlll24Z
+29JQau3c+9QvndCbXdrbeh/BW5TwGeReNX6EsqgtTutzJV+D/i/fJfBrHdjAEw7J5lUXYJq5Gwq
m+rDdrfPHkwvSx5dbmk3JhX+qboqy79JkPZslmD9J38m8pWaUV+8ja7uMNd0PqcjVLn3GEz0IXdJ
qijU5j4TCQLUtQuaZF2hO2lUPe11hw75PIsPU3N/8J7X9EvfxQxKu4bXN3mwEzM+g9NOvUic+AsT
iDZn0H5uP20TpGx2KVMEmHgUXgR89zeRGFmr5qtqllmrcnbYRvp9qaYbc0IuxWVOgHK4Nb058DDg
fecgd3RhUKPNdWrFuTazckWf+WqRILPclXfpJqo+1GobrxNK9/74cJsmlnajxdH8G0TT6hdH2Wbc
frXsIVSq5M7P/BQ6zNgjrjYgsX4M1c1FEkF8OQVKXlCNKIrxhXmoNvZs43jOO0cFez17/ej2mr3E
9sPO7RBmjQW5FgXe7vbvEy1TVlU6v9fTeAwdogZY8ZAmyl/rymUFGiPRpuMkUz6uDz6RugXBMkSa
aeiVFw65qwMovJKd0YNkfu1sdvFisxszgNpN9kxqiBl0+DU1DyyGy5B2lfiF8jc3m5cWYAr3SuSM
X6aO1l1ACLVSqnkrG8KVKp8R8Zd3SbxanSeAwlOYKrAzcxKe74kyMTGhZykzGCbihTpXrbfafjz/
xtkzMMyHaGGUtnYzBrh1DSaPhuIkcOYfAzshCeOFK2ZRv775vR6QevPpv7Sp4BI+QjDae/f9lhEU
lbm37qPCshicBRnBN7SZ4ZBAJQKKrH51y0jF8l1g78KLfCuIOvQwhLQ39nfX0dbxp3tXT68Ca59e
RXaifARP5V64ezMHesZIg3eVk1GC1ln/fgsYc5Jn++wbOBVmGru++ZjN98WVWlUObBMJ1D2Fud+E
F/aO9mYoOKtJqaeYoaKYP+j0+10qjuJcU+fSgYja4/MgM1bnMQ3NXxm3AUf/fje/8g9eOqtCO2TO
sK6XS/KI2Ct9azI3LIt1bVYZMZ010QbwY3qZAaBIJgbt6leBuZt/DW2OOjFB+b4+enNXWT2ncEHv
ZmBLeD3mCl9XZarf08zDDWW7NnZwoCd0a0Oofb5WvflXNG+3NIOtsCBia9b2/LrwQ0ajqRXbB+eG
fh/7qTo5kAgDg6RXcNAy0/qLvV0/McgjukpWXglBLIOn01TfTRUz0G/oOsnOLDso77hS4kteVwSC
RLT0R9iAJtA0R8wABatVh4O9sAFbDS6K0sE9NdHcnh5UDtikts00oSYXcC6QK/HmLMCraHEhFIsX
Yz2vPlQaNmm22mbMiEtsZg+vg+vED7I9TDWqv5nulLW/naxW4XmebMRxhXzz8UDy4ZPo/XrU9+Zu
Wfi2qZzR0rhlqqPnMMOcrExwu6OZY8Y9+oAemJBLTQIjmAfngTaP1AlzMYpLZ6WUZ4cqtq9Kc/uJ
QULQ6thedgimCiw9bjJWPpBlPezPskItnoFvYyLhEieNkESXpVYx+0L06NuBL0JO8b0y9Th/yMrN
paXAdHJWwg81c43DgxbH4ZkB/f+E9/HAhq05EO7KRFnXOvOUAbHYT+Rgtmcp+OTrSFurl5ULoBHG
nyq5qBLAw7c6LevulPns3mf8gP85U9aQFlfUuhyu/9v1Q+aYLpgoelJXlx5xSzndGliDSQa+61mB
G/Be2e1FgJOW0bUKAe2FQlPRWVpRpaXXpshnOSPiVJa7weQFtBiotCGl/Hme018zOXh6NRd0YKbJ
nCct/LgCtXw1V028TqWtjUePVq/DdKWN481bJc9F+OMePqxyMPOzapWoj1vIliDYZ47b2QHLrk6V
sNJuVtZ+c31AERxSKdBoAQjyoqmlGcYXjYkTEAWqMEAA/gZdrdnr8j4ltrxkHCA03BkdJN90Sh7g
tCplFhTbDXU9BpKvJmpa7WfmbufSrjGmqQjieXuyTxW00AekEU3KVcr0CQhEJlY8V88Y7RJ8s+39
PXwogsCWsHU+2YNPp5N6s72z7a33Xt/a+ynOwGVnYHb+UB+k/5mbbbuQs0W+mNUsqR+KZXq4X2bk
WbPj/GTx07o5+2P0737pdUFvlr/Dz4od4prauSrX71S/8GsiAjBHefHMPdywR7pljqmzcxcSD0Yt
iEKqA/WPFSBYI6h5RMILhkTxnH7Zr+3C6wtstvP133ltBc3+XD3TGs8r9hMG/3QXTFIGIr0HKWCz
SC5Hp7vgWCPuTmI4VPvz5gNPNOVXuvD6Cv/xLjxFRZgLZVz5UYd0VxfQnd/RhJ6EE01wR5YA+oh8
Xv0Q6Jzugcv0QhB/ZOZp0RdP84H//3vwy9QRrIeifvw7u9CT8WMX0ARW6NKrLghzxdPdBcdFE8gS
MY3t+y7xgQPaBYgh0F65TdBGlijzA51oFtkzCjCW2PUQep3k1bBWrxGpo7hyyzdH5NZV6k8vWwON
aZ1jFIBSzfDWr6qyyzf4dumDJT/ZuoSeIXDGI3JJxIQk/JtncEoAkaykDhjmqMYYUOpv1sid+9Qa
apo2YpMAaMLXIB6OyMBOAsNk5TcBDmbQ7JBF1E/PLULgDjgBtlWS4/UzuONgjwW0QsoaGKT/gVZb
YiJB/fSMoaZaI4H8wjMOTQVg0xXFLtnlYwtEWAD9hXh6y3dU4kNqLVTQm58PbhfoIZY+CMQ+KtkS
xqM3B6EXFdjWCEovWh00zot4BncQQBMIpJ6cKtgjWjGA/Yn+glNjSHgs2k4oK4yb5Q8uNIQNSHr1
ogzIOdfELIrT1dvMqiCx6YIeHujq6T1x8F9yXz7LF9++1Vf98cimss6QmNZRDu78gyAXFUCp1evO
iJyfBUiot3wHF+jA/wSX1kDNH51HonFEavmEhNgP2OVBT9RP3wkYUBhycYQ6cKi7IOqfkrtgWtAx
iqDv6AV6MeHYHcEQCDII0HL9DM4MAheSDghMdURJWDOJiJpV9p2BO+JjxvDa/fCVKN+Absi8niNr
EAzoPLkdCgxB+3SdApckOrcAiAIoqZ8B6gIQS9kToY9QdhqUwMTWT++q6BrklFSV0nH78/9W3qyX
7/mRPeS86tLRoYMPEJyehED107OOrkM+gdwZ2bVGV5ptH9CJYA6M2fjtZj7d97zuP8gkM5eLPDE+
gEzpS7sAmS3khuQNWq0b0PKZ5OTILt9QR0CJ0PVxmzTqBQquNgI5BrjZaS3G4AwCBXrpOIm0CbSO
9AabTVZEJKNOY2Wa+UYAMLktCtDVsNyCTolD1i2YY0KEumWjDYT6psAc0TZgEJA2nzSgQwD3riq7
fJE6JOVAp/AvvCLFJJCPYuJUYyMG5w/EpCZOrlS0bHIhJHXOHLqXvSLNbITTXCaYATa8Q8B7Sa6f
jBl8BOQEaXGtHwSeGgGRNmSkowgRGzUZnhZwQqUzyC4M7XS907bYrLIXJ0PawWGwcIcCkckzPINI
D7j0WaCURPHYAINfL1KYmI4uuCO8JrETaeb6GVzmDNS3wNLKWQRjBHEEkcGxoNZzi8RGMCyQQzqW
XJojOCTvAP+A9C5wc8TzU1x92S7YlNVwHaC8W+8xPOsI6UdzTKXiZJJlOrMBWh/Y1wVrhIeknftY
eRqcdSQJojcv9e93gfszXUxC59v7cc8u1PU1m3BZHw9u/YJQTlYLDIpGYKnt796Bw3VqF22yKPCt
gPht7ebwdgFEr3RGTR3BbGYRMr+MOSG7Cps2cQLNts0zuHjJ5KDKewf4tKgf0dV3XOWpLpDBHVFi
hW5leCGCSeZfcvniKMC+SRqpiQD6FUaXshNXRhVG2O/bM7CbI3ca2V0greq44PDaMOinOitVJjrH
HJFjanahKewOKESgNV80zUoFSoZBkY1SEqC+Rhl6zpFqM12vJA8A/dXP8MyiwM5I7oJJqowmZkDm
rcL3rg4iXBR9XAJ/Uj+N8g1MFxoF/fchAlA8aP8oNBzPfc9FoiH0bKqkW9oNH9L6oTeSvkBa4Ky4
GFFub77lnhZQYhDziehn/ZFrG5ZdpF9MHoilAa0QvFxHi4APPHWOwFLh4hO59xaNNjy7SF6tuc9J
nQUV1hv+6RlEoJg0hTE5ipxq/Qzu/kwXtrRBBKVOWspxSSu9eBRsZyQ8pwkr6WB3AW5WWbdgEy1D
hwoVY7PKvkGs40QB9GkTb4MLFwlwBSOeVIhAnYnVo/O/ACWSTSJa1ki80bBVP/UH/pZz+I1f+t4B
MqUH/3km2jT8ZfZSi8ivfuHYEvDzz9uGh7qrATx/5xcFbULz2U3xUvz3fzplzbrEfvLDY8m9/pz2
r7cL/PmjO591XNXxf176y3SRPnkQa7PcQ/uad4stDSTMvXxcbBcdPoYag/zjTX5ie/j+/f+N4JcH
av66M+b35KY+jCzdF67xwtIvnG6YUrPIOltRg3BlJU8Xgf8tSkO/89ZN94+07CiI0sVzdPrWDWpW
XjK8N0+5/1TkHeF1f4Ks8LNlAA9IujyV3AA9pSW3pCRvom9vphGtdI/dbW+ghLKfcs6u+8+d77PF
qclKvlhG6ar7yi0ETFbyr5lXJI/k1fPC6yhg28Uh+8JXQeCHkd89kQ0ESlp0+OwvelakgRVJS472
XbWArwSfKSv27c+2qYG+SAtGQPG0ORxfUXivFm0sK/omKiBY6G9zA9aQlX278MOO9aAuLxCC8nKZ
f74In4+Samfe4G/lRWfZ4omh7ss87+h0C9+Rlu8/QRa+6PYVNt2V8qLxBVmUdzS7BVzIy84yn3/j
2O9seoNn+BPSoyLtixZFcmnRUZj3lLuFH8hKvls+pv1x5CCPRDVXXvRu0fVb5GBEsVxe8P7N5WIb
Z57fdettAfZPyL9eptmyY6kAPYm65p8Qfrss/aeOG2sRVX9C+Nco3RxfszYpTSVSWjTMSt6b6SKN
8JTdw9kUuf7MB5wtNv2zT28SaVJZ8e88v7vjTVFKWuwmICLp3mpguxalDmnR6XLVb92uS0iygt8v
wxDWjt2id01gLrEoTsiKv/ei5+Wbq+wn39bku2XF/xUVv1DEtqzwZz7gZ0UU4kkZyor/yO4v4dDu
hBTw+4sssLzssnurbPOqsnI/5Qvv+HbCprR1fVmxn5fpFs/WkdykQKUl+9xseurdphdlRT8s8DvM
I+4eTSrPImsnLXyZ5W8+v/TyTYOmtHw/e4qYn9iJ3Fo2BGnZhwimztVxE2o9abJ4r0t+KdP0vQvk
5/zTkQnjpb/WTa6J33gKlov0P/8HAAD//w==</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plotArea>
      <cx:plotAreaRegion>
        <cx:series layoutId="regionMap" uniqueId="{7D4BCFBD-F7CB-418E-9E38-A590054038EF}">
          <cx:dataLabels>
            <cx:visibility seriesName="0" categoryName="0" value="1"/>
          </cx:dataLabels>
          <cx:dataId val="0"/>
          <cx:layoutPr>
            <cx:geography cultureLanguage="en-US" cultureRegion="IN" attribution="Powered by Bing">
              <cx:geoCache provider="{E9337A44-BEBE-4D9F-B70C-5C5E7DAFC167}">
                <cx:binary>7H1pU9zIsvZfcfjzFVObajlx5kSM1DvQgMFg+4uijUEqbaV9+/VvthswaNpj5gz3jeiI2+Owx3RX
K1WPcnsyK/3v2+5ft/HdpnjXJXFa/uu2+/19UFXZv377rbwN7pJNeZTo28KU5r46ujXJb+b+Xt/e
/fat2LQ69X8jCLPfboNNUd117//zb/g2/86cmNtNpU16Ud8V/Ye7so6r8i/e2/vWu823RKcTXVaF
vq3w7+/PongTmGTz/t1dWumqv+qzu9/fv/jU+3e/jb/rT9d9F4NoVf0N1lL7yJaUMW6j3Qu/fxeb
1H9421LiyEaSIiSE2r0er73eJLD+NRJ9l2fz7VtxV5ZwS9//fL7yhfzwxvH7d7emTqvtvvmwhb+/
/5jq6u7bu8tqU92V79/p0ri7D7hmexMfL7/f9W8vd/4//x79APZh9JNn4Iw37Vdv/QmbE1PrUm/S
twQHHSmJEeIcP23+C3DwkVRYEiLR7n32EpxXibQfnWdLR/Cc/HGQ8LgmNsXmm3ncoTdQHXmklLRt
xMhe1cEIdIsJSTl9vOhOZ14jyn5UfqwcgeKeHSQoj6btnbl/B/dWJ1/1W6oPAIQAAExBL57rjRBH
CHOiOJV79ebvirUfrP3fMgJu4h4kcH/Em6+bN/VD5EhwzghHaqdMoDPPIZP8SDJEKUHkyRTufOBO
p14h0H6UnhaOgPnj5CCBWd+171Z3RXnXP9qcf27oGDrCVCFlU/BF2xd5iY1gR1xIG8KgB2hGbuh1
Mu2H5/naEULr1YEi1Gy+vaWVU0fU5ozZ9CEIkC/RwZgfcdumUkj5HT38+GTsNGd99yt5fobMbt0Y
leuDROVUl+X2V5bpx+3554pDwagRBBtvPyiGegmNVIAMJxBAPEQQ/PHaO2heKdR+fF4sHoF0CgHz
AYbYfxR6MG8aYLMjoijEz5jtEBIvAcIYH4FXshXAtE93XiHQfnCeFo6A+ePLgQITbdJyUz4+vm+g
OgxSGyURxQ+6M7JqihwxqrBt2zujhuzHaz/EA8WvJfoZNI8rx9h8OEhsru7SFBLvu7vHDXoDcGwI
xiAOY/whfh6BA8EaZZQwznZagyCYex6svUqk/eg8WzqC52p9kPC4m1jfmyJ908RHHBGbca7wQzAN
Lv95MI0xOB4siMDsIWR7ic/rZNoP0PO1I4TcPw4TIQMKdFvp27p63KZ/rkIMH9nCxjalD8TbCCIB
oQOV4JjIyLC5r5PmJ+A8XzxG5+og0bk0dRW8m2wiU23eEB4G7oVjZj/SnuPAAKEjQhFTmI+SndfK
sx+gl6tHCF1ODhKhyV28aTfFW/ofdYQgrOaEPgbWL+2bsI/ANXFG8YN/GunQayTaj8+PlSNsJtOD
xGYGpKh+y2yUyCNb2TYmdJzrQMAmBWVkW0zYvkYxwSsk2Q/J08IRIrPDJHBu7srq3bUufP22IYE8
AnbNFqATu+0f+RuJICKgAmieh/dH8LxarP0gjZaPoLo5TM5gfmcApjf0OsAXcAZOH9zKfpDoEWOM
CoYekp4RSK8QaD88TwtHwMz/OEirtvwGVdI3DQagUIAEeYyWR+kOxkCA2ooKOc5CfynIfjgelo3A
WB6m+7/ZlAFUySuTviEi4ohhTG0hH6rS4/CMoCMbSFGJ2E6TwNo9T0BfJ9N+cJ6vHSF0c5jqcnXX
vSl1gyH6opJJvN+KKSCsoZCjhHgo5YA6PQfnl+Lsx+Vh2QiSq08HacG2ZY/Ppoged+YNEk5ypKgi
bFtC+/4C3/GcE4CYGZhoZEPSs6NCR1z0ayTaD8yPlSNs1p8PEptlHOvU6PINsYECGzgXBr0Eu70f
ORioE2AmObWfCgmP196Rna+RaD82P1aOsFkeZvR8qrdk59tSAVsyU2Fgmx+CLvAlzxVHsSOsIKmB
MsJLVF4ly35Yni0d4XJ6mCznMv32xq1R6gjYTSWgLP3weokKUNBAnknE1QO/NqJpXiHQfmieFo6A
WR4mMGtTAH3mbgoDRm3z+AD/c3ez7SukEBI/VaVHEZoAkyahKM35Q4lg7G5eLdd+mMb3NUJr7R6m
6zHtG2LEyBES0PkpGNsbEigKvZ/QfYjRw/sjjJa/kGY/MrtVIzyWhxk5H7911VMCScYgLhZih8jY
18gjKhGYtUfiE7Tqeej8a3n2Y/K4boTK8eVBask24Dy96/TtG3IAFAoCBAgy/Kyk+TwKwIgfYWiU
VkgCZs8xeZ00+3F5vnaEzfr0ILE51beB9jdvyQVAp4BgQkGf5/7g2YZKGoJIYRsvbF8jK/Yaifaj
82PlCJvT5WFisyn6eJN+e3x+3yAKgA5cmwiwVi+jM8GPBMLQeqMekk1IRp/rzOkrJPkJJk8rx5gc
Jnt2DNtS30b94/68ASZwogMgge6McZZpQ8gMjgcOg+wUZRQyv0aU/aD8WDkC5fgwGYDTTVluboO6
vKuqt6QByBE0ZQC9D/bq+2vk/QU0oyEbmqDlyO2/Wp798IyWjzA6PczQ7HSj0zcsOTMbWIBtK+Cz
yOu5/+fqiGDgziCg3qs8vxTnZ9B8v4sxJIdZbN52pJq60G9oyyAe5gJaAB9o/nFn+rZLUAg4gGM/
NAL8yff/WqKfAPN0L2NsDvMkzqlJqzc9u8bgjA00N2EF1crvL3DxzxUGI+hBY9AowLenc144/1+L
8hNMHheOIbk6yHDs+q5I4I4eN+efe37GIN+3Cfw3wgKazTgnXHHIX76/Rv0yr5BkPyJPC0eIXB8m
Iuu7r8WmjDZvCAm0AUIbJhXigQYbHa2BWhkcAN0Wyva3Ob9Gov3Q/Fg5wmZ9mM5lmyovNkkGxea3
bDVj9IhLKIqpxz7Nseps+zihEw146J2ZGxUBXi3Wz1B6cVdjqBYHadjOAv2GzAycTmNwDgBqNA+c
2QghCZ20COCT5CH/h1z0ubv5lTT7gdmtGuFxdqB4FHf+m3ZnUCg1S2jApA+JJOz4C9f/vTsD2gPo
iCo7+6UgPwHjYd0YjsM8sHGjy1uTlvptOTIOrt2mcLx293qJCBSYgRGAvk21vznzVSLtx+bZ0hE8
N8uDtF7ncJ6m7ONm86b9mWDFpIITGw9uHqFx7i+OJJVyWxjYAQjkzXMr9lqp9oP0cvUIp/PDJAA+
BDAb5N2yfFtGE85tcCJBVR4SSjUi0YCjsTEctN0eGvz+Am/0HKfXSrUfp5erRzh9OEx92h15+F+o
QIMXQkAwk8c2tHFcsNU46KSFM547pEbcwOvl2o/VeP0IrUv3IK3fx2oTPD7R/zwjpdAKCIQnxM8P
XRqj9Of7+VsBA24IH6HzKzn2Y7JbNULi42Emo/8LZwSgMoCJVECpPfmY53GbgDME4KAYfay0jWmC
V5xa2I/Lj3sZYXN9mL7npjcwuMt/O0WBVg2ABDianxyHBo4AGp4xTIFAD/HB47V3HYKvEGg/Mk8L
R8DcfD4I83X7l3PEdo55Z8ZefPLvDlFT0CgD3ehwNGMv1wksDjRtAA39WO5kL9EZjTf7uVj7MRot
f3En/59mp/18rtrT8LnJptpMv0+tezZa7a/f/X67MEtvtPQhoNrrfnZ7t/z2+3usbIihn4bhbb/j
RST2x2hCwI81d5uy+v29tZ3OwWDuAySxDGI+hcAFtXA6C96Cnk+OgS/lhAmYQGArADTddqzBQD0O
zwJXBOpAiMApeAFGstyeUYW3KDwG0PWmwMQKJeGgz9O0wHMT95CDP23Hw9/fpXVybnRalb+/BwLj
/bts97mtrDbENfCLIltg4D9AUhAiu918AMMDH8f/k+ucsIzUbGnHUrq1bTXrIq2a+eAF3Sr2c3sx
WCbsXdO2/TfblOLEjljuOxAStR+MqZFTl5m1iUWMTiObqfWQevSKh6H2HZ7xdOKXTKyDuCk/9GGj
r5LSjudR3ehl4nP8xWSenMahCFeS8GnVl/nXpgzDRWfJQjs6bLvCKetsuEVZZLna8zlxvS4il0Wp
o5VK4/TYEzSe17R0aFelp8Ym2lWxl0ysMAlWuCnbZaqTJHETi9MJsXyxSvI6ix0v7s5MJuN5Fkt1
0pd+EzqCd+Sis2q1FjpCp7jX6LSnvdU4jaH5DFjYeI4N8T9hpdUaW9E57nh96hF8NaDeTDD3aifN
mbIclGf0nvZ94LRJz12Jm5S4RVJU56rHzMGhoFPK7K50iljXcztG2be2hYvQgkZOrot4ntYm+piz
kOdOF7NwniVduFBlVU1a1iYTJHrsVpjUN0Zq76yqg/aiMnq4VX3bf0qLml74kewXtA+LNadhdwFz
ZLSLCNGz3LPrY9Tx/GtC627SpL6YZU3czAWO4Db8rnNYlMaLJm2Jk0es/mYp6ujC7l2qsmOS+kvm
Wd201jFyImTSSWl7p0mUJUtLWss4EtHEz81ww5oin+d5Y9/7KjROGVb6uOKsnQPL4C1JEiTneBAD
mSkrjFZBX3rWlA5hfZyxPrz2e60+i5wn01DzbOVlvL3Mmja/Uh7TpwPi6LQtUdc4dUH1jVex8iSs
UXzJDMvmCRyTU06bG7Swu1iEThRTejH0Qp/6PhtmvRBx7FiZFB9SneHGSatcwkA22pzwVqNzVcCz
YvyKe244sPi27rps7XEeL/qupse8yuJ5knH9uZZCf8qzAK9TP7MvEhkPiy7ouzWyGnpMWtssitr4
ZxUz5VU4UOV2SRkvE6teZqnXeo5KbbkmeUY+p3BY/DT3WbTUOM4WYRizxEmiMp61LLDP4qw9JkHL
4HHMi4WFqmkd+BBt1xL1Tt9FeEoyT2xy2t7ZeZcs/T5rnKRP7KXJPTYTMpOTXqTkmrLotm9p5ruW
z8hnIdMr09Dhuiyzfj6gFF2YgPPU6QLPWtlWiQIH6Dq0DhpsY7e1eL4pvSI8F36Uxw4cGFG32pPB
PG1gkT/o+KPUKHEbahVT1ETJcegDiC2lesnrmE8ki5NLQcvqK5yaawqnivAVnP5a+qTlK9Pm8zSV
3B24SFJHx2F0QTGOP9hevOB9W624N6RLFiVmUmZ15NRgLD9XRumlsBNv1muaT0RZdY6XduGHrETs
buhy49IoDNwh6CMnzOzok0BW91GkmXWRkcS4AKhAThFEZJJznJ1bRTdrY54f50UjQ1epmV2Fydwr
W3QKLEs8z+OLxvOaT5bXmknEKb4IkU8XKfRelm7comadoqa4pVUPkjA0aVEn5ga33bSJcW1NA5je
8KkSfZ45GRpi7bSiN9N06P2zoTTR3OqqQTt9bwu3aDquXGm1xvG9flqnQ1k6g6lrOVGq+egPPQud
OFLZJC78HMxcqWMHZiUOx8bq8tM+9dAUY+tTSKJCOr4/0KmOlXDAAiBXFSl3Y0vfRLJFyxiVaGpQ
mDskjMzXmAfDsWcCdWEnki/L0u4SZ/Ct6kJXVjQRInXtNCs3PBTdPES2PEclTyo3SyhaN9IgV3rJ
EDtExnyaUKOuFXiN9cCC4KaQTJ8kQ/NFDRVfgEcc3D4sm3XpMw2PUhuelCFP3aq31ElSs+K8Cr38
NERtfm15Ol6XUZJNDS79GVbGnwwkyKZ2mdObqE3Igldwl4UnzSzoQnI3CL8+bW2VbRjNt86lHtin
IIn1x4rgJna4jtSMhsqf10MQTU3vt66FveAcYw1GXDHbafy8u0Q1bH0a2MOk76tsWnZEHsNpXDuc
dLEJzqgIW3jQcOsqi9k5IFsP896n9TzVXbWM1JB9jGtvrnEWTqPeG86jhrJp1jQoc/oKDaFbWylz
bL+b8dw0a9z4ZKWwH31pcxJNWsKl02BwtxpU/Lj0SLYQWHbGifJCfY4415MkbdGn2Cu8BVimYOlV
ZNITbp8PdWjdZkygVVZJa5b4ojzDOo2XNrO8GWd+eRH3rfzot9KbYZSjy6DRCC4nPMvte4vPaCCK
ddHnX9Ny6G/RUIP5r4tqKJ24Y/68oy2eDFRSh5TWsZ0i0lROWugud2rT2onl4LRGGiyaRhdwHqYA
3x+G/lVtQyDihHUe925KVXWR+3m8MAGotNNlIoqcoSza1BGezO9VkUXLJg6Iw7rWOtEkmfYyTc6b
Jo0WlV1/tgvbd8DW5oEj67b+GlX8s62DDfLqexEPn6XpPqR4SFxraDO4Xp4si1T00yLXVyT3s1UW
CHHVZBG5jsI2vaWKdzeFBwublFvwqOu+KqJV5sNd1KssL/Ommse8ywd+CqFW6nNnIBGyp5qYik25
0cFJB+fqJ3Xb1fI8r/Kefyq5d1/rnspF3LQAnNUHJJtZzdC4nkHzuoeoZ54EmTnVWW6ZzxkYUIi9
VDPBnRfN8qj3k5W0omJStiGZQJAXHWO/T1fQPCM+272df0HC88NzrwviYxHYuLiqgyHw5vEQxUPq
dmU7mNLxKzv8JoOutD7audfZUxw0XuoYS0dmmQtNJ6mF+nmhTDpreHlTCr91is6PJ6gHJCuf3XQW
aRdcZ8Ltk6pewye7mYoFhJNxsNIFO6kVkb6DLGM7kQ9exhKNtYBY5GM6BPE04ESswINYl4Gl/ZNO
xNj1U9yvm8DP1wWguRqq1qkC3W5YpPpVobjllMyq5zjteiett+EWHUjtQPWiONZ6GXmzSPB+0hiv
WsiYMjfKpZ6XMMHa7T12kQxBOQlzy18OzK+Wted5qyIhelUh/4TjOHaRwNlJ4PFq0vsi/1JTHruy
s/u5zhs9C6tSTS0fedNCx2baeizrHBNE4Mi8rHRtgHlRo4w4VUySuY08dM9qD8LoLMp0px04C4a/
cZlyeVOiOhXlbc1EHtkfvZxBxOHqPNZJ7DyfWP0i+r81WV9oP3gYF/701/9cmQR+fR9h/eOH22nj
P/4GHcm7MeV/+Sk47b9lBcrxh7ZJ3NN3/RiWvc2cniZnj1Kx3WDzn+Rpf/nm65I4CZv5V0ncj3ks
PxK/3ZqHJA6OtcKUHkYRHKvAwGtxqEU+JHHwFpwf57aEOVkMAQX5I4eDrgsKPxAKongBM+gg83rM
4eCEBhw9hxSP2zDKhMAYk8e7f4EiZK17cjhoI3iZw0GSCM0FGEbbwqiabYqJXuZwUdgEIR5Uvuh5
H3yqwirNJjyjbe10A8Q1nSiSapbl/XlsyNC6cdC4MKtduRAUZDNIytLQGeiAP3m6TgInTSPuaoXa
u67i1kTCl4MLh5wk9qvzVFqWU9TxF2YVckJrnc1SX5XzniJ/WnSK9w5sol54iW1fhlWbnnQQxKzj
0AYNljUaFiIvPeZ6YVKs4NBQNKmN1zmWiANQ8CJ3wNYWx11ehA5PKETnnR3OWxCOOLTg2VIM2lsa
q6g+pMpnK8gCv4Qitz7pOLGu/DzlDsu7dA4Gx59mfkadTJbZ2dCVcpJ05UUj/W+2FcFNenCnOCAX
jPTRTKkomPQ2tZzQT6s58qP7DBKK1kGqMpMUDdXUzvQwI3mVzfIBrh405ILTDjlaVKeVyalTE3Kh
sbzymvoUeyp1gi69bPMBn3Rtto3N0gZioHb7W3Ji+uSEyeyTl1TEHXDVrcCcf1HcW25dvrPNU6I+
+pLb25zUmMsutIbPUZyiSUaDYBLJrJ7VqG9crSH8Euqqo97UEyF3Io9vRcgdbsNXq7yjczEIdEYj
y5pVTWQu/VLF16av2TXuaDqnaZy5ue/RGYcoAnKgKncClNyXQ3YOFaph4TFrVbE+3xgGLiRTVeME
2iPUpVk8bSXJzuPWXnhykI60q/ysb4LiE4vkFS+1mZuu0HNc9mBWvUhMB6HwQuVcTotYfoyHzMoh
e2g/+szzVywBfsEVfplcEOXVtxbKi9QVOaIXFYnpOtF5gCEACjoJxjYfpnGQXlILd1NapEUwIYZ+
KONKzUrppRNKA+56oDlOqBs9CWKrcZuky9W8yClEEH6GsePr3jghtqVTyYabNcFdfexDdFvP2sKy
PwrW6mOWcPSFwY1Pyr7SbqJDoic27KWZYVl4BTAPPTpu+9yulgZCYMe2w6q/t1J7sOayMMa775Vo
T2NS0MDxUxZNY3CshYNjH+LkEF/+n6H/+T9V8cNoE2QzsI0/p+tGTep/Wvlg76EPGwISMKnAy8Fp
LbRl5h7t/fY4I7QCg93ezUsGz/JA2gG9LrfDqSQsQ+w7M/do8KHgS7Zj4tF2kP93R/F3DD74lOeU
HXw1hgI+HIjBNlwMqS2l94yyU7TnVpRZ2ULq+D4wvppb0niOlqjdRQy7f+Jij2vZdyWY5wCeT3AK
J9dGV4pTlrKhw3Al8BtOgrIvWWo6p/WCGiqTTzi88kpwDWgdgZOLjMmtJM/uya8sb4CwPltUbVS7
Xo3OyiYBH5AP13/7QtADQRgwnhxui4z4zgaCS2WKIVv0ZXQfxdG9Z+n7EP78by5jS4ahcxz6+kY7
V0HSXAZ2ly08q1VTJfPcKQMIIaNO/xdbB8+qgsFoCmbZwKTu0dZlKGEmgDtqvKQ46RDwIZ4h8qRI
w1/c1PabnnHF2wdPckIUzGWjMLNQjvZONIm0KtVmi6BtI4fX/Yfe766x1V9D9ionf72D0APx54tR
ONoNpVtgz+3RbVnYNqCbJgNvAc5blEmxCGXubROTDZJ+4mpWUAf3XvX3H8Xt2D84eS7gYDOw8C/3
kxemJuBYskWWa3NZg7NwbGVF11YI//fX97jdsD9tqC0gBuRQ9AGtfnkpSMfrXpskW1g10HlJnfXT
kCBv5w7+jhZLOKD9dBUwWc91C6gq1lg1sImW6uxjUnTXTdKmq7T477bu2ZVGW9dGSWAaiCcWQVz3
E96Fm8FYsfsK9doOxRptnYLpQBB2w6FMGH0uRo+HgQBTJiZLFllDzCRDjRU5fVZ15wNL+qnyELDY
qsCzHBrWFqjozCSMqZrSnKWrJrc5d1sjuqns/NotTNreikAnrgg9uoQeUTyrRXTfS0aX/oCb00yU
nlNkQ8kdokzumAw+0gdeMkVRS9waPMZCdHly0ReK3ESCmKXthd6XJmn6SZt0EB+JIXJMn6p5G8Lz
HImO+27Z11biRGknJw2QvsuqCtJpDXHetCIivayskK2QGtrb3AMrjysOsnMMVwmZOW5l2YRuIGRg
pj2L0dcwCqBEUoI8FlFsk3hw01EDEatRfnbmk8FMqm0JCFhZzwsdXMeqc3JaqTn3CohrkddNwxwY
RavILDdBcHdDAoYrCUXligrKF54A4xLA1MEp5+ACUtHhWQUUReU2ClOI3xo9D4vBHGMEcbNMcj2X
KrFcKA6RGz9o7OPOx+EXX5r4mreRnuclzT4DvU+Au4cvckSLs89ZwoAy417jxU4gIOB0Ke1B1zvO
LO1YrIivy1bax9KCQNGydPXFg605DsI8O+N1eI8wYFqHnNwkUt8DzeFdVnwwy3ZrGgM4zHPcx8RE
syJGkQ+6reLgHMoL3Yew02wJFr1yvSbR88aPKYS0HNi/mNTpSvtbYovVvl77NFNnIffTe24pvMYm
hE2sYzsF5rWVEphZeOxjoDFXA/LkScBhy4AsgtusIZsC7rN3kzzzr+RA4JZ8KDYBBdqBi82BSfbs
IEwmcdWYwTVDweO5TgnKTnHdZGrCA2CcAy+z1BRoy1K6qYn04HCUFicWVH9uJMSdV10aJfdEBGYF
99hPobLhOTAONV+wEKtrAz0CVzQ18PzYBbK1WzAIZx0VBI2Z1V2iTooOcielCEBQQb3NdjqS+cax
fKjCoZCr6zIvQO0YGiy3YeDihl7JeUWzpnbsuM2C6yq1/GZeyzTcqJZYM5WCHnFhsO9o1cTzsvG6
D0B8NZ+GYojmdlZXUOSwCihOhRm1h+kQyih3itKHPJZDaeProLLyGxlAt4Ct7PEE0o7yYyOq7LMf
MvtY9DHY0M6AsEVt0RVHTPcTiN8tF0eAhB0AhZr7JF11np9CsloSNyrCeyIDdeJhTlcgCJ5hP+kn
FhQi20mQ8GDtRwrKXH6s5qEFCNUUXF9NAd5AQgZsB8q7DJuijiZB1gV3aabsBSTQjdPzgA8nDNef
srJv5jQxSeGoGh6EoZXpqmX6vvSA9MytCrkl1BWh3HRX1YWYBGV3meZkUZnmax30epWknExrKH4d
gysUF0ENSolTEAvhuDltqkJN/Qj0nMnKcwjQpTcSZ8MxUt0sGUTs+kOXVW7SRmXkRDrUDq1ieKjB
KnbnQZz1k7QO1RmFoHKWW6D1UR0DddZknkPLsJ8OBVi3pIWiMN763YzBfZMk3OjSkmeyDe1NDPn1
BW0qvDZ+i69C5tFVV8MTFYFB/VIrD/i0GMqjTQq3b5cDqFEic3VWpXV7W1pFXDg+VJHdANLGC8yB
BmAo3tg2GMqiAPvBA0tcDLqLHFIU/cQTeeo5Nq3lhWei4gS3NViy75FWraDcGKOknoR9CEaM1GbC
W7g0ZGHFQpeycqHXr70N7BRqbzHUqlSJ4AlGZMvkndGsgmpBSyWAkGRnZb6Nqw0xxzHO4GFq86AG
8hoDnShgd7Sn2knCazz9bnXbQH+uIonvUAvWCkpfsWujAa8jr9Lr0O78WdMHkM+3EEk4llXZ69C3
ZyULB7cxBXFtOoBFrEznNgM3H4E0V2eDgEy2Q6JwmVW2bg0IA5eAimIBdckUOGrfcyVP05U31MlF
WYPtsXywHq0CpY8aKJA1UG6BsgZUIvy00WvqEfRV4bo6biwb4lFTn0koLy5Kjpp5CIT7PFG+dQr/
mOAZ1RRqW2FYnvVdUJ164XCjEW1vZNTLieyNnrMBQ3+A0sM0DfLkLLMK7zyOoGBbJBNNg3vje77L
Kv0R9Pm6aJC/INJA3ctPcrdCNDtjfUlicItQOeDsq2Wb2iECnF4E5M7S0kF8nadgeaE+pa5RIvGV
RjgzUBds+2xnZDkrs9kAGEBxk7ZOxDtgoSVL3aaPu3qRwIz7Yp4GyiE4yIBELlWYOn0cgzELIcnL
4REJVeJiH0XLtM2RcmQmtJNGUKqf9A2QPU6cUZ041M8r5NhemydOlpCPZUKSVZvTZGVEhTLXyDpf
0bisJzVOehJPvLwzgh/3LemSAZxPXID9S0TrfchJq9sJgmKkNWe6gTaFNlS06RySeI1csaY2qePx
GkbtuhCLFzXUE1Qh7ss+DIBkgXLqXWZz38HaF8tOigwqsr0qSohubDTNyw7sei9F1Gu3Kiog7bjw
nSJktardUvrhtMqCgkGdpsZNAran/CIjFFWu6eLLNqRd7GSY+xAhAFWunUz0zSqFGuxEZ+grk/Ui
g5qNY/U0cZhtBTPCQb/AcDQXwHtYp5imVjipRAK0HrBrc9BTQh0Tlr1Tx7JakLyupl3ubaLAjqai
JdGUICMnRuT4E/Bh3RoKbAY7nV+gScpIbUE/Bx3WoK7+rR8L/P/YO6/1unUlWz8R+2MAGG7JmZQs
WbLlcIPPXraZSTCHp++fWmvvtqbc0tnn9pwLR0mTJAgUqkaNMTCEudUZYeHNAamlYVykM8dPHry4
JL4Jl/AtYrITqiUxhZMICrnTPPApHyZoIP4ix+PrafwG5T5PRtFtUftDm5NQUTkQ4XmG3a1rLIbO
LE4NG+jOtafxpo8H0wv9ljyhJ7V8tzhGkoT2Sl6RB219xYKXV71TxmloBW8Vakj5X94PCIHloTWn
2D0v1GI7Zg1wP21pPYITXrU5MXXysFcrhnu1sM29PgIvKsPN8pnSEFh7M0kxt2Lut/K9E6Ms40nD
F2lIwio1KDYotuOqSuorQyw1tPPX4ALrRfq/XdCDBcWplRiB+meVU9WS4Ag3LwgozWSERIka5kY1
6l3Wlt96ow72eZeQD0p/unvadqZ6tdxjYk/WIbEKI1J5Ib/VazMe5459/fX7c/50f/BgOVQLsQVI
0ll5oue0Nnwx5KekLMXlMHblLwhErKmph7BShuCd874o6H6GYPf9u9El17Ry7lhbJNopD0EqU8GK
gpKy2FSeHDtVlVGxDPJK2GlwXbVZe5279KH6sUl12A9KnmJFVHZmCte98Er14AhTfHNAcccw4Lej
b1je+0XBMwzVMhePZppmX592xaoyAz+a1txO3hgLa3sXz6pc3pUko9zOIMXX3T+bHPEwqYzdi96s
m5FvG10d9nMWR5MjPjepZ5wM0sbQzxL7INtARnHbc2rba9PlRZ2NSYzr25IbsenJwJl7Nj37xZ1c
nVrpKaDePkojrqEXTW+FgReIBVcBqECM7gnbo1P0/CpDOozKxfTz5AqSZzcmcFXa7aPGDqgz3Lx2
wiWjeEho4n5+/QHtl2NMirJ5GVsBkjhxXg4vVg7RqpiSk+imWJ0KUQfXhlLBV2gT8qqj977cBoYM
HiuxPNJDbX4ZWk4Q7kYZRxBvEvrscdv2YVMMvrOPe006KfL2RP4dXGewDn80ylL9haE6Ctenu/+H
z3n391z4m5b4e2vw907h/5ONyY15yVby75n8gl7672MJ/gep/udn/kUvNTFIAPbGNezJmX/zDfsH
qfa9/wKzZcEFlg1I/MQh/Re91OLoCxBDUDyon/j4sF7+aU3aAi05iOWmPkJRgfPlf4JUn68IDkcF
kX9S1vJXFt/zFRFPs7n6uh5Otj3Q1YafxAYsbOotMThBF3qyrYhhFEW7IHkTQTyLwdK0Nx98UGuO
+YDZeL7qmyZeg3Gd++M02OPeW0p3b6UkZhAAy9Nvr+WfCfyMR/s8xP19Kc7xpW0KeG1urki/73+t
k42WVcr+SIssPRa2NVE6QUZCBdHs/vNLMZSbwAI0lgNmnl9qteZcL0JAOJnnFMLN2uzI8fKon73h
jV2WtvbvgfvpqTbJOmemMileBO557MGiJAMYUOmE42K/h1Tq/ppHdxdXKou8mo5po1QeaVPUb8Cw
ZzH7n4tvoYxZDA/77Dl7mIeKcqw/GrVwocvOyb6yRIPl8L/X0//Ri9uOHLU51hJ6Np5IZ1fpYt/p
xkYN8FuES5FlV10fyrnxxn2mSzbc1y93lpjxUNLelH0kiZy3zYGbz1+ebEbbSax+OMaL24fwRX4i
qf3lx3VJL7C8clWm39h9Xw6jRPkUUOZwPiE52lmipBIYTL5TDxs1T9LxDwpeVlDvX3+ubZh+2+Kf
nsveTnMjCYYI95QO/Zb/wW2xqrzJh6OTjkvoGMZ1bFA2WrYdzWYp33imP43i71c7e2muMOMmlsVw
9MfJotkBgjaWfaizXId1EPRhm+ffX39Ae0vhz5/Q98DREaUHTMizULYkuetPE8vOSlxxC7+4eIzN
gX59vUL1qWOIDM29Ny5+1BSi++H2pn+ppXMa4rY+jkMw7ofZhjg1efqveXaMi8UVFKWqbx7WdqGY
SWJgqmZ9IzBZf3j/W0+No6ql79kvZpzfwZive5ZROg2C8siYclifsxz3huFAX+isJtJ+Pe0cRm9v
w+L7aq7efDdYvn7nwaCMYh0Ht2SM/+z6/3tb4o+3RnzeVrjk19liyILCzVdZ9Me5T/a2SuQubZM5
any333dN3H2cUyeLzMkNil0NY+1yrkh5O1WOOWQOaAijWYW56LKwWSozdCytdqryzbCi/LmKB7t9
Z7urcbHmgKpQ9KDNexKuA3jZ4wAs+NiPvooCJ23APw3vgOt9CmzT+vuhni/7vO3CySiGqFcygIAv
r4CnPg7A7u9ysZDLOSsYMhSY3WT0t3XgrSey2TUEiwerVoW6NpPF/GS0lBhZBW6q5PIrX5z73u/B
WmFOkxAn/S2fXB1en60vF8h2pDxm4lKIgArkbLLOXSwHOW0vvUveGfmQRDSHL6x0/jCsSu+HobT+
4yXJFTmoHgId/R/izfPAFrTz6Adr3h9bpS6sTuwLK/4rqMR161SgZYH7+fUnfLm3+9BafI90F0mb
eMqHfws4JKVjxbvpj9lS6NAGgr6I68nZ+zb44OuXejlNfWQznGtArwk3qnOFTDxAwpnGml3Qp4FR
G42FO/HgvTGAf7wKdoqkKdSzjOHzAaTbYpT0vtnu3NZsw8YLjNPQxP7d6w9jvYxjPA1dYqohD6NA
eXadPDUogzWMrXm26h3c6ezgzmW8c7uqDoXqPFIKJr7pOfFl639q7fhYizx9Kyw5L8IpEiYOx5M+
xxdaUOeeP27T1GJNR687CpQZ+6kJioOasv4gpj71I0es4gJuZ7BvzfpnUU/efd5n0zGW5nhTrqtz
KXOQ2deHxv7jPeH0Bonu6VTYs20lFoZhqMTpjlU8VBdmK/eBOUzhSvPknUJnQK9t0F8KyVIuGmO5
HYCEI5euzi7wq3rnVcXPwprHd7k/79Z1+grZ2o6atNcPSwVsrPtUnmScTJfVUrxDu/FWcvHnB9jq
P4BBRJwb6/H3LFRZbVAu/sSgJst93Hr6MEwi/pgQxSLdeNlOdZYZlZ7bs2O15eWSrN/81PvQtW5w
MWilotlvx31i1sH7evXqD75Yf65SVZcOPZLDpGMg8Dwz2Cvo1bRpo99Ij86hAvIIpsVvT3A2O6e+
4IbrBT6hkcVg2kF12cu52mWGuevTliA/wDDMMvPCqWG/dRp1zOuzwPnjLNgsNCSL0fLOl7u/EEsW
OXS0e5Jeb5Cl/E5adeeJrgqLwPxRF+P8yQNO/qtro34Y4yirbTh5TlIhEOgOttnRbnCFF06pNZWh
Zw+aZpFpHuEyZpHIYuvnUlkWodJDApPvpZkBGhrBJ+1n7ckapXltSKs4rXX9zRvNB3fhQjGdpEhP
QSffGPOXqZuPbRiqXzIE13zB8QED93KVERCarPhUqaM3ZsXOWBH81Kt03sgT/xC2XXJgKk9oPuSK
Z3VSV+Ru1RJ0jprWaZD6dJgsKI5iXoM3rrR90vN8jcdCcEmnW0CuOE/saZgP2lOSmdTGH3LLiT9l
xUo3s1yoJuSSo/wyXcO/VK71FuD1h92X3qLteo7DxkTi/XwZ9jGaSpWZ3XHwli+q9+9mr7k3hfpV
eP13Sl73jQ3qHH7eVg2ernbAQa8U3HCKn18wGI1uTlOmLJyW6n5wyHsW5eyWCqKvM64/6eR/qNNi
3sWLJrkRfhqNXdwiIFzfWD1/nEwQ4/62oDXPt+V06EeZjKzfya/7nak9+LiJSkIjreOItvav1xfr
HzZNpLUOrxlFLHDwWcR2gyyPy2HmJS/tfITQqaJ18JM3asQ/ji8HhXFs3ja8L3hPWWfFtSV0d6RG
biN/nBM6mVkQuQqp49Q5rM5RDDSNGwixihYpaECxn0fjal3dt2Lky6IcttdmvWyyhjj94uxlTwDA
iBdybmbsTVppXnzo2vVmGZc4ikvLiHRXVsfE6+2wzgfzjWV1Drw/zTWyIQabvN0X53Otj0eov5XZ
HhGxJt+1B0k2nNq4v+1SS5bh5NZQa+qBD6BDFEBuGN2GBoyZoaaB3uAlOerBZboZEyemWd33gxXJ
WHY/Xp8Zfwg0mxWSS4wBiX2BxSaGny6ycpujO6v2MIB970XXgJUrmb4xJH+4FLgy5vFIQugCnWM/
aWZ1umm95tivqvwlnIVWdZXQ7Ddc8//ischBJUoDmKlc8GzC60qvvfZFc0Tl3L5HvO4e6sVTV1m7
HWz8GjDyhyDGlYBFSBHhwZ0jFfaKdKgeuFIKs3+nkBQ8lHFj06rr1tCcS4HAKlneCB9/HErqa4Ew
npOsNpf93xOYODarPkhkc1ygtkSlpC+TZqW9a027e+NSdOZe7hBkGjhdbLb/tMrOFpKfi3qA3MUU
Ea3ZHFzUfG2UJmJad4hIqyJy286GPJD3RdQ442QcqByHeb/OnlMi8pUsrtQBY7xQWH092sink11b
5f6w00XhIo1STfIN5N24yR1fdoc4KWgAddUmJ6x4JCfy3NpHwDlKmlITp0MtV/RTg2O6tN66r0UL
WyDOE+uDO9grfBcxS/uQWeXs7hFhJ/bnYLLS8qebAZbEoaaCSa7mpHXUrk3zNvnYFbW1XBQV6Nox
Sa1S7A1TW5flOs/GsRvysXsny2rwb0Q/LOq9CwulOvBvYzqUU9vlcziIIK92EAlEfON71SZhk06d
HQbZFA+jgWCB3rxRn6w2h5GxxK0NxyVJH8sOx95wHkSdXaAXi3XkDzWUqyVPl3hf6gWyUjZSTqaR
G+gJNlA3BfluHuUy7+pxUeZVaXTKBHcotb3TpdySqxTS9TeYeOAlnurnaPVF3T5omRrIanuoKneT
8saHCmZov1+MJvDuzbr04/2wjPFwQRI7Hxp/DtKDQKOnQ6HjdY26DvJW1bJF7Qu1wX8m9DkU+J30
P2ZJU0RzUdZO1Am0z+iGNVwYf3gPznsYRqk/KW0XnwvDN+/7yp1CVWbzyViygmZ8cAuR5lA13WFO
vOpeeYCoIon3+VqlR1vk0y4P8vIQD+OlMy5TZCOjzXIX7edgq92Qzc6hdJwfwjGm/VgtHffQekcX
/fE+EKl7FMFah2TMa5ihhrnqEKF993qIS2JYsrDyxm9r48rT6MxrOCKUkykdP9Pdu8i372RQtnvL
rNK73JnWCFWmdeWXRXLjTLwPqoWUlqN6nFdH0jGz3qcp/DxE7epCBSKP5iwfSCrQaxTsEruu89b3
eTFfNL3ow3RdJL/ltzno0jyJ9jKfZ3u3mnmzn/u2CDNIbHBo0IVPTrJDnuHfKV/cl0Yy763JTw4r
XKxoQYaxU/ZiH1dS13sVF/pr5XfmdZV4dEX7xoUa07dw8JoqMnqavz6A9RHBjLxoi2ANvUrNF46Z
2hfd4iE5mcdLBB6HVGrrkMvlc2kOzecqVSdPiod0WD7LWVX7yQwA6gb1uXSNGGZSXvoX4+AhfzQa
tVul8SEPfHXZKSfduXHt703am7yHZg1FFqy7hLrhPm2N8a6JW/++g1AXTk533S/KQya7SboNDqBr
IFL7Tp/CSirLU1X64y/R9UO4pNMKwpWPab8u0VA31epQmttmG6t9nQb9h7z2kzW0mTyfSsRl885r
qCPYTAkSGe3WL2iV8nfNxCzLFrScfm5dmAM0QKOG3uRaq3/FX+r9zILYK6yel+7aX6Z46r4sSet1
TbjYSkz5bu3s9othOQczixFwGjb3fPQMu/5rhs6qT04OMXJX+q0H3622PP/aMNweowXPb+OwoLlo
XALPmh0gbZOe2paRQupfFbvVL8cPCaj+nV1k9gdVVnl6MWVuu5dB2ryzJts/1Ok4rSG6/fkySTvz
u2sq8knwXb33VrO40myyf/UQWtz9ZowSZZNMHfRmnfsgxlz9CgD3B8TpbknxrUZzty7+/JE+U/mr
1S0+BUvZWV8r5HE7SjR5G1S2/pIG1bTrkm459mQsH3x09V/Gjs9ZjGLe173dXD6RO9O5EheclNl9
AoXbhGNdsqKvGpgJiRM0n5PYb/5qtMgP+Ww0n73GTk8ZjOviApuS/JAuZvdJ1s1CfYi1ys5Vsux3
AypnZPu2IaPcFDhouK6MMhKui6GRaO2BkPdUpUF7yKmbylOpa76/T+PxsVFTvO59iQQtDOJJpVFt
iiaAxhs4MN2SYpuDxnSJC0fyYJYJrCuvHexDx3AajxXqxyHydB4kVxCFuVU3Hx9Hex6mm1ip+Db1
4SHUpl5v6t73r0UCM1o7GgqYmboPY2/LFRqX11y6Oklus6nTX4Hu7D3Ambylod+4+6ou18M6zPlh
qmdRHj3Pi2+LQo9epCXeFiyihkXF2wWEby7zMhC3XpLo7+0Yt+/F2lofupTxTrMci4qlWo5+wqAa
rViuDKbmey1b/V1uFWZUuased3mTpfCIZXrCs4CPNYb5zmpFc6mtLLhex05/7xfdfh4TxnX1vOYv
2KkQZdYhYVibqlSXMWjEcQj67kcwdfJWrI0xYb4RxLdzKmFdTG5ZLj/WDFnQzA4MpaEI0cCr5dpi
W9bw8CA6GMmm/4irJKuIUIPqQjxJrA/aWuRtKmv1UbtJ/M6VQ/3Vjd18h5PLClfIWJUVjnhJ/JCD
Y9OT95vLpTXVLjaG8WqTK5/wM54/+kZGXIxVenI0P61NI74d0NitYeJLMvAKXestngfFRZurUoVI
OPJsl+aTukzKnm9QY7B5QkxFv8tWDQdvZZ0DY1XdJ8wnll++N3Y/vFjISKmluLDafpvlQ6IHei62
fEjLZHwUdT94kOq5yUKa+b3ft/qbkyXugxGseIToakpuF7esLKTbVfu5aNb5zne74dHUc36fbq/b
xq3hWmYWFDkxcqHcWA6bm6kdkmQkt6Jj1OCJLHdmbCy/zBWyizELWaEN9dU9nFRx0ZhJde1C0r1P
6zW/J2WfPwYmHZl1GhEyri2Q+N4ok+WXp4H5kBolCl6ztLo2RNw/VZFr1F5FJF8hnqaGq+5FQskV
6qFrlotyHN2EZ2cmrUbTEnohe4w7YlZyW+RZbUWltdZ3hpMB4kJB5F2bnZ+MF65T+1WEec+vGgkt
VhJmmUVNOUHEqDPrUcR62o1TZ/10x2wYIpZe855osf6q7Uy3kWtXSx61mRx+2v6wSt4ZKltDa4bF
ZSfvjuaUW22I+gwrIrsw7oPeJJp57vhz1n7zvlcVwH9j63f9uOgvM0Ya763ej2+VC0u/D6D9wwNy
LohjQYufAusbAnf/qUFhar5vDb8jxtf55iSz1Aye73g31MTqoAfVEsTQ8IOb9s5AQ9jxv64wbd+p
UsfHsSjGE6w8Xg3b5rXTihyKuBend0/UTV2J7mOrR+QVa/Krj2t90J3WeqdG7XyXAQxZoYsV1jEk
Q9uZkbuOjnu0GK+QjqbY5VBVYT855XJvle18RxIyhZXI1KNdxAJbk/qhD8QNFhYpvUgzpZZp2900
BNm7BvzHHJLxMit1y2Vz99acSutd4sHSczc27mymxs3sGnDaFqkeXAX5PEDCFRN0y3UjYcOYQeh9
IdP+clyWYpeyNm/MeGqvsVSqLuOkWkJSfVLAgPYfEOq3QCbNRe5V832O5c6PsRCXTWpahDSf35yu
2VeupaO5F1fznIlP5NtmuJhz/T2Ytj5T3R8SkOWLRiFgiZqEhHTM6uWTP0/xvVkl08FDd+bWRbML
JgwVwrSpT/60fgP/K7/kJXJg9hwGyTZETKCnwom8ZRFJlOV5d5EbJuRlZZi3eSn0oRsgnJUKjyiB
lcF7/uIByivjw9AYLqEuiO+HjosMUnl3g4nuGWAaLyJPiW94ZLmPbtcXpzT1HufMLI/ApQl5IKlc
WG7S2zqdkpvUB7ipLftCIfT+nphqOoy+YR7xZVl3fjo4u2lkMXY66cMpByqMl8W9IrkQnyD+Hys5
1weWEwEYlukaxi4a36AIgl9jPtifZi2sd0EZrLAWSvFBYwYTzeSwB0ns4tG64tGSHrS4kbckx25u
Dh55Ydj2bbzHCEv/XGk12ZGOoXE3GdMAxxRom8Zc4SKm9ZKEosy6aNZZG9FACDGzQRLkuST0Is6+
ZfgyXcZTdeqxSspCKQzk35hxrchB+tQoDyzFQ4rnFYmalCRk3vCuFFJ9LPI6SmcxYmXhmRlK9j69
98123eWl4191C9JvZSb7RBYQ7Z1W3pZa1nWUTIFF06JYL5alhnIsDbYdlHs5Cw4BkY7n7LbInKQO
m2wtWHdtRVlaGBnLiB7aeBOoPvtc2sI9cjJLxZYzYxPSrBpIY0iN+S5QTnO9AGZT1Xljihyixbor
wDLrHsrtZYsR0EmNaIL8Lr8peMtXXTV5RP26oDk6YQgzdf01uO8Sul12smYj+AzDFx24wRGz1RCV
mOtEjXbHKPMqGM8jyoLP8yLai9r2vlur+1O1dfOVjLX4WnRlTdDCvcQrpHFwxiHe9x5c+MUlYymW
1qLpHfRrFM8q0aRD82m00SldGk49id3omZ138nILg4FKuPWtMcWQ9arFq2+Bb2oztP0MrvgAVxM1
jiWzr2WZVe+hZZbv8YHJizBdCKBZMvU/ig5ufdVlCVw5c9WRbfCBDSyAS9lm9cMi0P9/bsl4eG8p
RU6JIpRdAl+6i0L77CjBrL+wW4KdrQW+boD+fKlWqf2B/JjKFH2duIzzuftR5nX/oxs6QAREZOWv
XFSgCt3aq69ml1nf86Rlp6/FMt91zay+YvtEES5UagSRXlX3w5Aa6Zm9jgGi/FxWD0UzExi6ZJ5q
qNSIjw4imEA0hjlheiT2QIJTV0X9kLgDEpsgrtVXaUl+JtBz0e68LMjlTlQm06hylj7fQXrN632G
ntrfVbC0PIqYmYtmqai6q3SVPXWjWY1WEk16SuMDySufvBqYGV2ICfhxl4hgMY7GsqUAPR1SFT6p
k7LEFNXObfGuiwrl8paMla0ugvGP5q4dYVrHQ7ppQmKJDGrYVHZD46AZmoQDJ/JpMOVoxEOIDtRK
oxVOLuo/a8VGiXqiPjoBvEincbs8Agti6GF9Vw8S/lh1LNIMuAdmQUqBmc/5SVugQLd2Izc5nFzl
1dL29YOcYFTwCum3RpNqeL7ck+AhrYb5f9XBYhiP5QLx4yYY+/HX6IKNhoMtdXLjGlbyIV9GGwvA
qvpUQrp+n3tBoyKtffPDlCApOs3A8OpWDJvMwR5N7pGsnLtOK8XLc5e5Muj/1Yg8eCesXbD/BFGm
IxjF0ej5/rWyux8p1UsacrObB+LY/UyzLkOMhO6VBkaA18HRzFN7jgqT9ROi9sHDowL/u5zQ/+D9
V/dkdDIROrsw3RYQpaW3gtNfk0ropPD3LX7WYP+KysFUeVj5A7Qqe53X4jYZHTNqthSywJSuDwu4
gR+tDDFOU9TmJT3p9jSVg/O+jP35Gi5T+riuyfRxssX4dxvs/3NQ/3Y4/et3D9t/GcduDqBP4oB/
A8MvGKhntrD/w0N9+rl/+SW4/4XYwEFjjJD5b3uDf1iooKqbHTSCAA5PkdAb6IX9Q0LF5B4geztX
DY7m5pvT/W1wanHcJ3wgaB3Q8pjYtvefMFDP2rnbFS3bDFz6mp6LQ+E5CbSwsrayplz+JMfoBzST
Wmja4aYe0/VRykHn37CyAZ2tmqVbxA79iYSEZNTK/B5XraiMqLbn3LsEl14GADujak5TUBbdTSFL
bSwkxbPc6s4+Q29rYA+ZwZkCUrd+ejM2K/dFgqPVN9+XWv3llMSUd7FL6xwJnMUKKiJB3VreJpaJ
W84uLmS7sdjwSiuvLawBueW4LK3lyi4dBP1GN27S0v8E6+ekTvwJMKhz4Qrx+mxza7P9RqbxrDId
Ejfxf+JjWGXNqS9FIeCQj13rndaOvGeK1lQX6S+CQGqrw+uXP+uvcX1IF1tHC/ksb+qFWQLVs4/8
zE1/ZFbu5IiWaqIyeVRgG012aMlr237XJliN0UkUxqqrO+I40rHIEkjBnEt4VBXanxofnpZcT/oN
X3vjJp+3CzB+wvmJ7RYWELXPS6Ncv7E77Gnd+ntFnsGsyBgPTDHGxewXeeUoyUzq4gHD4DKTJIxR
S8KEPI7q3EAJ2SS8v20uQbqgPknXYrwSUHnrt1gg1vMG4XajGzeY9rNve5AYzvtRWPAhQgUz/I41
oGvgnNp3uhjumrVHQRJNzdJwc4ZXjnytXpqyXnZ+vi7Gw6S1uuiCtgCygGSDbKhMmgpJaYXnFF4B
gzSN4t5FH4h1Hrq0TUBrG9liVZfmGhR8ap4ij2ve6NRsTZ//6eRDXYQPJWgKwRYSsL3O+zRzkho2
TQ3jh2u0I2SbGCNHrzkAO/cQGKu2d92vORZr/Rvs5+cdsKfrYvoFmY2eJ4yg8+vqYam92nD8H/HC
anep2HXRfU6EwvyWfTAdUoROCdTKMElqDh9447HPX6OJigTKLha1AvrZC4ODWI6pYc6J8wNvLK9x
IjnRFPxGCDMwGSLbKd6lhlVbN07eLMND3pkmmBEHmxUMyutT/3lXjoFA0oIjCx5nG4v+Rce5h+KU
LfR3/lLBWsn2WDe6xIMUpXAXLMfFb2feyuuXfPnwPlxbAWeVI9FwPD+jhyVeoopsMdsfwp2Ir4fF
clcrRx40DXAL4Y0I9yuWuraNrQr8R/drjRkWMugxBaOc3pgIz6kk24KCQYtQSmLss62ts/CIfMmn
QbjO32dKQkYXGwGTuzDnyZFGOLfOaDxoO2+22dhP9fZHCrb0xl1Y5wHIRL4kiJIEaihqLyRvcbBm
MtC98Z3D67zSOMGa3QIiMrGkq6NhyiDNRWnZLbYOARscxkamZjI84FGM82BlWG31EGC43Fa7RqI/
vKcMqrrvr7+5M4Ih6wWbMBzyNioRVBRu9mwzKdkgR4R4X0l2ZSZhm/uSW1FqCII2wuvZILSr5e81
XAyCrw1Pkxr2hs+X5ql33IbMFXe1t6aVOI8l8GNIRiQgGGR/pvPZqyRZ70qV1PgYtYxis3e63Bc3
cLlovTrdsBC8AjUW62OZzMvihQDBaL4jws7k3sfNqgwklUCDj60xdO47P3W3BIEavcQfIB/kFkzr
zgkI+MvoyfFeUxqvjytMZ2wDzKLYNq2UWEk4rasg4T+xtiAT8Ut88mBDyWzhj241QXt3WnZAEi6w
Pz+Vz3FKgtE8XT7wAUAx1KvnjI+oSR6489Sottyg17LMv9EFqRp9wFvZGh+EU6/9dQv8i5q5KFsb
69NYlfMpxkE1/lL5lRKPozlabAmeH5NnjE1Vk6K8PjfOAwmj/0TH8DdVB3XV2dRw1FLFVqCLr6tV
djSIZmpCDcm6zmraIkMzsapev+L50sVBH10cOhmyUnaQ8yt2rdklU+lMX5x12CYjHPht+tudl7OF
uGMj3a8qwzoUdaw99F1882QA2b6RPGzp7LM9DK4MACjhE7UJqqQXoh1giYZueflYiqrsnbCvcdr/
WTdJQ+6Q5HACMCr26vQOQ4+Y/EAnsgZ88nt7pCD1vKkYw96Om6tC+e7D7GCet4TdZLkjbHLDTKNG
UrpeMYng7WVwzSjCBdS2bWtOTOZhPSbscRcqy/ttnx7RcNyiG/E0ao28dea3tJDnWQgkZlQunLiD
tIYU/wXBN3dVgpy+8z6OQ2WSxMq2tUlix3Wbt/A/hDgl1jQzbec8cPhjgxy2xMTV25R2hmyy1YOa
3e0/7SZd8X9Kte1sCU1DuY6zTzHqLqU1vOSsOjVhqLL5Qfklq9OzGpbR63PpTAIC7QviNGGTqMYb
hDlyxutrnKpc66yyP/p94rC2egwmuYHecIZt6T6tY9zUFu6NwxO2JU6s3EJKCz8o/2YkFmm8hYcs
/1U3mHF8K4LME6d0KrZxaJapdt/hGsB3pdCQN4ehuHS7Q254rXPQUHOdLlrI7njcNx7tLNfh0fDn
oRRnqUBYJOt4HrR77FW8YqiXj048bpGqbxum1lqsaf1Xb/q5TbMUl8v10bOrLZstjRqwHQiiLGgr
r6Vr9fEhcIxh+kiu1DIck5c5zD7oh0STCtiJKSamQm/RbSBsnlJbT4S1nh2JC6a9MvkXNZbFUJSx
YCh6hPNGHyH0yVgSSWBn/Ovv8dlC4XbE7r8L27u/M8r/XcPH6/1vys6suU4k7fNfZWLu6WBfIt6Z
iDlwFm1Hm6WydUNIlpsdkoSEhE8/Pyx3d9k1UZ63Lkph++gASS7P8l98CB6cX/BkLGw3fsVWWfPq
+hQNjU9TE6BFcPgIsuw81FMVk1nmWfu7beGX42i7JEJjwCQ5lkxoS78cR+B+CWSEDj4NCgTN67iM
IxOKSJ3xcUvhdt4+nY0Ojwjo4QsDXiPNTILBpscozVLX413go3ZZHtLRDdkMWJDTg8SQiROgMVj4
o245qH68tgxMAEOp67BlrbCKttdBPXF7EdR/LX5ESxlNG2ym4068Cmmh58oftzz170cbyO/PeyIP
vx0CbBLA/8lZfo2viZ0GFJT18inPF586NGRDR8TpbKbl2bdXVy77PkfzlX42hJMyp1CNSPilWStH
e0hw5L1xJbPGcG/QckUpA+kknX01MaQ4zalyfTS22q5+d8H9yoem8xv5Oq9WPd+6E01BGguAZjY6
ENnegNrn7IVYn/Q5qlk7vzEb6xp5citK2lZGVlzqUUkKqjrsV6qh7SRdTUm5mlgM0yrnpd5pwyvd
8hDZlnIf/Xpc3Cw2tYUA+VFEc24B3lhSxKbHHN+BOg7Wel5X0lqmorjQKMHTOhtE6R8oyWYOGDRD
r5/AU9rFs3LrLE0cd7SteCFL6qicZ0iZ0He06d7AhctOge2MCX3lGbX+qAVtbs3o2x7g4YW5uRdV
17hPSF8g4PQUdabWn/SonfHGGBBq2tDJgXoHmuzLpzWYMrggouusfLiPqNNVx7SgunFYOxfNtV0E
k93O40CuQx++WU0Ztu+5LbpJY4IwLv23SI3zbMZVTT+zPNF57L0wIWj2av+YNkblnyMrMKrqOPnC
Hur8Wx62zsgoa8sJpXsD3mViSq+WpOVz7/jm6Jv7tnWFCC4QE0IW5pqeT9Vn+3LKxnm6nr00K4pD
6jaz8h7S1nb6C78EahUemCs+2BgxrSbhZz2ExRztMsP1+zHJU7mWy8WcDUZeHOcCYF0HV2l22WAn
USjvc2co3xsumByzkSJYQNhinZUg6op2I9rt2r+tgU/yY/z4S6Moav4N0IXL5dBXd/u3VfWRTZPR
lyKzt3aHEaBRU3qVgmzTgueraQpN27lo0q7ncTLH41B51emCSUpcojHlZbcLNXIR3JWpUc71Iagc
wxYXlUJ2a7r1S8crol0fRVtmHMjRy6vnAOCGsV65bg2Zbg84mS37hl27z70rw0llUF9bRY/NyF1Z
zmWY7ueSjSADYmShOROzZW23tEwG4m17M0OIqk9w4SlRf2pH0/DazzZiWlyvKem1PSkALxDpyMYY
WXrUBSdIbKHcxJdw/4Qsu76PtpjeBV2zJQa51Tr+gc7JNmJOPVb86IZ8NB7bJti2fHcaszCIaXt2
TACq1bZPp1o2fE58PGpOuZ3h60vAJAFnyZBytTq3yMiAWW6vxxJubnt/WLXexrl1I6CyiaEMyasw
AGvm7re+J6Hp4bMURFrxHFrgWCDM5R4CDkx51avnsYTB0zJeRr52x1ytrqVvwjLYbrngTYv10Wdm
cQWHf+rfsMbZJpgvje3Ne4vB39VRsw3NNFl8lCMW4RLuYcLEl2f88TxSOk7/RsEt5++QD+38x8pz
08iJXRSd+HoR5BZj8WP2pOsQ8ZVBaWwPl47L98EAfM37+xHjRvQjtj85g1dhTgAs7fHHUBsfH//X
IH98jkzRrm4CWzTcgNUa+fRW4bxTSDTo6J/om57KPdfKbCcrzEfKZVkX7byPF9Wt08hUo06mZHYB
7HRJvU3UZFr826hRHaNE763mI7ag0gOUPnLAnuwqc9mC3qyB48AaDTKzf4s+RrATrCD2tY9nym1A
evBVO5CW1mkB6s+vmR+v9mN6IDJdMz6+W/Abe4+eIN+o/SVnnmaW3C6Tu7nPXy5dbwb5E10cV42X
PKmzDe/HRFpxX+AuecjtW6xCDvwepD2H2TWM+XbrHwOKgQTKTHFXO50bgK712qq8WKHeaXHMtrqK
uZ8LnC+ma3BAW5lgmHm/EN/s/g2JpZbpA8y02R5eoofn3w7UsrcvtKfthztlIT/Q/d6WQ7N62/23
yodE9qTqjC406ush35v3joXzTDUsgTVe0ZXf5gqdnGgMjj+GPEKljtuBU1vxJZwAHRcvRVFxzk8W
1hXmE5FbGU4JdhNji0/UkKVc3EMUjJRprAUVNkCOW5mD15Sri6DLtuWsOF/5u2pRfhkeKoJFvVyi
7lDr7oTj0dZYqyO3bqZdOmQUr8CFKT6fj/3AD4JGrz7jyMX/l4am34tnzhZ1lZ5afn2eqjGlKDDL
kqtbedZNzz6gTrIAVIy2uY8vi0+RWDu9zQ4TSpRHMRRrOGKbvTbguw8XXsRRpb+Y6JGy32Q1QOTq
9KOcDJEtl+CZ85p89+viDlgZoW+VMxxH5/ua6TvsnHjt6Vyl67OTw5UenzBYymf/BD5ne3QdZQND
5Ai9VjxRBZDS2/urabHLjRKMcptYWmyzhuryNsU/qni0xwF97yxlb887FoXND8kE5/N9QUHOwPpo
pboZuXbVRjgTFeCnbhxh0bJP/MXactjJUwPz6qPIghxbLdODanuZ2hdZ2gNW3aErudWpNtEfqka9
5yL/ckzptPq0ssmd8NehuU0e2lSoFiORhmQiRXiswxAPSxw/pYd+HhZ2mvJArrcNniqcrVRAT7ii
Fl/WbcavywX2o/gyE57hGTWng5TFOXLKrUjVKY67G4hmjj/eoyXfLOlepyWeJwd/Fl49JJQukBze
BRSB/Bc3Qz8BjTzOal7+agD+Sw9+22zHRuOl25iDNLeYfB8jWY4d9VCnMFGsu5xX4Pv0S1c1G4+S
YJqqwir6yH9hv2V+GbNYGYESO4VtGokWNPSB9HKrUtWwObdaQNR0s3jxoyXvrTcoqn599v1eLOnB
tbthNP4Jta/U6Z4Tzam93VBThTXisLYC+Uz/AM7AJzQKyizbSN9OjtAlUqlO/x5NxdTbX4Y0pDRx
lJWamgi11nWonldX2S5AA04H/MxGy+qIKQMksJSlmOVNGdnxxF8a4LCCmc6UTn48yce77EVJgTD2
POzqeKzv2w3Qq23/i5Zs202I/rfFC9x4+0T7vYaclmhLIWtnmQafWJCl4EfqUJ1o9mTuW4W9qFPB
Us6IFtPzOi6W2Jcs1G1VRs32Lz+mLDElOxGqa9s/fVRlt+3UyGKpkW8NdpYtzfBO5RACut1sArd4
cZc1jeyLGT1Hfikz1q0cONAn4gduROwW/Woyv12TKviZLsN251VBp/Hlx4VQjOJI65kqxuNHxtYW
5Rrg8NUK5d5XHxtW9VFo7JFTZzYY0He3e5S+dN2kQY0QMnHe+8p4VGDDeeZxpos3XRZ2toVxuau5
RjDV222p7wvO6CrOkR0uetsiF/bWZkzaWW9zMkhx/6Glng9t0+zzsmY1Hj4GhK7NtulVob+FWO5g
GeVVbjt45fym8PVLQk8th/2BGYzmVeBbf2kC5SM1ZLpL9mPedT53HWSZZjVscABgb+62guqJwksO
q6Lf7v032d3Pud12eX8r3yOIBweJhftzPQGaTGfMQ0Cp6mNrLKkBcxfkAaykv7/UL60CVpOJ8B7X
omTF//2t9Pan5uWMSGyYEkr+a46YlQYE1YvUBT4c0TlhR/bz7aWqouQNQ6txeWU/Nse/v5efy3wo
5TB/NkJ7uHE/mef2z/eSTo5N+bbMHiN6O/5L4VlbPD4g2urs147Q+Xfj/NcLorlC4cAP0SThXf9S
UQXlgwQs2gEPmJ5wUGQVJ/5FsOB9RFnz+8r++wf8laDNE1K73dxC8a+3aEf8ckFdly4OKbX/8GPH
mHPEXHPEbp3F8w7aHcIJ+V60/O/V7Cxl0ih8/F5cR7I1GMOKXuRvqnLWzzOdMSeV2vifuKHC0KRh
9POYL5FpzMHi9A/1x6KaietY41rhhAKuLpwKXkHuqoWVGcF04Q56A6AMkH3h9Art1Z7M/uBhTedx
lLO1QOrvRc/HWR+pdcaji3wynj+aP+Jjm/37Yf31NfLioHOa6OZQkrX+okLEuduPQKOmM8TObWda
vwdCYvBadb8YoXJ/w2j9f13P21Rhtv9gSf4yZgGgRl6wqc4/jj2d5X25MxGS9joUl4vsv1Vag5lr
4RxAZZGNm6X6l+3AmVMq0VNRnj+OJYLk7W0EVc26aAfIK7+jYG/7y396xtRnYWQyUTdQCs1D/vzz
pJiXVRdy9apT0Bqy8uKgaQLnxZcsmN8twb9eile3SetAlSTJ/HWra1K7WVTmZ6ePUGRCmYK9Rtt9
w4+/nyY/oBh/erCNfhuw5CkXbu3hv5BNTZO+DJZ+w1GutpkPe9vTW09cwUdXHZ49LW3VuBtARw/R
rklXssXd6GWjBdMqaoDgZHFXCSo/17ZL7cG8a1IPjsNpITbwunOqi8rSS5zatJy+DH3fkAZJ+IVt
v29qtdpjbHamPzRJKD1KbdcOKiKOj6Xt934eGkmT4dymbWP1+qZC8T0CMqMmv7CoiZRANU4kGkGB
ujmcBV7FjwAlMPi1HHjjvE0FInRkL3f+923sI9WoZpOte84R6/XwVdRbGDBPtkFA29kheUK7gfwe
CbF8FZydod6COeNjBxRAGVjtpggtqFfAKEHo79pBRi30LRHUpQKF/FHy6Dk20cX+CGS+R1B01mbG
d+3D7RAP+onKErlFhSA3qklcsqnIKqZLk25FkQFAbAbyKer5dVk/OYS9kXP2FwDo4qL0IRZSDBgm
eKXx8pGHRfMyYFaaV6qh7EoFJqDLAD1uxNElNtCVmhEL7eHpevZd1EcimPdZ77te/8lbELfrPtFv
2DpaxICm7Z9hQdJE+IRQL2aOCSAk2smHXPaWVUJMIOj850LqOYSXnq9n+8Xy9DKGZ8pmqbhvI+j0
9r5sgfWRCbNx6DGWI9wVG+7OwrtNZm1vYlXYplLtiwnNLC+MF3dJ5+sKagPYa8Ajc0E2HYWSvmiR
o4KADu04Q95qqiVPUpeAu901QdvIzy2VF0NhJe0HREM/9qIe9ErmX4cN+3Z5gLjkA4T9EWdR+N7i
xKUdt0PnY2rU36PBNkBagog6ApchdpM0fSSO0K7sAm7DruCez5UxRZ/YxLvwUbSRUR+aAuI5dgbZ
/OgtBf6dMO/w5XQn51RgJ3gBm2A6UcnoHgKJ7bQGuI8t9FgDWXQn+SllUp/czAMczerL30op6s+Z
WXSJjiyUJrAdRC2MSmc82y1uBcJ86SqWYzsLfzMYFkmABypv1zTkAcy0uy+7Qt2uZQ2vn7N73IeL
iQVaNfjN11yoRxu+xRVKVdlVMw04kg2UoIFDZKepU1GSR3N4H4i8B4UjivdigKtY5yIDct22iZdG
/SVuA80BQiBd4FZ4MJVwh24RJGmDw8xXXoTkY2+gvdURlFL63keQKStt1WhaRaUH68DsHgU6eitW
cGY/7IBQZ0+zXsPXGs8BUnnVfJpDu9ib9mheuiZMYOxaDOfapUx3kOMA67EM0nuKhwWomdGJ3i1a
PeQzlrAeJrvMiwPUYGNvDc34MEwuBQe2gmTAb/nSGSS+vV4zh9hQRGkefi4mO1ouQCCor4ONr8G+
UwIKdwYdadlNaDV8C0cvwAg8NeRlEwFHSFxrLO/15FTkSU135Q0jBFV8i7tXsxwE1pOueTX41jZD
oY3RQ82m+VITzt6YQTVdUP02LguUXuwkZPd7t+bZaXfrGqIhMoIr/DKLfv7WG4aO7cJaX6EWdzaI
AgF8cF0HZi5y+5jaWZ2EJL7Olb70FVp2OxN5+fNiBWzEpFTxNDu1c4nQZC0upe7lwRbKvvJqJLWp
9D57M9areFaeXYvlMw1qTCgtYsaZ6WYKEm/pHOR/x/Yscld+WYQmJjNpb2fDTlVgIOB7FJkndoZy
3Fc6093Osev2CCcE31azGe81an73Qw6IO67GMXvq86X/jCVEgxe4VjpGaQhLu5L7o+MaUnNj4el8
jV0dzneRPeRgjtcJ6kMjVvTozeYZWVyscMVk3Uc0ES6ELXEHhUdy6Rat+zqEvr4uqfdPtB1cxUXT
cZcqoycjVTjHhRhb7Gqril6lQVCThMRnMCnKob/zZ786sNGjOoEOfXAarS6/A1UHtmPO5ZPdtQL5
PW0dSzH5r3Djn2by5Ke1b9bwCD8TNaG+yb4tDMgxhzig9oSByyMacR7UCLenY1tlcMLzCQ5XVIlj
TxxqYdkxRE8RagVvDk4Zn2B2dm9Yt67fFBMcVkFn37gAC8BO+7hJ6358JL40gFm307UBtf5lxTP9
6NQwBeOWcvIZqTiXs0yzI5llEVIPgsl4CmjMxGJoy2PlKfkEtsfh/if7EuK2cyh9Z/hCXa6/i1r0
za2ljh6bRq5X2VBCtA7YckmDm+LcuuZ4KZU737Ww5z9JZB++OhXmATu7X6azuzQsHmpat5Yzqist
g/mimDWs4w7/jmMKeSshPQZhSdkjuliR+b9O01zer3hnPIWUTr70awgvOcszDK9kcLNaxgji0C8O
dZR613S4LSceG4T8QpibDvNdtgdMpLu7ihL8XaY70ccgQ8yDnMv+ixiVm5Fcr+s1upzqClhhRXWg
6T7hHhs17NkNnn9BFZ4sen7xJFb3Npwyh8q8NN6N1Aawdb14SIxFWNJqYl24s5S0w+vKc6Zg3Jsd
KHXw5pFIr2dDZHdUWdDkcpf2uR7lK7+TUegtrOehIYIpVVCedVQCAoQ5XlxGnbBflJGqzUtzNtFe
CdRTYU9Tj774ZjYb5VZw5aadDA+R2bTRZZOHIqGPC1Ufuf85QSuvCXblOkbYsztpe+4M+v1XaBYE
jLVvzqO87qOJRo+lpTVftC72Co52jfugjQoR+1ri+pNHQj6gKD01uCl2S37VFFVXJIZsPXB5aWoZ
R5ibw/qAPbJU+XELPcwkwpeg7ipGrYPrclmRk8s6tgIil9hrVDrdUC2Bz4Q7QPZpDtZugUpc+9dg
21IIFBYh4tVIIj4+46m8onC/wy9o9KBFmhmUwfQ0jX5w6dnabMtPq7OkNuRw3ZuRukQFuDcvQpQU
lmNfIwKR5NPgqccIXxmk0W1cVuROGrDDqthwI/1YOKBmdnbu1vfdYhnrcSbRRBMSOrV5DbcWOqAt
qePfBDXbaQKcdU06KluXpY1RIzo61eVoLHqA8YR7dbTCbGta1EsS6jRNtaG0hO01t+PoliFOv37p
1/CAFPYD+y6kvRkra8Fe2sUrKb9GnR2DzaalzBuvo+6hnTYLjZ9AldUJ0Qmv22c0Cm+qgjJpgpmQ
PjnIdoWJH5o51Bq/lNZFlWFzB5nUC5adPdP99kd7PKPMrYO4KVMXUWQXMhdu25n/bOGo8T5t1uKO
FMgg4CRpIc495bbCLsTXudHF9OaBos27IPcfFsPtAgIzFS5FHbOTIoTPyzOwHP7KJoSy5j4X6CV6
WW8hrgcX0AryvbB153k3ljH56olmbpOeyj50X7NpeoFukT1luXjJIuGVO9KE5nEG27FPw1QeTQ4P
k03Cl7S/gvWqxvfijHGqOky5hGjUixVPJ0DVYtc0XvMo29pPpETCTYWFy/46jc3XMUvXQ9AhyNXD
0bqhwxiasYVtU5+sHDbuXTTkziO6WVKiFEGth/nAhEGvvJjfMYir7kXfDuF+gE9+PXQtnm39MCL6
odEquqBqnCFF1OjoounKPrHbvj5Ufeo9tpVp7aMRg4IqRaPFrrR7ZQuall2GJQwOJBmEUzudXlsV
qOOqbRvJsIBDODGjqR/2wsIvFPzgPF4IOae7CF0O+JhVhsabP0xiF1lNCuIbQKS6GHwebr9Q5H5c
U1m8p/S9+01ibkokixKVwaWSZ055Dv8CX4MEm576nVtIHzh1kBrBlThWLb5KZZFZL1Te9AHQTnTs
zKg5BCIo7wwox/GEZdFns22e6hIkWEbidggQI/vSzfbY7dBu6b44Ziovle1gu5tKXYZxQXH0EhkT
HhpH64Nb6Ckm2XVuS9KSywmNma9V7gQvVZpZn5FSm68nOreJJ/ruwqFk/EzxHWN69jQtdhCf+xsf
6WbiVjbHbRK6X10Yi3BY22Y7tbU9vHXwO4s9Ijk0Qikmd/5F67VFFw9YxY/0mlY81vpgLq3YqdlH
dr5RlN5NLQb7LUdeA62LmnvYlbCnwrjie2H8I9aBPonwLnDksYNkRGIEdp3B8X2JTsL4hyBry+NK
OI75wsE7o1RjhPN0MsbKT0ZRGqei9+ynDTdwsFDgUDD7IP5CySzf1IQaLjuSoQ+dSkFDdannXNO6
k1cCN416B7vOltd6UOKtskddbFItBLbFVOuvI8If8siiJE9TsAHd94muFY4M5TTt23JysJHBgJfD
Va8E88BGv8FSm9JDE+TjlYskB7ks4ciY1GlveHujb0Dom+vkPY9DXX8JxKTjanCGpDaN3jyrObAe
6a6FEaggYridP855fZwJqrCSMtt5r/scaaFeR4SeoDiM7uzkM9JhCmYn4h+N6Yk9nGxw7iBSmESx
mzd56VbTIZt8WilNtXGFxxSiOGksdEYokDYxtdOm6+d2UG11a3fWPCRkFWnFlhYhkyxiaeGjtRwN
0y5bF6s2Jw2xcukL57VGxcvAswfqX5keaJhV2ryp8s7vophsW7sIMa55M6BRwYHrLUlO/yqsdwru
hYt/FYpBTXW1hEhlYKalSMBwJZ6oDqHECykjUgepsHP8nGWoPmXJzFKhjQIbx2khYCIx4o+HjFit
vVC5MjA/3kx0vH0O/qnBsaqn1/aYmja9l6MAKDW2iVxcwyzvSiUq3oNrAJdSJUhmegATmHAe/1tj
RIHJOA5luyToNWnvs0eXKX/8KNYaYms4jDXyfY+GbaVaXGEvsbXuwQtsfRDW4Rq84xRiav8I4ntl
vfXWEBVflJhzAxGpkEKXQWablrPPEcF2PD6rnIJCeD0SUOqzWUbm4sYqG1RfHVe6W7wtjryyK98c
iHhTkyDArJb2ylE83orZFSiLIQb04mz2ISO21+gFAVQtnEtTqX7pwCEVIzEOuUPWH+AjluzHBnZ/
FSikGxswF6G7iNgxlwgJoTF0j8UYNMsiqMJOVFKLGEiVQrZon7XaLeq9QFe7Q61Htl14vRL6hfvU
qPH/241TGiEyYbl95O6DZXXcI32/5lmEqn4yQNeMO7uDfIYpH2tnD9qkeTcxhlnp0pi5rPadP0SI
9UlwKnq32j3Nx9VXuGzCibmM0E2580DHnqgDF9edmTpxZfvqprSWpdkLpwGsNUU0goVRP5aRnoOL
nhAu2DmtWJC3aueqPcrRBMWoQzGjUGVO1buA3o4Fq9x4lnCQEQYcnXV5GApj1gQIRr0nAiVDROvd
844IhY5NkjahfkPvQy9iZ2Vzbz2EVQGddi7a9qvEDFjuhnIiNWhXYyIbkaWV7wkn5HBSuChN75mB
dKsRE1HbbbxWeXaApwWL/9AoKwScY/fRxhZ3Uf1xkZ45WUMXfKnRHrCGOEht1HMoKBYeGWqwDOcG
vUmV2Kanxs9AH4BN7KQAZReD6egnAiTLBldEceuckXljA9UTh99oGm6YAzvYfAeVX18aGU4vA8Br
qFBg60QDdMNe1JCErRfRkjLG/AjLiBcT6MzYOWDrTr2o+zJWFMzeVgALzI00uleG2fGcq0C7SOi7
hZeduFEaRvsSbMU3A/ASxcNSZNcG2/DwQnI55/dB2cgt6kLV+0QE419KN/CKN7ZIZzk6k1s+IBid
3gCTzN4zaTHyiCRo4GqpojKyYje3E4U5P4XaU3ezrHMeARrb5qPUdOymAQ7yuvKiB4vyYZBEZTej
fD256IGDjfljdlx4hF41uCfUKND6mKX3iCxpdxjt1vzsy8FCBBwcIlozKwj9YV12sHCWM5xK7MVt
NaBYvqtbAPJRMUXTRYYzLdt8i5n9Lktnze3iXAk0gmw4Fm2w2Ac6RPRZEQYuhiSbnImtF840VZgR
LVS4ztnQExSgJHbjKKGuM1T2wsT0MhEcAEKIT7MORlDHY8tTggYIXpCgQ/epIQC/7Y0t4h0wZW13
xNRLgaNNGgFHqfoiR7MtLEFeUS65WxsqALvVF8LfVxMAu8Qxm2K/9prfyTzgdMBGGpFMjvjnPGB4
aqeDjufRW74E7BbTlR5bKZK6n9DOgkOsuJzn9SQEBVWgxu5unDq1r8K8rgJgQikSStJKIzSAcvtt
qYvqUhtiuAOrV8ZgwOxXOGyqpc8QREtceAMqDQHui0ui5qUcdrXEU2+v8iKs2X+lU1+Vlr14h9Gf
vWfkHIQ+U7mqHIoBXYNQv2isTSQqW3YNQIxzB8LE3Af465AURDasBrj/XrNvrBIKt6flHHNuEtUR
nye5I/twGzf/dnZmytCO3aXnsG6czz0oi2w3qfqLg6LBZ4k+1y4vWmqPICoBSmUTU76WXzJjNjNi
K23EBpHHjVSQ8QbqLigAKeNClizqTf4vuB3V2F2OXg/XQwbVNXWB4GSkZvhMxbgImAaZ/ybs1dlr
1xweJrnYF9WAwBXqpeG8RWtmA3SmpcQTDEN4GtA39pM1MgicGrj1yG7YU/0AW7ZIJMWtRDLVXZQS
PbUnfLGu2qVD4qCcLdxKF/0ZVQlrJwZlQuDD960J6/SfwIrNxPXc8Skk3D9abmq9dSDQP5v8iofC
BgMH5P8znJvwRtPkP4ppZNWF6hWA8ngnlLmku3BETYl1sN7hXIh4g7RQl+I8kC1pxuAkYQA4hd++
nntb/lFS7EhCTaLSd0WLvlhudc9GWLuPZQ43PkYV0rgQosV/egfSsnKcr4ui+i/3laAeJN84oKoG
yZ8QPkvwmYwWA+cH6Q6d692OCAayyw94LoNNkj38Z0ACeimbnl4DDcfu1l2A0ixHXAE38JTTmXrM
UWfLm3K9AMi9jE9poWfvq9e6XXUqu7AZ3ThFonI0knDy3FmyeVWgWehpgY8oI6vwzQTgnbUSNoYm
pn+y8qWpL9SiqWLufFujoeO2c/iCUeTIptILRHJq9jEvN/HGm1pwComx+FkGoAX97Qk4MmE8qKoF
LjSLBhi76wEFzUX3zUT6PBgSGpoA9faDmJcKuYW1yCrQQthRbiBy5mBPGyQrs9Xs7ycnHElhCkf7
Uj534ZxOZUIjNiTvgzJU6PJclt2Ag9sw+4jf7k3hqKF/U9U6WcuOb9mE1ufOJSTbrSJnZzil0ORQ
4KVivT2J62dmVB/zTE9B/4cystVGfzANK/4NLHzg6ysED0iYr8plSGsfISC8BabDb9pzm776f5pz
NP8gUOPDToxJV9oH+PBz17E1yTlKLaKvZgmL5EfX2/Yrj/aTxOoPtOccTqgfmI0rbVR4ZA0RaVfT
Rxni0UGJ7qn83uj6+/v6udvLbQX06WFwIoFK85Be0c+3VXgL1KSsCN6rTmyNFpQnNuBHU6GRQzTe
0S77TaPy5578dkXfMhmNjcFKy/dX8ViKhuFowpf4hkP3dsXpA1XjeK2kNT8EuasAwU2mRiA/L0qa
lR+v4r+l5nD81p1fm2/Df22/9W/fsf/9Xz/96VOH9HXztx+5Kb7Kbuj+Of76qZ++F3uzH3e3aSj8
9AfclYtxuVff5PLwbVD1+P0esm/d9sn/33/8Hx/SCx9qDq/vDZZYxYC01dfxz2oOlmlCs/g36+Uv
cg7/p359e23o3n982yYA8fEr//ITc/+B+wEEIB8YgsUaZgr/y08s/IcL7MOhl29TOKOf/28pB8fD
TyzY/DhMIDg065gPtJLH/H/9T8f8hw2xH1s8YAYoP0XWf0fN4ddeO9+y4U8sSHRbB/zXmVxawnYH
xzVOkWG4JQDXZT2pyB0+/WlMfssEQp2eywRESngGOibc618WzIoW3EIx3zgBWLFQ28RRlPQovG1m
OPO/WSrbnvCfPeP7tWCjwnCHMA944LtK8Z/gS7wLULoYsp8Wq4tuTX8zifU2L/XV1HcC6crfQSOc
XyW8ebxg01nwTHheFozMbRv70yV1NXg9QMX0hM5wSpm978ZrGlKoHHWU2D2CjTl6xnDOsQ+ohk5U
ehB0WY4+NaT22HuYq3vT5GKFrREYFWUhT1Gn0ZDBghb5I4AXlK6H6Pjds35e8UNr/MXGekpvWlK4
19cVZNnakOOTtTnaQ1EVB8jkxTldUNhCMgsbdSdr8+PSE4IU2QARaByae/TK1m80eNfnvHLlM/p9
N6Zaiv0c1G2saB6cVtupblyk+cM4Lx11bw9II63O2t2uzlw+2WaBLK6Z1gevz1uCw2aKsdqdT2aX
wqxde/sYTiYIGKh4eyunmlWPznAVWGN3JoUBGks48GrWmXGq/a08KY351CPhk+1cHaU+xxHSqEOI
dIe/NppW15qrndnPxNAydA/mYMsvRWWgv5ig0xwMJEEfsquR912ENW9FeQjagFxtTpnnsZnDZyeg
b9o3JQPxpYRl8QdCS/ZDxImHbpI5RO9lCG1oB7wY2cLGXroK5EOhDxLpSDqLdMpRg8LFAmEgt741
a0pZMeiA7jqAmnS1ULF4DpcVUmhaIIRK/+ISgjOtQpeS2y1A34dcF2ac6nJ5yEHR7vEQkV+gyE2H
DvXdQzj5yBlq+FXvsmnyY97mXxdZiiQDoniVRSH9eGv18mY/MDh5m9Y3fd2sf0B1N+4dhDCuzRU4
7G7Q1v9l70yW5DbSpfsq9wUgwxyI5cWQUw2sicWiNrDihHkOjE9/D0rqFsnulkz2b/5Fb9TWEouZ
lQkgIvxzP16g1k66FtJRHoN0avB9uplzjgnOsXLW9BuvWXENi3b8kgyu+lQYO2d5Sza3jjSVyQsf
wUCqx/3cweyekfhu61JHjhHlF91aZnbe9lWsqcUviuS9HNhPdnFbHjXISLiMq4WNNADIBvZ+QMzI
9UWrrnIAo6hIKsEWpnv5Kw60mD8sfrViwHRIVCuTNrd7iOfSvHbT4Q5q+Wz4ngcKTU7cPQv7ZCgN
NtYKAxhjJbSD02vqhlDl9kmBiAn4Zp1PQDCLdxwssJ1tSj10RIACfA4PWIyzCADlizb21q25pTDY
12241cS2RbN058e6ptc5MeR0WCv7vp6rD8KKG/OUoU1P8HaZF6yfazfDBBFP416IPmJagcXmtWbu
bwgLITUKBZZ1cwQyuZagQ6+9uVyXM30n0C+ClLGNTsE6G6vnYpiJJWBwGmka5YNouhC89pA/2YQH
ElXuVX3eND+JlVYvaQwiYSCNFgMaD3uZ73Q6DF/l1fVxnvACvSxQCClvXgsT5dabBz3MwEV5hyEf
ss4mFKLw7BfzljxMhbMHutpsApbaMdDyG6wv812C8kuhbet2Q3olY21iWIxd3/lotswD8bXVsZZG
pCWl+ZxjCncOKJ+O+CIWRE9sCCSOLsUKsaF/LIB9VRxE5FB81Jy2eJQTKMgeSvb+YgLSoq7KZxGv
2u6SNuPVn0cXvNsywSCbt2kGbbkT3B1loeqacXdtLItzMisN+hkZP06d1SaNJzNtdhR8t/9rEbvx
47qO82cgnyiitVHTvcq549yUOGj80UY+LMbSPrfQ0i4cDqgxqMatDqq9e9FHxG6uOttmWiUmYRwM
l/6Zss/QLVupgnrQIbfh7OAcuBfCMjmsgk5p9eM2ELX0nVobOYxPc3W/WHb71WYnec0b2XllGNLR
t2W1hWROyjTqiSifmfrLd6WTua9lxdGf5NZE4HkQ1f3eLYdjgDwLOG5CQykfhoK/5vXls6WrhW74
3CV4uVXNY1Kl+Cso+h5p+m7oAOW+LcO3dfxv7QL/XzZ4P+wU/9N28v/DXSATNbYZ/3kXSB6p6V+/
NN9vA3/7md+3gUw/f8Hc67Fts3Z01ne1soYuf4EqhNOa3YMkyfTHNtCmVpYNImZWXE1sHb+DelkQ
wiBLSYzRBBAEf8nf2gbu/tTvNk30ufL4RAwHcQRDjCPXjzsY8NUtCNJNu0K66XJ5ACbmreNLP0nI
wpdcrwRuE2izXpofxQDAxrm2ZFnhnYMy7AgaPpsV+P9lFxEL66bWONIxlESQTCgqwbkFJfg4Frla
4mPhAXrOrp1knhDPNv5tPJ5I1vBa79GOob4nwAZpoUlBWlbIQLgkPAEfmRqFgJEq89QLXk5IhYU1
Q8NEH4JF/tGsgYEHzB0Y7D5CNGCPGHl2Mot7oOxjKt9lmYpmdNC9s8jD6Rg4Y43ZqBx7EArsG3ic
EvxtOu/3xtD/3jV/dXbiq/+zu+Z/4bA09Y9np7cf+edNw51hY3Lm3Avw4m0r//vZyTA4V3Go+s04
L7k1/jg7Cc5O/JSHgR3X8g83DYQ8zKuo+xahAizuf+eeIRL/001DPTHvi4ve1Hk//2Ldp3tnGJbC
nUmxthhUXfRjVZU7dBaA5lXTTh5YmLyj83M8FsQ0K/0DNkvkmKJuq+HJrGy19di9LOLAJeXz7UwD
8ARkxnvMXGRqF0JYXmdvNWULc2cbEFnFrEeup1ybZ43pASGQajoz/KmGCYkYWVa1N3W5Aqid6IBA
6fba+tpBRLlwFJn0c565681qx/FTbnUtvlL3hfr46Tg3k9jT9STgwdBe5xVqEwBg1hLHKcyn1M1Y
grKUxd6X1YwmCDxDRmQvKcco+42jjlu6y8PG7O5Vb01W0VoN0w24JGaaZqpYx/tpzDY8jYleHutl
Ko8LBete6MgmO7tU4YhbmgimPBhWnW2kpqHXuu2qjqovptHXdhxaWtnAQeN+PuQbjS5MPGr+4p1N
DQxziqd3Jt16H9W8Gg8zBLvp2KicVPowsL9K8HuwH03WzR+Kqg9zp5teCBOuz/HWgDrtk65dzktD
yodZk8MvypxwNF/gZnXk4Q0qVUzaFGyjmCI3aTuo60Z/PRPq332n2IhhUsDzhALvnF1W72cJp/ja
VDTMHbOczO0hHXp8wBOXegjhZNXvO7eITDYO1dFSZRy4jbP3iuRKECnLc41TIe5DH6xX34T6iGCI
maI6ka1KQ6wYo3cw53nmmZY3AVrYlBxWbKJ80EnbOoExlPM3GN3660ZqhnYO7sbDfiSJCIqtryBQ
pXkg++0cKWdtH426T6+gDZQvDb5yP9YnYw5agOUgMniIh2Yv3pFu7MPRTOMIsxSRbpRDg4vGWIwp
SpKyO9AKs0Sp6OW7xelw9sX9GIwIoJdUxovwG6sqADlYOCWddOQIkWvNmXiPeVYVtlJwmPGv3A2Y
Fgnxy0/00hocggc1FcdEdZRalNl4nvtKHHArCHiGdTw8MuD4rM+OFlIVvIWQxRhfcAdk50YwcMTv
uEwySFzPuK5cyOBF6ngf96P4cRpSN/adgZUidCb6fgZ2lVY4xN0TVt7+tvP07VOpKopjumR9HrO2
OsUb29lA03QJPlpD6p/avZa5Werbji5CDrRNTs+LOWVx4GBlCQ1g+O/dpIOzrcn6jNcs+aA4rjFs
UnH5UNitGQw0fxwx7hxVQ9agB/TNptcu9Hu45tRkkC2QhwbuK3gqJzbiq7cR8eio9h1IYkkQTi+/
1kaxnlEJmmDZkyeU00i/jtXnXM/skJT1HDgYhE47WAAHifm6zOsHoq0UWBeJXGhMMkVfhMwa+B6h
JQFBH927ecA5xsuSbB3X/jed5r+r4l+sigjV5p9Kindf65p+K2xQ2Q9r4+8/+PviKOxfiDZ79Gmy
cWMJ+m5H6ekgYtHA9gSby4bT+GNxtM1f+FfY49D7IO+xtfxDWJS/CMMhL4lOiZoFvudvrY5vkafv
tpQ2x3GbzB47X/RFMra79PidKMYIbtiqVl9PDkxnZoP7UBfha+bIDRFGRtCHsLBWVdZXh1lBmPfN
oe/PttcY+mHrsK0GKfYbGXTw7h3c+I6r8eROxrCXn5laxe9m14WouRpMvDIMyYS8PIzE1FwNCAOQ
Zze8h3gpLUKh9NusLd6GNKZCpSeNftQMs3nuh7W/rHmX3hqkIiOhbdv72NSszLcxQkW91Ns8SvE+
PzKMWeqT3kkY6Maii1cYq24dFJijc7/h+AA2oaVwi20rz4u0PlFcnX3VDEqbZ4gIN8ymxAs+8nwM
pSbt67QqOSoaYuB5jbjIwGB0EjMi5OncwaIrryZL5u+yJlU3E7fh0YjzDbtBTMagUdMSMfPBpS2S
fNqfM0mwLCyEWu8yfq0qON34cHV/Kh3rvdfzMRsa2TCfR7d+qd1kjJjg2CfT3MERhGBQpmyDmLes
7sCkuExqt+pe38oGN47Xv0tpkjKxYhT1xRFmG+TeFgfFnPIYlqZOpMWrbmphJFA0YPSDFSraLWdv
on8whFDXY2O/DCSmHo1hqL2j18e4lsGcJngYybsf8a5Yz0tZ0MQ2Wt6Riouc6e4WxzfM67JwtXSQ
4XhQbxxnGh72hrc8cimhudC+ozPxRKuyK+NBTHfYoWtGXnZ3tBP9zh7H3QDXmNatoQ3jRwwJyfu+
spZ3iCuEnio3AuUDDqsqNMyePH8ZGJUXZsLxtWxB0ju6sm+QmT5k8w4/avQCQ+u4948l6Auj00UI
ddVp1pk/NYYKiiLPH+Kx09+N2iDCeNk7tEGfF+B4o8rmGZyOehOy3agyX04NrlC83IfRrYpvcp4/
M3PXDg2JHAbVqjQeuMhZlJalO7NGVRDspRUZnkPJGdit0K2d+4arDaOxvMJqw/zJo79LS4eXjSAO
lAJ0sZTJg++AcDthDCCjO+KKM0Yc1yzq2gt5v+Tclmn34JRty7bQkRfhDR3twOka9Qa2xRLDwq01
dVw3XLaQrlCejzQ0wI2vmVPvZLwiwHflROy4l4cV1wGdvRmesKNrV2tivPdiRJfDII3ZYtk3YILh
/57TJPXYowECaCmCQtN8NM3CITfEaubQ19bR0vdMPCfJI93Jsyvmr+JeeWmcfljsrVLE+vPSOtSy
QSfH9rjy+hN0BG81P0irRTwqc9IPQU+8ad+0NZrzskiAz+eZbmF06GZjtaZBY7NxHDVaPz1OWWbP
jwxWR/YnSaLl1m1h6VP+EWNev9UhDsaaPWfq7GGzFu9zOA2QOUIusyT5CHs6KYM8NTK+H62puDzn
ZgUPgqcgSX2q4vn1sZeh3pV57XkRcUZVJCfiYvbHXTNXn0UhjcL9yGckx4lzKW4DjHGWs7CSF8ri
fwiGnMkMgUv2Ux1G3lNdjKRr9c4y3cBUPSV3pmYs0X9Vn7cJ4l+s1A7N2X92fg1eAXRjnfxxmf7t
p/5xhOWcaljQADmHmgB/9/X2H0dY0/6FY6q+Y+recJpMjX4nubNK6wa5Uo9oL7vwt8ngP8Z/4N8t
/kLh6b8dcP/W+O8ntqwDuNUFUYgHQFhMGs39vP79Iq0Ag7Ud3Uu39WwB+51x57BLB8NEl+A83fN8
Wy/5MtVFpOuF+qgae3pf2MMCU0LW3YfvPr1/MyX8l+T5W2pb7qFfBhD7UPTHd4Msu/eljdOt2dXG
bUKrI48Z0WAyXiYFFWma7fGjYMud+X3lqY6mg56jKNAmYTNkE/UXqRQ1OzJNMduVpfGecLpnHFfX
ib8aMKOW36biyJQMk//NOzZ/mp/un58NdQ/dDn2byeZPuW87wy4N1ETdQkVLktCF7fZ+snGyHJRY
Gx6F62LQDCZQoTfhYtdaC906VniDDGzqNI6kyzAYtGK1NHeorMGhWaUMWETvFOCSmjy9K0bSLpgu
h5Cglnwe0u4KDhy1NhlL303Wp1N1/PPv4UezwX5RoJ7pgi/C5dpgLfnxa0AJw1TZlsMtqHL53CQe
VS52sT8125qarnnp5WMbG+XLn7/sj66KPdMu2Huy2UEb3P+xv63vNowY8BO7HZL6tvY24xbK1XhL
qBhuWJw+//kr7Wrmd1vTt1eSQCJxU6Csin3r/P0r0ZC1ssFMm1sipPYrmMO+PFIrvpp+0aaR3gFg
Cix99WhAtJy5+quL5mexdR/466bDFJ/ZPk+Hn15eCCvDysF4VnSFA9x+dF4L9OXyCHptiDAlNrRT
8dUf57KbCQgWjfiKqxlqnlzt68W1ej1g+kriKBcEE6y+NZmbeev6tdWo7NQ1olABsordn1Cjt/Ev
Buw/j7t3+AB2FNMABcDeHlfKjx+fzmpfO06s3RhjXL1mmPkS39AKVdu+tUIkvsxpVnwCtEX+c+sA
EmE0ygKskeKbYsbWBCsl29jC8ulr1lviC6Wvqbj8+VcMp+LnLxkSKBeRi6oNwBGl7sd36fZepvdE
Ym/QXtpYeiFFyNtxZzTKg2JqB0Sn0++nanVGePOpwExfI/H07bHcD+VF2VUPLY0Uiy/KOfkw59Qi
oUUov0XaeE92zwtjKDvMu/cTPw5u9hNxPtS38y4JdLs4kDBDzGnS2TUDc0qrExmv8sHMk7uEzN7C
Ei+6WwT3J/WmPLi7CGFkVDWHvT1utELPXn5d7oIFSpR9SXcRY3vTM2Y9xVnHNZ+dtTfFY97FD2OX
QbZ8+dwOnXocQfzgZq2UYJjUjWc4++ZTlxoz9EmhoaxsaRF/km96S1Z32q/jLsK07YBtkZDn2ehk
+SWbWnp9EVKKx+xNw5l2OaffhZ11l3gM25TvyDAtET667mC8aUGlw2mAzC0Aw2Da5aJqsBCOWslR
gvBqCIpJnVhqzJkmHcQmT4nyZan09MrsZfvo4JI/UienUabpVtur5zZ9NOhLvh2mwksOGoepV+I+
8zewDChdQBQ4RdVvCtiyi2HWLoutbwpZv4tlmA7og+WPAq7ZtTRUNHQ1annQ2ERMk5Z4U97sXYSz
3vS4HmUusXeNbt7luuxNucvfVDzrTdFbLLFcu5iayxgwS6eqiprZPYD3hS2qaW4fh1lbdkOz7HmU
N5/NtcqVRd+XGsdWv1WFgnOAYb7bjiAdVEw2PmN8l5v0QekQ3c/5ajHhGPkOqIHudI50xDXotq7j
mPUQ38TM8aOYEz3oS0VtUcoYmLRzsYo5DdellOraHZTFFTXHjTHMwchaeHC1NI/fTdw6bhIw6cBH
YVgg3A91mfXSxwjIBCdaSEwx25TUXPs0R9c2AIwY6lwqQfcf5lKUeA9idgUHp06qLfA2hydmbRYk
jau01xA5hzUZ7nDow2tqksz7RomfyPRQb0wFEMAbvVsHbSm+1JZQwuG0uAzdtp4GRNSeAF1CY2AU
D9PWIVEOdXZYS7daT/owVG3gmJiSA7E4a3nsAW5qAV+r+UFrK+p6iagUSIlFpWuUsukaCW1F41PO
qbg6W71UZVQAc3rYRibKBwRI07hK53TA6iFShOpj3E9t/chibF1wW5rFYWx5BxTVlnsdrLFsmCTz
tZ1vKo9jEA3AddtDizDGS09jTxkmsYVGIaCzIAYLzuZ+jVawfcXpIl0yXYq8G+hhKgsNtLkTNsKC
vXtRdFaYNRl1yGNMZxem4FbCJp1zO7AASm2Yo3Pmc3ht7IPRUsPF25WijQzqT5ozZeQzNdjSThHv
+HOYV3A+cPkkgHaWOSOIQoZK+7XHQ7xCweM+Mm8NWrMBeHjUeFpPazmb463bSloha7y2N0zHWJIS
/JT8gCTYYx0AxRr1R9JZdXrpACIuh2F2tuwKVrV6srFovlL3TEjDM7h4gebB3ogGd0P1JzSRwyix
gHQHSBdRBij1Y4mtw/RzNIxHrKTzp7ZPLdJaM63MHv0j5Ea9mL/HKRtQuXU/Gbfk4Sz7flCO8WQo
Uk/+7HKEDxSA0SWaqCulEplYIfFeQY7iHTXm8rnWu/3izHPqt0RJEfEdxXfK49C0jzHSueaNNeTA
jStWMPmM4Zeru+Ip2YeeISlOU4OMzbu8J+n/YHoU+54XO5/HG7VwfvNjGrzvnEJz6TKeK166abYN
h4xZqY2wuth/+f2tzzyfeF+Y3W9tp+a3GDuoen5aNMUWyGLi1mnLpMjuaziyBDlHdgUJ/41nqqnq
9F1n2Cv+a6tNdb5uvBfjDeXeZBkyfeyILsL0sqJ16sz9ocHNFPAb8QAhuLXvk1VdPRPlkhfoTZnn
g2ItuC5IxL7ONbkkf+kxI1lq0YerhG1uzvQKptCjx2pxHGrduO1k0n20IaJ0O+4zMy+Nl8jxiuoH
fPRrLzoCl0Cjjq3Jx7rHidfPRVk4d8s4EDXpKBMpPsxMeYYTEc7qG6jJ/RmSdfThcQ7wrCiDkDEc
8OfJD5oeV4eKZk/cXDaPubWf04cMEssVObncCR2zN2HglY4tfJK78rnPtSmJSrPmNtm02JJnu26M
7mvFA3m9oKFyb5C+5xrJHUJfB2JgU8QiM3dXRj9ydEaRUhMrrTXpbL27/NdegjbRVrbpl02q3vgC
amMdKJgyxESS3+SvWipjBzTMkIrOFDeTzNQwkYN0plzxZlkFAacJP5onhpNdYbQ+bfMOXiEjO2zH
lirK5qZ2F/taU4SIopRy5OkqgUmcBp4zVOkTO5Hhiw5TB/qKyIbJL9JhZqA3T17HKrB2jyWh4+zF
aDbLm3wAAcX6vlXku/nLgBIwh8G7f9Hidv7EAEdDyxGDW5wzSE/3C8r+duzJ9WZRtu1zucxUuXW3
FOXm3FZuu4eH20l3b2wjhYqysrsZopmsM5ggr6aelPADKpY3DGVkLNbSh1OJLeW4gfPmrdpLIsI1
JhgVxAwyuw/EOYynPN07FFnp5DPXejXc1ZK5xWE0WwkJk/JGFJnxI6jj2TNwlE3ivUO6eA5n1EMb
/EMJkL2LKVRiceeKjlpKPrsDBwcGbRlqCg68vk2tO5LypXveVWZ+r2XRkpui16gDrgYihz67sVHd
lCUGSb+HLXoYUq9IQfHo+nntbO77FUsuEnCcipu3Xel/Zx5/oaQIRhTf7d//xUVNNUv99bPKPo/q
BwvN24/9Y+Bh/LLP8w0Xxz2HUg6d/5RShPWLwDiDVVtg78VlzInkOynFQUtgSIr9eJ+T/HPgYeu/
SDjUjseyvOP3/qaT2v5JC2DgYXFsZdzBA8VhwPKTFsCuhMlLk02nhlKW0KQ4Kkq3WgaOUi+rW3zy
0BKhsWwq4hQtA5xbg78sa8EDilpLXXlP3uQVFw1u980ylteTt7MLNBc1pLd8RiHsUHJmmeseCiRq
umEIqPSwS2gegCklD63UMrZCoww429+3mGJCxu+Eum2viIyOwGaClW3Hx9ADiycu0PVOD/NieJlK
+TQ6GR2TbWOSVc0/0dCshyVlGeSJNxL8k+jP7dS/GB6dr5szWbA2HC2CC/uMCv9ANcWnqeflXad9
KRtks0Th8YSsFiAy3BspVgSTYmom+guwkL57cWmM99XusJ01fr2a9TpYCFOHkybOfe+doSIqtoB8
NBNb0kRV9CvkxTez0BbfpdPbb7x+CPWOv7Sc+AhsHKj8CnwMuneusmEI2ckxCdV5D1Nra1EKIsAf
U7M55TYG6Qbcc+h2Lv+1sO9nb1TR/pO5jVaTSaLHm+nWfrLyEbSApyJHGdt90pT3ktldVA68JDtC
58qxO97+TJ/82PGGrL0xXt+S95Aj4QEIasBlU39bazqjO6uHMhGvRTgXKztzWSaf41Iz+Bzkk9R1
FVl12QaDTrpxjy8d2Kd4kKUnk6JyOTyBiCiwgrsQbLRyO5CL3U6zx6dn8WDnKSnOnqE9vV0kWbd6
4Wp3Q9gKrgM2ZPfV5JFk0iVEKWNix8k/yKXfTxlvKskL+2xpPc6vnDxpAw7mIqQymW/vV5Hiz+Kq
uc0GgyFxM5iRmNI8cGOXYwmLoY8BhSpgx7nlev62SMJ9hAA8v5yzT8QP+O43/l8eI2VTiVSHs/JI
yU4NP7MPqwaj9UJTtNsNECwZ9EP/8vZ9U1JKBLjksgIfux2SlEuG9AtffYdzbHS98qIbyTducq5q
fGHsa7g6PcGl0uz3AmP39X1JT6DvesSzmbZhsZfUH7dFdjvyceHbeFo5CURzx31CK1B8mTFb3qSC
u0OK4UWAKAlcwTfsjVxMHnfj24dRt9wUs8YfbYvqE2xjM4rZ9FxKE1A1I5E2KIshvqy1NB6ITdJc
jLmHRN06ccBsW+jIJnNIRkph1dt8pPrEe0jS4cobtOWYoMtdWx396p3azKgAfkRNjQX1h0rremy4
yrCTsq+vixvP5EYlDwrDaUo526xJGencJ9jSs/spdW7fbi8r37aTbowm2UQ8NyMuFygjlMrqFV+3
nUoKtVO9Pi66VUSAILgNC+Svt+9Wq/j1tbi+dgGq8wjhEqjbTnLK5rN5u8qhA2+Hpu3lcUjsIuJk
IA+YYcqQbHYbvF0A+xXOLX6f2RuUppXHmCSNG9mb3E5vX7MaYWWpnstogfcQTbkRv7aZo52clF91
Y6sL1snQTqD7eXoRO4YiyldgFN8Sjk7Yirh7dI27mbGKDMzaiC96P9bXnDqXW2dxjt6cf9IS7IIa
sOfruDCLCEpwxrlY106Jw33aYJS5XjlWHYTLRVbTL3mtQQcItprHF+nnV2BPHt77ml2FfZRpCaiO
0vLr2JingByNGwilW/BYHOq9mWafZ3cAlFSTCV6ySicV4ViwkhMeionBw23mq2MwK4/xaN6nlvSO
m1GvRzZxwBDtidEuPowAoH9Gz5bBXSTa5oR3kX8IUqRvzyZTLmb0dtNyaJ8CLdGe+LvTO6fnkugd
+95c96hJrHm+g4bOsjNzMXULRfQu3KOiITCKdlCjK9rL7SgYRdqkSdk588r7Z43DoKAgnb8SopM8
2DXSiL2oIdQ8h0eg7bBLp37tzjQ2zt1NVx69uPvWCf51NeYRNz3TtIznia2V2cHo+8+eDnOD9jzI
mZ14rhq2v4WW3mnzeCswbPkW8Y7Lmi0YurVyKA3s9QzSzGJmqlcvGvNDepRoqNwJ+JR22m4kPWOA
y771+Sczb5bQaHNJPEM3n5wE9MvgzW1+gyIxXjLacDzf0tEe6LI27DHac5l+2mTqjvY/l/iOa5SJ
OPTwKvJgLUAH4qXph2iz09YAZNtplzYeXwE0NF8IGn22M70Z/cRaim9eZ2kbchY2giHg8T+fCF43
B04ti2zBMHVWQKU993xuT1qYsBSFDH/iGzk3m3YoLWrcb9HZPYFPyB6qk1o3pb2sAP2YHCdTSWGz
tJTf9yUN2N1KTvzWmVxzpVcBR/5DzTT9kgr36but2L8ZcvwkpO77GtsFNMumV2fS8TODuZTg1EHu
jyeRrSuY1PRbVrC4WLX3NPaNxWXFXWdnXOl//ro4rL9X6X97XZv+LJNBmCAC+qOAi9ZtrlK148mY
3x523INWVnypZ63wl7b49uev9tP04bdXQ9Z2TWZuhFV/erVtpsIGj+N4KlcukH0nIItYi2j70X/7
vf57CPiLQwDb9n2U9J9d9LcN8NP/CV9pOH/9/hjw+w/+fg6Q7i8wyXEBMJpy4K3uRXn/GKnqNoZh
rlGmKzjaMf/+cQ7ASsyoVfKf2ZkzbPruHODQj21wduDH4OADc/g7xidb7OOPP6ZLePiZnmH+NwUt
ExxHfr5fmP5x4l2EeQ0l1062Y4bnVMVhY+p+tQ43mrJl1PIAV/7kOTkKgW1tHzWzdI2dcXkCdKVd
x4yDI3qFq0NCzVAgmm24aZL6lPbWeKHnRoR2Kd0rOspB9ddDywEr0a5Uxrm5tSv3kUjaAnlMKhL7
TY59CLSUz0akC9xhwOzebMbB7LqsxocSW8e8k3HA+15wNySnIktvXKvqLyaUXT/t4vt5694thGCw
Q+u+DabhBMaIPZHrQb4s3QucgTAeC5ipSfdldIw5HPN2wJLb50Fv1etN3BOFn5UeLpP+OWWZ9rty
0ChVyKFj6Nt2xHePUJqYR7in9Qe5Tnk0sEvjSW9H5dK/64uVmoGkUK+9qaxDKSovaJ22P1mVy+tX
rI58UrSN1548rRTiPYgkbUIEm+3UFqYk7Q7YYAaYeUpU/q6Hco6xrNgiEjcGxiigeLbeWhH5fStM
MgJ4M1Yuf2rK4VJk4oaKGpwzVvUAfnCOVCyO9O+cWoop/BjhiahmQ/0A3ubQjPUjcC0jcNL12VHT
Gkxq/yXaAg4XhKawhG4d9I7mRqU3fmK0G1rLUl0AJGRXbU8w3zLREjdx0LKyPThbB+SqwPuWUQTh
0695krG8qLXRA5ph0JjpUH1eLQ5vlo4NZ2jod7PGZTmYdiJ9jQHX2cSkxrGg3c6DQR0N+1wY+ovh
HMxBW8Nh0W0kXwcWo5ccl9G14SO7NlGz/Nd2ae2rTvPOax0zw3IgK49DT3VPmRxTaxS+7NoO6LQW
FXn31Azus7ds17nJTAWwlX3Q6oy6H4qUj6KtMCLnv+adso/U9PXBnM91hJFWu3Sm/GpvWh4CB3JC
romncuCQN3NJeH1C6jNvDmNSrIGZxMQqExVMoKfZcZWUvSjn3GEl/HW1NyMo+uFq0YpP22qj0KUe
zRpkmk/7mCLY2MaxoeBayOhkD0XS0pi5sQOwkXADHZt3WBg9dnjwQYXAxufWw4R/bCW+Bs0iaqhV
PrgwcA6xlb/vTTe5qfW0OljepwRkyQXJqwuc1tWegABVQzC6qR2KMsse4AN4xMZc3c+LlP1dJvsn
vV5wEgpZPGxsYUKgkjek08uDlxczAJcUJRGENVqnLqJ6gWSiTE2/y9x+i/StqCD6eikF4oUZMuPk
RCRy92yYfRxkiTdh7UvOypnMK9DTY0jdd/t+hFV3GFHUQ9C+InATOYcMtztfdxroak6uv18JhvqK
2hju3G47qLSlK2zc4D5vRf0ISH+9i9tRvxgK3Z9ZmpuyMdWKNKJTcA4XVUHUK/GKWOtQHHir4zUG
ffbmrnYNrrY8kkqD+VZQ18QICxNUeZ46or6jx25IbHye7TY4J5GWJNEt/dsCkzhcaNi4UDbHoMBV
j7qXnYFsuZCXd4Wudx7cGDLrrFs7vBNbyjYDRLTZn/oAmpCbyocMfT42xruSbMROgsUOkmlfK3tb
DwQXrnolOFfx55kAAcNcV+IENYy/hEBiRV0eKuY0+CmJEt+ws9cOgLifeNsjvsLlJCYmAFBzQIah
HwR0WayRmTVm2NcdlxSAoRtQEYexMl9lt/u/styCKDg4j7GZ0gkvZDQyXdG51Y6L3X2dGGr6WFXj
W6ffWbelYVxir8TpWZoTZ7t2oDW0aEPI894ptfR3TWn+6rrDNZ1A+XlwlmfynowzM6Ij5Wq551HP
6icppw8loQlmu+Krm+JDnKgfDOakfDKN8UrYClCiZ16ypq8IcjXlTSmgauv9XYl8FOKggxDddd/6
HtZMRoDKd7axOcKrykLaePKom1V5zQCpP9LrwjnDiuUJk5sP4eZXuXryabXXU1PWxtXm5qAszbU7
KK+cQhBbmPW37Ym5Y3Y3FO41RIKF4kcOmjTBcT8bSXnoRwdQV+U8ctZOQ1d12dXaAT3qO6TxydJo
uh1NSupYXtKqcz+WxfJCYSUb1lV8aUZoqSlZS2RmNVMPuGiHpI73BoNJvlPldKcnjMmJe+5vfL5p
0c4D5WBzreKHJt+aaAa6u3TZ7PNAK6nM0j6M2EN98E1frKw1eRaO49mjs5JnDekKMLHuiedvdknJ
9B/BC9VI5poDndmrSMKZ1jHbLOeQiNkix9BaATA+45iI/MMM1gMYsPe0MusYiq4nY5B8szRo12Vd
xgdNQA63W9c4OA0FN1B59AsWFtNvgD6jjjXxgQaeJpyJn1v1p9IdavXezhQqGtes9n/sndmSnEi2
tV+lX4AyZofbiCDGnCLnzBtMqYF5xgHn6c+HqqqPlFJLp/7/ti+6rc1akgcR4Gzfe61vQSzbTyPx
bJyx+4bYrcc+HEAi4lFyO+zLDXdf4V2HJACNUEZjM1sesiotYNftG5PWprEWtWuGD5ZkbOQCe1Ut
8cqB03F+SbNVM9ckXa1KM3RuIf9win4hw7KcS0ajQydIXqywITq4O3Jy/wgPrNu5bf/bY/+TLfKb
8to3LM4s/7m6RqTwlW7yr+rLv1CGyOLte93in3//72a7+weHIBdyyWKFodfOcemvIluIP5hyUeXq
jNK/2lL/XWRbHqZUG2so9TTEa+FSf/+tW/T+wHdHVjyOVUTiJv/X39CWv46g8F7+o+5u6fV/U2Pj
UNWp4W1IHEgWLRfA6PdnQwVO3eCtre/JJsL79AWCxPWkwkO6KCTGcl8k+rHTw8AP5bOBvDuF5fnN
l/fXR/o23HgZYPzwETgTQxrhms3FTPidiKyCz1J7XqTvq1bpV6H9rNA7dUMWlBTtS2Gm9w1i/zoq
MRNA4UXKvBPgY4PRfLHp6M4xbTRGUzrT+qTytr0PxVgwaV1cSbYzrGhibJhrQoGuP9pTwR+i51nG
Ky17TenALv9T2TbaffXQkaGZFCAftEA5ZChU/YKlYzulsViq1az3tCigpFvWRs9Q7ljlo/Iypl+G
ReS0BzEb4IZpnSJJ4Uba19nuu8W1Syfc09Ddp5SUgDuCLruwNXnO41IGEzBTU/P7s+u/GJYWdBGm
iI5PUKRw+FwCNl0AzJgL9DgOZJVvhqlYM0S/ZXe/T4H3BehOgqGvXyVTlR3M3BvEBrDiyrcZIkqf
ZuvGHfOdO/Mxxh4OggW6sYCthqDeU0jkxo8lmRyRK7uLcilIch1sn9ux2LwlU+A6WqiuX3/1/57d
f7O5cHRf0tn/8+7y9Lnr//WYtFHyTg7919/8e18RTOoAF7FB8OwiM+If/Wtf8cw/XAdDO6Skr7vK
suX8PcTT/3AtHQAWVic6UUwA/3dfYTdiS4GWtJztOab9Ix+86/3QBrIWAxSWdTxLJGy/J45Fikj1
Mo3iQ1cIeaoAazLcMevuhGTH3uR2TzhJJi3jFlMRXN8IgjUscDjBxrgnC0mD4x1Kuoe9397RlUQ5
Y+X+Y+L1wNQWxjYob786VdgjF98HcRAThsRDF86i3cpUhvPa0ewRoIfnEINo47zbDD4DI6cupn0T
2sfSI/5n1aqoheThRQ9GiTxlNThU/r6bPuMjecT5GXKcDTv1MPfDolHI1TYZNH0DlV2eCQs0jn21
EDiIMl8Os1o+0GEPsYGAHb7gr2BpbfUFzVtp5ySsUxgwJDTvW6upLudRlTCALf2Jd/dwShHK3oe1
srbUAvGN6TPtX/moEZhulRl5SoWbbMh2zLcuHGZ8C6Mq7qKYbDOToId1ShcaYXNjnMDuPVQZmunI
64dLz1aAcPJ+DX+5Ar1Z4eDtEru/y4hAvEHRZp1DRMxMMdzWNraVklxxTud148vQR3Ux2IFZDwah
R02+4TNnG6uD+wcXt2Db4iQdTtYTkp56byTxhbCxtRgyvqa0H0hbVrqdb5hxmWvbGW38pNFsX/S4
RMJVV7o9nY8ZKG/R7/1xKbGIX2a0m8xGoA0mfQDEezA0u9Lh93DkxeyZ+z7VXxIkUhvJtQRZ2D+G
pdKP/tg+KHobRErq5SumN3U0OHbRKfLijZPR2uWAi2Mkim47G1zBhiSMnKDkorlChcXpDR1NLFY1
cezXEdj6G2KsQ0xAYngJiSw90z1KAydypws115970wKzWarZDcImiW7mMe2Okw9tm+SLNUrl6SIH
prmiv4yLrdTCs2H1z1BnS6bYIjvELnyrE32cfDgTRFg1H+jrdK/62MgvSUoWiVvUzimNGusuc21e
X+StXThd17jA6Qq+srEu2ktp6q/jZMsrrTa1wBz1z3ZZvIpxrGgZOWVzGFIcsDlHwGtQUAbQ61bh
2Y1ieT+T4AROM8wDtwlzScSRlMVet6WTbkO3KnOifcfxNY5mRmsGXNs66DTQ08BsWwyC/MoBtIoi
SDjaI/6tFkqTHusXzLMIvJ8MFZ6H2rwZHeNl7vwXJkirFrF60AoAq3ufiYm/tkXctLiHuWP0yHSf
nNC7j8L6s25K8DUpwQlBS9LM3smHwbuOUROvSp9BUxq75j5iz7nlX4hw/XXxVcdZBgPBeCAghvd3
5dogboFLj+Zl53dzxCxlaiOODvVLgUlA3ra9EnykDuWiDG8IFF3gWhnercEaNt3gTlup+ztlW/Eh
y+ahOZuziftLhkaBblGq9ISnKc0wD9RlvpqYSF12nNcCYVXxIS5CI2jqHq6T0DSmKK73ZLcopFf9
fCqRpdI762IAHjm6N9cEuxQqqOu6Grd48Je0nDx7nhwLJg8v+JOXCMZFfbGqQ2WQStXZ2SprU+eM
ozILmJMzviGBbO0xgOcMUjTHNLOIm0AhuxvsjsG8UUSX4+CMfAMMMO+bXHcOTu+1l3CytMcx2sQy
P0k9izYFA3kCmqPKCybNKohMPLkwUrGaupuqRdI8zeEcOPypU+7o1aWRw83GZa1N7aqpGlPfODRI
xCFzB4+dqm3O5Ila955Dl2Up9DaxYyDxUvVM1K8WVjRG8ix7mVNfruxJjMgADMZV7fCaZwC840HG
0wrAH0lDDha8aR6u8jlSX4AucxwdhNjSacXMKZJa7qaw+2gTrrhxGT5mq9gtjaVdLA9hoUidoFl2
QXn0yovFxSqbD/tybshHyMNq0XXW40jDpkj6j2bJ2yZgqN1dwMr2t0Nk3EW4V/aWVuinRBcQ40sv
3eUC6l48t/uu9uig8YLFEAo2yyg1WkdtqR90Yq8Z/2XxwR3ppDFl009A75m/LREsHWfOCykM/zSV
IglAv96G7qzWghpwN9Z+50FQSL7IREmsDLS3EK+y944GJF3OCA1GdaOYUX5mzUafrJvWqNZaNZlq
7fCIXpKxlVwxtiWIIK+1NQAYnz5YYhxV3yA/ls1pKogj0uE2f3KqdlpHRT0GaZ7XF2h6QWhJOz60
s/9G/7s4RE77CfWiDGQ2vhUF/T7dUEaAa++hMtr4gIok2ssxtzZF6F0NRniL1s+6gouMnkAOzhm0
cbFtte4qUumtJDz3PMbpDYgy7xiCIuNpzK8iUczbyc18Xo0EH+krd+hcerdduyEdmiOAA0l+3dqT
erAzekyj5Hu9BZIeucc5Jd79UnV6VAUmb852ZX41CzJKVlT/9lcboYspRkfC4tfzHYcbX3sev5oP
EyEQ/gNhNtf6n/7EKTNyupWCwGO1b4zoLsM/kuJenClluiy3iQA3yKepHAOVRgoodqUbbfFZVcZE
m0XS6jcrU4s3jCrnJ6uW01MBU/co+tQ4SYYNu0ZpIy3YQkzu2lDZcNQRorP150iSpiHuidzSYccX
7JgewtgPKvXSDefE9DiQWcPA0BTFrYfq8FjoBVoGywkQkI3QK7zoEwJWbdf12KA75TXb0WuMrdX2
dJMKRI+rrLH4gjKVTdtYj6JHW4XgN1IMoaTAMANGqGzvSaq0B0Q4jlyN4LBGWofWTES7XVuntpZF
HPRmWy8DdSWRg/Dm0rcYT1uUyyr2IJAIiTsiy+Oj6owy2sxeN8iDHit5yuNMO2hN41L4YcrIVtjq
/Gvixum4Vf3cJIA2Gj+oyO4gi8eS+IZBvb3QXo2NDXbTFBpR29ymPnpKTkmwhStU9rsuCeELerq7
n8EkDnh+GJSsdIS1CA9a1T/BbfA3SB+hWKRewVkH5+nzbCV0pDtnZ/XYjpkE9FKtPLRI/H0AFF1l
Me1ItHEg+LuLAouUd6Kp3HQ5uIkmXxeu6R3wfutPhE+l6wgGVIxH2PKyLTj+cuB26fU1Bp/+mc17
Diy+pFPlE+AtMpo/qOAKepcyJOY7W7DzPnGgTHlkqtAvO0D8MZLXnAPj4rokPYPpOaauoHfiy9oZ
662PN+VilAJeCp16YrvgG567nDNiQFBrvkNq0AaMoKyjJ7tm2OT4tj5NhMu9+tTcD+jtxCm0gWiv
EwKjLjqd0mzDUD/yLxE2WaDxxTOyse5JhbRp3cixt7k2R2vwzfqhhfnXrrGAuC8WWotx3XlMkxJL
sA8wI7gE0Kk+m3gU1vQbjQ/spwniAc1gKme7zwMkeMW0oRB05WC24S7SaVGjWmq3hClat+AOrABR
O8EmSmRBZif+zp8KGUC2G06zGMYr1UXjbSeylkixcULTAk6QKNH4A5lAdLLNqkLpj+zZXdVG3QaN
OfT44KdkZYV9E2guIwITddsnszSni7pL5iu0t/VdPSJPXLOfp1+q3uju/VInRdEAsrmhV+sfK4Xt
IhG5ftQJOtsK7teT3kTu2Zr7Ef5lXR1MINOBhr4PQIFdBwpzP7W/7ga4vuS6En2MPzQvyu3o1s4u
JavwgHgWur+fj/cY2aytprdBT6TcdRK18SpNi+EqFcI8sUkMGx5AHhYxkEM4sPNZWZusY62piU9K
3UAxPAHLP6hmVRUdzzrp0ieUvmEAQKmhgOrzj3HmOvNeEIcTJI10v+AOHT+5BQMfRPT+dDmY5mRt
RwDz2/+e//8vVmhKAPuX3cXLD0n5+duh/V9/469zv0s/0XIddCSUOwhufYQAf/cTgdyh78CiR1sR
Z+E3x37xB7Y+YXLq/2sy/+9jv23BzBNsMMB2v577xT9pJ/5w6Of1Yun8OxhzMUS7fLhv/aDKp1HR
K23eV2Gg/MBRHLCuv+mG/KRd+OMS0J8xgOPn5iM7xrslwlHmWsTbfc+4nSwMBpGcoj2Xr/TfPZf/
h1WWT/GNhRayBnDMmFVE+dppr9X0uXf+7ID9x9br7y6EFu+3S4ikwlsxsIScz0I/qwTM79uvrwLt
xfKv/K+GAsG2Z9CFYUdgvGkbxnsLcpdrNWnBDQZWrWw/gufSedKJBA7EyNJOmOW3aB6R+OUyPFpA
VLZ0JKhT04nx3jSMu6SGjG/Gs4W5GiDrhjHf2XSKAZDMMI0XfstQh7oa6WRPmKcxhOEdcjEIqIto
7V5lHrbPVKRklw5i7VX1a0HeIN3lLsgrY9hLMi+IXImB6voG73iclpcgNJb6hJLXTdoKYoVMDzFM
/5Puze6LRkIvbFTIrYhcNfeE+litkR52Qaw5w6mPFrlBNvU0K2QmLySM0IeErucmrulCpKIBZlqI
Y5gUYA013oadmIudbVLqo5d8mEqFiDmUxk6TImdW3aYHxkOw8KVhbzGrNisx1calpzM7Ti0U5JM5
Dbe47/hHMq+/EOSKoDrwTJJeqXouCRzjeUj9aB1VMj6H6TB+pJxW52EmSwDpL/F6ApUmWof58wiZ
4hlkVEs+vZ/PD+7oIqMYZ+Nz205w25zO7r9ojT3h5CeN99E3Ey+mXu7t88ArDH0LXzAnqMtKOWa/
KnpkoK6i91XUYU9LIkT1ltgRlkCn5BDD58vWPh0Jxs2pdsXw83PfafZqVL38lM7Tgz2bn30kDS+T
6URrW2rJcw+hl2NNw1fSxo2xK0f789xXmB5jiJPk8/H+SnOq3ZUTzv0j5llOLROfI53IPCTstntM
yGlYA/oTp8KT1DCEPFMStcYOcG98hlacIlrnGO63dbsdiYPfVThBidh1MVv6ocLWNik9XdPQjo4O
8jaKPfAnqTmj5mvSfsf0jYAKJx3usmqWd30d8odbf2lfwMw855GiVs9DHAMQIlZEZMlgYDhx7fl8
nYg2jJBWSW1uEECJK2yqaXpITbfY1nkDvpMZpoFduQ1pQMgwOqso0e/SEnTxirGdc23mTKEJb9Yx
9bbhWygcy+cu0cIrc/QJz85iITjsGqVEyR3a1zCIzQ1pdYQ/zJF9VHXbXDSaMG452y3RrrV7E2oW
xfxiyREc5S9G23kMi2Y+9wIv03pyBn0v48Y1D01Lf1/KKSd3LYnDt34iMsivx6pfWRoHArI4vS92
mmEkjaB8dlo3nloOoG8xjpEgko3NzAHyI0Sf3l+Flb98HyH5Yxtjnj6RncE32Q0TjgyKXLKaOBoV
QB0u8iiy7/UJHVCoUMWzmGPsPFG2O9p+47NH5NMrw+L4rBeNvh8SVFobW07JOhEJHogC+eJHI+v6
Y1PI4kqCxP7QEoF2WcrIv56M2brHiKsysLyeRkic4ZzI5FQ31oBgOqpb7wbYe/lBxc54bhVChYmg
8quJfhmYY6Euu8Z3TgTslTujccgZU717R6uVanNW874ZNQ+NsG6yQGMsm1duhv25nXVcFUtmloAY
4zob0jOr7RACS7IRBnDyzysi0zBHfHJml+SqgU0o04pux63hbCYEv5T/dQeOboyKTVeTfcRbxQ6k
bjenfHTnRS/bxPezWSCXRZfKv+mgWNmkvgjXpijnI582QlxQzUeam83JSTnb506YNOvUxfK9corU
PyA5dba4592NQKp0cDqfKCd3qvBhRNqujYmK4wIs7gkP/fqWKgGJt4IRpnHk5jIaT21DHOUBUUwL
ZRKMMsqGnu9hquYJv4k33ZR527zhz+7ZxobsnJOVvItTXa17doHXJPHnAG+L2PcmNAJBGtjWjKCs
ox9HDYJmBa+kltYfuqwy3noBt42I24ScHV/mjwq4+bVv6Nnx6x83S9e5KwiIPqgpIth5dsR4PWLH
v+48haLdyyoVcA9j3AD6s7GNqGhXX5dM5jqzV26HzlcqOuhICnr9DexQ9yQWpfUA7L1F7cKULVn4
nSWzxLXZReatXU7hC/mK1eOQFAAEfVnuHGfGYDuj1Es10FQj5vG1Psns6FbyA6Pb/uDRu0ARIPFS
4ijR9+nIcW5U7XDl46QnBi/G2tNiIb50OYdeGlqPkow4hWlfaT6UDK82LA5QFj153RuKY9oZQDMB
tfRyA+p+RvZMn3elT+6895PMvTOmTn/usXOj/+/46UgOTpBKEYUscPBy1q4ly4LODI+En3crXJl4
jkSj3ZOWN47kFvHTe9ZsXFTCag8yt+JPAKXCY5an7l3Rus4pJO0B4wS2H6hmw/L0a96OarQ9EDaX
PY4+B7CybNw7v3G1wLFb2qF9X+6iDHU9lKh5z+EaGwm58Tcj7c/AMjApVH6HuQqby41FPuEHo2jy
oKy5wd3Qzo4zd/SaROk+KGy9/JzyDj+YHEPvUbLMj9xI0Y0ba9F1n0r/Dp8xYnqbHIekrUswaJb7
3FOQgrIiWe4ixyCs1h3Zxjsz1Kabvs/m86zpw+cBbfdDIepwDcY+JWoJE8qfv1MGTvmLoi8bTLY1
bnV0JFcOsHfa0RmbjJUB78lNGWjOlLyUsvOQ0g0ThzPpPFlS2U9Ytuyn1KnVFW8qdxs3sbZRSaJt
tNqO9yIMGfcghLqtYkIbaQwWgZZZ09XXb713EONUBDNdm5m+1cuy4sXXpSenrQxaqnG1xHATV8qN
uJ0cgLiCiIig9NP+UKjeCuqmMNZTqzPoIX5eHSWu/uvQM6KDQdx8tv56L8/o/M6+ZnvUFZ59mr1k
uhJdCVGCjIi1YfdDA6CWdExE/MWBjq/77EOD3vWhDi7VQ55DG8jm55+b+ZIwrvnSaHAYRaMPGlQn
aIkt0CCQQUveUJgSTBY3yCXrsLwWRHBhyHdkBIG0Vo/6EumLVmlMg1mqbisIT78g7oeIykyk11YW
a1tpmdnRlgUjEILvbvAdI3Ft6+m6ER2vbhGX/U40lYYzDkRLtjGNNsRDa8Sgl6Z8OPjkAgIRsbv6
kjZvaXCKL6t78KzllsRNBMNJKboTyI3+uokwILUSx0cU5/OlGo362ITuuLVMA5p1k5XafaeTyr32
ioGK2bYWmxzbhh51PJq9g4Jp7hKCkL0B+wxe33LXG2X+qEtuJ1LmKav9xHjTIxqydoGPDH6d/qZ8
z5S0OJH9azYGp7jjwUwY9R7naZzPbSbEkc4mNLZetQeIOqT24vapSb/z3WEif7Jipys7az7rLlRu
6IzkbAM2dKd7W2vIhffDeLggZjldh/zRG4yFZbaq5ibcd0ZK8qVuzag8Qnc3NsluuaJrEU+oKXwH
iOOcELUpk+LOnLKWJlxaBsRbabveqfp2ZZHb9IojfAnYLJs7a7AUuYSJdorC4UbWDFYquyECJNU+
ew3UFMMuny2ZG6DkVHjBZWTMeSt2Tifq2q3ntWOAidDchWECsZa6hIRyBzBK3qDZpEKMj/XsFGuC
Q2/MGhRhBs3koyi1j93sXBPai/xrGoulbmsOXixMlH/J/VjhKm89LdqzW+34IgZkhXYJVoLWkp95
zygqiXpKCR6GEtyEG2+MiK+jRbrRvV47lE6N2FjUXG9Zw7FF24ygFwo0aZKoUEpkh9kQlYGbYNNc
0SEkV3RO49eIVjdqGgOFmZLTEEzeXN3VtmvO2Byx5S2Zhac4deubsszqZ6TYGEuhmrx0jKXgcQr3
Thg0uDe5V2cHOaj5aCZ+trPzWO61mOA+XIWNfWN77XyTRm57R5cfr1khhYJe2eIdml03mIjRWYdt
HO9yf063Q5NxJNfz5BiljPNQ+zZvfjsXJ8PXrD0tWsdvN2MVWbQTPUngx6kr3yjvjZeJjvmlAVoF
QIrpVOcBVphGU02ON+GsoDqo2F/iojuUiJJHsSjIhcl8jckc/q1WbqbQebNju0EtGc/q2jb69Fxi
odoy1mhf4BHCuJ6M2LxC4Ni/0CwWR7p85RMZduSZNCVQS315Q7pGgRYo9uL9VJbyFCeefUnwbv9E
m9DZI8Qbj7kTDadRU9lHBvSAHAnQIzoIKszNgGz6U9EJfT24hv2h69LK5BFBEGiQJXGBn4I4Oo0D
Nllypc1Zt2O+obAYPFglBBVyuI0M2scQX1Wa+oyj3ns2K7HIrmdvDep3pu+dp0xUC7Wixpt5FcYF
ETtSm8aNq1p2sjRP92k95MCnhc7Py9v2qDhVbKrYmlcjaexRV8+bLinuMXg9T2XfrCJ2+RWNG8RY
PtOOzKifWiu1NoSYjslKtwXKKIfKeFf5LnFiWVFd9HNuHlpG1iX1fKHCCAFRRiyttrc6jJZ7jkuu
9ln1uazxUToHA/vnY6+RoMm509txihnpaifhQ25p/QUvxfyGUjH9MBlW9ZA2WfNcy3oSuxqknUGU
XZNku6FyiPPL8OJymOrLM4Iz0mq6Kples9ZFNyoZyB8HU36ORsKKJO2dC/yjZPtS2X4sa91dq5CA
HFfLruZqyAlntbR812cIwUd+qotsqEcQQIxUr2yGG1cpxRB27DztAs9zmss2wsvbtal5y/P/qUdO
vpK803yod2a29Hnno0+O3w3QCM4diFgfp7azeHEJI2BgHJ5xYVRvCERf7bQbX2013c3S7GwMjOSg
A0c3sHZguOxrbdEdy/wOXR+zm5gJ9q2j512xDt1u68Il3c4DlHWHO36veZW9i2NXXJiZq9hcWimY
DfucTVMzenMU9kZigJb0cy3aetEk7jnq8D6J/OI1LIS+qSP/yZ7s8aTXhrnjXzE3zdT0d8waPonc
a69B36m3aA4HiE6jR7qMpdJL35/H3dCixvXRie4aOLDEjft8KVYonlBj2PfJULVgYhMe2NYHbgU0
A5qY628dzdn1VgynxRePbMjZ9VTP7pFBTbfqwQsHdV6GHyof2Erejt4eL1565U4hXs4FRLQyW6rb
qSMVNRrG8racu4gKVzsXxZJZ7KniHCaaeyMaHcpf6gLPiQfrixGVpBulIxN/RnnHsIzldekQXJE7
mXNn40IsI+aXoSZf0lKDFZN1u4LtNhgghmxmeCtn5ELuPh9r+uoALHbM8XMirCN9JaeyDpBu67s2
l/eRnKG0YNA7WlGldv3YvsZ+KfZIlXhjUQge2Ui1fWH5wwWlnDiOdhFddVGTUf/iP5d9OiBT6us3
q0nrl87rya9eRU2cvVXYzfWTUcvwBJon3dAtGbnZOvNemhphlRqhJf5VkreRic2oaaaV1VY1mT/l
NHM0i1v/qlRtfl8WTD8LR/m7mGnTpqaFde+a3edp6snsmilVWgzwR30eP6IEKo5OTjwCRRWHpGZA
pGhkKb593wg4Tuw100yPPP/OsyjcxyKiNoaLG+2pCpkhJ97HzkzkpiKtdK2nvF/VOCK6dj8IjiCA
wi6cFnRXTzBlKmgTadIzPpL2Op7sxYLrNhaNlKxsr0nX3A9E3n6JMZvdOLpmnrvJ/9JMtvYY8eg9
mKZoEeJ0FWoBv8UUwhhLrDApVTuYXBK1P/Ycl0Qo5m50AH7dCP2xC2r6unBc8ljQl4Jj/L7XCh3X
LElwb/ejTf9u0GjGJXXFPdnsOI//Dvv4Q2fXW1ZbZMBIdIm3fNeihqc1USeJdq+qiEFwx38lzHiD
PKr/yhH6vzeRWWpJPkTFBhWVre/7C9M7t6b9aHBhsRfdT3DVCCUdjEsd1P/q19/hO5glneRlKZgh
NsJkVnz3HZJqr6ucmfG+bNEiZcA19pi7KTm5eVdNNBU7pGXqnzbJWRS8EtpgpIRont8t6iRgxrUq
6fYq41vEiMVbmrw6Ar/4r19f3/duw6VTzlI4ZL9CU4GRvvsqkXvVc11r7b5QsbVoQrSUzc1LD5lJ
RzOn/XFTK4MOYj7HlzKfpt+sv9wV33fqWd+ymN+4AGlN/d1dgzkZIlUWdXuv0GjAl1yg24wPv77I
5SLeL2KZ3JiOvsyKFv3nt0OHCV6g6n2z3fc9rVsId1QREZlsV7kJAmNWJk496eOaaymSf730z+4f
6Mn4rJBrLsLU75f2HRvzlWm1S5NEEWHvwOROl0aw0PS8WVlIGVcqJvD618sud8gPV2xjfcaYjGLW
eEevtDpQMiJhWdGkOf7G4QHM7LyPXO5aX3D//nq5nz37FnsMybJI/n/wrGKl0Q3NUyzX9c59YzY7
Dv9T0IRC3/16JWP5wn64MuIXbU7gbDQ/2Lrn+a/fEjLp+LH7em+qUH6CzDmtNOz+l7SU9Z2L3uVD
HC7NpJFW/K8/xM9uWnAKroAKBK/nh4dGWD2Gbx33qIjssyMruvkRW+yvV/nZl8pPuIyvwBbiYv7+
1rEngjwg07OhLrvAkKIlsH1kEoYNEOTXS/3sgmx9SZq16Mr7yxD12wckmzDFKQxY+3FE7mqO1avr
Va//f2u8u5zE6U2XF3W7N8z+cnYxe3nF+ddL/PTm4P4z+HG4PSA6fX8dvp96Y2v27b6mdr2MpG4e
zapkUDaMyXOsscM0BFpeR/iJNjVuWwK+rd/taD8+erAGoEIRjIvxjhv1+89gO7W0tMpHaoBMikCX
3l0wI81FrqXNIav9cvPri/7xt2M9DDWQvh3TEO/94g3HKk/VVrMvyokCxVVnERviN6XEj/ciKVLE
Xzi0dkms/mqo+WYy7CMjnluYtvukx1zR1Vg+Cai6ECmzjF9fzk9W4iKIxkLI78B2eXeb+F2SzAp2
8p6tDXqPtkjnxX3dpo+/XucnPxPqExNbgLNUR/Y7XLRbFwA1W5CnMxbjNv9A4vw6zQipasLfsITf
B33xjoUN9M1S796x9KjcsHBZSg5whG1cJ6tiFKCAJ3+QQTOU84NyqMcAa4ftprHp7uttE74Qz6IF
EHz6IGX6uzM72mhFa9EAx36aHR0vrY89qqxDNMbzJUFTNPQbDLNk0moB56oepiEBVkcx5NMVSjY6
2Ojcc+LoBTAhIrl+c6H2Qp7+fm/mDc5cD1QC6j/n/csuz2fN8gEM7ecu7p98cFxXxuDdwsNLPhSz
FEeZ58xP8/ClnQDnCRypzKzdg+siqXaYzBpNna1N+UDqZ7nucfmWFRTl0bucQxpLRZU1eIgWfRpC
KzSiqYVmaoR63pI/dNTQNK8nu7L3zLbHTd97cK+mLN3QwhMXmY2WIc0AFUzs1xs/GteziKaNzRX6
fFtIFvEddPobRN/yNy+tn9xrsA4MFBy8syj5391rBFE1VB+K7yXVuouBZJ0Dv/q0j9IW+eQUWuP+
1zf3jwWPBUCCyDsb7xM51u8KngbO/jAi6t/7Xg9vNKmKoIlakL5WDaHWi/qLmNbrPaqy6PTrlX/y
+FLN6S6IKRAaP5w52kgNWizdck+bSz0P7mi8wgk27sFxpJ9/vdRPLhKBB7sRvQ7+8750ZC7KeZO4
5D2cCKYiSG9b2rXwqLS0bA8QthNv3TFgRy5r0rT/9eI/uU7qqsWd5HAyQGfy/S4vCBKi7VSW+y6s
iJsby/sIA/+C9v0r6OofHHbsZZMyBAoj4TvOuw2RHlAXVRhg9hDRnpQqx43pTfgKcsv6x7cp5QaC
KYRRnD5099011V1VgQmSOboCORJ/ROPVSq/H0XHxw7mf/ukXaOuLKcs0bIMp8vvXVgScgvjrhsty
Cmuv1QorAt4eY93lVtb9ppT68QFkMUobSgOHgfb711eDNiR2ZcGVafZ9bGlPzex9SifrPhrd39Qg
y7P8/R7IUhxL3SW5irvj3aNXWHGiSg0hhlXngUWv1K8cdPr5MK/mcjjSpvxdNfrzFX1KUX8RwHnv
Xy92LbxqWbExhmPm1x8qWKlWmzXQCtEZx9K8+Oc/HYU3GQ9UHaz47o50Os4dIEyyvSblEZrh3rZJ
ynb13yzzY2Fj6w5cHVx+gurjfUNh8PSJSB0SGwfN1O41URK4PPFG/PXF/LiLsIqhU2yQqoBj+d1N
P2nmBNzZyBZ3GtnN0lvnqfwiSvcMaoSBukeWg6p+s0uaP74pWZWNQziOA2fo/aMWYmbyOfZle5+A
2tWYEzmyLutsvpx8pvSQRjDjKj83V1plZ/FazADACI4Wu35qogM5z/mWLKD7WTnNrY8NbRPVNcXB
UhY0lemckMW5D745uovlxvnNp//pDwMVkTvO8Hz7/Q+DJCHOmWzke7rTZZCq/2HvTJbjRrJt+y9v
jjL0zeBNAoieDJLBnhMYJVKAo+8dwNe/BVVWPSVFEy3v+JqV5aBMJIIIwP34OXuv7SUHZaTP+ecv
5vcVlluErpKWkqc7v5WcuYkytwCYuSs6h9SyctipqXbnOt1XVcsnL6wFxxVVJc5SzrB/X8ktUHjw
CAsWohGAT6qE8X601a+iXj5bgWxKAAiyHMq5d3+/ypyo+hj1Sop4qIUq6rBNjRbkSADI3/Cr/fMq
mjMjMlG2DLxicNf+fjm3A+aH4Crl7Bi+LfeuEfZN3oSPf/6OPnt5FsCagySXg8HHx3hs00KbS16e
TFjudbrYtLTQemPYUm6ayHK/y6xK9nQL2y+2qs/WPBSxJnU1nbLfDj20TtXYMId0F0X6VVco5OlF
myp5AF5/y3L9xdU+e+A59sD4NTlZ/tYky/gbHbtqyY6NqnSbQyi4kXqiBH++mT/NwR+3Dm4iLGJT
M5A5f1hXvV4fSfGr0x0Ea/VBxGq5UVAcEwtiDBmzOUfeJxpYzZ4Iv6t6KtKTlTnGNnbRdM5EijFY
TqpAq8N+nUkXPUbfJ1+dbj+GLHGYoVHgcMLmzTTIovzwujRhq4L9ydltRpMxQVe/ap1HJovhtnvh
uI/9SHfCqWKGGIUhHlI5tPvQK19iFB2zXXWHSubmni6Sh7dWqVZezN/x5xv5ybvGTJsSlCgcmosf
N8TM4TOIkXJbFvNbNWvdRq0QU4awd8vp9c/X+uRBxFjOi20tjVqq7r+/aLo2kSbtdpT2ofam0nAI
ckt9JZ+z2DleQdIgmS1fVBifvHSaxsSOioYd67cSm9TjCVNnyZ+XWE+xiBRfR7XDHKOZVwZsnPu6
kXWAGmPY/fO/VcPOt3SkKBA/rpSm4iE3dNtyx1ntBFyhoSud3dCNJwchjUBCWNE/r9u44NIGAIYH
GO/DMsa7IrvWBH2sqBGRBNqAKqEwuhtZe/kutzlI//kv/GTP4XrUUABI6Nd+tO/nYUM4QcmtHZck
YsILZaBi7wwMFLH/k0sBSYFHQMHoftxEKwewTl5wRNPgO19bWT2vGqezj6LXtC+Wr8+eUYMXavEh
LJ3+D8/ogCSumOkM7Nq8v+vj8t2yahBpfH8iqm9AgXf/+HDEAobpQrc0nfHJxxdQG5m16e1c7GZ9
RuPnyHPTN0FFH+CLC32yMNNSx4xl0Hk2CVH7+9tXzYSJqSFHwCyyHqNx3LpzfffFI2HwOz6syn+7
xsdVGTJRAquK9zlxNHApojq0Vmud9R7QSpjhwxORKleWbKqgxRx3X8rGQSzErJb005TmX48ashBM
esGwrBXQFgCdpgyzWNccZtOMb3QvGv1iGsLnsIKinLeIszjd4mcdonAfWy5DCnUkJ0Rr0OomjO/P
hK0itio0SGmLzWmrDjXcAol09CrJVKrDUohVkQriV0cn3mpNO+0zC4nmYMT55YDTGHOldydKElW4
w+kG1xqanxih4A5xYr4q5Vytwz62EAun8qI0DWBtAvzWn2/vZ88mu7ij8ZyQXf9x/bRroqYmm2cT
mfBrPXavblxdmYayMfJyHSqy/B+8dtTcFHu07xkIfXgXgCoWNRCDYgfiZuk5naSe7mVXfFG8/j5W
M+mVMtiiNllSlD9cxgTLYTQjwCxE5DdVJRo0g+73Or1nCH2JIAX0nv4SNcUXRybj8+vSpeWOcrj+
WJB5VV5jZrboiZTT/BSPKi6hxlRuMLqoGf51jzNOTXDMuksHwIsFIkGFoB5mbvqwt1D5W4lU9oba
KxutMwsfSAb216naMu9kgu0l3yxt4KAOXJmIxzkKvE6z6b04cxBp4S0RTgT0zFa9SrsEu343V9E6
4fMEXVa94/nQrhM3I79kBCGJo4v/P58tP267ZO0ojv5QG9ZXX8Vna7pt8IyRZ81CsfBef51tCLW1
8iIdSF/uXifGoatJggDSuuGLJ+uzteiX63wsjCDd51kJz2MHekX1C/oNhFnF6z+/Lp+VNjZ42IV+
gzPIXT7EL314tdarsjabYsfQySVCDUieqj+WKSnScTt9YTr79GL0KzmzeLjbPh4i7IbFqIDkjf7O
zjmJkjVmVhsUoGipO/HF7ftsIYCnQwdjsez9Vvxm02TYCSqqXZM0N3rr4A0Pp8cya97Jtbwh3OWL
O/kxhnApZDk9cORf2qRM+D/cyrmtMu4vdVoyZjEuL12DCtnIvU4vPigNJd6ZVd35Y+UZZ4GzeTdF
mBqiUhSXboTFmYDE6d7BEoQ9I4zM+Yv78dljy/ds0EaifwvW4O/ftATqABqTMkfW1bvhRQ+xPtz+
pE78+Yn69DowFJZoFHuxzP39Ou2gTCTp2fmOk2hFN6d7LfDnQ9FovthIPytbaU4h2uD84PG/v1/I
kB4ODrSXuw7PCIFpZJAXNw10zsTVrrKyvgP7/0Wj4rMH+JdLfixYk9nM0Oip+U6RpCL05btnZojb
7UNTDl+cOX7Gi34sEziRMiSjfOQs/OFc1EnXrObRgSbT6dML7NMfUni2P2Sai0cfkphC7qyfsyLj
OV68Boq2KDMbRH/e0D6aNFUew9ptd72OYwFXGz6juGtuo9krA7fIsNuHrbuBFeI+uBar5gq+LIIp
pR0DgK60Nkv9hyoh4jgl2NNKfUnK/oQUp1p3lHzCHSRUIEOs+3zSbytE12z2uvXFU/vZW+wtTl1a
HDy3HwewMDQIacefsJuhBc/dTDaJaj5aUH3omT52YpJfXPCzr3hxZi3MLZqtH297lWhwmymGdqL2
FHRxoG42M6ffwID1C21p0aT/+YX5qZ348E2jmIEVpvO6cMz88E1HClQhskPyHeGSnh/D4rg1YxJO
CmOyjnGZZQ+VnrtBskRV/LQLuHGXPeQ9yT0dkr6tIiXK9T9/qE/uO8XGYoH2MAb+duSFBOHm0Jmy
HbQQcx03k31ZxJSNU1K2j7CL5h26yG9/vqb2SRMTVQJdn2XVJr1I//sbHY3WTEoQb3Q7h0hZjcjc
IEg1NqSHtVsPxvmKJwXlpJWtPXz8/sRMBueFqQV//iDGJ2vY4gtHjqFxzDE/tvdVpBHA0ESObzkx
GI0svgZhZPMN2urCOnJnnH2XoEbGYgXoO6OJrCk5c9Ql/vhaGlLdTARVPsUmhbfezeoTZXGxjSWP
FI6pFNo1kA0k+e8TYmyW7GFt2km8RitsBo1SdLvYrh2A0b0TuNFRL1MAVkYxXvHaYkIjhmF+jF2C
mDPVeVb7Kf3iYP7Z388EDA+6s0zoPzaOaLclWbuElDqwa29jZGlgGUfxKDQl3vz5Xn92KYTXaA1w
o7NtfNg1GTrVdb5sS15pwHip3cXNR5zCgTiT6PHP1/oN08kWzbFg0YfRxGSC+uH4Xyh21stccDgY
oGStQIgRgT3PprYNq3IICifTjlqphtfdqMuTrivRjd4pILaMrNpWEIj3Pz/Q/+Ibv8A3ajpNrF++
u98C2LbvJehGWmf/Rs3u3/7v//nrZ/4COLjqv+gbap7pLAM/ZEZ8lf8BN1r/slWPUZmzPLlL/fdf
cOPyov8HAKv+a4lrwDzKY7fMav4JsAF0LEvTr2u4t6S88cuY+9A3sOzlMf+ljvZQBblh6WY7w42e
ZRpjLcKjCahKfeKpu20GZVcQjPnk5toT2mBtg82EVWA4wE9z17NS63tDgsZvsZmsCoKT90xhiJOd
VHBCuAp8VPjND9jf4MNih2wgt1UvlCirXlSyKc6KDv1tVhAbG5mc/coVYhMqxbjuI+eM0tq9lrMI
8NXnx0IKyW/Dz2zIGvkDyuZgkiZC6K7x6yG/mlp2cfhYHf7zcd+gfbix2tAKSkc68JVkf7cYafxo
GmklCFLYTUW7kSCkt20XPdomMYZUHNnWybP4slOFBpORz6SqhbjW7LZZW4pdX7uGszZF9tCP0wqf
Mi6f2rbIERpeyx5y2WAMMmjMavwmCjQFqaQeNry5JPustrdWK9HYmA10L2IwfWlmNNcM461jBLsx
ez0MmC8jb3X6V32YSMLshkPipaR4CuIbE3Jmt3NXRGu+1ZWMneKMoWzTQaWcS+UqnJJs3Sv1uKsM
jwRIp9TOXqVnT91gVY/WkGxyT97QBc7PKToCUGguWL7EhUHkh3122SAEA5nvDiQ6FHX61M+luEmN
mECzVul87NhYQ6poaG5r2Ii3Ogf/IxCuGRl3bjXM1+yaYJ1KnJoyk0+hp7dvHprshzE38DgxUscJ
A277Ih48IkslQWkExLs3jiT7oWDWDQFexzvVGW717IiEg0+CYOehSNm5rAyXkYqz/mQW2LIRuWdl
uonUqrlwat0N4Npg2hee3sOG6Ot61eoVtOw2DLFTlGpxIEe8r1e1W5CnJAh9BslTkhwP0Lc8TnRB
N7p0khdHHxQbxxK+LkBp4cPPGGnXCPP1mIvyVsO9fDJwVh9NmXgX9NlIdqhCjLee5ogIcQBxIHmC
uq5TjfF6sgbi0Qi3JTwkgv7WipbvT+bIJTsZZitLDFPQ1K75WqsGNmgxqd+a3jH2CpHVYKRa9HtR
U/JvYG1ccwMVfxgnMkahOmt3FPTFAVez2Dp6P/WBiu/1WkdO8GDBT0x3Vjvwx9eABc5AiviMC33s
nNp9eWyBLqdMc/keKjfjF2rdGNfrrBEF0bf5tEQQVM8x799WgIt1iFck1iscRWuvnKWGq7RCnAA4
tW8Ebw9brTeqd2tsCAjoywpTCp8sCZPK3Qy9xq/PkALdRHOs+MJqLNs3CCS4MUeeQexC+Q/Im/BY
QVzetYmJ09Ve+qOgP6aArXw6T73V3Tug6n6QNZroe2tgEQnw4k/Yr9phm0gzefn5pCVWx9Wwz+DA
0Samv2KUSJpMr7ySFZNl+PVJDxuvzh5MT+qPslBEue5y07lpoAjuyzQczxpJCUSPdTopGb1jsuXy
pfa9WRyIqeNb00M8cgDeuzfoC+JUqBBDOQ9Nxxqx+jlUE/csCZxZxzyR6Qo/ZfiC5qleSXy+dCLD
kV80uFzRYXC1yaJYucWWOWxB+pe3dVR72zLrvPXPbyuXeXkrools5jYNaU/TreEUBT+FfDXTuqCq
JkWAGhyXkh3x63s5RSTJjDz1M/8RLrzPxiTwo16yKZL51Bbxaain615p74Y6KleDVb4URBlHuT35
nnupd/2VKqPreFigJ128y5PmhyW9o2eUqDgpKgrdOUOJ2RhDvAVM9hA1rR0QHutewOdgoQstiNRY
BKup9F29KM8d+1i/0o2y32pCs8/4ee4xoWonG74UWSEuViAHfr+GssEX+XQSo0eMLKy7sDzgvwuv
Caker7RRJ922hB64YqgXb+0yJUnQA1A7EWiwciowN8NAUF7npnUcKI32VtBOHmr9HbFreaxjUR2T
uW/XhZ5re0O3vjdatyuApaFPAGA69MYVpvfwGcLQU6u438Eu5ohViHXPgDNwaiyGtZKD5UzaGf2e
3uiwJGy7vO1xTWBvTOY3yDi+Pse4oeYlhrkb8av31cFz0q2RdLEPVIAvWBA9MNZ9uEoA6l6ktnZv
T8QPOB7C2HHK9ypDWIZ2NQmYbl+BCIclCyDuUEVztVHK8rlWexPqcKleTKnqHBoe/G2C3Duw6J2r
2Ot90gZXvTb9MKbqXAnXeRe6I3bEQKsvjq2UgZamd2DNktdpUojrSQba90ZNnHdftCsAed2BBHv8
JMM8sx4wd0WkBwWIbBvV9GcC17zwts7bt5hMprVauNNpjBsMXEY0kIlRdLoKIHdu+vU86MVFqdkn
Bi3pDY9Vs1btULs2ZpKIpA551c97zBYpdtjAbBVoeZpevbcWwYLEO+4n1I7EdVevfUYgCI0BL0i0
4UkNOaKoJbu9p9fWljS776qpPtcxcR9THd5j5J5WWPeHJY0iZeRgKZeNad2HU6H6Nq/hKhFF9IRO
rSVSxmBMqLoXpI9Ea4oE983EWnV2LKHdw91YagjIV35r2hOT3lCiQtdDF2DmkNwnDvRCszXz9zZ0
kveuabKDB9BuiWIlrWpQhg17utwAujvAASFcfO7UkxMm5Q1jqpH4uprKCmDKSgIyOVVYHV8KvDYv
ktHjCbRP6TNnhgSITjUg9QK3MUe83vHjApddmMJfWdljEl0MY5dqh1YPcanE7UzerVf32ArrXOWV
iB5AgihXttaAAzX0seZLJPqIQCm6BWlCxIzVmDwxBSa+srbI4zBnyTaISPRU4tU6mEu3PKRnTphs
HT54tejOMp0FPv62LopV5xXKqQP6sadSSLeaWtZrMWahn0mrXI7i448i1/UrADbdvWyE3FWxUz/a
dVeuMtbCgAYPFjxHols0K+GrzrxPc6qwfBiUg1qygGGCrGGLWa1fQbL0E1BAm1JoLh8rq4H1Zt+c
FtJI24TyKrUV9bIJi2aTGWWzrfUYDZNMsblVYG/LZGMqyjbSI9vP3Pk5abDiBUmBvICOfONjosPc
GrfZBiIFkL0mNbcz1INRkDvUlArbQM8BHw7ucD2n1HjpAHS5tAEVTzgHbmtspDvXSJVno/NOZAS3
79JhqlDbU7eB6BNt+iyscO0TzdQ0QgR9gy9xGXQTZqae2UHLq8JB3Vh5oChbVVoPRjVuR+YNAab/
24ne+GkUOm0lFxDtVGhbW4rWzzTs+kMZvdfjtDU6tryhLrP1wLxqPTI5O6AOxdmftOGeqNYLxp5n
vPZW4IQ4ncBZj8cwcWOvC3B0p9oa3OfZS1ldtaPTkzY2rJMqzrRqm+YyiW5oVNcBr3Ar8fK00sSl
7SlKxJYQ1aqKC1yNptx3wKaP+5H6FzshpUrqA/hIrfXUJktyTaWDscF2THAK+3ZfBoDOITi2wEcm
AIWuHHBCGcxRd+yGj2Nu3iiqN2wAfPR+ZPbyNnRmKKnTDFg2scpNMljmZWfNTzVYT3Sw9ll4peIn
QD/OWD31IPOsBJJEZX1rR5gJiV7M37RW6y5l7igboQ3viHf1tbR08Onk4gTg9M2DOXL6WVlxe+1B
qLqQjl2fI0oVMqZ6I5gU54WjO351sGevssMJJ5TGhHkfhodcETa+PFX107ot/GEQI2nukJWqsMq2
Y2eKLY2GO0/pgGal0DnAH+E4S94cHeSoWefNyQbUBXPne0wwbhB2wjtM0WyjOdOWoj+amu6basru
DQplciFlAS/ebc2dYROEQ+TxrYqtS11Bp5iVIB26dD/PIdI6WgjThSka5YZA+vkxgwd02cb5dw6g
QMJKvV5M4t1sHYktKwNRxN/rPGfXV+r8zRnsZc0Ku27TF2LYNJraPFO+2GukyuO5C73ZpwY6GyKx
roxkjsDR6JlxUE2P0LAJYjhmG/lg97I/1qCZLuaMtD2/xpp+lRY17M3ZNeJvRQ3QF+WPGDe5FrMV
qJgV8EMIt6QOyDz3jewQFo4hsrSzQPH/2DVO9TwbOfkXcQmMAFKgqbDkI0PxexWBckHRv7a02T2G
JRyCloVxDR9lLybCiyvJIasUc3oSUS+fsXuQm1o7BrSKIsbWnySMYnUuDjqEooQknpiDr/C6O0Qq
TcRAsayLGV8s1TN0KX8UcgZ4ATSfflzdDj/iNqc/xdxo19Sy2o1K8Z4uM8UWCzzHx/YCmzhkn6hx
z3auDtdR3FVnI/HmIAWwRjqRqaBvKt01sB0BKsoND3ywew5+YeB4MVKpJHf3tPaivwTY/9v1+aLr
QzyPTp/5vwDJ37o+jxNnxSL6tevz18/81fVBhQVnEyeCjU5JpTlNh/ivrg8ymwXBCaBoUdQZv2I7
rX8tsvBFF0O/ZxHI/LcJZKoEBNHjxMWJx+SnJvRD6s+fUoCWVuUvPSCcoJaqIehDpIJ4xPvZVf6l
BxT2UhNWWMtTn79FLaTE7IsG+Yem/G8XWGYXv1ygGbHqVCMXcBN7hUpv1XuvYjgJhgb52y83/vrf
n/rXOKGfuoW//TH0zSwDU7QBCdX8zRY5sZLTZweBmFgZkMCKwRCGWHsCa6entfXSJmPkfo/L0O3U
rVqR3DiT8mRNojgg9K6j/K2sS9eJSIEwY/rMWyokdTvhSmd0RGxeftE3VKnmUbWZ7GStl4TNnQsJ
7WgDEgzvprrbJLqwDozyGfITGyFWUxLWHN4ADBPEaFCsr3QWTwQzcjDYawlghh9wizWG5gpoq2Jw
StLhGWSsoJTpQCJ6/dBolbifxgx0dlhT/c2LT3GTDyIz8qPTASCywISdXIza8kUpVXuVKhEtLbcj
SAOvkmlcmQrR8Mek8zhySjoCZCgBVgk9hSNTmsDA2jq0AP5SqP7vqvHFqqGZiEN/eXh/WzX2b69x
+eua8ddP/GfNWBYGkyMAsxweUEY6v6wZzr94wDXG9aiNf10yfqbz0v7ByA4PACf5/18yNJYMxMks
KCjtmREa/6hx/NMW+Ot7tvwG9NQYBQyMK79pIFONp9ByQvsEQQHjXViM9bFwJgonxdUmizjKUcdZ
SIuKfLTsdhaV5X0DMPAeEw9/azqpYfmwve9Qoo+PJD+Ko2U4xEdmusu4sipslglsaMx8FU6K3ZnA
0aimgYMx914toNKtin8/+3Dn2i3n/iQ5OXrs0WipM3cj2rjY5+Fk+E7S134+aVFQMHILUD1am1ig
11uTOXGDDxW1V6JKyHEcMi/aXu+2kz3UB91r5Bt9xhcz7zgPeq36nMnSYc0Q1UuTpyqRNjmWPaN9
BRJLsOjoxrQmHL2Jj/MUjzu1AjzOF6WcioQgxsBxBlj7Lqwyv/n3q+5UPY70BR1EcaALmVwpcaw/
DtN4YdJSCzRBsk+L/vk8tUsfhdSAYOjUx8wS3v1ojdMVMYzGttK9x3F07fUAjzE0hvzGTJR6Z/aN
fmryHM4fLUxksUJc5EMpkaHH4tJTslevq2nMVPBRLFJEjnWeetusVIZvbeqE+ym0jA269uw9z8hj
nJEnvLPwurXvtg2OOl28970OWV6K8QmZGYz2SMDErys38us8c190HQS95SSAJN3yMRf5Y61w6aKu
ZkhOkmidjgR7jovl2iQc2LcqJy9WjixoRmR0UjRinrz81plH016Falztlyfyvl4yIVwtJHiJvnW6
o/8JVSR2nI5PPzhBoVC1IwQ07CmoslH2K5v8y7OZaun1NLXzVShj1Seytr6IDV2h8aGOFlch+9Rj
0L01kwyvXK4Y4lbabXZh5dV0EXPkugThkED5CeW1bOpmU7Tt+L1btDMr0FGd36dK9cPD10COvWQ4
lzuJvOBgJ3ajVbQXXQgLbDXaMnqL9UzxAR1bu1ijoQ8qrHJAx1C+rUTnqCfGA2RfNN5MpFChq4Vf
29CMIrftH4xx6iWws0nfpEZaU2Gqjgj0KIYBFOuWD4FUIcc2173jkOc0AbsK0SZtMIg/nhwvRM2H
cmob9eY8tfcR1XS+GlI9/lHS8YenlHkk1JN511jKmz2TwWHEMbFM0H3sldEoUoe6RwywURnVxklU
75E2droaGucI709c5y5IYmSo6rfB1rKNTsfve1qH82Ee84EQmCGGOddwdKD5Jp8QDxnXSho6AWVO
uOm7EjhLkcrpWIIr6HyX6dTBJRejIlZEiddTr8/X7GbleiaG07ftEencaOj7Vk+bM7k2jKcz2T9Y
MawywYmFJKGQ4ELHi8RRqYwJZKrnkpUD1HdlQzFVV3rmkZfkSEJvm2Faa/NAiGwXTmsh3fl+GAH1
DJL0jNiCwxV7sO6azgwvY7dorm3CZrTQbe4EAR1nz+h3TWHMV5Jzhl+OzsHqea2ZR+njXoQ5LQFp
l9dJjjhFkxo8Yrdyp9u0zarLvB30O12vkxehanWgLPFRvUSG5U6AfPcFpcjtmNS6D03HJ/FLveS0
SuOtlDeRWTcXU1IlPounemp7vm5a8BipcmGwKNReEDHa38+19saEzj5VaKD3ujbo+7wl70to8Kug
JIHK4kveNqQmB6GocJpVZH1PutHd0pqZ3iG7VeSbORNqCo7hzlRTXzQAnIge0WOfIjLdOv1YBYRw
EBGsz91RxP14D+PK3NQVCCfbHexLdQThhLZc7r0olkGYeu6zUaroyiqZ+cqIC7kxwcjTZbXsZzbB
eQeSRnnXklpZjTI20E+Y/Y8kVMqTaYnyDOZX8yukuhy91NdozqN1TXZLoJfDsHWHlgRiEhriZzTY
3UWTZ+fF33mIPbvwjaapjnoWddczKKKNhNZ3rWrCu2rjxTfYESS3NiMYDblJ/4lzrRvAACd6wYnN
d9Szw1o64/ee/rufsmZmqzCVsQ9HVbmIFbqn8J3kYzWCRjW1aj7brvQYapT2c+/GvBuGDb3KIr9Z
E+mIUKVXWLAIRpaWMF/SjJg316nFScMFvp3VUnuVeWQynZnvaTqACJaTvrMGLPwrVQmtWyG0MajU
2d1DDz/PqranelDhLRmavSZZhC+4gEEVwFy+kVUaPSojXMWkJzFrsov4GvEENH3wkfKBzOX64Bm1
c4gQIrusoGQRs24qftupF62jGOd57q/7SHRE0KukR3HD4JP3/V0y6fkBMzAFqC22hacVF/ZMEqDn
KueUmRMdtqYkCNNYOB5F5O7EaPcb0uqydWv04ETd8CKh6bQt7ZboJgYqNJJVEeDjNve8UPGmz7Ea
R+SjrHTaSiAWw/wigpfKVhTK11io1VYZVPs4D63zXXOy7FvTVsrJapub1iD/eHbNe3Uy2xMu+Jp2
CXlVTafMCFscMASWM9y3wPsOlp2/JqQK7ePEiTZEwZTbYdGs9POS6zwqUXuAOEvuuYjMcxsV5fVc
W2kAKNQayOq40aJKfya2GEw+uzL0NS0cHjWwsLtsHqyLvBIJbEfQzUZS+6qu0rM0H0aFnDzVzTOy
1eAQOWCh7zw3qrZ959ZXldsBe20rY6PW4bvLaJEAciCPdMXp1NCv3LVlNl/EJsy4ykqjpwGOxMpp
hzKo5qwOTPI+flh1dgeItvD1NHFu05CP0GkpE16Epis7MS4HVtV1FWsvYUuzIS/N+CqpStC6ynSJ
nuZiCjXzPoONeqgTw1ybiOiB8cbeRoxp+NL007g1R9G80Nug8eX15PgMyKodiWqeMOUXST4cQ8xc
20Q0uNKl15T18avSW8w6J0NdOW4Csc+bVtjLs+PYHWEim3SkS/JPzKyM/NhVSz8GTnifKHZxS1GV
HovaZau3NNooQhIedlWS24L8KqpOGYqsHM//1h3V5lIacECL0VIgWJv5Ro31CIBHwbKjJ/0uotdE
f18m9jVt8HEfmxnDGhffBuGEFjN7+dJqrLUQvqxqS1NwvqqYHfup1WiHcm6KjeXK8ZWEeDdbtfVM
kZK2NnjELAKySIyiGVhgtb8XaVy92BNDDMrc1zzywoAP8gP+eb1J6G5iJSsUGNit6vp5kpIZB3jE
9p2adBfQN2lxCfuLKW5q2ms5cIL0FTN6Cztg8szIJVua3XQrTLcMfdPkirrX78RiiNDteaOiG1rP
MtQOILMjpiNUmzHqwl1oKOoP9E5E1WFoXvUdw1B41NFaE+BuKT2adZulN5Yzp6RgEVZ0DDHCIRgA
2q/yVb+UGjFg+hgShVf0FSIzMuwZxBN1wKSzDWqZMbmqndB5IvWh8TYauUUkLqk3TsWGhHEjSk6a
7LTvY+VkV/NI2K066Bkz41TfhMUMzvfWHcM+CYNwcOPyu+jzAc1EXmRw8pwxTlPzEFquSI/d6Hrl
nZwG7lrZvY0KQF+voFJeJY2tzSScZZqDXBH7WGDB13aCKY6KQOlCqJvAzMb3yq7iN4l5GVp5az3x
M+WLEslwswB594wfACtqgzsGauuKQz+49WVd8a/L1i6fDd480NHNhisql6lH27OnsbwVjlWVq6ga
i7cmVLVLMJnu3ta1mTcYEdDJ6e27OUafUjMrfzNRkoar2ZmrY2h5cs38sDk3OazhxM4bZtJVfqPK
mDx3BuKMbpBh7sysI+oXHXxA1acH0HihuMs2X0WgYsG2LbFmmaUf1aI1D43aUALgP18zRh4Dy55y
Y+UoXE9Nq/J+FIP5SE6ENZIbWjHWIrBVX9Vqlvoqd+4sQdj4IuumZ2mFV1HiclsByI+3jN6jYEgi
ArS6flYvpwruYdIBFofcMqLQgGrVr8Kocq9cdmGkM0xE90mLx3RFqGJ+GPMkuYvcrHvuKD05M7XD
aSrm6DYnD27jLjc7zONkS3Yypy9Lz+OTEg6YucoC7q7dV+p+Str6NgxztQNBzT/tGcfv07YpzpDY
CX6ttfqhiRvtSavc+qkoI2IVHPXC1AlyYPCrAk3Vq6ond5I+cj/A3vby6naIx7YIwrAqnMt+jM2b
Iq5fnblhJIzymag5JVZn35Uq274g0kFyQ0L7Ks2m7DFRGX67iQy3C28PqGUP2JOjUHdP21e+DYpm
+BWgu2ObR1XAJyo2sFF4CcemwBhndxaTwLqh1iGKQg/C2JLfSKYkCqBUkHRC35yua8dNCcX2MnFu
iHlaqfWM/mBIen1NfIK21nHR79HfiH0MQ/PCigexB3jpnDKLk4Mz2jxMqvItc8v5Po6YD63I+uGP
Y5RcrlXCVB9TlgqdJ1+q/pw485Uylcwm+yrcdvqQnYulTjJmnisC5ADYAvs8hHrKAI/K1ycsoNwV
SahBodEWwUCxFLKa1VxYC0haFKq1rGConAjwAmLaiiSvn0qE5fkVbMvWWGcIRIzLWmMXWP0/9s5k
u20kTdv30usfeTAEpkVvSHCURFGULVne4NiSjXkMBBDA1fcDV3ZWZnX3X6f2tcjKPGVJpkgg8H3v
CO9GWxUBD5BkxK56yweNQOZ0Jdg4P3o0ZPIDkfa/DrVu9adlMpCLbIyBhXe4KlM6Pg3gpMT6GHAx
Kk13vCV9EOzJWE4Rqkirgd39f5UYZSoQIVyWRNNb6WMbLCv9zwTVoDP/A4glhcmFUDJBd/4x4aTt
9JSTsThdEkO6EXmhKZTJyCdSnQwK2ePkq105hzG3z07h7g3R793U2gU+edRq2clm2PGrHsh7jgpC
vf+ETf1vwOr/9tpW8FqQ9kbE1j/oXStr7GozRl3atv3Fb5kV4yMY7r/+l6BDFD4iAnRF//gGuICQ
LL10umW2uVn/8YxyTwXb37S7/4Yk/ykkCUL9p0/kf0KSyLBr8jT/ikr++qbfUcmALjFsOATIuGja
QB/5eb8zGaH1m4tok8C3cJVFw0r8oV8VNn+EUgynkYd52VzRRB5lQ/qf/+HQaIZJLwiQoWKvgh/5
V3BJLMN/vU4JvbMxu4P7I7EFMQxXLuJPXEPmZcA3lkzPukOTh6aCJmwXacxd2/lAPbO2RCQUlGhb
dB2CppiQUSaMgFx1BHdNd+ytKo6pqippFF18QV0e9cbTZjBN/YTOpxIHK/dn46kI8/61q5motyPK
yZwI69KDbbTlyKRckYJYxmwrG0WJJ5LORnn3YU742Qa/MZYQaxkI8M+bcMc24fS70cL4snWmJj5L
GbfwvoFBRjse1/df8q4hCJNdspjOGtRdDnKLy5wWbAugyb4P7SGNZFh5D5NArleN6iZLeoV9afE4
ZpAzHR7sVvbc5vn8pFNzuJBCXN1WrWK983VjpNs80AnFDK6ZsO3l7a10W5R9ydSBiDTzkYCg8Gy3
fXbHsXtAekAKfNpkzd6tUfTZMi14M/GQ0s4Jl7QXg2+/liFEfub05bNla28XpuJrMs7to9vMYQRJ
6lyVnfensZlFlFr2NfUWGbm15++MGcpct0Z5dXyjvDj1dHNNZlqXIFYS1HHyvnux3R6E3zhbEKzi
zqqqMso83d3GnkOdyJ8Mg6mS4kI2i8NrU4u6p/2sow/yErd99TMfybseC3ozpEtCFkCYvOFgfXep
6wDUoePJM9KOOhn+J3WX1xC9MNb0qt7i5DiPU4O0IQvr57yXzs3Rob5zWn+6ZtLsntoi/Z7bTvrN
bTwSpBJ9BzQ1Ry7NXhvPjgVP8tagN1tXz2VfVCBepbzYlF9sKdDp18bgp77Mh4uhC7XNuGM/wxHH
yIxsfZkzWUWtdu2d5fJKSZhPInOMk09LsPYRl0Fnq21eU9C+JdAHtVXbWndO2pnn2VQfJV+/clvl
kz/WZRqhhg5vfua2T4EtRiCwOAd+T5blIgwgzbzliVJQ2oFKW9U30+aK9j01EGkuxN1MME/bO/Rr
ctk/NNpZ3sAB3WxnDEN6FmtXayuKNd7VGUXUFcV0YHBPqPpUd54TyrOZeg/jKDsUvR492pBeOdFh
mrmrLokwllyDkTZnGMMYCTJl8S8GTwTUTbcAtSyFJ3diDJlMuxoNlcqvqdM/GghUrbkPo7AUN2YP
mmaC9l22vn+q8uZldlDnIaP4Wvl9uS8ye5i3VWbfuQL0CcHgXTl/UI7VbhpraDeLMl8FkbjbcQ7j
YzuNxsOESRRDeJtEuSneOAzlo91W1MGAim9LIkpPM7LMFwHDR0sbsfakKdBvh7QHX+fZZ2TbxJn9
Nvpxt1N+1VMjjYqeAvllyO6HaqBzZ0BWjsK2jlkhsALQhy2qCCy32k1TSzXulGtS/XN5I7azfCLd
O6HrnbeZimfnRIyyfqo07uJ6KOyo5YF9WEgXfBD9eJ57ZzpRwRMXEQDk9DQJOtqs2Tga3exeAK3T
mhuskWIyUS4aogyjzmIvvs7x5FT3U+Neqj74Dkfq7jxvCT/lTIV7YVMukgZZfCX+JHtEJfOtFi1o
DWXkm4XaVw/jyrBJe3P4KskWPphV2kZ9W9p3SVmzgpN9BnCVlITri5L5LqV1gGMXRw3nXdn0TbP1
6/nrosIMPQfnM0qh4T6b9fyVJNiMHMnM7J67Hrml6RGCHdTVY4OsONyMIXPpNXFjFJ/ENEnYEsGw
V7r0Asslb05tMcag7jUVgU1bh7ch93+2DfhtQrL2fkqDElAhsBBv0U0cbFqPrIp4S5e10izOygXs
p1wJm/iSLvvAHqr9nHZE1lIbMpVavaQlNXviSK/EcCYIMlU8W4zuvTDyZt6kIlcmfimW8seiDxr0
+I0OjoUCALnXoveeNA/sZ6ePuUWKiUsPpGp0v0gr68/pUs2k8uNg+D5w9WdbS3UJOKwR+3T4ea1/
60ojYElAmXOmBz04d3Ns7Icwr5Nj3A2nOXOSx7Rc6wyMnCBJ3B7+IS1IG9hSIZC+tYGQu9EW1dHK
kvRbwNQfbqoADQwuikHcJ05vgS6Ru+ZtlknFp7Fl052ccaQBTi+oijjaf9aFYDR3hD09DKOU11nb
nRn5lAz16Pjp4NrkLk6KjdCLejVjp/vW9Wb2xjMZ4fxUqQcEb9VjPLrhTxNn2YI+IXZuxliMrwZp
3JfK9E8+C8qPqnK8D5e6wgzpntPRvuGOiKNCFh23GU8Vpy3txJY9R3PZr/RizLsIUJcGL2qcXfoR
Zflh0C2NZEvZ8O5em01PcSe8F54j4a6F99grKE4D8GftkUIkmCanPtP6vWCrERxGCcrIoh6v2mfp
QTGcGtcs92S7sZ2qf6P/prg4ZUvTDAVrwt/a1FPimOmKDzF0xQ3x0XMpy8lmb6zjE4RVhVA35WZt
m6F7XDqno+diogdtY1N1Xe1oOTMfWvp739xpnn7Q6dx9xas27jNC8vpNHIIrbTRF4+gH8vFau5w3
G0f2xrswZ/k499TtbBxjddv6FA8efWNqvxLCUeOpX2J1aq3BwXiS5R3QiV/lr12QCWpwGme45QL2
jUoxp0Ol2pYn7rmMFds2qaCeBRs+rzzcOX5vvsXhEItdnZmFjqyRiglViuxGCbt5gMjyabhSNV6F
QCBldFIAX8IVYJgK27+fSVY6YwD2Iq8VZjSPBIaVCG1IEmyXrUbdvutMhLBeTjysm9ah2FiyfbKU
HCIJE07c8IieykfqFWk/b0/SJzZgQ8l6/1b0+QBYmChpbZWWzRcaTNp6N5Au3W1aGj9+eAxQD7EJ
++TY3neRpOFn2qeqb00im72TIgunJcGPsTaOBSLDKSRKJIeYNYmAMv2HcBH+19HtSYhLW5T5duJS
lDE7s/Pdn+CJh9hyXkJkmug0KkcDjPVQn3VjN8ck0PxnQYlpcMyddL4FRdyNW22n1rcxHO1tS0PR
V7bz4ckN0d7Sr2mbb2phgNwRw6K4lkypaFPwrY+wg1faEb2bGGeUa/EX5Gr1Z3TIdJY4darvlFQz
e6VBW/3SS+hy9G6nPCmu5qKyL13tX4gzxcBFS8hIpC4yacglkuSfxBCaF4VaMErCChrSxXD06JXM
hhSQ+YcO/WG7cftRfA/9xfZAcNvkhfpxH1qumgCXLWJg5q0lM/MQUiJ5kYO97CZ7iU9YOTFFCHeI
ltYp98o01T02ToCdvvqR5rbqt5ny/B8eWUzIXDE2UIsz9J8TVAnfPdHE+7Exke3xaS6rYFioh5Q6
q1PCmIXCPXaBdLI+ycUmKUT+0SIqrTcsn0gAjbTkaHGmhwba6LWMdfkJgCw9mJlrsB/E6r6H0wGF
LbzgjvJyitBMZsRqSkhOwIi+r/tOHYMs7OgAtJPiiwx8i0yZeIIFSAkAj3dta3vEwi/LXWFQOTYh
/7jnNyzvbYJ13uMlG/B8DcOxartxn4ROferKxInsYnltZyjtrUXp2bcEguaKERVyzMz+bfL83ZX5
T7ZkW7AK/f+25Mf+R9LUf96Rf/+WP5Q73m9MZezHOP8dj7i8P3ZkFHa/ud6vpF5B/gNf9fcd2fvN
Xs30a7H1Cv/Yf/d8ilW7wz7r/6EF/Fd2ZE6mv+7IBG4SWOezHq5iIJC6fzDuF1KRZMQodSUGGmUp
xI/Jcd0nhfdIJ5YQT8LrcK43pYl8Po5DK0ToO2betojRj+hLR4BRCzezJn4MWTE4N6Yko9SvbjAa
CGM87okNTXikEgKiTteBJrcP2OOJOYDWQZYtWOOVeVdWA1zapDac6qEJRbKr0i4/V3lt/XSSGjVE
KLvgu7Fih9qj7dcvVlK1STj5CcO8wbTEhwRhfuSEJfwZFN0aP+AptelsNDqbpWx7d7MgAP7sA2kG
K7ZZrShnveKdlDtlp2zFQPWKhvqjq77CUdk7YbYh4GXtpbf+F5gqV1x1pDsojFobB9/OwTjHIUeW
QbCTXdlG1CulWMAwJY5Zsh1Yl79nK6wrRy/NL66tDaq9Wv8x6xFqb+ZMIyYuvdnd4iJDpk/jeIjz
xSQZ4tl3KdSM+CTmL/HcQMhyNCmQizh5JiOWdCvZMEfAgqfjKfNi5EaT1l84Nyz34Alt/mpP3oUe
1v2taeXQbD4R4smGHoz2de41GUwJBoVt4NMeZEgcbBvDDWhOquIFML6YfLVxyvUJnlMEuCLCLFxR
7krZRx5WjbdBYXq98pvYJhziWGlWLaiDzFTOTq50AgqU9CfrFbaPlXGQmVD7KXGwiXW0DSmcwE/d
InRCQ2qRRPY8NE/FymbMDXY2s+qsJ2PlOuqx8s6xAG1Zu+S8D0x8wAsASyi9VrokRZeb0r5Em6K1
72qjvRcJLUYPZq1Mvz2zok4oykO0N0Gw440Q7RYJSt1eBQax5oSd1oJrdbKZQZPtxesBa6S4n2JU
TwiKaiugpLBFnieiauHde1ISspWhdfSfq7am3sk3dNi+lP3okxjVSOYTZAXxpjcBnlFp6LXUzGZW
OOeUpIf3XpukH1XHqLXNS59e4ZJGLON+dLNEbjEUNRdsZ9k9q0J658X19A1SA0ypkBNtdHAi80kn
lBxTrWaTVWWU3qqaQF2CGsuEptwM1gw/PNE1OhxNPEj7OsmyKxGQFlr8DoPapuljCopRv/rMfe2c
DRHJ62pCINGO4/2yZKqLbEM42ybl04zIchotiB6DSMXcwNF8pXYYn0kPTek/0L45YetyqdYqfBWl
CYFiXHGCrsXcb4OoNPzsgl2tRJoUx2XKWGd6fYQ0bPpiZ7I5DCEpvmdhytuih3x5CpXxbixhzT1l
eA2lWCB37mVoHLnsySmrhn2i5uaLjhuTIXRW6aeFpvXmIAB06gP/J/KzkBiK4chJND+LLtTNySZ5
soOiKm3vUEL2Tic/j52T07T9TzRGn13lBfdO5srleSzg9Y7Y4K3m1MezjoLWADuR0iR4P7efRD1x
P8YiZBPPf4XdKYLFcIjlh0U7wTmn+wUBwGRofa+tqbnzHRIH2Sv74oCSidJ7K4lhQPisGnqrAert
RThPhH6b495RaRl5YW7fNR5ktBPkRrgz4NzSSKTa+tQuIoswCq+mHzjz/Hvf+fm33ByMz0Bs45s0
9djv+kYI7jWh6a3DsLerLM8YTj393NsSV7HcealM+ju+QGCSJYsHH7LtMZxuaIqpAG2kAZXGAA9L
SfPxXAoQGEUDgS09NhrX6xNcLYR8gRj0KObigbFn2DRupcRDU7eKpuc6Lj9Zc+K8jNPyKriEETJL
jcE7rE37iAjGf/Kw1kUJKqtosNPuhDfDN3f1Mti70nARhjRYnW7gH+JSVrYaNxXAm/WAcIQm3QGr
7CHoGudLN+gvuLCRxg244ywEk3EZbMfRHCR0Xa7VA/SodVlQhYN1NiBryI508mTpMe7ttUFwXmgw
d+g2c/OtQP0Un8FupuAigsL6N+vwt5SLfzJPWSSM4Xf4v+0Tp/oj+1b/NTTjb9/z36SD+I3Af5IV
BAOL+OWR+O/MjOA3rFEgWnQt/CIPGJrqhrrO//wPhiafqFTsET75zx5ZG3/nHPzffP5g/bbfqYp/
ZZ6CnvrrPLUWPVm8CmI0mLXWnLi/cg4K9DtbUvpHqL/WkdOV5Tc3jzFSqsy0eUxhgR1pP56XrVTG
OG2LxLbuvbSvqP+Jhd5adPPuYjMbP3wEwY8LHvGvIQ8yVAJhkWANUkYV6SZmJ6iX+mvlcnwR6GE/
9tnEvZWDeD+gVCahvcgrxDQyLMki9IJnn6qaW6/V+GiO36qmZwcBqH8ZMOG+NUU2GtgIynoB4G31
N1TIleZGNeYFtDIhjILcRnAZZ/CTYtd6XfE9ZStKEIFWSY4usI+xiM0ZluVOs1GVoaJyihIPdrV4
QeXS2wEVupgpgOidMLfImsidQxemaGJ0Gqf3Tu6PwQ4AIFurAEvPQbxaNO+tbNu3ZjCXi5KzuVVO
Ke+SUE7vKKvqNzFkLjhhkMx3yHy6p7nNk292asM05HazqfC8svC3Ww8kAvdVMF0WVzdXuOWG0IxA
d/1mpnXmUOqsuAROpZ9E6fzqko9m2Zx8f6KqugN2H2tFHqSYD5Od+Ves9iEnhlO9a7q1gLeq4Erw
OCoQmmWenXmSUSal3Ilpdo7x0lrlpjZQSNFz5kf5vKi7QE9ZfFqk1Z3HpWRuMRM3TJBedP59YFZ2
ve1J1HpxqlY9K1GATClrWjaqGK0vmV/EXwYDOVI7ud2urkPjflqYzYYaoqTBSr0lKG+5XxJLvZbU
yXRbN6x6Rpm+u0PYM/4MERPnjEqDUUSyRNE1irrctYho86ieQqRJFmKYB+iB3tqEniq+db+shVLj
rk6yCiLdzif5lR5bItimuOuYS0gQvdZES1lHrAPZLW0L59XGdfIULi5/m2P6/bOFwXOvulTcWXYO
6Joy/tGnMeAHnPHc2sPYHafZGm9JWpVbr8r1m1En/dkxq/AHAli/33smsseN5dBwupu6LrxBpFGJ
LoekMb7kzJXXlMZgNMgB2TGsDEvxTpsNgeGKzQI0ZKmi0GUwoim9/sTnWOAOl+nV17l8kNacnn2c
/OHOaiYU4XEtUN/OSRVxuTafAqdbe7KGBltyx5+zsYiHbhSq2THjtZccejrDyVNxl1PaS7d2TtEz
29za6IMwA+//mJn8q6mtZPhVdTTnHhLUUJvlfQ2rWGMHImBlwd+KsJscMTO+zTiD5nPqpvmxm7yr
FeRAgMKngsEB7J5FHz7rkrtnJ7Uq31jR5o1VxqBRvsKpsC1am9r4SrrPSrl4OOfMGraDmDtM45l5
EdAV9wM2gIPocpd1QpJ+UMwoLuKxINMS/XDP/XKLJdryDbXH5Wf9C/6H+DHzq58RfxBGxPwp81ks
kn2IYg+vdi+21RnHSfUvtFVPT0YRhAXCFRgHB+qBtmzvoVnZiGrlJcqVoWgJ4XuC9bFPauUvmpXJ
CGZZPk29g5z7d56DTCD2ux3upSrCeLchADBDVZJeqpz7Y2VM2Jvux5xI9Yyf5BgUfq/sSgjNwn60
EsDGmc7djeoac2MFluTHrOzMytOkjPeneOVurJXFwaknHzOInXBleIgHQry4sj75YsVoAzmtZyih
euWGmBb4kOePXo53w8J7GA/mXf6LULLCwtybMv2sf7FN0E6BP8M/QUThqC938Kc3c+WoYsgqYPRH
b8rz6wCNhdwGsdZ856/8VmU2z2Pm0HOl/WE7rUSYORVjZP9ix5BaB0c6ztZVEPJM/Y1Hg1HrUHSf
e0feDSvZxnY0HuyVgLPkjKhZ2DQL+2GRnvvEFxm/Xru8IWmSD6GexN7D5mxzGd15K81nJsxJ5i/q
T3fNwXBr4yBADrcDkp/L/IstlI1FbStI31M3z+EN4Q/yI4TB5VOxko1e2H/4rBPnIkusu6UKu50h
EfNsW1db6zFLWsom4PL75GOgjYgsxv220pvLSnQmXjJfypX8nEer/7zQN7Q1XLS7dpg9ub3RcUtA
m/awiDBTUKkIvKvnsYzjJ3clWnHB4C9vzBkL7ngXguVGxUrMljr+RvVT92SvpK290rfZSuR6K6Wr
VnJ3cLyzXOlerbh0csN8dVcq2F1J4TTX8ZYuDXIwCv99Aqq9BUaIK0/pee/MS7hXk1/+9GRcX5Zp
B+Ci7qdBwEP3KyXNGWPc50MGT81W092INyqjbqWxnZXQdldqO9QyfRe/+O6wkXLrF+rGRVhewsYs
r/nauO2tVHm2kuaWZV59QiiYpiHUq5VaLwMnjAy10u10T7ljD95oGcUz/dP2xl3p+QFh4F7+4uw5
Dlf+HtH0FpdavZ9/8fuu4x2slfI3oMrPrpxm0lIyffIGHpG6WLyTUVqeFf0a/v6tzvknc7KDkY7x
9f+ekz/9YAj7M+z4+3f8PiWHDiIbMgKB4xDU+ETO/B12NL3fwCG5saG3SAldJ9Tfx2T0N2tEqe3T
xiJMAWL5x5hsu78FmAWZnPEZ/xqv/5UxGVhkzcH8k2fQAtOkoxj5kGDPh/D7h+RbNlUDQWpjkj1h
96+jIVCTlvN7oO3yslhGt0sNS240gS83n647KdvxizfmHU0mxnNn9vKsAL3gifzlQRCHhUXN8WLq
5/P0qjhGvikffQ2NrybutyBGO+i6oC/X2ndn50kIciWIb65R/aK/6QP7EgpcFZ9liWICg1OxNJjp
iqFtH4K2N9F0myywtKkW4UhIFJwBAfj7ZUlMf9y0U993n8ugHjivsVCVFo4S7XFD27BdOz81hdyn
JVLS8yBI5eIEqQsaarBFckjuMh5d1tlvZvtFzIkESV0aqwENFLEO0Ib6s3tSGZm9MU+YzM8/xbNh
sAdb/ppXnpIP8i2v4+AjIWjfjxZbatntevIOEDsH0s/MZ730lKAMvAR5KHRj3wWmAxGivDAl5AOX
03Zi65X7kdrycbc0+RxEkEPHKmnaN11TyrChuGQ4IhEKdhMJ8m8zyRr4l5P0SJDZc7Jm3G44Gx86
Qp6OuT295E3mHPJhghmpwuRYTAnZCF2VpK8ZMQgJ2WKArIF+aER/h05ZvcqE41WV8soYDkBZj7gY
xsR7x4s8cVJObwuoI+FV4bbQzinRxYseBwi00MrPZGZ+T7IGKDYuFJYOBXG2GNVB8ZYaWAo3rt9O
B+mnPqw8pZFheBuX7MUr7Z9NmQ13i2ymDevVZUk7nwii4Y3+gDMGyfpYDBnphZkTAXCRRDK3qMda
09r33XJNk6rZFHbx0uKgjlRvNLuiGn94GcNN5S3xdQobDyBXG5tQkfAknTgqZlUcxCgsnHPjo50D
hEKREx9kxeVWQArdw6T2DwH6qR3eNvPESJntqYV3N8qA0V9WEDxT9njAWpJ9h+TVZ93PM+O7a9yS
dl6VZMmPmJSUR9cYnkmDQghRzSVmVSxaddZmx7rwvHUfxcPXzC7uWVfth8AVJ86FdN/3drhPKlds
3dQID6M3/WjcojoN6dBEMWfHhucuzQ1kwH1vHCKJRreudknSg+mYlYyahiFF1khp3MWgf8eEeLcM
prTA1p8stzap6StejJL9Z6nJX5YtD9LBeHVJm0Ukr/Nz2rkh0dAi++kot/+qFn+bW+y2xUR8vhw7
JP5qNgscrAXaIW/gjld9QCOJWIyfdMtS9zkGqBY3DeLSBFRzJHxjrpAS2YWpbiwYk/9ciqK9YpHG
ZdrFfXZpaSHak6hEghCOBLm1SpV/kl7FeGNaS3LI8sY+1yrpAcScgb+NC6tYNvE04PnqnK0Zj+OV
QmsLzInLguA5VsNA6/mjg6w2d8xX81kNBLfaA/x8eBi4tPTWIKlLbztebYHUZhp+Wl2H4BxjQbv3
tFLpT4TrENm4xUj8EGbXEuoauPJNIlLCJJEKpCbWWJl38N3VYcpAudPOsElIBJ7sChBOdoyDnzac
Eho1QWOS8uQ6sAhOuxaRtJ2zI5+lPJB2RuplsHxBFhm++FmrL2VufOOWerXpgyWXkTDQqhvORL6I
S27aRdSXdn5HcN4HKdx9lNlt9lL1edmglnCzB7tnTNuQ8exEi1VZ166KP3cl/A6dCU543+LeOVvh
sHd8Z7wfVdbeCKYwnqlL8L/ZlZtFSRESTVWFTG0qSdcuRI1VO0bTv58JdHjwoER2QzxI0MNhAH1O
mx0/p943hkk003rXFiL2nqpldPbEVemd0ZUpyQbjla62bJfN8jhZwMCbeACHILc32MyxVz9NzvxG
Zat7FGMVvve2fPK1SKeNLJyRdNThizfniMlN09gxTJ+AcIOoUFTXg7q3w88Y3HWXG4NxNys3xZ6g
rKg2F1QjjSYBIgmSfSwszgOS0jCWFo+LYY4PcwaNTBmtT7iOxlgrc24t/MxoEOzkkIZCM/DbwRa3
KjIjqz/Ma6xL4AwPiEYYN50ZXQah+Vtz0PUJWJihcILxSqzpRmOfvSmCptg1AiqM3y08dlTDGHOH
igjF4LaxNF4rL6zeUfaPO3MV/CnLMKJWFl2UVw1OfGIz5Kcwy8PIYUanlJfNTw7dKTTALnr8zrrz
P1eZj50onBQ7D9Fd00z2jyEw6aa1xq6nKn02iu5jpNevHGJ1Z+myRDGEbAMpR/1ILIl5b1NUtSP4
LN9P2YBZFXn80SA4BT/5utrXdbYNEoZUIHaSVwviosgX4LzrvK/LsobNwbHv0mL4Sup0cee2cbyx
Ztai2JnmTTvn1j3XgDzARZEyVhQ/KQAO97pdvlJlViK0CDnLYBvih7ixYmK4cOny4E++V601bc1y
6K84kOJtSoAWOrkAL38Jtgcm/tZY7s827H6ATJX70mVgGLV4rXpEElUhu5cy4Ectveg3rdLDz14J
jDCSjV5wiEKITumVasz8iTBeHO6BvdyPtIbsJ7/4qqrYRNzJ3cUpNb4Gc8MDY3BwemJepZoJvRjG
/43ysvK7TejetrLn5qRE5ZGD5c9bcKJ6T+5jdW9b9rQb5oWcQmf+LlOsfiO1Upsp5DVMuKYI0+yC
F2niry4cGEaepoRqYqtXuuYNa3n5BEflb9z2xfAwTHXwqfNdvtcx5+ce8ZeH1X5rlGECTVZOV1QO
+Zufe8+u52GGLpMLZXjy6KggcbY6zQkdIJ6VwyxLxefQLVjHIRc2M4SqIEbd3nbST/ikx2mOlo4A
PJr8QmubNDYaL1270cznTMqk1TyOiKmPJqUDR1+7wdepkChhTP2et/HwiGTayHfjmI7HvB2cR0Ib
RiTNua45WVvaT6jC2YbgP5CwrssVYVa3Lgjd2zSbONs4NQ1GDLu1t2yd5U/Z02G13qgJnykgc7OZ
/d47oLF1uWVqjwa0XoaL2iqbxzwkCBUDs9r6uGaRz+VfJDL573XSncspjWFVm5SwhMT5QHzmPtde
Zr9bSW5U2wXtAH7sTK2QX4N/J6PbRCGunvW7WQYlijAlnxdyCE4xh+fDmBrlIay9K0Jacq1gNKKR
x4E+WsbC+jp6o/8RJ361TW3pP4aDm726iGIeLJW5UV9NlOJAD2/bBp8oobQ+8V8YlW+Ie/tsO/NW
XHRhk1lmxgjq/aFVCVKhYKiiUdO3wlpYHhKrz5HkTsPe8i171/K6DkPvGYccNLw6dH6ZvXKaFa88
4tSXctLmM7Ez8dHM/exkuhMTb9x5Z8I6IegzQxKfOnsT+Iid5fMdJp41ESTtz6Fhc0OkICG7NitR
paOaIklIW8VGi7qNvDExd4uJ23eAVnw1g0V9uEh3jwGo212T58MjSq7+c0MncsH91+QDoL0XFZWL
647pankJ+6EiX8xl5/2UWJywW/YkFUbUjzqomMp2HndZzv1wR6hTVe0CtP+fJ/IdvC9JYRDUiCmQ
J2sAGseN2GOHn3tPJ8RcCO/iAVgg/508bPC+ei6XerYi8kqMh7LW2VtcufW+j4NqZZ11eUIbZ65Y
JLp8SmCNYCPXIDwz1vHTyJceNSkPZ0RIz2TSUoNTd+p7XdUIw1OfsIphSe76mpG0rMdu2AzVWH2y
0gk3sunbB2CY4p5qhG4/A6NFuJ7KbWsspUS01br7yaqnp1K4fR+5Cyo3Ms2K3Zhb6h4iQoEk5fRb
+zq52q0TI1Hz8755xAGnXXrFtdmRMhz4ns2wULUkJ8hgoxBWtvKDcTMja3NT+N0knpshQazAMTZD
FvTymIdpBVafz+NyV+o1vE3m1q5c2roHxUk5R3VQakYnzzkOqee+2uQyqWiZktY/9gX34necK3Fk
GuBf9+CXiHe5hPt8ZwcJKdQQii1Ugz9x+gx9cz+CrB+VDK2b7gZ2AVDMwwI8StgKyslu6tsT0tg8
UoOT3be5m21jW/k/K7jWdxN5K8a8jEDKg67aTxJPefZmWQI5BSHDD5CVuPjlsriRhwzhRxO0ydFT
iFA21oCd/r/YO6/tyI20y77KvAC04M1t+kxm0iRZZJE3WKxiESZgIuADTz8b/NVrJHX/6un7vlNJ
YjENgPjMOfuorAme5xwuOKyn2d1G2Gt3rd3O7yaF9c2oJeZT+uM6QCxZ89eeZlt1S5SWJNbKLa84
kL3TjFJ1bSNw2OAIc+TKSgGNJqJlMYuidm0qQtgmFgnrhnX/rQtTcOPwGsHwDuW2m6ZoPTO63iac
dRTnSm8nu+m2fREcDVmh/KNxxzKZRbtGmPa7x/L4UIqGEajgyVTUAAICDJb7LHGGTVN7yz4dtSHC
hXT8UUTGsCft+c6Z0ugDSdEd0l2cFJ2JiNG2NXHNONNF3ydnQUs7raDnj7jafLWT0eRtlRb0N1yU
jG7zLN2OuD63aPtTuhFDvLXU9KsacerByGJnY4ycJNXoV+yhF5uMYRp67eaOs6uXNLcqCoy7zpk1
+sj00E+iuEyCebeXVA6G0NH4Up+nv6T03UscZxkPWoVauja4d1se/D3Wb824bo3fs9w2ohs4dEb9
kHZmdDtMbMpyVjIHgfJxayM3WJnQJk4wPe5D1lcrVkQTwaUyeW/J6MDgqbtFYqLCW8E+fT2Vptgy
yXdhhkTOa4LGbOWMbVViUUjLV0O2r8oJ0NoP4d5lfGpCmBg+sGe0yA3NGVguo3iLxhOZvAdUaKrQ
1Gt4r6s8SJDQzmwmIycFCFqnK7uavsuQJiIJN3pWH1VefIfJuVxvvVlv+64S4GocZ+svbs8ii+JT
nrXeu2ineFUmzAqpmS1zDa8fCGWD62TBnKtz7eeLwbYNgMAKNM6Nm53Rdop75g+muendqQ+3gzQH
1J7U27k5wPVdxj9T2MpjhC0La/owAxwOzV9jRYuWd/lwKF1iAkYSBx5Q7TIRkM3PLp26U4DsGGKC
CE4ogzZpquUxZFvJAWyIkx2Uw8Ms0mSXZOoH/RqlGNYKvXHnvDziUB9IBBha/TJ0cbti3nNxnDJ+
ppR6ygyl1kHTBTep74xrNc0UjnV6jMdZtayxjGZTDf1bZKnLaGmHmbD9TGYCeNMBCYb0Ae2OJLG/
oN0oV45qkHSZIbEqfew9zbVgKzEL+6bS6TkzqtdOBu1Bt+kj1vRPgsCp/zTVUZXI6jGt7VcntYqj
M1TuR+sVzYa5POoco3yegtD5lLI05l1ShWyDmXpQfE+SaJ3ZL6+h7pBt1ElubToZxm+DyUJxNQ0D
Gt1Ij1dlLYbrIoxjxk7dOEKjcjVcyRJENvEE3l70TnSteGB1K+lgZ+LtxQjEwibtDO6EcuubojnZ
FaXknCUTrU684auSwUXkHjB436WwtoQBNXMWmbXybTz82yHEpLclvFiyNPLDI//AfxJV+Gkn9tXN
ax4eYZaekIiLk/Y4XFn//YyF7NWeJXGyhRniroIgL8HnTaeZBSm3uvWMVaWCgst2preXWeBCndFR
H6wCyx+We4Iqb9HJ2R6VcNLibQCe3AzjARXUIRjUWxLOJ6SG5rrIMJCLxLjEUUutU7B2zcGhQCno
dqMjgm0g/OIkPcZ/KjKBSFPqr6lMbbIC1blJhocobz9MjCkbePzeNpqqB+VKyBMlm6DKZQofGF0K
10UzQEQ2fDfaLkk1Lmub2JCbEeDzOiGTe5+ahAdmdWkdJiTam8br22PVJSaTC9jJpvA+5BhHD71h
MoaLx2yd1vpNJIB+7U47u0A02SrvnB+xN1iPYwiixJ/02AB+qcdfXhsMjzz7cCf5XrMOTNWfMJhf
QpSDays23AteCYM5S5bZ28YU4hD51cXtCgRrs+P2Gzsbo34bJBZsgNxMyV3nfLSIvMBbpeU7Dur6
1Qtdp9wIY55/ApqKUTxoYbzXSP7uArMwDjkHHr6EIJgI48zJdBC0SGzi8nSDuefUQLbYEgWgf1Bn
cWslsnzPSIC+q0cnRg+U9j9B7H4mjaWxcYOZOJEJET2ADYvXXgZPbC0zc/wWTl5/b9uEG902AMnA
LQRlvWcKWqarqIOAMc+Rv7MgSgcbX2SgdOysQmVOpPQuk5ixXTM2bvGMeMOaVFP3kMXDk068b1QI
3qOKEzRd4GsP3Ad66zetRXMVPo/Qq1YyrezHxARO36YOcQFt/F6CQVrnZRyu0RHb2aagSTduRmRW
DonRjFZVN6Q31BDdRJoU68kmz/z+5FY8f1Z+B0dgn8TjtAyJUNaNzMKoaUrfIoVlhriGk1R668Cv
m+cG3tONUqgAcGwGcIB7kxkfuol4DW3DekVpFzm3IxL3JwSXlr8JVT+/9KJjIySDmKERA+p0lRBZ
cnF6CSqcqwdijRy7/aiq7DwvHjO4ymzcu6ZPqJhwbawsGzMbx/xSCfGUeS2FDyS5SUNu7T7vDhCQ
65UyJqQHbeiG0OOMYli7oTM9srPuGD4BoPAhgoDdkrYRPWPaSz48MhxA+SVxMm2YqREPIYYJDAo3
Gkgw4jEo6Gm88UkUa0rQUm4Ghwg6yustK4IHbVDWz0jZThK3wMaT/Yi6IVYPUzLYL4gbKhAYLg/s
ufGs+1bVCEELNYTX1ms4T3mW1ffFbGA9crP+5KBW7lekn4WXRhvdi5CGeWuWo97bMrTQHwyt8wDo
IrhGRkz7gncgusFlYf/QRSZOXRsOj7btMAyd8DNkkCt4rK5KL6xsakagHqgSEa0Fo8uJ1Y9MBVdO
E0FIYcK/SIQhOxU3OY4mCD4+jPBGlvg8OlwNm0m09zCXUSP4WtrolevpyZyD5JTDXlzj/NSfBdq4
19haYqtnrG0bJh3NbRpFKAySPFMvPfvN3Whw6iaA0jjswVDQ7GRbki/zvTRGJNyMRm8a8kyPw2h2
W9n64kw4CBECAnrtuZ7r8VuXV4CtieEqN6kxumu/cWMeJx32MKHkrafH8FCmVrJthxmgTku+gCMF
V4nRjN0lLErnO9Nbg0NslE8m9d25qdW46zuqf8aZAVMaI71qIgyguiWoFdllrBPZlpe+i34aAzHD
PJxiYBB4SRA3WZdo4NZwcpvgW+Uc69QK76vJn44jiS0n3wiwe/txsXEhuHLRsNZl3tyc2hSBk9EE
4oyX/UcVTtZ2iFnS56F+h3OOQhKIISrenLGiFZOiohr9bGROvAuQu2+ljRrT4ELfp4Ns10OjbVAk
NTObWlTaZtCGs82ZoE2Ts77qvJpa1pyb16wgv4NWgQy7BsIrB1nb34dBzRzYiqCcVXDKi+vkpRni
Yw6b3BNQsgXQ6TOcis3osb5hxmpRadTpzhIh+TGs7j0x8+/N+KEFKHhH8C9z4EE8R6393Ul4WHsG
+YyuM2+YlLxHFaLuKGHhMY4pBHqjMAkdM+qdbQn3MLrlHj3qdQ5x69au562j3pyBzcx3Tpo5qyJX
L7JV+b2f9IfYsFGOqm4/zO7wZkysQWzH+O6YFoKJmQp5Uka2lwMHNdCl9zLK1cPYq4e+tgu9MuuQ
o91aGsG0MO5YcUO8NO30CJzCPruD8QHktr98yaMbnv+rjDUYg57I/d6NHlhGhC+DREbVFOrlv2vr
qss6/e/W1uBfWSf/72vrxwX08H8276Lu/qTxZN29/OA/ttfsoRFS+l4IgBpOyx/AEl/0bAScjuth
grH9BQvyD5Gn91vEnvmP9GyK/C/5p/2bG3pMMNF4Wj74GP8/WV7bzl+4EmbEX2GbpoWeIbJNz/oL
V4IKr+riWBk3rmsNDyzOyu3sNt6xLGaBMglXoonM8+oUPszB2iWRAMf4MbRCpDCiHp80Bocbp0Va
bakOh29m0mjFOdVqRSoqB3WVbkWXsM1zDi5dJSrzhlmvWz2PvbinNOzw/ybh2qCAWlk+BnDE0dEq
gnu1ogWmxmc0bz92FSc15rJlN5CUt6yL2ie8LlB0gs7dgO8qPlDzrHTofEMP/enITuGN7B90BGM3
r31vr0bPrVZO3pfXLJ/7E829utFBOqBdgxC7HxwS2ZZzEmumj6QpIcs9z2fyYpo42nVt78D1qWd/
k/Bx3jL+s6fV6OqYQeEEqDCYlJOutFnpw2w25taUFGnSU97ZbMIDIv2rNJemt4usSyl4asUTSrwp
4t4FZb0VqdArapl4RwVUInJkyRBWmOtUIsZVNqp1IpxmzZdV3sydK3aBZwQYinJ/HddMsHrM37vJ
xuF6mCoYPGuvZSyHjfhReRVPS50+R9qyv42l5x8nNxheK6tmTNQC0TS1U8e3kge3iaw1zZpoDc/W
Mm+GCuHvY9U4QvRQQ+vQ+CmKyQrmVV30NGY98yu8JVXdEifn1WAWDOy+DOOwN1yVU4W3URKxVxpD
hd6WDZoa9yUV8cEOvGmPBIl4FRqD4G4qK0jIzJKZJ2ZGmXarcG6dYcVoxqNobkx2pshat0gZDJyP
BK0VqEhdcQtPw5HGxiinKZn3+BHmprnUeZFhdVyJmrRiZIDO0NJXy2FCZAynoOp8VMJ27F2bGWGd
QFhZZ0YuKOlqkFQPcSfKfYV4D1i6E8zDMO6iGNfIvHdn8lmuUattTeNm9q35aAwa/9bWiPICuyQa
0X6yd7CQwinjBfgIHabLmFUIV3cK0RT+xsK0XhiWTQ/jpGYMtnml7IUmy4ZMGBR/dHFRvDb6tkVN
oQfjORVeJjBUBOwKOr+cLsJC18LER314c6KwYSDNuFL5wDtHY45+Fcpk+hx7lShvDaiV1hrQr3k3
D6M/7PCujPEa3SobVaurqhMbpPRQVwVJqHPgJGtMsOw94hTStWM0MKwZRRMSoXznDbEr+sakTO5U
qtWdr1gwdxw7az9loLrnBeAnMVtvWyYK939VzIdMY0siZLB6xhLDWidQFmNFl4pvmedYDXbYnNjC
0I8ZbuDSXnktKaCrpGPUahkWwAjTogXvBiKQ8dM7HYJQcMDb1Gy7az8E1b1i8LgPlLsiote7i/Ih
eYoLOd3IQtoedXgyv/73QPz/ORBt0w05Hf73A/Hy3ujivfr4o5Tr9x/6/TAMiH7A7mn6volMwIlM
TrzfHQ9BhF7L9EAceV/BD//P8OBEv9EoAmGIYA5B3DWhz/9+GDrBb9zCjhX4XuB+2Uv/k8PwL/ZR
fr3JAIRUhwgLxSIb+7PdgTzQvMF3Nx9o+j3UECjJyUJM9LcSXw3eQgrAP3w8/4I9tvyFf9CNLb8w
wN9hegjY2K75f/FXdEXErGn29WGa8ubBBO9NRT7+O8LZP0Wh8pYWtJXrerit7b+6YjuvNQflAW7X
sPUQ/U/qQdRsljIAF+zGR27Ethk3SKaNawv299vfv0n4Wf/0NilUllrGBbXDZ7vI5/6Arup7HYLS
DjrE9OxSd6CO512BkOwwuEzU6Wib05RPGHNJiikt0oMcRpaNzIhTb03He0Q9DQgRb5++sFPOJCoA
t+CEGAW8SsH/W9S6xJZYGDNltsxZTHhxu1hQWal/qk4LcmZCsZmhIB9SlylHzBD+VPqe+h5nSu+Z
npIjKROLVrZW+M4Z5gXzwVS405AfytsGKcyTTU1/3zl9jKu9le8hHaOJY3HQRN/wjqAODc9FX+l9
yw72HFtGsW7iLMS3SNmO/t6s31ImR69WYvKD45RF51ZN0I58P75GQ1B2m6GVZn3ko2IwnhDcZtF2
ua6zt5NhmeIGLToqrKtPukbUBt4qRSYwk0LnRozHi8QGIRVkzQPGROwsbOLgHHUBizU/nS+kL2WH
mCZ+48RAVkRvq4e27OLTzKZr77OsOKpu5uU43fCcm+XwrPLZf+TbQbHM+nwLYrlAZjepnxrl+DoJ
iETPxkp/S7u4Zi9NFMKiaTAP/hhxD41NfHK6CnOoZWQHxYnxOfZSfzMbfoSlVfvicz6f4ykhMDXp
rKe+mNsXVHbVearr6FyWIZ8IbRKtvluOaKl9cJvgZgu5bSUCM3D69pazD7yInzKTsIBp4pRpfrox
f0yEBXIyyYFjH1D6IaJze4XHhds5NDq997O+OCLQl7eayTJWwBxoVOtUTbU14aUcJUstGDQMFQPX
QFxC6OU1GS2x81mk3kIj89ZIAoZfwoRojzNT7MrCNHloWPVbNqnhOaYbvURq4K8Cc7GXTMRW1sQ7
jkZD3sZiudkN5d0Zicl0CPLF1ndzBk3sCNcDrgXg9Wk1/LKYNu6RLbt3ics3EQ8R69JK6g0cf+BJ
hez5XEUi3wPyv0BQU3pvusnIKrAWcXz1zVj9BJY7X6ox1d/weIOurrkZikaJHUae7sPMfespc3H9
pkmB/srgs4X6bB7yfvmol0uUqnj4pRve/QxKhJIcZQoAp1rvaRr0ZyMG+VokQXwqWvE6Gi0U8qwp
75Lw0+wjc2DpXaJvbWNiD9PWezNtrb7bcdyzAufaXLHQyPY2PfDGdcmliIPhV0c9e8tKkotyssGD
pHxRPnNlpE+uvJOl47LrH727HmbzU5W18rX3fCC26Iu2cyDmHbT3+s0pPU3aseE9TqEOyaXLw2gd
YnZ9T0IM+2TIY8HGQSQ2X28uXHYRuEaM64QrGa4KjcJlxLdBm2+Iq4a7HKLj5POxOis+4VQp1/5o
ZoeutgP41agI996UNT8lDma+plIQaKPTUH2Hgx6dc1MHLJ1swDKdbyeh/RKKCNbGK9pMlHcZAprX
zKpKkRxoRirmsN3MtMIxzbG/aDXG3gmzee9eoe/SLLiT/maxBlnXfg/6yyKodqPU7O+4Dkk36Gw7
Ip4YqDq+seoWlZQNMySPTq4h7juzNR7Q218Nr791MZPuwjTwHhgO8uwMJueW3NjH2ItvS0M5GyIL
k0NC/OextMU3xHqMjwoA4b2rf2RhCSl86D9EaoPzrJKfmoAhCKxM3yqrl2fY1uMWLNW0buOk+7Ay
BL1J1kK/VvGuGIFLT7OINpDNgnUReBBXZJLduiS4XYxIDnpN0MTJz0OUVlJtsoIUspWEb350bRMW
vjG5a5BEHqQssgrh3xSfiZwBWjleFewxJSCCcaurroJsa5dGdJOniby0fj4SeMENq+AI3GQQj7c9
OPLjrPkibWswj5jD2c2hZF6jrglxkxisdR3wSgMbZXYXgVzbBlJFmPbRoU+sR/Zr0c53g/ZsVZFT
bBGpdD9bOY7+2lORMTNP5TtcJQWrVdSFwc63SMTEP3/uW0DQxGH0x2SEBEBdwGjdi8lg0HH706nH
fp+Q48vYmop7N+DIWoF86djI+uoKEsOikhcthIY+JSITAhdDt+ktJBobFZOYbiqGwGyNhXhlXFsz
9pt8vY+ygd164ONnx6OaroPBdRiZOOoBrX24c3sPfLzk+Yr5n4cIkkLcV+1Kcl9d3KKVN+NMiAD4
LftoTxLnUZpyV7WIZ/HiVDQ+SJ7Y4LMvnL7No5Mz5wezE7bVYSw2iI/QSzb+/C4BCB5tXc5PEhZ7
srba6IBAODqWbJfuM8Gkboh7dRKlZMRqFyWXO4u+YmQj3WJxegiYElAcaItOuhkxEhHPrAzW/0ZU
zCs2lexEoYF8D3wcp6Gpx50bawjg0WDsVIrgpk/Kh8IyOMtZphyzzJmclTsMm8RImM2HibUvMq54
ONTpMRymeAuNH0s4CR9EAYzGteym8NZSsz7psBmKFdOeFHiTD87HTdQtaqjgHE2d7SOJHtkZQqj2
2CSm4iLb2TrKtAyw8ad+c1PMsfPaQ+FkA+jBXgdujUU01YkIaYBz85csFxokRhYfNDf7ZaIv0JCz
JG32PfFgr0DIydxkHZmfXRbVP0sn982L1boD6lgLo573Gg2meUAXh4bZrKsWewApvLsg9YYfdW7V
664Yl7pAsjmYQMf5aiDFJhzK7IYEC2DJsQ7ygMuvTI+NMzTnSLW1u26wWRUrKHoZ4weAAOscjf+d
tomIITRY/mBtYEBXkFos3w2EuqVEynOHc6iw5gNq+ArYZ+zxcJbdB8C9Ua6TEcXjzhQtB47kKfxZ
FQUbE23EVynoy7nSKROC2JTxJvEI8ia2ulyrVHp3M2EEVwNPHm83c1BqikyEmwSxPyIYRtob15/k
D3bJs9ymHl+SRWwkYTVUhf9TfKnMtp4IoWw/ZB7k4cYG/UedXMYoR6clDIoy1H+cyH9hn0XBWG3t
wRWbnPybo8PM61w0M/EeZjtuynrkYdzkWItLaRNmmHrtovgqa+NaQZZ/zmxodWjUBSNvX94m89er
iNR3x/ApS3GkLg9lmHifXU5NkkWEwS5qAuuex2D14Ui/homQ+AOn9sCjkik3MoaGl6NbqfepZQDr
g5AvsBYaIeiUstH7JRb7xhxQK6YoETdJwlleU2y9SrwL61Yv5S+Gk9egQ6llt7wFJ3Gtp7Cc9Geo
ZbbHuYasNc+ilZWNrV6hMEVMUYO0OgoCeh/+vomw/lUPAWMXBm7A4p8n0J97CHRVok4S8B+JYatT
HPEwpBwOCBDKVfOAGZvy3lHhZuCLeWt1E2L+JU0LaZP37xqaZZj7l7btf14JwxSLlxMtfeQf+5na
wSCbq+7gkqRL8s/ce3eBzxAv6cb4pF0KwjTik2WVPd0HSc0csfWcw9zVb+SJcWFWjjoxldI31SjV
97533bshs6dvIxX37t98cDTH//Ri8fEjygxJScPM/+cXi/9JBIPhtKiIHKjibeU/aqLMwZnk6Z3R
c9VxFHGBQTq1ngSbu43JOXUS1YTGXlI3By5F0N+/qK+W88+Nr+MFNpNvXlTg/lPjmwAGRCiXtAfQ
htgNkNDHmzbs1Xke0VQ1KIw3PJrnrXYcDp64p4LKJc1rkC63qTuIK7RzdWIoPR+QndQf6CWDh9BP
5Dbq1MwyhlUai2bP2Pz9K/f+xYUYAL5ieEFT7fjBwp3+45fv9YYjC/bEB+a9KKawFuRbVUZ6V2vg
8DKrxk2UOsHnYOvhkOEq2hmW/R7m8mWsEmebwRPZGh5o216W9WVobPeVCVp1yWZH3CCNc95Yt6XT
BTFANdw0aRoeY98iMN3NZnJIuKFLHiWHJMq8O9NK5baZSupVpo9nCsgZd42jb9yUar5R/YjykSeM
7fbGdUga/xHhuf4sw8T0UEm5cOpQRNPSuD5171gvmkweYCkYGhrpECuVmwj+J2h/XCFNUvIk/qrV
maSqh6pQyzMlWsp2UDHfoxJQv2tm/qPrCLklK0PeCscKz3mvqEEtRg4JauXnZMb7s4o8u3hrnF74
p66Yg+GsYmSOL2PGltaY2m7aeokgzqxHgYmSwmFwz/zbszsDNyhvqLKfEb5Zq1axVD0GKMCSI+SH
bIN6g38RU9AjlASLyYCcWHo0Ah4V9w08ofYjKAia4jSmpodolC+ZBynvOCGchKklAslVMVHKB4sO
zcAdgbQ8MQ903zxiQYe+mDmtpl0xZW89o27WZSSJ0G5o3MLUlT903otdk3XZHj0m95MYuSLnjoYi
rfz+GTX9W9AsOcCTJV/DsSDuttEw578+u0hAA4DQzYfPoWNcm9x2jhYHxwN+jWwfi5SHXuh1xbHz
wvp9YvH/7mqoDJ1dwIrgthU7LD2o+gc+eg0meNWPNP1+UbUvSHTal2mywGxMPI26pber0qhAZdzB
73DnYgLoQc4Y1NekPDZtTtdSBc6K2il4KJ2mfzYtOGJ2ZdfvXttke9Olw5IW3fOGIAdOgI6glBfM
uiO9SCFvOxgY3MEuT5MurkhPIJ405M8uetTam7lHWrOvMJBZ/EfQGOonjhg+lZKEuJbucOVl5GRV
KWeiwhU2UxJx5EzM4MtVitdw5+lgCdWz1fdRB+HZGhmztIhyzwkO31Omg+rsgy7bNxyge5ap3roO
q+E5BGO3QmeR7cNlAhSFtJslO2Qi4miTyfybP0Pu0nmbhbN8Zcd1P0yB/NH1He226SV3VuW2q3JM
F2Mxf2lF5PnD16ue3IghVpjVXBg1ZpqzdkaCsJZbdVqe70iNRkKLOKY8BuK7qSlzH4ERFrl+yJiM
LM1rNpk08Mhg1QO6Ur4ZXIxctstZjPCripdZj74RYPWQrzQjcx3H56NahhI1ILObOfH1ZRqYrn1d
hvbECIbLW5mHqSfryE2YeDitVg9fEx/2RQVvJYBSYTE5gSZRHImjyQ7ATEti5MFI9TE4+K/xgJEY
fAyuorNl4MhHvwzy5izUO4GEbE1iy2cTzvoyc7thMYc3EWN1YhYWJkyvTDmJKx6yqVxRALPmCynJ
+jqY7lWPMjLFdcqCfTSL4zTzjkwSjBniIGlc19HICC72UbInwvTWssehCKqecQaDO5hqGKMQxpTe
nS1875GCx2wYfA3tS5c3TARn2GjfEXYxKPO6Uf1MciYurdnpb5XBbR7bTXE0luGK47k81ujo49PX
pAZfjoloJUAxVc3YU1alzbBHzTziHItf/zW/+TokJ8HstqpT94g495dpzku5HCxgnKKkWFKtiQL6
69IE8LKTLqMhdqTx1bSK6ixrPGgK0/I57Fr1vUZpdiByiJlav9TKY+ksaBM6rXVidjzcDbv9qIuo
fpsSip3GVBHZ7Txn6xGm+yr1VIOE2+ELYXdnbVvapy1pTYwqcu7p5XpWzfIYbuO6vQHNy0QyygJq
XtHw4xyiUGhIcH1Kl6k3dclyCtCgvVkhl4Q79+1Hr+L6PbXi5C7oJWOjZrl+wA0eaHUYRvq8HcCu
xfGrvA2B4+wSUYlrOQ5MkVyOSR8zxdPX2YAKpDn1YZLeBTzymTsxRB0Mz70LEsPjqEBudlYRZQiS
aftpZJG4joguWfsAPo54BnFJ+DkgMTJLVxmr4GPEgPiowTyeZ6evzlAKi2O5fAcQaeVr26J83zVo
eDbliKGDWJrhWY+UychzwrNZF/aTURKXHvMc+163oXxN/YL8giWu52skOHQMLUNbxidgjnCEJ8rP
lqeJXNPmgEoMJ66QeqI46Wh2Sm7sfQfh5KBqjNVrbQ71GzEGDKhHZsZOFtMqdBTOjq/Gjc1wmei1
5eL5esxOAML3TI70DbL85IWuHjGgthdUUYlg+TQ1znTfMLT5JgOqdgNSrl4P7cCHafJ4SwfuI3CY
nFr+IOnxHK41AxTLRGTjm11MZYZo01OnkYXZO7Fs2R7NCpJIQjjvgNAJvsolNywx2q0Dd462i5EJ
92TDdLrqAn0JIst6clTQ/wpYau87XvqqosBz1qCjKS+R0f9oy4aSQ8FXORJIRhMjs/QOi9zbMHh8
ajO5e0dcONwqg+Az6AqTboh0yu9UJZBs+0nHHMpmDbDT7r3sdjRIWSMRl3KirjECRHogFKrnC9ch
ZjxhM1L/+uPXjakX8ObKsPrmpzdypmLodI9A2ab7yTb0jrClbF+jK9w6GVVlEix2mQFa250rA7zK
s5fNF+nPdGRjoHdTi8nOnWt/m7Y0sF+D4qCVb65NZwr9GE8tSJEBbd/c444eeMcYV4t8PPSh+zo3
CTDiZRMDGFtuey/gl4m6D0+YP+vVV7n6X+TEv9HuYOr9+1XlsR7/pNn5/Qf+odkxf7O8IADw9ico
WwRswrURijLMZaH2J73OwqigigxcUmKQ9Cy7w38Idszf6BMYobFcDF02lf+RYAcF258bOjNyOIEc
psSs0miHnaXh+0P3iZ+pGxhmhidTldONkbdIqvHtXyfHEx9lNczH8QvBThIaOHbxRWb/YrTnPFg4
j1rjHoQ1upoUs9e963Txs5ghytyohfeedkQdH5clWLxGruBg5PmiwyPw3MKLDp41p+dD30getY0u
eSqmeVh8DIP2zoPqw+d0AkcIn3YB0Xf08RovyLRAZ8Yjtt/sOCzs+jxdMPbQIEHaVwvdnjK9+FUB
vIe+MN/mPGZeuky5V5j9gPEpo+NPzC1sFIzhIshUhJVQZfkr8zL17sbJ8DIlqlzb+Aw+DceRuPcT
jzVeMwX3EnsllDnttMBlkukyo1oEkNC4+jMoDabgVU5YI8jY5HYwbOye3PSkO9I5kLIDE+Bsp7kA
mQHXgsJzJM9xlkl1KHywl94Qp694JJJpzWQ43LdLdA+jHb941Faa3gGpAtHf18khG4sEom8Unjzb
HfZmPUmc5GXpP5ZpMmf7uUqLADMXc10COuyeIxxYK4Jgt44+MKNw7jNdDIh3LgY4Afj41nYs1KmH
3cF4wUJASQCMvy7UFN00iCS/woGqlRlJoI8g4mBNDUF/Zc2oDrBW64MwzBbwXRx2nPxlUXOq+/JR
FWN3soKQKADQvg81SsxuhVequLMgCVAIUYzd4eiq+zVA8uF70WNRxrLQheTn1JT66awxCuPIjCCd
+XG3Scox3xYt9ihyYFGdT9TbKwJiCe0cJ5TSYFex4efUNys/xXKHEPKTfaruD2Y3q2xjhE79ybS3
cNF+zwViKHfufiJK8o0D5o7iOe6n/Dg4ldrOkc4dKmR/eJdWBMdubBBuApTfRYbTIONn2IAOPmI5
OmXWeDd3bZI/K1PEE2YaCLU1dIeZjJc9u80Mo2yQ3pc2uqnig2/XRuOblk3GZ4sdEzX+GRmrrrNb
0w/K+BYtebQpF1GV5XbD6+iNPsgvJFdJyO+IW1y0qLHcRZY1fim0OssaqkNcWXJnLBIuQm389RDZ
wUkvAq+2FCW3N02vppOQiwwsWARhaD5rCldEYool1C5fhGNIp+xttojJoJiyFERfZi9Cs3qRnE21
eyWW7FDQtyBpR5bG9hV5ziJVY5vL595/KdiGRcyGUJsr0KVVuDWIM/I37SJ8cxYJHMuw7mSXTYlD
FKcHyUDjuV9Ec+Min1Ne3+PKY3Z047d4LexFaKfpkpB4LfI7vFNIvKL2ASyJ4sDLP2e0eswmV34R
io+Q4maT+/QzdfZ/2TuTJbmNNOu+Sr8AZIA7xra2fxHzkFPkRCY3sCRFYp7cMT/9f5CSushUFdXa
ayNVmSwTGREIxzfce26qHw3mEDc4aT0Ub0yAktGxHphocmr5izAwWCSC5ptYcJENpouAkDwP0i3R
FJKC+hwsIsMIt9XKqOQhRX/oLkLEYpEkhg0RsembThHkoX9Qs0t27yJjJLpkeDSljDfmInL0Frmj
eBM+ilTcu/US0bDIIqdFIAnQBI+QE+CTiWzdXTug0bYNQoariSDHDzK37Y9e4aSbOKPnGOsYHF/X
eo+e53TnekAJwSGlOVMgY3FWJk5ofMHrjX0DdvR8a2a0GkkZpXdzz9nIhtc/VLNtHzq0ZleDZQTj
NtLRuAspM9ZtaRbrQTvRGi51c/NWcXqqWCj+4pUuCr95lPS7MSxmolObdksst0nyIW/KZYDZuGVq
UlK/RznvtmDWoqhkg+BLAkOa95zJA0btsR3XMSTCq4Rp+G2qfXIdTcfYAkSf90WLetD08QEhxO92
SvvFRzR0/l3cAnJhEV+2H1Pf2QkmaIi0x/LWAm9BYklkPhI/jwF9stsXz4rsB69ZLEVNDFjHasxd
XhNx0LPSO5JLpKlH8UltHZ/SdY0Mu3tAzU2UOrXYK1DiiUlRMyAqacpr36r1YTQc61ZrJ4OsDkIT
j/H0gGze9YF5W8kNWkJgcPABr7CfYdmO4eX2qc7Qe/scmTmNfqBTHDFGQpx7h5gi632PmBgZbWTK
jhXcRjyfcMDEuwJKKQl/efgUE1SL36F29CdW90gMcVYkV+jQ9UGLEJfdbI2fi7bLULPW86PsJbvF
MPXUiiC7FqJ5o58a9h9XM9kKDEWrnrWRa6bcb01877id9YAkROxwBNSbaUDisnanNv5QN7XGjeiO
d7Gu4LRyMDUHnujja5wRjixjtpNAFayRvCVJ0KmwZ4jWXXvCBHJpu0mnICGl1bYf8TgHOLnwqVuZ
+RE6R14eCH5XyQcb/FwJSIatM0+izCSQeK5iVPslIdfbzlq2lrJHPFub4/yr3/buNswmyIt4iVkc
0VT2UM+XRWg8dfvBLB6HcWz2CSrgLTcpOkBWLZuuLPOLrCesLKV36hg6bNioJb8JsP6pj/+iPkYG
vvDQ/rOU7+br8F+H16IG8Ku+/qDn++0n/9Dzmb+4FlxJ4gpdgWLvDy0fsYjM9xmT+/5v/OLvhe08
9pGwBsj2GBBJFj1/FMriF0jD8Nik9Cy+v+j8/t//fBn/O/pa3f22PNDv/v9/Yc+8q5Ky1WCRfyyT
kSp6/CIX3wnyt6X2/rFMtg2wBAtQ7ZCVDvmDAIlXwo2ev3tTfr/o9xfhJdbf7zHeLhJgi3Go6/jX
u61UW/VGHWBwOXSZwOvkEScQe723rjO73f78Uu/K/rfXY/O28FghRsOR7y5VFSHTw0jOh7Enmj7B
ZnXGYQULpkJ8nkdJeygsZbCWg2UWwFP5i8v/6e2kVGf4FHiWZfGhLVaF77sOkc+MQ13RHGhmH0Xh
ffAT/Re7leVX/PBmLpdwqG8Ck89NuO/SOxSUYADLVnNwrOFxdOQz4AIs5YIShrnw15+/nTiL/3w5
FCIYGpBkMO01l43jd32UjBqWwIHWB3tgHRdlhVUzZDSKU+aExSnv7Sc7pLJZscPHs+fICkpSkwez
WkEIKNSGAxZPnoh4gtMCZcduIER53Vc9nCc25QQAo+BOy5VorBr4AINVlQZoJah0P4sUd16v228l
aZjJGzLgeSLqHoJW0C2G0lLexA1cDhlnckOJPT5PKUKRxI0GZNnCU6ywm6B4dJ08+sCQG0dwoeQF
q6Zz6+Bvv3eXMJDeJq+ki9ropkO0gkmILPaKNRuTYqdBFTTPR/xo111qQOkvim+2l99Xif3Fnf0L
/AgqCtsvTpzjxFsS7hEwqWZ3xe9EVzBvsnrGs7y4YlVpbTD0DV9VHMC8Z7FYT66xIQ9ZbW3Bwmuo
BvdmHHnkBIYbnkQknz0Udac0TtqFh0NiUd9/paIPHsdSUxVYaXozB0302Lo2okOfZ1XQRxuvItYL
jVvPxDkPt6k5xtelZoIcE6+BPnQ4O9j3s+2gkPghIJii4Nj6aTfuEgyicH16nzh4B4WPn3hXNYRA
81zWZGKyNlPKfbIxf32Is55epbL4PSDPxGNlZf05VwkNiWTgnSgYKnyqDrjBosFtgICFhQhqumII
uEUKDGHAIKd1OpQ46aZO7PokN5/tCgkCFggwaXEiuheYdQ1B2eZkXRn4Fx8T+CxEiVXWKnRBpMSN
S60zJFZwnA0VXrGiUpd6LtVdofQVYGT50sx++2h3Mjssdo1ra5TuoQDbjDzPTfARluOe5vqF+pNw
7Szpol3qyfFg6yS4mG5Ewris1TWhGtVdl08bQVjWdUQB2qwDVDk7NSAHoHSnAEwI+EC86LBGCezu
jDyDyfYck5XiaYJ02IdTBnnwta3oE8uv+MiPfRh7IjCKsNmM9XBB+fGUMs9eGcRx7W3mFOcWUyWB
dqSB9V00XIxwsPZCJubBMuv8wJyDnEXsdecJ1Afb/sipbouJ5wZ3NLT6FaEG5kWGzfSqjQpbO1+a
qx7E0BnoitjTnZD2TeYC9WiBwIWQMW/TmA1Xw0hT8X0xDMJAWFLuwjqeTqPhhy8AoEAB+lGAAzkc
zmNKIKC3pIi4ODH3VMzoKrLCWAmbRoSUuHGNaiOgis6H00yA2RV+Y38Xpm7AVBKzZpGxxXG9GO6c
/BBY84RCoDXvyS0xD6KXbAHDK8PPo4dsyf2wPN5pmcynFgbougdBwtLCaDeka7EZ8K1FaZBeG7qp
L2mDjbNs5l8TFFc+yCB6QJ8xyDE0om6LlukyTmAQRwYPqQECtApARs5MGdcRqrInZRkeWEM9QERr
VLXrRCVfdc/EuYprF/b2rqkj+eg4dbAurUyVx9Lr9V1n1PKVc9s/JsUg92yf8/X4ZsaIOz4hB3D2
TZhnrVjJEKFvZfn5FQfSfLRoFRGOOS+qGvQKpbixGvyQUNE6FBttxlesivYxDwASfk38WNGyNMqB
mt/owj/mvXjKiphYpdAq15GvcGT5BqZ2I9yEcIOuozD7GpJbtp4bvfU6Yb92JmtYFsb9bW1rkDtO
znePI8G9TSYatMBlw+UWQsG/w1pTDfPwkWAOUBeoVjlJgnSaCDHiCwRVdUy/BamRf7CGxnwMvdm+
yDl1NzIH2mXlBdZlIGcSEF/cbt2S+8sa3fHXopiM26xZTGzoTDPlpc9ODNRoChgyrBuV4wSykS6m
NqcH0bb5HjKkfcUueGgWmGF/W2jfOFhUNuum8b54loxobwM+9yZ00qOf+t5jrkdrXzoJvBaBztHr
pwQqJApYCxjqAcxqda7Gzjk4rePcuomVHWIjihAGYtBBVUwcKW9/H49PFicXS/XA3/Em0Scgels7
plVDpQNpTt6Mu3WHoviAlN7+NPZufOOi3fugS7khbgHEY1orddNZdbvLipQ7D5EYbr+cfsblJuPh
SVqmpldqFGqDKNRHno8D2a6SM6MZK889t1YxCfScue5+qyv+KfL/osjH0Skoav5zkX9+LfWP4OXf
f+SPMbj9C65V5hFLlWQHwqIm/b3Ct0zxi+lQPy0F9lsd/68Kn7rt94p+yUCH/cJNKqjo6BKsv1PR
E27yY8nG6DuA3uVL3LSSAvF9hdiErZ+n0eieC/SEPMTZILJGtKAyQMXRxpvnk4hF0gayYrE0VgDI
nLVyTAMi/dzSej7kVWNS42loFAqE5jxi2j/4IW3rmuOCx7vXwOO6yWJES96uUOT2DjetmSUoayfh
MQIkSMhtIwyheeFe9Xajv2Q8vVo78QhOFQZr8dj1drkdoAnSTbSsgaYHw59n6wqiR1Kvm8AqzYZj
UKTzXlhKm1fliHoTdqLJEQgoLNGHvKFOu0uNMHtQTRi86HyW0OCZrC2sK3R7Z7dUMUElU/DRkMRC
conJnbdjkAts5niw8LpOsGwXCuxyELkvDREgGyOohk9JbzNWclpvV3XYZBIVqyVtRYBzq2QMia2t
jHqfzQXbui6PP4HwQ6+vJTEkUESCL1Xgf8nH6cYHPQaQKSO/i3+E133nytvE4RFO+2dt21QG61FC
sFj1Eklgl7IspeCZTAgXLBpXTNqpmJiPc07ANp1Wg+X0B5BYxV1ndfp5jAvyMtXEs2v2pgse/unE
9KuBpohczgBcjbMkztPkV+4H55LiqZDbvhLGbVyU/n50XHXQ1WgRF9KWjzFRZ/vZ7+g2ETStYVrF
DL0x315jCRIfjCqHg+U2Qt6yZ+021EAVgaEeCIjEgtfWOkSFJp3N81WUaLiWkcdghONODnRluZ3C
v5rCZv4Ez6/ewQ009k3SzOynxfyFGBQP64NVP8zmFN50RlNdVTyrAQzMxnQ7drMLz2E39nYrqIr+
+DeHr93H1yRX1cTYJSZRpMjaegTt6pSi1BzKE5kRQ15tvDZs0mAnlHHvG5aPXrNHOzzMWzMmJvnL
2zHxz4n6lycq04SfnqgER3Vfsun7iQnH3vJDv5+pPpGXLMQFCU5sAr+bmfjBLw4bR45ZL/BoQb6D
AWCAREMU4OqlMXaFZXIO/+uE5anMuUgUFCa75afezUh+NjOx/tTlC5PtJkJRKamB/mQVlK6MEe+E
0am3GGuuJc7Ly2BFM/d42e6ThqVOb35OjQF4Z2PTEqaVH9zT87YHBZBsLxur2Zst2pvfBnU/THd+
GLS8MfR/mA4IXhxPIlO4C2b/fRbVqJ3JyYTvLmmWdXUbMG2/BUvJWc8hCW/a6qoHvOSGvU1UiHEc
Zo9R93pdsBUJf/XL0rpoxiuN2taTx/xiro3oZoobPHI2X8yXIiaLWW3zHi0LE3eDlD8nFSZlmONr
A8F4a/gk6IE2tU1cU/HGyiF4j8yJ8ac/xVMfMR81ipSIcSdvCLAnAQClvoYfjssqOPkKGU4lpnQ7
KjpRkoZVh5PAl3ez5XZPQUWxBX0IUAgneE7EFt3X52IqzHub/uqtl4fQl0DCp9TPQOQRPQgL6ATM
FLAi/krIw1S89qVs9IZZ6kBYb/hMtqaxV8msTg1EpH3XSf0lMWN1i1hz3LipPltRdaorVz96ZTLe
WcE47QENtWf6zZ6uqKeN92ZO3JxsopvGltNVGcU7I8FjDivOqu4NO3gxJWWwkUAExHyQx4u3q2Zq
0znDtUGW0WXusmBce/Gkt0PSj1eRNz+YXZTfqgmi30gyIokJg2tFOz8z7M9KF1hY6hgMP0iNmScz
qtJ7UHj1fZ+Uco2Vrrhz+hl4A6spK7tmd6EBP0RAhhap2+08N1u2WWLXBDmICtMcSeSU5XF0a2ef
50W5q702ztY4ULq1ZmC5ncmTPoz0LRgsA2Sxswm2z6yroz23w9pqIvfCu96cgV4p2ujcPEWWDE4g
OvxTbJl5tAlLM/9Yt5Z+rDy2W81gocbL6JkeGp3MN7IU45XsTe/XyItdPChtA4CcV69E367zqVdb
kcB7X/G+E8bQQAdY1fj4XzNue0Y+alxjjKcl5NS/J6hhuAl4NpydQXdbdHrB3kYxvcVOzMRpSCQv
qJX3cVuoHc5MgUowibmlyc4Md/STeqJZst2PjOPsNcYOnqU+tDMHkd2riFIAz7RAXwUY9eumiO0N
gxB1sJGsDWsEZO4LT+JZYaONraPo3VTRQ8kJoH+7iJV4Ai/pqo6mNRVN4UEYDhqMNhjCJ/ABeQTn
S4fGozNqiEC2kbfHgHSuc1A7lYMAF/Vf780KeaWV0xuyCDuP8cC7Z3fhvLb7ZeHdx7t8Eg6QcT+0
vxSDPbgMRQf1OA81VpI8CHj75ia7dmD0ApQDqbDAVPl2YccjGpt6oycOIJe0HG0wXDziP529l1Xu
MWvVUxAP82evn8dtOGj7GLhpxRBkokuqLaO64SQcXvqYjfyq9l30gQWBwNYmS1RGZvZQQuautPI+
laEXdBu0eCM9OIP0/oYUNPs4Wqx0VgUaFhIlIAIVVxNgY1BJE2qhKoIaQcR7jqAhZb9967DXh1Gd
ROJW5/ZwcRWo7hWCgZ6StNT5LZmO8KWQT2H3qvrKYPlmQSwChgGTl+PgzPAxT1b06MUzhVBzn3Sy
RemcCzLgG7K/jGaJAfMkiWDJkg3mUULlGwjK9sas+O8u92iwhUIXk/DmqOtBxPFdIobsqaZJf0SN
DL96YnBZ1LCLOZ45fB2dZV/SqCW4DG8ppHM28O6dTqbc+FhLVrOkVJF4JiRy5633FoQW1cpVO3vJ
R1OYOU5TYQ0vkc+UoQeUdW+1JKoxntqQxGDANF3y1kyRIrAjQtU+x0Gf7ryhVw+0m4S0hZYbX2Df
iA8V7qV7bxoBDWqlozvbtmsEXhBK87XwYv2pAtvCoNcqOR3Ukg4XLjlxcRM01srB+3/d+uRnLPB5
1IgTvHjQHqzbbo1xSZ1zes3l8qjtv3G+B/fMioZd47n6E/NMLgECZb6yOZt36STTo8rEuG0GsIuc
DeMxXRLwFnAs/+CmY2bLlzwj+wmWDFSOVTfHxposCmL0UodEPTxcAOq9SSxBe5rMPcKtWJr1LDfP
re+6bx/bwfBB7NFNsNuXvMje8rY6dr+kkpiowScvOGtG+ZzAkzymNAt3sFMtrlp8Ec0SBwi2XN6O
5A6ndOzo35jjTH6Ie7o6Bl6HE9sxlpSPwtj4Zllv69pObyan8vY2jQM/MI/iFkIr4XZkOAw3TrcE
KotObIp4Yn4HaWaV+KbxiYiJ5qKEHM8oEBn0oo4lCNEJ+i/9Eo6Y4SKB4V2N+6Uu+ZwvIYrcpY5c
22/ZinbKQHc7LZGL+PB7aIG+VGfpL7GNjozJZ7Q0U5VtNxmTvRkKFcjdpIykgqXWmc9uSh41Rj0C
IJGj4yec3nIhI3vJiEz1khfZvmVH4o0d6KX9JdjtLV2y600AZkvkJDwnPq741bDT/tYwbVzCpvuQ
jaGzT98yK1EcE29X6lhe67dUy6UHvyWJmXC2Nq4+TUv8ZdsRhEkyJJ9XaC75mIZMy0/SaQp+J/GZ
YgnSRE1DSpu3xGv6jbauNMcZ3yJN/GYEoglaTmKKGuRpy+bX80T2iortRRuAD53JkiQppkF9SskS
BEM0+AZ6GlItY3JqwqHcGlUDczk22xtA4tPFdq3kYcx7U4J3ZvZEzokwdp3W91Ew8LB2fOc6dio4
lhVfsasE2RxsbFyAmqVBIjGsFbAtITj2mxC1yBcS75rPftDULH9nIzgR6jUsBaYj1JYE24BV/9za
KzWomdmWuyw0qs69agtztle4ezpCJBiTA3Ui1eeqsWYHzCXnCLbS0kabTnmisB0QqX3p8cXb+46H
/oVvLcw78IA2rk3oE6c+VTwJiBQvmwPmPXvcsE2IQx6tNvVXlUv/AXuEDVLHMzCzpJN79nG346oN
ZA3/ys3TaxVP2bjmaC8ISfTHZ7xpzT0UV+9TAyRvX7kR3TSGQ+OLDWf05FdeU+4bjU9nbUSFyZSR
STDGYy/u9glswjuRRHFx8uskuI06r/5GmrBNiLoZmcfaT3MTklZvrLTsXBNOQRPL9uz6k0Dt9U9b
938C20hrwZ7950HZsg0/fVX66w+Nnfjtx/5Yhctf0GMi9ITHIWmgPHbFf6zDHdbhTP49weZW0vv9
a1ZmoQ21cDTSDwrPk9/JRqX/S8Cvw6oPlo2Gx/pbnR0r9B9nZyw4F/sHcE5S0jwAde+2q2QJsAvq
HHXA95zINfq5djtFlcrOcdg759FUTf8QEV1xqswk7hh6lO0lrjFS7zOMsNkydcrx3GRBsgasJnHl
EWUj6hHJEfGRySXotUkBRV5RFDTM4kdjuAHCEUus/WH4OIrS+ch8/DW32Mzxqx57BtkPLUi1i6Yj
qmq+y/BhYaLzLcNWC6oOiSmLxutuIFBkxcTbutduRS5N3Zofg8zCN2MYBE6W5ZCdtOrbbVX4ydqt
+cEBWMTWRhV/UwAR34CSsu7DWRgIn4zgmxaKwEzqlHFY9cWsjhGxKEjrxqx+lb3VwunWoONt7NFv
b1Q2Yy1VXvyZzz9ZG4bmpwerV0cnUzN8aUsEFczb7jiTpLb2ZMcPakpzQaIlES0rtwiK4EOfzk0E
otQ3EYa187Vb9+QvCIweBVKZQztodeyNjqszwBnQA6JN10kbrIekkh1I/4AEHM4uNPmDZuakUp+a
S9SR8UJj5zz4qCgXSoq0rpSvA3M/OFb+PGW5hy826qyPCMLYNmejyW/Li3i89evc+DbHwzKma8IT
vsP4V4Otwk0NwWz/9vfp5a/izlbTinYYXheDsBLRLqYLz/XKYWeqrqSxxJMB1QzrErXjVoOlIPUc
HgGRGolgv2N1SPu6Fu/TlSvCOD6EuQVpydWtkrvY8QCAyHnZy6XhTIiXUWWn2a6OvWIgtoKSzk6B
AvgjzgUflHE9+SaPYpxhHU+Ij4FfZ6eUh9OGqydrlvpOssWzCDoIH9mzMmT+ENdq+tjQU175cAMf
07n3dzFtlbthYytPxIZFZ9gi8YcUBgLd7uSc0XaQzeOmGSlh5Iqw2+dFpjOKN2cWutyTWmivaApb
sKoBnduYEjhKDNi0xyQY0GcK+W1wJVb2UBXEaFlyHqEmijTJdkFqtvFNllf8rgDOys6tXDGItS17
PuFVryovxUCc6fsQcynu0AEWMLsWxthmSCBbQdxWHw3+3kLnuVN5LGEP+dm+8EeI5BlAnHwztgma
ZGhx+qGt7I94Bsm3cAh59ccJ62rfoFFLu9mYtz1xAUWER3GNktjd4XnjIemJet0x6zhFQIgo2Dpf
0Vjn1Z125+KimTrv4BTTiCe2hUKrxAlOw7gtPNc+zPiht4IYwlNsN0u5LAa5HnJHPo2MsSgOJvIQ
QoU1ZUBSvULWxxdDlAk31RBmu7LtR/gZ7eLyDlMGAINmmorm/Bpoe3o7+nhlS2Nw7lonEltMpe2b
HdxcQKh5mK7QLrJLC5oEsP5oeh/72UiuQ8sCTqLSlCFedVQEl2zmGvRL6UqXKZJV0T+hHyaAyORn
XmfKf5aGqQKpiIe7eYCGjtd36GHednEvk2WuMz8RXEMoS0poLzxmdZqZGTwbrgMpufGAJgGYqYBF
R6TqbUsYvfQdOcBKEZfYabrSwcTCQWGtOtS5m97FlE9YWnWJx1l/CHj98miHM/pmzMKeJueAAOku
pD8nag2NeDawsl4VrAB5/U3XrefYq6y1V9ZqTcEWP7oeKdHIUVS2FhgNz32bZriDGAaszFS4Cbtr
mL0q6EeIJhF5SFPxWi2zD5WA8a1Ymt9UU2c8ZmCXkJIIXFzBMKaSS+Qtvh1/VnfKz7KTVyKtwEMz
X4Tbcypptwtf3k6WJmvDb8FYZKe84hsqrJlohbdvUe1yaI1Evz7D7fA3Lpx3xtaiopD3Jp4wqnLL
/RhxPKM/FzZfh0HcsyHgQhjGxk0pNH9JvqRvDebQM48ajKC84bE93WiVVRPxfXO71V05X+NWcs7/
lEv/l3IJTqwvf1YuXVUdQZmv5Y8Om99+6o8xuP8L+0CyKfHL2G+T8P+tlgJ7YQQCxUNQB7eAZ+f/
lktS/sLgVwCe8PHgkE5EkfP7IFzwCwMG7fhyBFg92Lh/ZxAu3w3CEblJG4cNLiAG6x6WjB/FYcmk
hg5ePg946nx/k6aGdW8i0Ln2+6TeVU3qtyun9szP2vDCRy8OFBElZXgyVIJPkHHJ2ss966oyuYN5
TOHl7tEKrHzGm49+TbAkri+eUZXJ092K0xE7sdF9TZVAQ4LN9tkWaLTrpZqhNQjR8dvxcr97pNA0
OAJAyKlh3xKOcaBtcx+6shtvvvvI/o208d2ulXcALoOwHd6GBR74XvBHaqpirl/XRyZz4x1mF0Qx
UwfitG2X18Xf/fPrUQR/r/57ux7bXUpgdsow1N/pNQUmXEJmsvo4GEquxij/vMj310nIe/DzK72r
hJcrgXDAw2Kx6LDYTP/42c7on2eGITk+KUbl8EeJGiQ5dO/DxXvoRW7vYa6H9z+/6L95eZ4deJTx
3ExIUpf//p3aMDUFcfIM647UQRPDsKV41vi7nE03OtRWf/9qULhYzltgJb2FOf391aLAhzlbpNjO
zcHJrktVzLvRxfd02+XB48+vZS2dw3ebmeX9DDy+rb6HNtjGNPfjxcYsyuMiM5NjE485XpGY1Qfm
/6La+MrCxzRRaHZsP64GnSHcywlZ2yaaR//P/44/v8OOaSLItU0WaNBA332sxK54U9ExYGs61EIb
5iI8L9FxPQZuzXPl5xf78z2E/GUZHvoUwjY6iB9fs2KvIImA47lszfOl8pXeEALdfa3jGvXbpBN8
H14ZEA/68+v+uxfpIblmr+CyQTTfnUtZlA5J5NbpsRwaHng9n+Ygu6VZSJB5/a1r2aQgYgta1o58
vLDK313LTgxanDhIjgnrj00zQiZY1fQB52ga5NPPr7X8ru/uobdrOWDFQKV7pu3Q7P5ww6ZFy0iX
URf8tXmwNhXDlVOe0Iptfn4dNqV/vg5alMDlkOF2FT9eh2xMrdxqTI6hCR2N4Q/j15U9EUsR9hQj
cZIQ7TGqtkoIyiBIZMtgOv4L+s27e2d5rXThHHQLRQgw6rt7h1l2ljROy9/QE8BTW33DegYmynUo
p+JURT7Tf1dOf3Gev72F795iGn9euISfhPD53cdJ/DTDsJBEwthHjahStziRZT4BWSzjvZI12Rat
UZEeOUxj5K3DgZbuOLjl+CveTGgCNKtoo8MyPESLgiZMUEmHc2pcfv4J/bu/k8aJ0sCjOoAQ/O7t
yRxJEIxnGKhtPffzBE1QrXuE13xEiMlc5CFMrCnUDc9jaDlk1yaonXwlyzA8dllln4M2CI8j6J0b
xMYazF4fVyk0zMDr9z//W/981/pweyEBsZpmtP7+TzUDGgkiQZNjEZhMSLLF98+oV/+V9v/dt547
xjc5YzjcFkvFn5hDiSF4U0idxtVMgR0kdDMrMswcwA228/Dz1/T+OH+72DKR4unoIC14PyiafO1o
e0w5zhkObSI/7De4m7p1zlcFs1kdretxmM5WN3ovUBKiPRPg9i/eWMt0lm/ij7erLxF7mYFDUcCf
8+6pkqvaEHwzwoPXAXzAPy84TNtglPUxgjdxof00PztxmKyTpGN2M9VxGvG/M+UzbjGd8xsMjcS4
6Q6Pl+gABaV0RU3edslaZAWJvTHDrjhpxP2cy/BbP3b5sz/lkHJzxVwoaOAlYUUja63wnXNPsnC9
wj4m7h2gRQ+ASMwDPFDrKi7tqduY8IofYavPF4LClvkK+7lbqAfta06YyufZoIxDosZOgcCsEAaT
4dSnsmgw5JXYmw+ztmzNZjlmZiI9tdQIVWaDlm3Qs8ZBaH3BDCOfBtzNOE0WYvEa+oP9Le9bG45F
O5J+pwmWuo4k32zb4WixVJ987mIO70pHzjcW8b5YlwVlI9Nr0wf1ngQR0caxa+8H26QYKr1R/+oj
oYXs1ngvfjMo/x7PJPcb3/4IGTVKYhartTIuvtCcnabuvJfZDh2CeYLo2lt+VrMXuI4mR0JBTAaN
bxUx1GNQyema50z+3DTTcPv29obuwJigjM1LDegrO1UzMtpjCMlXnoRZxNdZFGAfaOYYnBrjU06r
zprOivBPb+1bowE/M+OOrMyRpvINJUj0Nu8dOvGEvtY040d7TOwPnTJzAzy/Wd7JDO4EJkV+z0BG
77Xb1iS/NF7yWZnBUDKVUFO0D+aFHol/yXnAdSOfYAYpsTIE720hRfIZCr6AeVLZr2zlDFS+jkbt
GibFfHEG9oLrNlPjnYncH8kxGi4owlbyCU0xR9PS8VqTaedbudyHxVCFJ7/DxLqwYltGPATroS8p
Kmhefc699DYtxM0AfDCk9SIGgEihC1Gb6GzAGulNF2s8likvgKV5CphzjXDa2Jo6rl/jAXZVNfrc
vU5mgwoJsegfupiOgRwk49HFQMznGMFbJagqPWV+vg2IWdggjRxvKyNvdm2KOCIa5oVhAzqOkYa6
RGgZj6avyjNaE3uNgzzZuEJDm5TlfOoa0z0wIw8fo9bbVjbr1MYts+uJq63D0PFui9nbZ8mMHHKB
hphJKl8ITUAmTuiOSXok05UO8qwxzuxohVhb6B13wYgpxVakt695V8UzDNPbJCqnU2oFuzjG3Y0/
vzohb2IYYHSANfBkYMngZaEAV2vioHM8GAReCW2jEnLsF4VE5zoqkls1Ao1FQDhu+sm3WSgJuXOa
5MnFjrGFpCjOOfxrUgZhD7WkHWRBYa6z2Vos76aLXJBcgySI73U8fQ5q8QqgSBOcXsjN5GKCFqzo
4AL5H/F1hCWCyJoAyxE3Q9jV4hM849MsfYvxR3ITu9DbMtt97PvwXJVe9LFFRLqN7Wk8xXnBAWwv
NRKR2DduIiVRrLq5WEmuT0YPz2+e3avMaxbesV2kng7ISG9EpL9idK8Pk1UR7VWGfUh2bCTTk1XZ
i+fEiLyrzsn5g6rcXkiBk5ifnNmW8NoX1m/biwCRttXcUijZ8WZwF52RZ+ZPUD2jJza8w8NUOdQP
la4Juap7IFBgOuU2LNDDEv3i/5oWiTqOOYlUMeYlLkoVfa0i8x5v2XDvMU3cyrnrtsvzx8G3Xvfx
Oqmb4k637FA9vmngftAbiZXIqnCtJmqRjEFimZWuXruml3AUlQN+7JAnghcF3qFOaX0QbWabgjJv
F8wmq8GhZwOualHcAoB69vK52Vjokm5sHDVEbEGThKENyyjdIQHDFk5s/K5MM+fO7Ea9c70uAioV
DWfZkdWGGeaUDh3RJcIfgk8yHXW4cphNMTDmnDyWgYpPeJLh2onB14e5L7gxU2oHWoTcuOST8rbF
pD6C5XZ2JiC2l84mL7JlGwFaobQEfjvH+zAOczDvTSchnbIjHy+sOuqxcmwONfl+N6PRuBeVI+xh
io6RrG28Ax10cAhGAutWNfCbrzUpC9ua/OFT08prr7DN6yBUA3E8gXXF2h2jQrRAk0GJX/KwAbkD
il/S/KexzZhCWY9GYjB9AFAMPd8LHkYHOgcPYRgR0JLtLyPpHxeP1OEj6Xd641eN2Px/9s5kOW5j
3davcuPO4UACSDSDOylUxyqSIouNKE0QpBr0XaJL4OnPB3rvOJbkI8e+4xOeOMJmoQpIZPP/a33L
dxkCuP+BFkWxPEyeUcBQ78cdwg/nKZ+7+i7uO3tTRiK7irLWuuEOplsbWHA7RuIwSsnADqobl/JB
SDXcuovbAlND69nXQRyvUQGLBFbdim3pT/WhMJdmD0vefx16fhITTRuOHZqo0Cfghf5HJNessgpK
VTWhpInhOj1XJtDrwfTrD+YSse0P7NrdNJ2RVbuZjE8Ct7KxOBR55X2SuUsRp27jM95yvwYeuMKm
jGD+1nMcv4Z0Mtz3MONBiTU0xUg2qljTyUwGIFaP8pYTO+JqlMUcAER9oh/W83b1zc2UlcVd48r+
g99pfbRbktlgKPnHkrCvq8mvjA26TP9ctzq6AZJFVG48lm95hdhklzdB+9GBerJ36Vh8D2SZkj/k
oWAzhopaUlao55VSBDNK71Rbo7YIaGOguYiW8dVEwTExCXTGVdwM7GV9YeLMS4ijB/85nEU0p6FZ
I16UQ7rLS+sLpdYGOXRDmDm9z25XxfGKghrqN09U44maNeKQgDWQfvVymCVsCXRK/Z0wx+4tUzlz
dluwajAJqDzuw9Hx2lw+9dAAve4LHB7f2ZhOpZPviTG3YZ92pEHGTl9xTOqN762bVDdaNtZtOsnh
yYij8Y1Ed/9TPAQEo1VVgIJJm7hWWfbg1BAQT0WkOhquM5+QpwU0KtzxI4hq+B152YIZGQuxydpV
6DXlImQXhT7Umj1gVCBKbci9oFwKbfOtekx0VWbeOBMxykU+sWag/Jlh5Q2DCxkyr5OBTOdWH0W0
4lRU2Qzb3rFqprN5iR98MvrmUEsLOgyVcTMUVIcYl4gYyG5djEcid8w9xFueG4sCQK6mP4EMHL40
nI1WMQnuL6PkLig//RyBCcOowxbnJvEaq8KUqvTRNe3oeZaW/WpYjfHdQil7jUMyfpTVQgBqzcdq
RwdPgqbLytRSn6PGSdlOmqQ/dekTG+No10c0a0AHXFz7mdg7qDu0tziHRQyq8tmUlbkxfePijTon
iLkiBcqDHI4+a6MqDJgAO0qSpRPKnV5CulcF/drnjA0qwKnDQKdvOU2KKjQ4J2+GpK9ZKuMjyn6L
aKnpW7/YwYGzPIB3NBb7HPzSmgR6srpShiIdBYmSwx67XhxiCzS2XsRwNjMtzrMs8VMJSD18cAJc
60DiQL7BlFUcnD7VD61rkWsIcu4mq8bv5BbZmCbLauOOo3VKKezuOqpZp5TAm2NgUh6w9Ai1plHD
oUl68y3vsf1yxmfVYSN0coba2XVB2uIB7eHC9Dq7zoU+5G7Mbp4NF40V7eJ60B8mVNybxNHuUao2
CcnZIJ+jbbZ07yBvsBW806JD0lZkmAj67luv4Bw2Rr0chJsiGmyDz0Rylns1N5imGmoHCzqRbOru
B9t4TV2HPPBkZp8S3FZld4Lf/2kqlw9DHp1ANjw1KrphyqVgBGji7Krle9bGzyIILp5VHRp20yFx
2a+Bma6GQYqUXh+8CWl25IKvpghDyKe6SNXOrK03HQg2VkbMJJ9YV4WryOuwCI4cGgSb3oRR0/1S
jkGzsUqq2htJYsUunobh42IvX/CxX7kZ7tjWKwDRE9QWfzTxNBA6T0cJjx9SoZmcg7RO7YOgR9mm
L3rUHS3f5Fq2T6Y/Duio2wAMW/pAclVy9KYAnUI7Di+GpfydntCl0+UEsD8o44gIc33NZ/Mk7dR7
cTunQn/Tuv6WNHd1lbYu5dEpW48TXpBoiHCCLTSSTgdch7tc96M01D4p9YV4vuAr1J/ZOBlNQUEH
wF5HR9oaaXOeEQt29P9h0+m7wlLr51ltnr0Cp6LPSNxW1F/F4FIC1Io5ajmqmk7W048rxB6HLEik
nP3QERWBZ9wCHPXSLQ7XrN0YAUVTt5s4cq4qDDVYWFbjPPreRS4vIFelxSCRjCq2IhyktpZfcyyK
GfYDPr2ooM609jTmmt7cEHNAiAyIkVVtyXOWLvq2ZY179tuI5AWHfreVoqHo59Y1bzNDpuOuD2aO
HYPHtDStrbdKrKcTkRIOki3W9CFzMTOb9PX3Ilb5Kcmn6FNcGhS5Y8cTF9FJLJJScRJBsGa+1bjC
5U2frDIBO+ixTCcYfj+2mCi3fmG4tPiFra7Y2/PRhlsZu6TmgI6aDUeCJ4CGmpPbf3ahv25TxfYP
pmhzJ9US5pCVruCCIkNhyb+yctQcaWcTSJNIsJ6YqW78waNGsHZq3q83No6xmxHaQlsmmppzApAu
zylf3v+XwC+tC8Zy94G2fHBAWbAcLSDHrwTocAbTyqJK4NvTh2lh22Nw2KTXs4DaDnJuJv4quTGT
vt2/F4qbQtNG0WCTh5y6cVESyL1J0yQ4GHCwT2WCmsUFF3xwASp/rNOeH5ASL4cyXKOVofBCy70Q
L+Vg8tSrHFFGNGl1pQjpvss1+93FWJms+QCUuJkJCNEmvwsrdvTYSI597Zg0dSjnrD2wVeNsPwyF
p7Zjvtq604WqCMVLJoNBcDoxsc7Vzijbqzwyy5Lxby7GdVCTOEPxDwBwnlFR9JdzoBQOT1EEPSUZ
rHoJGe+EZff5NNGLh6FwC9dBnuuMOI9ukRSvogXVxjruSKsBEJ3xBOylL54LVSz3CfZwjkkahQ9L
A/w3A9kCRRGOWffFsN6TYqDLRprcPc9K39beyG2jSBk6AhozdObqQL/5X+1fb47AfRUTreMajjZQ
geWmd0w+OxjXDywy9yG2AmMXJLSXcX5Rz/dgN+vKM19Kkz9BsIkOZu1yN3XP3RKuZsDCh59vRj5o
hx4+kNsWMOVLIqSTbfM+Dw5px7hPDLbXwqPOun0vPAkwc98X4VBUAsaK7oUPzZBtvFJKxFHLcj4+
9Ra2tUDAkx/Bcb/Cp9Z3MDB5dbD68zDtgd7kRHpT1Ij6Nfc6NPStNuzNjI/bRGRZROLC4YBfWOGo
GSCy4XsPfaSeh6BCksO5RX3sccGnm5JsgNNQ0yUfu9q6THmfsdPii1tdnnwtl7J5bUnwaljKu/FU
9HN01VNyRQ8A7fR1mVGAmVTk+pa/C9QKJkGsO8gOLKuAVdL0zZfKJHgnoJl36EZyocyep9P3ES+7
5g2MhjmgYlEFh35VccW1O9/YlMBvmnKMPqkJ60+4uIs4gz0WHyobhASWa755z8lHbiumw4OJKA9g
sOIRy3UUTDhEr2UjKSlgbh3D3McLsZmCgVHiLeZbbGYNZCzfqJHUNrzTtZLQMTidYphgfgwc7lTs
xsbjwoHguxc1/OCgX8egMtEBeRL6K5Ik/OK+PcNd9dYECt/j2AeVefzmu5yTQw4Y+oV4SY1r2qcL
BeoCmBtre0yCYYVa1yJI4Fp0Y3WbTP3wmJqT/7UZneh7Snj5aZQJ4cDxxMpEPlO7n6U3x5sADNwV
mJHoU+ZKxFidgs8GG4MCN3lQaT3v3kvC/2v3+we7n0WfjUbU/6wLvUm/JGn8Wv3V7vevP/q3zoG0
XsR/f3H8/bfOwfzDoXMQSCruLl5ql17Vv9N//T+Ej5qUvAaq2PZ7O+xfOgdHrJCktSLuCJInwAH9
JzqH93Tfv1TZWZOEbTs0UuhJ03n/uRfOjAEVreiIo8Xb03NOphKmj0pCAWbKqVzcuclc1tdZLozp
KdWo1llS0NJtoNXIVy/lGC3IB8ogfkGcdJdZbSoHM+w5ttayKAElOXFhFb6Lf2gRrB3BH765wxf2
ubUm4lmOMT91DP1uoCxF3OsZNL++iKQyQonA/XoePRM88AyQ4i+P9u7Pj/6rBZEm2S+XdGj6eg6e
M1hP3LMfm4dGWpA1C8zzTG/2mkXAQLCKa9c9ZA6QIKLpWqM9CmWSOjMhHtPh4IyecwzcYYz2Mk5E
fUX/jWlrGT3uSuVGZMpaPbQ2v0pJBqtRcdytgLTHwhI9cbNRVZ+zTkSKwCzUlBuRI5nbtLgEl1Dq
AawJXiPuteGO+kIVi5wahPGvfdXUHUfZVewZoO6Nd8qLsnI7yYgVfXKNzg9dnkgbln03DPsIqwOV
WXIFlbAZBJNdyFdlkxQ3O0agdkvfiFvloz4MPbgR8CvTAFibWL+5mTgFsWNJbD0KnHeUQD20fExJ
sGOMZNZ3MQAILH5W6uudjY/5kzVO+QK622qTDxi8+UaoL+wrtHGAKBRYnSXdtIYF7D1LRHe2MFha
t0tO3YjK2+w2Lxa6ueTUq47xF7OVCw1kFONlURXYbruw9EemfloDttVz59IOgQJRVLVG89cQ2oj6
jVjkMHINLl00I/+1Gagi7rASEbuol5bl0wANlKwRCp27qVFOg1sCmJeSAF3JVyr10fMwQ3kZB2oX
8Mk54W/b1L1PXEIMQ7NruUkUqHkKrtP33UtCVmFzdBY2UDvuoz2EMl3Xr5TqOtmDksySh3lBrBqO
lrTEGVBskZyg+FiP3npzUDLmPL/Grs9Ba8yCGLQe0sAyjtNNQmH+3vBNAAWZ5uVdc3p89BeYe3Yd
R0VY7ITMYeBwvcnb1ghcdiTsxdhbW7EmTOn50e2tHtxnoD18f5GDuUwORORlvbyZ59h9NkZP3CKw
K+7wJcWvgFDTI40Bxw9Tq/JeqzgfPzY2J29iIxiyycRmZeTw5YdJNnHH0WRS77G0K0n14HCFQLLt
+nuLRibelNFj2IwKCTANqdJVHzg+S3sPzNIASVkOrY2KZHb8ZLG3GSOS2lNJTXOT2tTBv8/ZPDSf
+Ncy+05jUl/S0gRj7wJSDOuYMdKxnxrCpA7EI2mhPB5IQS3KcYx96HohyhJ47tXNJ+4MLxe7NF7K
vKmnaN+ZVH5f6HjoC5gMXgQMKNzg1KKqcMihkZ8lmXgwlTWR1ijISd7IIkvDVJYtDRZAuNd2NXDr
YQhxFc5o2bIRvG3BjsBX7gsEO7YP1F7qM3sYSz3mQG2MZ2PAcXvd4+VXdzPoHGLyZpvpd4FdGTyl
GOTyS4ST5agJ/mpDlAv21cI2dtwsc8m9VH3PvdTmRHhAEMTciMYsFYprn/RVh1klOTUtmi8IVQzk
XBs8uJq0NLV1x/Wl6BX4eTBbBK8wmdfWYzoYZGmip0rcF134g/Uhi4gICMHEvDuyJkHPws8o7qyH
GTo3caaPXhSr7LMSiliXDerq/qsNazj/qJghYBnpCCfhh5oMcFhOOjbgS3tFbOCCRdgfb0yG04mu
HM+8L5S4zSgG6Y/+ELX5N+lVFrg9Z8aeuitp/1sfStafBabGQDLLVVRZnNc22CZN8yqxbJBtmAkW
Dg9pbBLOuQDxApx0WyEQeZHjEIX1Ih68MdY4fct6eCJe1diRhUTXrkYeaw9xcgXvJ9raUZRy0E7H
CTG3mCW0v1IeDazLEyGsGbvtj3HiDN3eaaRb4flsZno9BUXYpvHN5456ZWiX5mejgn7R08bCR1hB
88Pd6h9FbsVvRRd533QM2I9NXvWhL9xr+t/tTJS70vdu7cWfpT1Wu5JFakt+m33hvF59Fk5S7q3K
jKPQW0pOmxxR7oKYQq7X5K1N9wmFd9rExZOVdd4mMLueU2IP32jUeJkUQSdjOTUfxmIpryVxjjtw
dsU903rzOQuG5GF0irvJM3V2UG3n7Nu51VQs6uowUp95iDu3eJpKp4v3ikxx/LfsCoq8XagOBfme
QhkN5HZCYlJ4HtPeaNePLDrNSyXLJtlmS1dBzDDrj4lLiUSw9FBdc+VQhTRbcCO4lF3jdCy3Mfzy
76ni/FUMjnO0lizeT+Te3Mq484CmUZKcCWhjO7BdD+7ntivrg1+0cxFmhV1feQnx7LEU91lUNwfw
ccNW8RtfiL0A0sdZxL2qSBQdd3PpDbdt70QP+NDdg9Et+V5SgAmNzFj8/Ty77q3Bkf7MhD0fzaqa
ES6urDbOu3QLlQp7QorCdpgzUk06ennpuHw1zSI7I7pYzqpSKPR/v0P5SVhERRwLEf9g6yMxC6PP
j/uTti5t7GIcS3TfKLiX5JSak80i5BhEhBAXWJ/puKnj76/6kwjm/apSUmB12ekiMPpJUoU8PfGS
SQYnLN7NJ7y+TAxNb7HH+P11fhLBvF9nFUyxXbYIAf9Z+oaIxx26II5OTr7uMDxTMWevWUFSR0wY
//nFPNPk+M4GeRUW/3grBe+wEbMJPPnFFOzqNdNllYyGRjoEf56u/ke0xa8bWVTLACjZi5tUsH8W
2rZ0KRuDCs3Jpnp2W61ZIXIikqmjW3XuPMpEv/9pf3M95EroXwXiKgdl0U8/za95bYtS0qJJouc/
lyAUGKwYsurYjXTpzO39/TXX2/XjZn1VSSFdQlPNw/t5sz6XNG5A1jsnknjYXXnk46RsSyJW4Eqv
R2jH5a9CoxxX/JqRsXz8/gv8Okh9CT0ENRMaKguh6I8/uq6c1tQFWWPDkKrjNBE3osVU/+kI+B8f
5d9exQNu6+J2JdP9p1FTRNZURUhbT/QE1HFOiZDxgFL+w838u6twoESeRZwfL95PV3F7elHS4LcQ
vYlrIiV3h1ig/49hIlHno2/jtMNx86c7luOKIqSllicrIuSIEiaDYpwnT+/mqBe3faPH5R+OdL/O
X8zpzGH8LAIuuOyPD4lGVDRPheucwOG7L4LuDHaaka3IUGAQrqjcW5S/F4bI7wfHrzOLj94QWwi/
NrB+eSMCeBm0jKVFJjpvdwRC4dy71OSWjOSr31/qb34ig8NDWLlmhfwCDPYgVHCp0jq9p8UBOKjP
S9cTnu0wYN5dhnodNb+/6N/9PqTgvoAl6IJOs368ryNZYnYC7+dUuK06VqVjXxWmnxw46Pzjm/6z
fJNpGnwvkGLHeecY/fKmJb6CCZCYp0V1BP1kopRU4NCJXFCEKMzlBeEd0cw2WU/s6yb2Wt3t2JKr
u3eI9uNwUctX6nzdVwHSnV3nUhXJnZ+7TfEPt+XXiZCwP9uDs2ZbLkaA9T37iyS/SuWUEibLCC9t
LpRGREOtZVh4pJnDUMsCtvW/fxI/A5be7w4ZMSvJDgmw/7NIPS6ol0SscSfDN9jrYmTj/NBrTeat
EiyZFLrX8Z6l4rYdivbTOMpFbO000Je2s6BEtvGwrC1+ksZ6cimS7e+/4N/dE2ZKxoqwmSV/1iaj
ASRNy+etLxefTbcps88iNuxTV9gVcSit+U9lnF/GpgtpireBUg5D9BchfUtbn03/vJyoeTqvHcmK
mPDaimGqG07jv/91f3cxnyqXSYGGqebnsekvWIfiNoD2Gmt9l1Vkspudv6JLIc7+k83kl2maX+Zj
DhCmva547wLXvwyvMjdE00XmfHIjycESQjcjixeRU+Lvf5W1kqp/WF1dpst18yD5caDYfxrIhZ2k
gI28iR2ESro7kzPcEBp+1+dPEY3j7txkI5UQJyZcLploYHIi8WwFzXpdBlGTXBJoBUgIJg5LOEAJ
PFw8pY6m4VLKoupl781irX5MLT2lw2TFaGorArDL/3QidnFbgTJD/I3q95etUFqhWfNoY55AJvrb
qRrqMwmL6SE25/9418WlGAOO51Cw9eyflzeieS08psTOKdO1iXKD8Lppa5rJBp25M7qTf6wfrqvX
X54ShhS4bu/gfeTi5i9PqVpKW7RKOie31c43OG/jCfZk8PxeEHG9jqpOuxR017W2/mGms34eIvjp
LFysLuB2UJzshOwf5zqniPoUtQpqP0EladmaGSCr7gAxciB6YtKR/0bIbO5sx7oT3W0AGOBY2SqG
J9vP5E2imJkv5lBSRVzytV7TKm89WAywxTbv6W2qdLuMFHKR3nn9bFR80pTKY2DEOZCjnBCfe5l1
yzOWIJY70GyIgnolmtOIkgEosNvR1pw0pbEuyqn75RSOok3ajrG39ePJguRkGrna0l4u7yeqDbcK
JBsaltS9q2dhLIfagzJEFbtaNqbXWuY1ZWmzCjvyVkC0oye47nO6WjjzmoVg3LldOEAv6QkdmoAq
VcgB2o5AmVhthjaVQL6JwZ3qV3C/RFhtCkF+D3G0ohBfkUXnFMUNslmRsTRrMZSQ9uRunDX/7tFV
r6/cmhLlIYA3khzdMedUBLCZ/7qgW/tz80nDlcpLUKz7mrbhXUuqQs7fqZajh8hpoXNwn5UO8it6
9frS6KVM7uyyLurrPG7H/r6zOx6I1Xi83bUom/yCd5f1Qg29aPfCdPUlNy3/OnbdOr94jei+6s7k
V0x2JpdvWJ0H50a1Yi1FTQWPmdhR/pCfLl8l8dnLAzFKTrDLrcy5HtfAeSoaA7W5lOam3rugDcot
dRAqV/2SUAj3yxm132hHfCJGt0i8LRPYtVZng/Gg65RLt/nCqoWmBovjJinsDlLQNMr+IlIDoVDO
cEnuOK/SJhOzh3eeDqVzNY4Ktfl26EcjXJqK+FLXYgqXS8wIqhAMuBvgrDDdHSSDJI0ROIq8V5Pi
dFurgpqWT3jPctAFZ9iNlQZUGWPa5+pRVFIVBz+VDLAqwXZKM1qxNrzvA6jZM/oIU6XUkLg1dTMs
PcQrE4Sl/ZZqW62/B/0S3fkLWo8/S3CyGPgydqLFo5NZ8jUFdhDhQe6m5vjnawX/YHWrM/dOnp35
r6t7W1Gcn8Wj0CJJj1R7qc1bCMaGUKGX6A6t73IySwrJfUX9xG8AuDe8zWk9EeqTUof/szWDG/A1
kva6kYgd9nawZ5zXUmRrJRbod7ppMo4/aOWpwL8vf547UGRMqF151xKsB5ZyM9UZQoXc7M5lEPOa
lo1Bp6GYHW4s1DQUweQYxOk9yUx8EWFSO9k3hdVdqkW0+jO+ENsYKfTIPL/4daCJRtKFeHSzrHLC
QUXp/M036GTsMr+1nPtZNFSBk5m9sc37N3kl6zFtAHQwCeUKxopDNyfnDe5t7yMb85yAHPJqiJrf
FHSlyTmIoqWkNm9AbDwVqqNaPxf2hJqGSGKfkkTmIKswTU2pjQo5+hwyHYcxm/7cXvxvn/Qf+6S8
NX/Zs2xf+9f/A0Qh7efb1/Lb//u/N2lVfevq/gdDuCXe/+rfjdLgD46ZHBxoh9qCTQw703/hcwLv
D4saDL34914otYv/bpQGf+AfhwJG6NB6dPNYdP/dKLX/wLxI059T3Qo0/Q8bpfiCf1y/zQDHMIZc
ahh8QdN69039ZT9nIzIgkqAiMMI0asI54LeTcUFudXRMe6GbXe5A1QMPh+p7jxJD2Du36e1vmtRE
XBlLWtFnmrsbokydgIwGyDYf9UJKGOo7dlfbqRNvsW/FT6UmWxmXp/w4Ok5/05pxf4eQ24hgq5Bg
SEfW8G5iNOxOOJJg0hwMMuCOqs+qs5fBkSm1vC9Ub78ZkxPNZ7pRSJHxevfXYwY5+MnOo8G77pZ2
IV0dSx08Nwc00NfsvXlrdZreGFKFAAHiMncTC343b21l2mGCJu3TlMmJXtOAA+kmt1O57gVKr9nn
PNuHGMagG9oWtpxdU0Tpk0jmlqQn8rRDhYTavQLWRZK1qtsH1xmsq87rk4Ols68F+/Jd6qVp2Jlt
Cu+Usv4hs9LHmSDaOzejg3nkf7FvQMtH5Ra/E1nGFSbcjcKls+uF8aqxt2x8Mysnkss9FooqsHct
R39QKWTLbilUtnJHpkJ3wYYkb8aAfpToB09cDfAiOfUvQfS8lL730KzWFdXPln+lot42wME1slj9
dszMxDZkLyNJrzvDtpCkup7HPWjGTTvo6uQCGkOYSZYXhi3Q+OxsInrDM+Ek/dATVGfETbLzUne5
tFXspOYhiunO5OSN0HmhWmT103HGxFMhJ5lxQDiQnfc+DKWjg+fjpVmwiYIBNZbHoPBIRQSL4aVH
B29J8Zwqf6hIHARbbe4G1lht7Cbk+l13oDcym90Vgc6wDvGGy1S8IjZWMU8O5bOURQAcyQmttnFu
FxlN8E+jaueiNrmidn3xk8hFHoVuPM/rCRStRM3rgB8IE+g3G/Yc4D6LxQCM0klr2hVLNIZK40Kp
DO8x13JbSgvvnrqRs59tFliHXlqvngvg7TI/OLqMTvCj9hU70yfDSO41+OGN4jL7eAFNXo7zJ/zs
SP+8lNSOcX6gmt5dtSpJdovbZtdtaUBMk2QnAsO2ToHBfJ+znd11BmiXEiMYQt2i3k9+nZ6NYl6u
zJZX03IL6ymYrc9Vj++nJRx1kyW9ETpgh/bYb3ri0Wx85ezK3hS7iZNKnfjc0pnAalOaO/wvB9pn
Yec0A+Jn2Io0GLdpaRBW0RrAZBsBsCVOkm+SCGFP03UN6D5s3NbEDOio3A9Nx5+2wTDH19XqoKEE
2xzIin/oUyh0INdXX5AEyaMycce3z86ZnA3sZhT6rxB44DsvmhkRrs3N4WU7gtnDm8MCiQSvP9Zt
i19cPrR2ccn99HoREfvSAQqLtTymbn+ozQ4iXzxdkDCTi4yc0jfJKsm4+7GbhD5ZSF3bHvxZ32SW
QW4hKsK9aop+N0YLBorIeXYJgtxMKI7xrRXfCsdUpFdPLpmXyfCQGoTxtUKEQY+CtaWtrOfUv3Ea
FFlZqekk+YFAs8puwCTbdVdqVdEcHSfGVtOJiufhHtj34KVIguHoq+ILPHhkAqBCTi7T5WlQdMx0
ZGe3SdBnBC2T4chbIe7jpL0nz2+H9XHrL3V1qxHbvhbrbJYPEcFDPqDHc9NYziW1WvdUN3CveWBs
aXQTfPLa5MU0OrYzlv6e9BBEY6/jiJK2xcYV/hxKGpenYQa42zGt32P+WMWtbnCVZ94lctU9bXBz
zzSBbQNuNnmWudt/ZF4ZttboReOmsfvsNrPQMrZ93h9MHtTerNuBjpZMLrbWwY3SJuoGkmCcrPzU
xZjhaMl9mHW5r0hJXLFTHjjYDjhaxeyC0D4azGyf2ej9JNaV18RJb3M7YXUg1FfnAlli1j8WVe7u
rXKJHqZ8ummMVoVa9NkTspYnGQfU543xtVuCFze2rjAIYIcRQ7MvC4IrE2vad2imazc7EGOABC5r
nVtLxO1h8tWXCsHeDh1udzR767GJvJwBnNPJKEmvPct2Mm8TYV+GoLkuuuTZzS3SawtY9bUDZYz4
c8CpnzHM0Hp1YCivc2lj+Hd+Zx+6NNMXzaMrN80YtyHTqP85j2LxUkjf3Srb41Uz8PbBSrnx5hHZ
OHAi3+r3cmytM8gGfwM5IaVtHmDHyOfCPxTg96+Suj/2TXYa0yg/kD8OeSUw1lwqA4E0FNclCryN
PzlrYIEzOF8coLlM2Hhqb2dMZfdJ6RichFV7UwyrRWsake1nMnlrtAt60xqudQpLtZqKJ+EQchDV
N8G4sLBmQbCzVP8wUgdtU6/8MgKcIsHtBb91sRv5PQgH6jwEZpeex9m+Qmwi9k4SYeaNESLfaukU
I7pvTATAYsVZpjLez4Y9b7ohtj/hE2suVI/yamPQnG12MGiqcCzt6o40ZTKmapUQa8+61qQTATU1
6AqYH82+Gprh2oqrCJWHxeFlMFP8YMZTYkzr8jxhK3aBrPvydjI96xmxRvXBjJtRb525cOIUs0g2
XKDY+VdBly8nPdpPjjabN0ONRnyMSrQRe+lNdrexCzGB33MArB1ZZ0F69cGX0hjvROKlIQbn/tLJ
6m6qDPKoc+O+nJPhQ67Tj6v0cT9otz6RefXR75ziUadosQ3ELxQuR8S0RfuZ6dU5TmAIX7NFqB06
KEV8rWHtMlhTB5eAe8g8TU5eE+G4aTd+Wm1lOzSrxk2MWum5CUC8YeXyv7uDjLcDbfyNTOzitfa9
+cGb8Lvkg//JzmUTln7pPXsesbgG5pkQvnD2WMUYZfRE8TTwUJHatoZASy7EtOeBZRubYLQ9Clsm
5ICvF3OC2ZXZ10blb7NpeJcgqMaPdjfiShuS28LMJR5Wlmwva0QZ+qlyIG83Ck6qqYpztyz1MRsG
XAtdFd8Iqzj2eZSHhvSImx+C+oI4osWM6CfDvdHa/gpraz8aS3Cs+1k/AqVw9iJIcRgES55eV33/
tc39L8zOBTx1N9hyhhue0kwQQYJBpwnUvMXznO4i+vQ3GYfrbW/ZiH+lRfkF54KF0sJGjWPJ9jqD
yLsp+m6+JlglOE610LCQ2i/4qUU46CIVd00zigcmyA7BGPRi7Pz9lODbqWJ0FaWTs3h1RkWcSWCf
Y3eWe0xZ6bM5KXsGQVj4iBqc2SZX2xZvFFTcN/DTCfaePg6Q0GOjoGy+o+6V762AyXKhw8YGeDx5
oPCg3JnbygbQy0FlReZWagASQKu+ZOcRJsigY+DokaAueVZoJMg7GuMH4qWpZd2w0QpJNntWwXLl
WtNX2ljuAUbzG0WUdlPSM9sNUbwKVGpsO1oGxJ5gclDOSWaEF+NmxgdEcBj50sNnfP1kfC8NZt0m
sreyqKONgliEn7A+Js67n7JBXe2L4mgjNtgkKhtPlTntImXfZklmIxVy1aFoXP+cJiVSQkjjYY5t
c16gp4+tuihY8wdTvBHywqYJTcQuK6MnKk9ESmLdjAwH/G/SNNtOqo0/ZhEN3LnakZFzhHeOsEtB
Wqa5JsLaqJowdUaMG4Dra5VCqkQCjbVpxAmRJ58ncnbhiAR70+c2l0HzpOuq3gGAQB2UlufJTedt
JnyEdJrtIfo24H+x17AuFvVVXTuXAIHJwY3tL0U1PKGskR8MF9V5yVnF6uWMT5n6gmr6bePMGEoa
QOWG0uMe3rD1TOMNvklRlk+67yiiWBnL3QwDOSM1c0OGQpglNFU3VlZTXSuXp7JtUEWh1QpTgh6/
5kpshfaW+wUBJ+h0Fzy3A2xT+9GTJ4rrNhmcW+UEfTi01Xc2wB1U6G4nsqUOEwOCv3ZG5I5dsl+K
oXxSTpZuC4dIvtapgp2Dp52Nty83s5EVUA+YYOYpL/eBKdtb1/8v9s6tN25j29a/iAGLdwIH56Hv
rZZaF8uy5RdClm1eivd78dfvr9oOYiuBs9fGfjnAWQhW4sQym02yOGvOMb4RfTa7Nt6Ecvb22EPm
+0Yhhww7T6xV7lP5iDq8hU54Lmc1nC2T4JqqmdYLFDz6JqY6Y3i8IhYGXAAA1bU/jgzhQ3+6ZvL7
pWLPkQvj2QqWl7j2yD7v4ET2vIqtTKKuWY5RIMctyrR9nnwzggbLj0dokeiy+tDI9q5J7RNGTZbI
pAnWCBjMXV2zxUVQZ+/tftxbFZxDO8tOAYILagXzypTBe9dPbJ139zL7w2s0xPiBJPdPZd8P/Y1f
Re8rQp9XbKniTwYsENS0+bFPF2jXtn+9hMHHoK42bRhWe8kLcmXFQX2OIisjs83EzuwQkzdRoRld
Zq77Yelw/gaxeZYR7jd4O3eD1+C9k5hreS1kEafL26BBfkCUswqC7thyB39SbfLVlhP3SATVH2Jo
h4vAyftxlbjFc15lRbVNU1GceW1BAJgrO6fIq1ofxmNb3k9IKw+jMTcYEz25z1IjJszdas1kXUkG
v9YkkOrRAGWjUzfvpyEg/ACg5ZHKWgJbT8q9E5bODnBIfJrMwdu15fCo2gVVdRXehnAj7srUEN/c
tBtOS5J6V1hG24OVK+3piNTOnZz20SmVxnFZL+zjsxu8LGzyYxOcZzzija7ia5uu3RrDj3tD2xhu
xzIDXYcascESVu1G3zF2PfONTZvGFAElui88nJsY7SCWRGZ2adfDMhoU7FbbvI2dAYlxndlbIkqi
Ww+p8MHP1eegoBVfWD7C3ZxvjML2phxIlm4zdcQXhnRxGs9I8DSxJEGMKsNPwP7STRP4aD+LBGFu
7ZaUQu2ymSR/fBdOtBTZaHkzJR87/51jZSXdAWvNHCXbJRVhEtSOR78oUWvnxbhjuXK3rOhEYhZu
uc0hz2ZJfcuGKnggCdXZsx2m62LP2fMow5BqmsCXG17XvIkmdgxnglpPZVcGxHNkkDwj311BHFsb
tL1XFQjUk68wcBKlnh466ei4rjpboSY0T71s+quusr81y3CjkGKt9P7CWtKzYHXfzktc3GUtl7EC
OZuRv70VeT6tDZRlKw8j2Eai6T5NTkb4AgJHWRU3sec/kcHTQV4W5M7W3P4YvHelMPfxRM8DWi/7
GTdRu4GgPqaCgNTTtP+6VDVqwv5GaTwxIAW63Da64Ia9lmVjmofss5pIuaFXTcvG7tboi1mVXTM6
JFWOJlzWLoWLupp4UtdES6DbGXrWSFe0G4rAz6OffU599xg4zd2M+voIt4S0waY5sUQ/1dFY7pxh
3rLd4k6m07/uRzzQPA3meRGDtYcFQitl4cVL3xfltngA+QQaftguoyfXTSPKkM3OUn5oyHqGiDxN
wc6iz8za+WCpWHFGeImkN7H7CqZ13LIl7A2TcIJ6NdAV2Igona6SgB6265SfQTmF91lscCEDd08q
BvGhs728R1VxRyRMT4qpsDZ2Z+76zsVp2ELQWlMsG6SM+mrFJid7LKLkayCac7dYJxl4L7DA6Yy/
9AI3ch98a0dVs9VN1bYUeLAJptw0WbkWWZ1tlmb8VvdgWgk5+JSQ57ptdPu/q421tMAik79Mv2TB
t74pS/oBMOQpXbLoU1Zld23CAr3uhtabkfo6wFUGbMwGdT2erRjb5zSyMR8b1fKbeJMjesfLZNbN
tuzmst0kvc9s3zvVhTi1prv2Mlj1wyzzYUcnBxVOPrgrUCd+wxtaNcM1U+V273RWHq6wSeCdzRuG
IKxqBMh1onWxoSZNgq6Xqrx/NByv6HYFMUpq1xoSDoLNmK06YcXnKSwaa0h3mROKhgx5viM3quk7
DIYyrwdsMJ87Ofuyv45E2NG1+D5y/t/u2e+/VrqV3f0f/Qe/UlywziX9//31l0Rt/Tiu7oD/8ovt
pRt+P3xt1cPXbsj50e+qMv07/7v/8UdP/V+68eg2rN9245++EplR9j+bln78zI9evC/+gJCpdRmm
QBnj2ggO/kTZ01W3Hd/kqsJp1jrCv3rx7h/8C4suDaZLmvIagP9nL976g64583asM4Ew0Xj9J6al
t8IKNG/40ZG6auMSpqU3codAjMOSwko58I6mK5hwn2Uxo9KfJhT/YPd5O67X8FnOkXQ1m9EDM4Rf
J+bRQLvAJm76QGoh2dlgEYJVMEcVXUJmfdBPEFGRL0TyEfaY598fW1+vX7QC+uCYwhCG8rUhiHtz
iihN2dPIIDzEjArkzm9pw48zHFbw3fIhExbujLCow1VXpvamW1T6dTYQXm+91rM36OUxTCAi2vdj
kK9tbElXkPGS2y7IsEllOQynXrX1toPpcDN0fvRQEGG8+R+cBPKKED2kiabDe/MNmq1T22DuwwPF
hLWdHXBWvFacYwro531jm/g+hcT2ZBTYKaG/1s+4M3FvVqDD4H2EUGdLZGJVx/7MHJd0z8sYmzDp
O8c5HFGVj5N4LNKh36lywXrKK+s/VM5R3wkt0kJsiZDH997KoTpstgND6PCQ2oycke7lqxm9AmbR
7Nvvv603wqvvR4ImiOqR6JS/abddnEZFLTjSiJ/toPqGi+cFzRVznObedON/k0K9eYguxwuhcTha
UM1ES9+BP02zLNGVZWHkHC9O23tWFEw/Qxz+i9zxjeBKHwXLnB7QIXZD+/tGRBq2LBf5RHBei8aS
+BQsOnaYHmQXPP7+67vgAH9W13AkjFEmC5NeF/62KGQxoqKJexBLgMiPi99Z1HjcM0px4VRht/lK
JDSfq6qXD2p0g+s69yQdVRE9JADCTxgqmvuW2PoUCAg5sDWVyAhvh5yFWGvqq5xks5R78z2KlBLK
Ek0/YwWPFXeJE3OQudbBy4FF1cfI58PkLenh9yf5XZX0y1lCDtbKPJ9+sRb/annpT1ctohrDVwTd
ZcpITi50hrKv05Rp3spdJfHfe0Qtg3snc1mnL3PzZgcyqofdeMlm1inNJBgxlWJ0toHIZn4QlkzP
bqicTz6Kmw8uUc9wgq13IizocQOHooD1ovzRMiWINaaYm14nRidxaW1KnSIt453IxvgTy5k8eD1J
0/FguQd8IdWJt0tyKEj53tqxlx6MMqRFo/OqE8sR+86ugsdWp1mjpCk2pWiSfoWn5xUDvbcuUPkf
iRQfb2u6g82KuD/nugjQQI6R527rkeQ6j5HL2hs8tu89QYYH2VbyqSdwO9fJ26XO4HbDWn2BI0Kf
Qid0x7K3927kZBgkvcRaU8d6G0OnetPQMx9RiRQfGKHIb7VIEP1IMyQKPGwTxDFTZdorRCDzRz8o
5cbX+eFuGJKRq7L5mrgA79bTOeN9kJKFgIcFnAhpa5/hqbgvKCu3hs4oTwgrNySp5fRLiZWM03hr
+O1VUZA7kHuiQWwTHufRKM9VVLOnmcuJQPSWJoXhl3v2+Nf6+9xUeMjXCBDJBaomZkSF/exqvIgz
J+YxlkVx7egMduMSxy5gNpzFYKA7YaBokSSV0+/QGe4WUb7HAcrbSxt53R2hf115hMEEAwgu3qN0
dqVOhG91NvzQ2PZLpfPiZQJtx67ngF64VbbvS8VMpJLzxKVhl9Dp3PmJAPokse+tCIAja9t47PNK
0d9Af7FqE+uL3XLNW0/U96rFmxSxTzF00v0Y58NmiGS7SooeAYxpXrGrwREWO3Rrwjl+V2awcmPv
UzIr85D0vfkQiUVts9aD5yRfLDxlG9o9GV4dPJo9RJSd3bbi2p+HiaAPGa7oLMxropiI2cS0tepH
M6IfYiQsUYP2gLFXdLJqPhnAhfaSGhnmYRA90xlQfBikygkx6+tE6sCS1mxGbq4RcyWvIaI48Y3A
l5zSdAP/xtq3HQMmd6GtBF7XZCLqKhyknXk/AIcIViWoSmtFjl19u1QmV0h0ojkpJZxjUs75Qdip
efArHhfPUJUp4ZJi5hq2hIVAHqR1ulp6AqxmMytf29GJP2aRGL5oPeFHe2ynqyIIxqMcmdCOce1c
t7Q39kwuorUbmeNxEDxfhiLLc8ixegK3ynDnHcs09DUUrwF9WJgxECeSst87o1nubNNKjiYdqq2T
V+TXqyFahfaQ7oXXlNcpYTurEojdyq34JWZKCSXMm4mpq0258cib3htewBCwM6HJZqP6NvbtVJ1N
FeebqKYoWEbCsdrKkhsAfcEmjXlziCUiStIc6i2KPAtDMsJN3+ut7QQolUaLqU5Lb3YflnByblGQ
m2eVkoexkVFP7IxZV+NXRnqMWGHDMVvP2tfEn2MyV1L/KUn7krGrD9zOpL7AxJTcElNDdTJS8sGo
0Xv5MOPT0dlsUCiR6oFdRz4Qb9d8zBizbaSJoDDFSncH1FVBiRNou8g92dVxODxVRIUfERR2Xy5c
ljzDYJu1OgGspvzy2PlfLSSlHJSy67OdgEfxOywXQLYRK3o2REcMO/U2bEfOnCDyW9IAp42LcHPb
9ItFypET3y5+HdFydBZ+xgrz7gOaP5fWCNbQSQ5kAY1jzykZZKyu0FEtMYDSzN3aYeLeChYGxBId
ueG9tRxoVMGG8+l7U6sAu4yY8lBHtlcjpHnMeYn6Rg08PqUQUYkXt5qrTOUjBGbXsfbCLJp9VBru
qW8r40FxgGRj5Lx5YU+jYXNV4n6aUETTRvKS/sH0a/5JxsNDa1qNzlgSH9HznDpcoHt/bKp9x5R6
Qi5j2id3NvdQRpDetINN3kpDXyxp5mMhLW895lmyq4BtaR/9I8lr6Fr7PgV6OrnILUzAp2U40pWN
xz1iDZXs+fp9+UqXr0mumbk0hPsot0c2WA4gVmH3Mk602ug6jAoocs6sOkz7jEGS8zxZcHaOl9f7
//ZWFOhEW3XVt/7XzedlQ/nXzvT/oQ2rpUXJP1VC/yAf67qUv+o6/XnT+uPn/hSQwcwgJ81BuAWU
9/vO9E8BGcwMBxHQz8lr9l+7U9v8A5QGdjiybnXkmhv8J7tTVGlvNm/sT6HmiwBNvh1iuXlTWqNh
alwJMvRIruFyQ67ksjOsjmYOIB22Nz1spr5xeQ6BPNA5FY2CMDbyIsVCXKn3SzSwzGBdt5B6SY/C
NRQKNayM2AwhPaHyUAYK/ZroMWvVZemwnKKUwByaOTUPJOSIm5DYn0ttEq0UrDl5HpNy/OpnAfLq
JoVm1CY2tJwMX8EDPAF/3WZAeINpQsXq83lrHnKePmSTEF11RVzO5TUfE9gMACEy0kKATexeCU8a
0LEqXK50KBOHIdAhV3U8tO9EtAyEHzIWELz0sQZ+GWOKwN0U+oxjzDGK020xxDOIOZkY7nNCpQV1
P2ROlJyqnt2vvZoYwkx3jeXrHLE4mOIz2cxJQKWrRPwA19jDmAC8ETpnXJi0/zrEFhvgV7Z7FI7+
nbEA+/5xbmUNTqsxsWEYktGUpxJabRGREVCypwDy7lpIlkZilAovYpMBsiT+XIA2uh19VZHTshCg
S8BEU68QOQQfl2HuCXQS07xFJw0y1Vs2Pb/SkvH21c2a8ewz5+jW0oztQ44wn8GRVW2mKBo/tvk9
HuB8X7QFuGRiRfdBuKvbEfbsiEXr1NLGbpymBp0pLW4YcIQrqOXV2lBhdD96an5P91V+NHWSiA9o
fG3Da2DLLN2vRjlnD/RF5lUTzs0GDCZVeynSY0+K/HNGKu9qQlpLqHdbHlMgtFdOlB/wSOQPSZ7J
+3GmjYBBE742ERN7Q0weHWuSs0NFQng7tlDowu6zW7FvKmTib2ZGu0cZUyiYU1+cMHp12w4aw5q9
Qs4IB4hXY4hkH89V+OrFUm8qoja7G2FAvMQj/WK61so8hyqgo9lnwrgqE4+fUmZp3rcd79OpaZYn
28ofM6O2nj0vBqlnOfI1tTzx5AU8VM5kOzt60I4ufUeUVXNxbO3paxRBgV2QvGxDMkDUakzi/gVd
yjZb0EGLZCK/rZ5Oo8NbMJddvrPHhcB2YkOqQ4uC+gg1wruJKl88z9Aiz4LAO2ryCdhWRhsC8HvI
WKrqHjuwMLf25LIFsQsbsLiaz+AWEGPGtXtf14k4D2OdfWzKJHvmiub7eR7s01At+WEoy/osFyd/
rePeiwiLi33Ik/ZyR0rEyCQOrgtYBTGuojrwaYP3KKQNA62XYc/pTaBa+x6usUf6M4/EIZ/bCM1Z
kKZXJdPS24FJ+vXY2ukHtP/zSOjrZN7Uckwh78nmcZDD9C5NvfoKtAcxsHMaPiPDyZ7a0etPvVsB
RUNhlV2Zi7+APC8SEt9MEhbqhXq/X8wYM0kY7NpmdL+5Y9vsaaSoD3NGAYeC5ljKujhSg9/Ayyg3
0ZCQnHjRXZbx0Qrrk3JNhRbHZpriDF+GckLbLsv8YGLRWpVkSSNG6Xhjp6W/o9CboaN7zec6coeT
CVR5lzuQab3Sme6zillpIgN1qCgP7vGSqo+EOC2vYG/Ge76Q6BakNPBJX4n16EzFhuekh6M9Z4cJ
ZNEeBq7HmH6o5Ps6xRXAZedpMeBuhb6sv9gGUrklKBh5z5Fpb2dvdmCLt/2dL7D1IalRHpI60suI
ULC+LVaC9o/Q3oFbmekbU/LHepbjTRIVdzUCl7NVWfFHK+D5XwhI381kxY0rk8r1xkslaGYAcmcD
yee9mkfSXUSnwA5VIt+H+XybNwOJtYIHFU9z7GwWlEkFqR09kxa8I1d1xRyMrYjmRNrlzdCgL/Bt
lhpkOgCDUMpbjSPeeQpV5trsDZDxjadeAbbMDDiNAFAyKZbZgRid5jMSV2reDCrnLHHINpX1KWPO
e8yJKd83BBY+ijbrHmK/988YhlBgDHiZaD/I5n1XgiKdXX+BLlcbL3U1oC0WYnrIUxjKKEg7/7qc
JjbpSEXUGmeLeyhLd7oiLHfcR50Yz2wR7CsrtzQkommeJojQd2yjoo1y8CfY6Zzc82arnz2NHw76
0v+mcKig0Oup2CCgfGFknm2BmiAA6evdVAXDSc2du/EFlGODTYlch5p9HAgJBtns8vGF8C1B8LgF
DGntLQbGgsRpnqIBlnIFxO0YXADLrmYtlw6mmS4cmw9BXHre1qni4rMdx8G+1KTmQTObx6A0Vvm8
tMcEoDMUOpC9yuL9hgSkz8+9Y4a3GeDQG6lx0EPQoWiqjP4m6jFHZI5EZJX7jD/HcvhAmx27y4Ut
3V04051GTtdxF1wTray+mvaQD6twSHldh5pTnU+98ZgkrvfcpBVLzwVojbYBuDWLdu0xE4N53ZvQ
r3WA6zlF+MuyNKoNYQAKKrImZvsXeDY+FkDakBKBR9EhWc+VH7yw/6l3Zmq/OENX3Rhx6b4LNJib
pq59PfWhwzKorDscV9BIo/JGX0BwEbbYLxTzoyrTTajB3wMJpsfYIuKVhkt1V8WW/d7XqPBZQ8Ob
pnLZPGqSOKOLLQY2C8ZICm+zsmv4URo97sbOK5tDeOSir5fNMI3hO+GiZC+bziLpohWP7oVmXgCS
vJMXxrk1zuDONfgcr2G1nkz7OrhQ0T0NSG9MdD2ON1+FvRVsMSk1X5MhhahuKLq1kcaso5is151G
r5eR6u7qJa/vpKqbQ5ZY1mG2mVgvGts+TZrgHonW/0AtYD3OZFkq8D+2/y0ojOG50AD4SNYf4dyT
bZOF92w/uozzM3vqDg2Pty4c+azPkqtJw+XpkAMcxGne0sDAdvaa1m3RICAGSm9Bp3crXm8K3QO3
JvEihYbYRxpnD5ixOA0Xxj2KTT/b2Bf2PRL64WzHQ8OktgWK3ha3gJyg5Ue0O/e878rdqGH6yHPU
zkiFf7CqPLi9wFjJH4a/rzN3aLygwmrA8w9kKCF9liD7fdEKeXTzWKy5s6HJXPD+raNR/75ZUb6O
HZgb5oMPXtuS5b7Y09EzFRAc2aCqzXG3cnOEPlqcJUEyI629NFlWcGxQTJNCg3K61zEEo5nH701Z
5e8dixrQQeXu0O5omtta9uFpkR7VSuxGRzafmB8gQdoI9CveYLRxomM6jMgLYPBkV1mPLwANqEgH
SsywOjCsJEjB/hGrILFgo2+3m+A6Gtmn09pqIVMiOYaxZt+g6lFnck4Ewp2UDXfckN9QTss2pvD/
uCDLyhzvkcbotBmIfcCQLjhL56qQvviUMlphME+jrmEDTklWeB9p1liQ5n24qBO5yo1OmKjt5aVN
FLN2Ill0BgUEU2+T61yKrkFSWOmsCtM2nLUkvmJmi3ACHlts8yx+z2Wxd4NC9c5oddjYOcWNkae3
o5OSVk84htApGbPOyyCaL99InaFR6zQNmoeI1wrm2Zh66hU2M2Jidf5GORCrqxM5UMrdJsqxnuxL
XEcwk9xBGmK7EwA61ovO9YgkCR+LzvqoCP3wdfrHonNAlGHNKGVQ0hdhsA91Wsisc0NqnSBScvu9
GJ2/BfoWPQKw8w61Eakr1yJ7JNEpJGNMHsmik0mMjowSaN7werp+WWPHJrzEGQgZqfr4XOpok1Bm
6pahWr7JyD1Jl75gn1C3PeoVrAE/7Vr/GyNFOI8ENdmX4agXsD/8tXufRMy7SdFNj1nRsa0zZh89
HYT6EjwWaGHHLJvXmlqq5JVNs+z3B387itEH95jjaKAHmeMabPnz6IDGfeuppU6PYq7a1yVry+s6
zZPbQIby4feHejtb4lC2INYBb6jp/p1ok2Lf8SD7cajaashPQCdPM56w8a+/P442mf0yJtUHwsFN
6KAFSdN7O2GUlVLYJ/z4SAyB2kGecI7ewKwxL9P+jpEI/v4xTJByK6d4qf2YHfW0xMmtESV6c40Y
tNz+/iO9nRozkmGYBprTR0yHy+bN3p8UkCBhPhJjeQWnaxbMCu1MAxAdEqXFxoyT9nVmtPxaCzC4
l2P///7RvwoegCz8dJn+1j/68MJzXsZ99Quo1YaWwI/9aB+B6fwDq6Dmo7ARRtzLaO1H+wgyyB8+
zRwdRctT9SejNfwDPoajaSfu9+7SX3IH9w+XDEMbnyBALN2T+k8aSr8+uLRYobyS94gjEuUdpsk3
Y/SlWvQ6P3j3xZgDiCzTedA5LzpvfGq6Tz99Mf+6RF0ORu8KqCpJnh6n++b+jd3Zyf2kd+4J3aif
L/A/1Y/hk4RC7q0YkNfPsYmnOBzBD/4PDm2bphkEGpDzloOVGlKgExPO/YKj/pnUHDCJ34FD/uCJ
RzuYUWp1ZqsRFWTEp6vfH/7Xrp0+c9+CBYHTKMA2Sv/w1/XRssmRostv3+cFLaJ1YGgcrolutL5K
K324mUnKv4zH32AZfhyUW4UFQ3hgKN583WVdonutQ+veBVL5WJI1eLQKD8ALq0z4VPeMqXkVc/CB
+J5un2Ag/OLVNOqh4/M9NAww9qxr4LI6owWGuCyL8+IFFmaOyB1NcSJZTtNCFwquVYdbgFzUHDH+
v3BV9Nj5r7H099PwtHeX9xu4k7dj/mBi9zX7iXXPjJF7ZcihBOcDhABybIDZpqo6zZL5x++vGHzk
vx815PHwAx4M/v7rFSMuHLur28LyE6N4LA2m/Y1fJt/gkDa4yhdyGhzAtS5hDshhKNr/harx9wcT
ONwF4oM3mJnEm4s3YsuQjZwFxR6ghVQ/MCqE4BuPjfi38E4WprfnyuuUJwuJCG/Ut8yvSPl9aZqD
uHc0Cog5JI78MRWMCyPbhuogHedlNEFIxCaM2XXtTzwsRuZDMqC7+i+X+59O3KbXTpvdZ3Py9q61
HKMKGzNigskwplk7fgSRwuohca5SzdT5/WX+p4dEK8p0FmXIub/lNIk6M1PDHi2agX2wKVUCRcKh
nXga2DacijZzjjYa5hPIW+7ykNL3XIzMidc0pQ1okkjwvxOS6SzM8fZCxOiZiH4HGCfJyFiqRFzK
qCgoUZ1SMQz57vcn8QaLdXlEfIvrhxrGtRFKv1HCZHkcDYEKxX0UZWazu/B1LvfN3Bf1c9uSyZgH
E+ue4gskxioE+UzPeU3Ph4AvVQBzSKWD+AHfLLQIEZkdyCjI17//nP+wCvrIZwIENHzYvxGSDLqc
oxc54t4F6kLVor9mUbf1szAj8dhoEuvvD6jfoL/c2aDPuat55yIepIgz33wxRR9bmUkK2P2k6cYX
9EgUzu4LLUGG/oNpM/Swvc4jWzGCGWGOGfww2kXhuxRFM5uvUkGWrZi9ZiYrgKmZRSk1OCQQ7onL
V9Tx1vCIKUnC6270q5NC9HV9wYpYPie0KDhDvz8rzuDtaXEmXGdGtI5Fw/Nt2u5CWe03sLLvKxbS
NRqUpd1kNApuMeGq/lAi8Z/WmT9m/cZymY+uoZtGyS5MYrzvOX+2STpgTU4IDUVCiHt/Ny6x0YMh
6QZB8EqsbBDGbgTKx15C1BHJZLyvjSLuN6ZfVbTwYiatBLv5QFVMy+TJyLpp2PIKQBQss7xaOUFd
3tPPSk5BV2TXDNurMxYfRL5B1ZrDqrZy4yPKbHkrKpW/mrKD6UodQEyRQkTN5xuTL8qtlHfVK4Cr
ac/7+4pA14IwJTtjfGEmbPpm0HMAHqvO3OD4CBDy+L5RPw1lnk0AdX3/HXtsusJNFqN6B9rKNrxw
45adrBeiWGbMH3yGJd8GZJfCtDos89IDzMHh1h6tRqUG/hTh4FQkJgRpM+kSSKfeYcAUA52RMW7v
jckWaEfcvnTX9IEkDq4krus7Py5ybEAhZspNkE3hU5wMvHYl9wjzNB45rwI81ZDIEm8pDSAUM1zj
01Wu+9KFDmVCGbDaUAKyEI+43x6+wzOVT1jZBpuEsQ66CIs+nu/cvw6kLwfezCKha8DAfaD/cIXc
L1M3yLaaa/RBgdjFqioSkrbTOTgiD0rOuBD6VxRHXrWK6YDrrMx2Azk6PreW0+5arLpVA3p1Ms3l
I+Ok9Moag3kTUAd8hntO0kva4A8IrWhnLXb1qQg792NlG+6q8erkCzfK/DUeIiKIFnbuG3Pg8iBT
IoCmZXixKYQ/QuZkwIZcJirnOWCeZyjYMv0XqJoeOWZpXD8aJK7K01gGeB4g8uRh8eiPUUWa2Jzk
qvI3hU8kKY5Z5aBtA9TkhpHF3wVCFmyTkrhxWhYA+ZRHYx6Tcv3RoJNh83FlhkZdNaoIdoapi58F
InclJReI1MHqZILNsFntDYecEpg6WzKZa4TlwCjez5B7yZHSyMoCgQXdRj9kXQkr1orvhHYcALxM
HSIyYTkJH+JZ23FlPTQnOal/lbE2TfC5Uzhxe+FB5NLLkSUbCMA9+vSlXy8EfILdIYU9Tk0AmT0e
xDs6JO4LkOvwaUJc+aVbQMh6g8fC47AO+U4BbaFNGpQwPKHBuig0CVA1rlY62W51oqwDMq8xlJIA
hpMspfXYmK7+TVUeXveQkJhIYiGP6CCHBXNM0fNvICWgwBkZF2ED05RV5rkoiAOXL6e1eFNjgtNI
4DYR2XkoG5YYdtkgopoivA79an6wXI+X+nc1i0YvUcPR3kLApP3jUMSroPuiQRwDsjhHPHbdwD9e
Pm3BIAI3a+Mg2qXstGhtpuquudQiMscncFsWsj3ETP3Ow8IVGR0qQ4UF6nEUCy5oDRkbUrYbdp5Z
jxeWetKD19ooXT0qi+9eoOnD+M/zq+fGY/cFROn8kOl/QpgLSCzOqD5NObovF3RvqMujOodm14Rx
85xJWI/rGS/Kw6VQWGRDr2rOcu/Fmqnvsy7n0jZ8mNkKsi8OZi6+CySnx6oxzLOZ8Eh7VWSeaeBA
AOM24tpZ+tOWVcOLB+PX4QKMB5ZFEV5popwrZP0cDRpIr6QF9TGyQqr0C8h0JOqmOjZdyyf/Adiq
iIq7bgxCB9aXAmfQpYpcsv7L982Prd/JKgtRz0ELA8fhGLIhp632BofOuoLxV7iY/iH85XteO3xA
JGuQ5wOjnLItHo/oc24kwNXKyyMkEGDOu3FudRnEm6fftNN94EzdF7AhXKM6Ciju+GUY6ySK0qHB
uan0VkXS49kLJSgMNETP40qfIZL7R06nOtlMeB9SpAGKyKKcTzsOF/Qub9xe355umYuzGWvwHk1n
jYMaKVedAEXZDUQ1A+FoErEHFB4gayKgloCeP/+7tiKXG7h30FisenJUnkiS8x8ziTR02zdmurcZ
T4AvAJf1khQTVelcF5z/ZRGQuT0/QOblW2F2EF7jH7aPhNHywHn68OT3BetMP/V5L+CBClSsF2wX
5X5zaCKbq5pacHcJhdTfw0QJGpZp9HQJu5hJS3hpA8DNkgiwYvs94QCQQ3jdth2f5HIn0vIGcEfW
gb43qNG3os1ZfMgQibu7cIYifAwqfYGAKrA0WVXUHIpWhE9pv8whzIGFvi/GGooibNLUQNYUF++g
3bkvmCzFo2XomAsmKrya5kA8TnbLl2xbSowr1vmQyVMaMi2Lax70BtUCpHju20uQCiR3VqAWA+/+
suFdJq01ETaPKIrfx5SlmwEuW9pH5KDikTAHLkuvq7QlmLhOl4rx8tpkIMMdVWvGpB0knPvi1uE1
aH5jReof0s9hYCfDoPwONdYcopgU+bJBe0wGisdZyBQgaD30PK9lgjKd7NX5wVyUTdSRvdC37nIR
rMg5ZzlKJQ+X5QSsjknXuvYq4ZbHOC0jzbaMmBZNo99AZHbJYXDDIXcf5hZvNxoHBxQagW3uC/ou
7hp+d/hUzibb1nxwjpJRRbWF5TrlV8VI0twWAbbVvEMEOHGLRAhtIUOwlKXZZe2bAUnuq1iwyFOK
xHpLzngP43jBPXH5Ar6vRXrjPmYW64JeWBn488a53LtRrONK4LqAafNT9RkrR3R/uT+xg0X7jEYA
1svGkTf+EHCLBObQHhxXjldJrFpEkpcbopiK4FtNItqIRXtsD0z6wi3CHPcFWaB4vNwV3+MopBWJ
s+fgnBBNCfHV1d0G2RkMwjx8L0xUXIwCa7VIY+03jKP2rUtrfpXqEzImdAmrtGWw0DoT/01RCIGy
E5Y4C4dT4JZj4AY6b9qIPObJ8qOGN4xvgRSF3zbfDVnFam+n4pbG6nLPTp2b2jQEaql+YtG+rIAO
tMFiU0U+X3YfGfr13Wd8S7Y/8djoFxBqkRhdw5qxOotCFbcE7jRGQGRHiQ1m4YbreczsRnHcuFbz
Q0HjGKAJW7WncFYUfoSN0GVRY8DdbTk9wCenncWqpRZa3o0iIPejH8YyucX1bFZkCxZE4pian+wS
2b7w5sdwvTFRPbWPvTtQhKA0CqES1Om+rBHJ7HhUpjtnsPx3QzAXt8jYXhMjwt4XZt3BzckP8ltW
9onwjG+x3VUrn8jZle2xpV6PuIpxW/J6zBhnNGuVAiPoaXmGVCjKe2KIwfec1qxylTst894YMqCt
ILPHVdxU/SoZUcQgsMtubKcTAk+7WxzZ2c+HUtS4GfK6Jli3wjwQzjn1gqfpipDauMPazuoDAku6
3rxq9OJ/lQGsWtYIO6mpUL+wg8nL/GhUCBxKumxIzPJoMt7FmcXlaYua/2/+i70zWY7cyLbtr1x7
c8jQwzF4k+gjGOyCTDY5gTGZmegbdwCO5uvfAlNSSVm3pHvtTWVWGpQlyYhAAO7Hz9l77dDiIjne
PN7RARyYGg0sOOqDuqqpccqlpMMxCLAy7qjwRmlgpAfQ/nFQ/shaGZyQRxWLOVJ8U/H2opkkGcyR
1AduNPBOx4/NJEpYt2cvrfNvNTUmu0vYhNts2cMtI4ueIrHEBXwcDGMzrpoT4X9oUFXHmlb7zGSu
6KepQ5DU4TkNY/c4NKF1E49e+GQZXfvVnmHT+k6O1ojbiYmXb7N/qgWs2Jcxq9VHbI/mldcf6yZK
IRbHkA1z+wE2xqPKot5EoTiXxPeWqJ5pXw2j27zmBSOwumPdU5JHqCPMbZ9GRg4Q3dv58bIyA/dg
B+JslxxsL0m/udoH1Og1PU8c7la8rLkMz8aPCgOPZW+wM5d5JdwjUBIzOHJgG7sDUrZ+JYhF3aNO
7hHR2LbgrNJhVMDn+SiERcvOY2y5ps/DJQky8mHgLNqcJEqfjcXXk/+Y0LHGuYoVrvFGnoc5XpaD
j5LZM8vvgINgRYVVae6QZQVi60+dveOVk8dE9eOnMSFVNUG/86np43zT8oSwOnPaQZ9Y2H2At7Q0
bYY3jXGnDL/Gsz6Hldg6yhkPduwZ733jeF+BIc3fCqrK78Qzt5TbQ8Fwx59sOhcLpoCibF/QXHlx
ebsKa0FEkrSUVSa3skaZ7qGiukkDZGRx5qfPZdPFDz41PvldZYEEovXM/SQ8RrlOE0G/QTNcy4m/
RPxx2lIpV2F8N1cGJ9bCjAcAs52JqlGF2v/hC/xnwvM3Ex6Uvn8HmGyxmqqf5cHLL/0mD2ZcQ6/Y
DWx/6VL/PtwJvV8Cjr4/kvR+n+2Yv/gWE6EF90jUCGOc32c7js/YB0x5wA+YWENp7Pxm5b370RLH
BfwfAyM85899IoRyzAiZ7eCLBbWBDfen6Y6y/Ez2MibsyzNHuSqK2NfdyuXsg6fcd/Ur7ouAbC6v
vqTNVN3MA6IyKci4Wldhn20tlO0PWZfjf1H2mN8mSGjylW8QPhQGaj+GqXPqqh6zGGdCufEEyHkm
n7Q8UN2Dr6FJlFzpYqjPZszpFz9PcW4Qx94FlPj70gyTfRREwd7N0SkRJWxEm5Zh9X5OE3WEeOnj
H13oAXNLm9npQTqvykHYV1Nh+89pb9f0YEo7W7Ouxmsn6fU+MxYiRlVHl1q67rBKjWE89kRq53P9
BvJKXM+5EyEBGkWHyoPWywDmckcp598O0ShgLfv4OOhQ1OYRppOL68s23gf0G9+DJg1vnawSxzoq
1bd4tCNJ7dVYd2nS9HtqSXVxW3c4ZXmAmWti3yzXTmZ/Y0+HvuSxf0LSc2AEUcjfxGYVX7XNbLwj
pFRIipoaPPAsq+OUyhdazPKS4Tnc54nQn5Km6+hkdSPoHGNWX5aMtRfc7jkKUQ+Wiu/HWQ+mLQTv
LyoCGMBoY2lJEYSxzgZr27bUm4Qf3VPIDs8M86El0CT7QsutO2Bl7HYWQrv3meb0OTXVrTHH3ilX
XXNS0TxfNVGh19hY2l0witbeKHg6WF+m3lZ8qXH+AtEJWBxXqeevlUaLWtop6IUG0VrVpc8HxZ62
Im2wZ8n0jEPmmcl+lFj/SE9JnvMuRYKB+NsBTTPW9bZEQ2gBuYKdv4IbnxOqxQ0IjtHtr3s3nNt1
j2EuX3HqwC+1TNCKGADlemjJwS1mB80OiXPD9zSze1Ql4xIwUBVAmhs6vHep740rV07BOVb1vPFo
0q5sJcrrpjPoVRqOhVSwHLBg1u4EfwGhU/wUoVD1Eb7F7hc5Di59zsaDZ4MdEm61WR7mZobnDMwE
voig2iUpK7yPoylZD4RhN0kJtGrSG195N2kR6vcqcPKjqdhwhwwg5Ua32JdcHIBX8wzJEA5yV30K
6yx6MUqSYk9QJ2W2DavA+grjru1XiTn0Fz2T6s4oM7deu7CIgJVUsmdUVsnPuIBsmsOD9ZYDMgPF
MnXTpSV5SxxcoDO0aQSio9TGvRiWDnJTYpUT6tTIcp4cbSZXtFjdL4BszGqF4J0k3kChKG7iSnzO
cPFf5x4eOcTbefg4Q+CDSwdIFd4rHL5ig2Kw3omkKt8AXYef6Gh9MShYN36jnGur96dvXqMm1GSW
VVdb6qbqJYv71loXKoMYgZBUvXYB6KIVNtPmKCJKQaBtSKpwgYbnxB5hMXXqnp5kiFI25XnmoEX1
KpS7FVDY16BgEB/qvgWH1qQbOmPgPYZOnvLaCk6e2ZJx6CQZhkGojfu671nWwHwFawM72V4Xbnqx
teHt69TMx40RUjpt3UCZr/R4Q45erKiamTUN+KpM8RMhvF6qNnkD6A3ae1g73YUaDGMhh4vsOU8z
Oa2k1TlQb/FhHDmNgVQUxtB8xgfAgcYlVuEgTWKoVuiW21u3VcZ77QWALFtcsEgcyYSP4hDUWEYb
QsH3dPXOEIn87A/T8E0WyfA6uZV17aDRK7f0VcREXTypaB1GjkQyFUb5RthNCXhriI44LQcbd3zz
EOdtQ2M0HK6Ur1IyFXO58avg5DZTt9F0XDk9tcUGP3d0zHKWTWbpcj+a5SN6zH7fKsRdDEboAeAu
UwEpfVMFkFP7W2mO89fZ4Yiw1ZYvae70qPnrRJOPaYrsltNwofsrt8Aw3AEh5UzzPBsx3J4J3Vdu
vogpR4y5ShTmk+4Fy3yb3UYjKnQ7zPxbKyPBEFe2uvhlYV6Yg8d3LIsjiq98PqLWeoK/Ul0kpvhL
b7URbsiUOn0gK+rFgQTPOR7Z/SmBsP8klmp71Q48ViJtqjuzH8s75Azob+NyoQbkLuEFgEJxeIL3
w2bGss2Wtx7LKb3p7bAHtBdI5I5tWd5kocnb9XNjZ9Gw58KQS8Cjjk9oZanWPxOQ6d+CnrWviVmO
oBPNXfTgCuUfszQfHmGUMM5INNQXZzam28qI+5JIdVkTPTBFN2HdNA/QVIMjcwbzHejkfBwm5e3H
Tva7MZLz59zNxno9SwOXuVVMYFAmUGEwibeyi3oyCD3Woz615iu7m4NjkiK5LYfsTha9Wnm0rG+j
Gigxi2weXYY5Woic9jXnyLheV7Mb8Kz19R0+t3S/XM9HVS+x4tmM+cE1gj0NXQOzo9aAmuwBbHQ4
J1+jjnjPdIQ6tFJybHgds5tOE7L5eztXwz6cwvDIcKV9UlFd3mnL0weeJ38CeMzgyWko4/mKYiIO
52kyN4CpEyhNTijvB8cs6VpnTrgmUdPaJh7m1kwW7i0EpeiaA914bNkYAdXb9BJD8W7WafhutY5d
0+rx5EsKqu6zOUT5sa1xspKnYggEmiw13H4Jm7RbELuNzCTYpTrL76B8Dp+bIBg2eWf5r3adilt7
qnjykmXRJGjNTpmpDt68VdAK6odqCl9INaVzoxP6SVeylQzcOErbCQr/IXxNjSh/gFDSyjtf4Vs7
OAGZrKvZ93OP+FRLmmfbpyWw59hYmZLo2SRdpj0hV77m8PigZLwZOQ9OOyfxg12DwGGdEIMZrbN4
uJ+Be2SYJ4u2PPSdkbx4nHHSN9vnEV8TYGp6WwVzIAY5ia129q8ta0ShSdMpT83+xC1rK4inukKC
+iaj+ZXad3wGSVy9Z3q0n0J414+WjJsT8/JHWQXTtnQkzQDZNuug10RBMATwi/mVBfC7myZvWee/
Bv3Qf2FuQAXhKhjkrde/YpjODogzijtpFdvBLY0zXw5RC6rJjxWBF9+d2dN0kBqZ46OANEnyY58W
B4Xk897xhnxaM8RL5KpRADcfhd+rbTnb832CThpEQT14pbH6mMz+c4T62yNUIBDQ/EWWOUigt+rt
zwbLj9/5TSFnur+YtuPDR0MeRm45gPzfFHIWpyKUcKYDEwjdwMKz+aNMzuSfYG+gqkP2+vtRynV/
cQggZEhuc/7xIQr9b45S7kIl+oOSwDMB5oBr4X8o+wja+nnk3kBNsyOKudug4dEDpFUCpyPSyFsD
tcgnTPS5U+0Y6yYZN6LTXMcMuNcFoKevbQQbGothaTdrkpSxFCezhICGN8V/n5XNrK5Khbtyy2Y6
11B/iud0duW5bmfza8ZEJlxZ6J36lYlkZlqKIO3sU1oWn4KuC+xjK0OtT2BK1XCtkDFvE/JTKJug
9EGG9/PrBi3t2uojfPOTcTb7qUlXqhExcLBqtjdyUp81lTyrdAKPTY94pqZMWN8IuQLNNZH5vAsF
qtYt9kxACq6fpNcFCTxHnCDBwVC9Ouq6zABrpdV4r6Wxt2nCb2o7fB6q0dknRtGB84zr5V3B7X0e
PZYDp3dgCjOOSmjfqcMCz7UswHtW1G16CBQ4oZgyYZm2KvS0OAFUi7I7ooNE3xLC5cqce45eduqd
3Gxu79pmyPyrAVXRO1dkusrbMIvU4+w387FTbmu4V4GiAQ7KwVo17uCPzV6JJim29mgP13XmFqlb
LCRBDufVDvRzqa314CZJ5xwybEC1HAFsN7oPrnBoErE6r8EpWDYuzSTvmRKuwliNtj5aJRNmjTEm
zFKfVBCOlOIjZicIGrgDSN+1Y1uXtmU8AbTUGL9S1TfZ95DJzfcpovvv3NhV65XWQwANdseCv+Qh
kcQTvDQDkwNGlKE+D8jmTz4gZS6UyqMEWmefHVOIjs6WAeI9hTWSlpTqMUry4bbFR0/xk2bcliAt
N1OTx6SbW9ZJZHm9jWNz3s1pmu8XmJOVNuOlY+iXwmkt7E26UEoAn3TxSQjK8rXrcLURkIjogJUS
Fl7hTN6xHE21Y31t32q7Kd7tTloOKvjWh0ApFwemiATg1S5T0OPb0Dq1DvBj14kLRP9pZh3cqv+c
ZK5m7l273p3BFfQ4hDXx51i5Js1Tt9wRQWHsteMSYcDLXeN/bWA4WON9VXfWQjClqkQ0EQB/E0O/
yoHLXC30cACAeHipcv3qqAeTY1gXZRREXeGefZHNJ6owCH6ZSVuuZ2dSDskIJjjsvohv/ITOxKZ3
/TMhoGSuj3n0mZog3JGrrjlVOu4WvV516hnyfyKKiglk4N0vd/YtTmBzQ0cAgJa0rueMAyWbdrcW
TuPhOWs4Q7tOY36vrcm8rb08fomblBBf6ZL7rPPi0BaoaqbUj/dZpvM9IaDRCiA33eKBmK3GV+FD
7KK48MEkLTqQp9k2bysnI0wCTPQ5n7WHHF9y6kalA4SnHpIVfeMBaLhjv5behBmyJyEeAXthOhff
dpHyMGv9bgQCqG/H1dgtM+Jj3xXvqJFC0jbwvm6MfpLhKte++9A4w5jAo9b1uyum+BHkcGziMFfe
Fxi6TCkIieBvNMYR4yox1U5Do6nXxXEwwWvnI0EPIsuyLcnj486pYnEYPYQ9Q1NBUe19YJudF1vc
6H2XXllh0j9ixIJnyPV5bFFkcluDnranM0IKY+3lUXgwgqSBqubI4CSUQeZz6Bbi6+hXyV1YiPSA
fqT6SoMr3BQmpc+qKU3T3061a2KptI6Rn13ANIjjxNllk3N3P1hG3ZQra5jsQ9g7EQQICI4mfYpp
9Mh1CNBk3WSEMK5wITqf6yIeAMj1xLgMlpttwHp4rx7iu41jNfOlpnuGulENz6B8MWk4WX1tFw2d
DibV78ZYQZe3ne57DB4Wd42ct3WRtPvRtZ0XmxiF29miHaVHMd9NlVfvlhHYna1UcxUZg/kQWGrO
1/iscrmr6zbetrU03wiqUht37OtLhs6yAySfELyS9cbKtbr4O4xQE/VYFbw6nAiMzcyttZ1ZctZJ
N2l/JeKEMT7UkqMYaHsEQvvXtgT3wRPpYIWy7E+xxHYrBi851aFCpWWBCWX2yEFwCpPpWzqp7sGD
rZ+tpR0lm9acCk458MnW0SjR0VmYkGY1Tf3ateW3siT7AE8JxCPPrq8JI4C740h1nqt6uC8CY4u7
MryW2vbSFaENSXR0fCO/TkwLwAz9ks9FqxF7ILy4DhpBqMdgtRhI/SS8uCGjCi2wtNZjlLr0Ld1h
rZPUvFW6yZ9LzI3PsajUHRDZCN1WlF71I8HkCZb+T5Zyp21i1tl+Aiq5jaZO4satCHV3+bQ4F/GK
dceqmDWJDUH/yXVNHOKp21YbA+fk2vfcmqNxYt5JMAHONqC/caoGgzZomQ/TlUfvMF+nyrK3onYd
rmPHiGGEButp4iqIZyC7hcSF+WSllv9u8/eNdR1V6V3ccR7yMzN8nmavPZjuzEYvKhp7K6bZ6Q73
r38OmNY9RoFW8crwFEKpOKJRsRHDeO5lrXZ47IlH/6c4/gBv/l1xbENT+6vi+ObbF4Ws68/V8Y9f
+rU6Zo6AhhDKCPmVSFqJ9v1XdbwUzh41sy+Io0Im/6/i2GGY4BBu5TODCIS3qIZ/Q2aa/5tiGOjm
T8WwQLyLrwAJKkW5xxvj3/9Aiiuc3qAFkeizU86hTuipc7rlLnJcmU3VWQepO2HMJ3I5wc+69DHy
paXhLc2NdmlzFKWg41Hx9q/V0gZh9O+fx4/eSLe0SeyPjomNtGRHiGL/4i4NFfXRW9FLmyUEg3aD
poqclY8uDIGP9haoWrsmHMS56ZZ2DTl6cmdqUdIPMqu7bmnrhB8dHpSz+RNhSMNpya7vV+PSDDLl
gCTOTAzUn6IOL0UiyouyOxgQNJJaYdFSWppLvvTmCz0rdcHEGe2cpQmFSGPcogPtTnlDVTgODlN1
3xq3buJi9EvhUjz2ZIu8BUEpD4wMI6zpsz/eSXbxOwwrybMs835as6A0GyfWNlrdgOrPk8nFG/1s
q01X86ya1XhW8cAuL9tP2BEJq6MAJcHEpaJcm04zP1Zdn69Na/ySj6Mi/ELnLAKGTs8yrRjeVI3X
fk6rmRJA8h1+KvKsvBGDTnZGl8wnVWKHWyXU/JtCi2DJ8QOQmUVGemeHbXYwivgWNna2C7IxJ/PK
gzSMIPZgDjXlRFL158qwUgJYSl+sunKYHlgZ+11Ok3jd0ca7FUD9DxPOvetAmsOZBXE64L5z3sDF
1CciKroHpKUFADXMutvKbshBAegmjiVL0vVMA2QnrcDYINuq7g20QQ9oPrtX8tuK72j4zEcbJdjG
5wB0W7aeceOkwS6mx/TCtaJVi3MuZMkV5YujUr1DKlttKtZqQCs54bOmZxC7pUY67G17i8ubHM6x
G9eho1O5yrhxkIfAKHl3nIy5glRQBVfG7FSYX0k52LpUF/dVqyGp+aHsSDMv51Vp1oDByT4mzAAj
BfrZqwq+wR6yZXPjKite90DNKMXnfp208bgbLSMct5ri99zMpEMWcSMObKHFt6yKszuzwbGb5vF8
m2M+b5AeR8a7YKJWrqK4tcKVHHxidHA79FdV6gesX0lySjlXwg2Msg26CO8lBdv3rMZsPPthbm4T
t+2vGVMzF6kbqe+VEc+vsuCwgme3Ga8aZLiPiJK9WwEQh2NTvNc6YJJith1dcs6Gued0+M31DP3Z
sqpgYbSR+Jh0ZHP5bRfkdO0qHBOIvNiksyw6AndVR29ic16R34S5mAqAUy5u8/KJZaShroFxUsXS
3NL297ap0ZjXILywHIM7oZ9E03+LO1neoh+Ob1Xi2htfIuotmK+gASaf4bmNkgDFk+inB1poTrxu
ACNu58xKDtSX5amf6XytSiMYorU2pKd3FbyY2yxy0LEYXpWXNwYG96fAQs2KZABs4tqVMmIlSUEA
zGX9tUCsv9So5XjtzEHJLp97KVi1SRtPsW5b5CFAbCNaBvFI2LaV0ZLNEATvRjpsBA2JZry3C9N6
Vm1U9euY80Ajd4VfM7O9thjtjoCDnLjEe7qjMonLcB0Pk8+ocjT71nyIQJ9P/qc4QFtw6ZYpKJlc
JU/7aW5sgtzWnSAGq9m42s6HB5WNsXh3Y86L1ToJCnPwPpWkVcpgKxoyKnZG33fZ14k2h5WDDrKU
YuOi8/NPk+zv6gDHdNid/3OT7Oabfvv65yrgx6/81iOz2Orxz4CMpqJYPJv/qgJsnC2/NcVs9n28
IQHnNI/4aYti4dd934GiTScLzqtYNDdLSfCTnuCv9AXWv6VWMk1ZXgZTshP6WOIXw88f6gCsnKOu
VONcB1EbPE0oNzktWQZN/bkwN1NSSgm5tj7hGJfWqrYkbpOZ8CMSlot9j5HwDCeyt1+8ZM5vakap
zBxHTvZru5EsGz1FNpNIV78g0VObLp5YT5rJZj3Wgu2w6TC4YN6v9L4fJuvSI2x7rXSkb2cVRiOj
tWo5/88qIEYS6MYuJeDnEIAGhV2Y634VMN3a+yFvcdUkbGjrOCasdmNMiAfdaQr8XTICBjvgEZ/7
zZhn5pesB8WxIv8i/yphYtymsadLLEPleBtFnLMWxCyfvWxK8FkZcVHBsZ6US2vF6mk48azyr05L
yNOpF0Sdy8ST0zE2KoKxynIaoZrxBgkJx4UKAFUi3b+3RVPfh24WX+Ys17eygDGQkSOxGZKS4j5q
a4QPgwoOZVhUcp0Bw46ZsXSIX0Wfc+JAbdg1105uf+qapgvmBlSYWXfyEFle2u/LyI6dYA8rANxu
oFJzNjdjVqrKXKPtGm8gOpaVteYIaBwR+NU9h+VYkuuV+a6oqnybisIoWGybwm2di8ZOwCDVt+A3
eGmkx5tcajeMthQsKgSPQALQjmVP4MByEHnEa48IxYg+yWTsOJVb7bD22s6h60eLIOjOLfVLsmEf
8IP6YLaDFV3ZiuiPjXRbvdw4wXyYIX3ArBqzISd6wx8Kfeq6vm/MG2sqs84hybNt9cCCm6Phaq2X
mIamPb+yuE6V+toNsisJFsjnuYju/1nw/kcHH1JoOTn81YI3/Nf1tzF9r/80GPjxa78teuZyjCG3
FcO7SRv/j4ueiewK3IRJSUqjH+nV72ugE/BLDrMxYS9LFIvmv9ZA6xdm4xbHpcWJjjzqfwVk9H7C
UZhhyMsDVSd8gDau97M7WdI1noe4ys6KoInpzaVrCaPWDTp3a4LoWljNgxqyCch73ZbGsbaTxlPY
YoLqQIa9uWeSNn1VUHGoAM3GW6PD1fPVWPnBN6mKAL5t4KtZHqouJrqUwVwxTO4D8JFZ9PGKvr1N
I7CAnkfs90Q2q4edY86S8BZfaxfc67oHM75t/I4k0QenInB27Q+6M18JscY8vZpdA1GtSmqzKk8p
aoT1KAKG65q+4ExjYPbyMTkzIJSNeEjsYF7iWRGvAaq1SE8BUA4zqQRSB5LE2grK+MJ8TmXQzf2+
arSwy3VrliQbp1YKWRjdPsrkVu0C2Ux3HuJeVBjTkPGr/mTMn5sK0M/1Pw/g//AB9K2/ewBfa5X/
9Pgtv/Tr40daB2WCLQJwFsGvOsZf53JB+EuAiNFl4/8xfaPO+K0E+UjrEDh8/QC7q7+QSn5vPfz/
JGf/2d+7xBn4MFrA3tCPCIXv/+TvtbQvtWnG9VHj/kvZrWLv1kFCcjMXg9j84dL8Kq/8L1KT7+q0
6tr/+3+WYuZfHIIfr0W9C3iFYxoE1p/ElJpdaJbY+VC2D6i79IShAd3B04fhF4hkuP3r1/tJvLl8
NozSNvNQZp5M7H/6bGqJf26EyeuVFk6AwWwW086IJbQbXedYdYvzxPmw4Pip/fjXL/5n6MLHh/WQ
oRJQwrcnlkXyT5UddjQ46y0Uz1mR0FgWJStPYWlx/kAffDgPI9v8u4/831xiyCbCcX3qyX8H3HQt
g6FBBOA1S+JIcpD6XzXaKsy6qQJ9YOKX/euP+W8v6OMLZ3fhFRfUys8FbGYahFq1KjxglsCCuNA+
p6RjICsc47MT/aax/o+SXOvfrmvg0TIT7FfhEo3x8xh5ai0K4GjUh74eJdR7P2ptgtJokK/E4C5e
GPQ4N6KoUNSj6btI7VVPVdMEA0HY+VzRTG6DC9Hhdr9S2usxfTVJe7bGcHwh9/dv7gIv+G/eLw0k
nn1UySEP+7L9/aHCr2BkxRmk/IMXMAZ+NEqSoq/auKC1FtcLOlTG1nCy6mRCFo/CH2dVFU8X9Pz4
c0xQq6eUjeEIywt3kNNiiyF+hnsJIRZ0hVlYN2OalMlJmzb2JxCwuD5sdiKCWL3Z2nBGwIppqJSU
qcmexe7DCmBgnFHbfgE0NAZ+G6ujlRalix1jVrr2vgjtkFjNtjnqrcilnV0pxyPxhVXC36QCz/Mh
M7XxTH50GF2kshW3XJRJrD6g7Y2YvD+ybq1v3KUjkXQW06URTl+o3fuxmoZzZSZYwpCoDiuNBs/G
AsRCoD5ACqNuIbVDyrwLc4mtHCVW89ovbqxZmfgYNdqV9agx+YrS0Xcm2nPsdBL2+oLZX5oFCnep
Ar5AGji9uFJHzatDG+ViSAMfTkeKTTqn3psXwnU5oigaX/26Yw9HA8GU+MMg2rtYGjZAT5lAQfOR
SBRxEZK4SKRQz3TmrehHbrMZsEG0+Gz7kC9tFhI/sZy9tx/MkZjWhXQGz9nBTsZeFY4GFriWFIbL
j3s1yWLcuYmTDvSO8pEyBHcGXAePD2tPumn37aDxpxlw9JNTGERpeczJCwLg79uEC247EHrPicYb
LxrW0w2TRpxUP+xTaIzct7oVzStueh7+DwvxpHDQEzlC+7RKuTPGnAizD1egoplJm6SpsX0hcCDR
yCd7BHNq27yOHGbKdVznsG80Jz96eCREH3ukGg0jxoWvMrg4UESMUfHj+rtjh86rF+42yYNgQxIG
rWVZhebNx890EULbEk8k68acHAw+630SdHozxGG462XLDYxcACdPlw/NoW2zKLoCNGs2aw0ngaS9
UYTEJjOkc5iJO/AQsHWb2U0n/bbxVgLm/PiAlMNkQBMxntK7grH0EpC8DM7JsTWPg9UFelwhmq+S
U9t2qbGfzB7qgYyNKbpgufKKVQJMAF950nfR2Z7D6dUPSY7VkwGOfmBKnd4N8PAGTm4Lsp7UHr1v
bSiCqxnCIenLmqGSmacMiTS4h7h9bBYE/riIvyPiVnYh/FK5KFqGD1y+yJwbj5SLNQHOhyicxqsO
0cejD/WWrPUI1LdtTDcYCv11u7D4WxMqf5NMPsb90SJxFWb/kEhO0R3Iw8+4cBGuJE47OORlp+OV
Dgx9cAUE1FVvoghZmfV8I1Qff5Uty6ZfpsGpShP/pjGrMFr1szudaReWfOFY9Wtm+/FimJu7r2Ga
4KhrjT5ON9zcIaBqyPybEK4HapsgiJ6cqu2qDV7LT4QIGozi5FtlBaSpFwxoDhKxoeYHHW66H069
Dxd5YvF/VqzL44VtjnvZjqokPfgGfBN0deQutF3z6lld+LSkTGOsjkW5zPT0eJnHJHpaiOY3jWtB
+yGZDu5DPryNNQ3IzPNZMAmugFNtZs8ZSmz8aou/GFgLRq4AB5poQjPBExVVuKxF/eh75RbmYbVp
+RgE6Til8CBIzswGZ3hNn0tlGPMRdkAvjk6pQGKuraZl/q4sVH6+7ThfiDn0SGip8lMRNtEZv258
BzU0OcYifAySRD4VnXqbynFZ/VPridjBfpNBdL5B788675F0dEKqan/ujYj0ExTK8KHDIXhA0pVz
utHD0WOcpDfOIC0MeFZA66NWYhdWdnU79jhtdzOgxzIRzaYeW9rEGmTGBimrRGZcuB7IDCeqbqrA
cL8UlsPPN+xY6hO+aDv6grk2VSvmLFG9m0VNKxW7Qg+vss2NMw2JnktXkgk4oy94mQKBIN6tYI4m
jrnJ+EgMfYjKRhsZta/1KKhFmg5wljOAXM0tzdcqQ5ygKTpZFgu3iBVzqnaiD5aJG2Nxf5KXhz99
San4ahZZSMuLiSv6ypl1CM4IWI/YxB02LgE63Mr4F+Kktm44xLKWSt9mTc9QxT5pm3fjdwtnBmeq
Q97owpooPyyogSBmNwUxHa+SHDnOanQwNftY/MpNbOes9wqj7pRo1kHtxS1Z4QuXIWzQqGWi5pUz
NhPcKnAy70Dl8Cx5AzygYGIfrxUv7ETAv+YpY8H/WAKDZHHVg3LnU0yDWSQM2CpRrfpmcM9D35s4
IzzgGKoz2q+Vk7NzWA5TPnZW6b3RvBrv2tRjnS69FFfvJFE3LHmiARUDPUR//+NtWZUHaEAmGZVE
ZBhsX8HiY5UF9l09wcPqNLXvB9LImgnROtl4ZqoWOUvp0j3HJOisTRXWr4MtiV6xPc27TsuGzzro
mZesVDoFF1c2BahbTslujcUmiWVerAZhQpNZx6Prk3DXIqche2F6iPBLvvqJxcI6KewiQ6NGXM1o
r1q2DCt+HDgjk0RlFv7ZnR3R0utillfUBllDfWJ875QM90k/hOOK90yVkxp4Te0RDTUxUvQRMLR2
1qOjJNtTrEYMnSpYnOTxmC5XVIIdJyyVwdq6b4THhqlYqh6i5RslMYavqS8XfkPL12hYklNDZ88m
gSOo7oiXLgRNV9ymE+NmrhOl5YPvpEb/gBEKodE6HZI4ERfCpkKfrYqBJgxWEcPC2U05CcPWp0xQ
Lcf7ceiA61p4a6GvM54xXYLgo6JMN91AYuuASXJfGiE1SGAn5il3VXJDZp/G1JhMW/6jOYyC81Rk
c3PN1y8vtWBlyXVivIxGmJ6MDieEbhfS0CTKQ2z7pD2MZFMXPakrhZD+pjIjfEhBeOVObbSWNEtj
wZLuEPG5s8zY2qjZKlcYeuWx1kxL466wLpXLEoOGDjtZpkGRWzkVSeeX+XeQJEiydB3hYqoRk3dS
1xuewIH08ep7hQnMKKbbcHSHI/c1hUEvzduwa8xbj5zBjWaM9//YO5PuuJErC/+VPr1HHczDojdA
zpwpiiK1waHIImYE5gDw6/uLlKtbYrml9t4Ly3aVyMxEAhEv3rv3u26/VId5dNottXH8aXZHhPds
opu8TeV2tu0bWx/sK1hY9R3fNvsyQUwndr5qbzPzBLRsIQ2r3G0SlFdjQZyPxaW60ZcmAcHkjs+d
MK1rMZH/EQFVoICc231J43fjTrdWZdxT+dVbjB36OxMu52TRQEfyXuGWQJJee9KOfSz765/oVvlC
7JFHeOc4lkw31ahDbqIimJpIYwfuyXmc1AqSquioM+TOG+hNj60JHNoir+Kqh43QoHJitcncjjty
nVRab8w0tL9dCplnDMKxYP/62KZOHT8dxX36WBgaaSwYtCA+HvsBFecBO15zaM4ebMpYvMlkvf0O
WPa30w/EDxLxgIdx7Lc5uP18+glimIi5GIgdQfCOM8rzjAdwKvAu7BkPs2uro8t5Ofz15/vb0Z/X
RdKBbJmTqc1J8efX5UheIgebm8OZHTNoVXeo+rmcd9JLWb9EVS/3rpuyFqN8osr99avTt/l4dZFh
cyrmAedNnGlzP5z58NfQPTFccZBkG5ghsGPzgbG9uMg9UvNC5uj8qTcdxxJFi/lOxji/hX/PCH87
I8T5+8O3tSHA9x/BvCoh+L/+85rNNv2P6KUTZfZBT0979Ye+nfMHxywXdJwL20LZkv9nVuijjOex
QXBm2MxnbOUa/kffDv8x82Q6MA4kSJMf46f+Gh1af/BXAd6YVuB8F+j/C6NDT//YuWN+SZESMDOE
fKtbHnr/HxsLnpJ8YkPJDzNQY2qDQMW9rD0q3Y05dcgfhqnRBQQSL3WP+JVBJVAQBgS/rxhXI1MS
I72z1rkqtoJQ1xZlijCkSp+GCACwDjBTlVGoIVOyjxC5jWvhwG4a7JFbejHz9rlsgBd8x1zKnPkV
WziABARN1EXYf5+h+DTPjb7ywE05+VGhrA3/0iBc8uV7nyLg6BWJGuhJOApmdHsTum23pbBUP2LF
1FoFkpFbs6XcHxEU0MRoFDVr6EFRnJkPVWbM911uUsUDewHI0cxed5OYdSEIR+qEf3IDD76Xr4OM
gW9FL0JBooya/PeosdGPL2T5jlExquZHEyjuiGkm3UFXUB01uXjxTGgWQmjjwZpS6/MqqfBqS5Gk
LJ3S0q3AMCUmCDz05UDBiGfjV+PeaRDbUsKjL0bO/ZZ3GVfgjOzNFMXKilXLarY6/tp5LawUtm5J
VMkyJrwBx4A1gp6YVwPtpnhbCtc3Wi4yGCaufGq74DX9wmqeOdvy2YNzvThK3QIZk1UXNfmD11ZB
hQU3H1iKzOarPM6moyUCLECqbGezVNfTnRV0o5oreh7c1/yT718owAQKRiyLVFej+obPFSNfad8/
QcbCeiDPBNu5MKmXCOYosjs6XHwEsShiZ0MlkoV+X3LUcsqR64JTlwosnTVV3yxorlFYe5wpGR7i
U2uKKkVU4/a2tYOmrAlI+ut7GivYnz7VtIpLeT+svbNbSCGyIfzQlFnNPr/zmI/aJHgAJmmMynyo
KVCez2dBUCrc6MUMxGpHCcBvWmOTP9kIeG+pAocgglJUIwUCpwfB3WB2Pd9sYA2AYs5HRJr74LtK
z2ODxpfLzaeZ1L7xxDAq9GQzvHl2gKmTJAjjOiURSW4wy/EFCxrQeK4CwE1gHWG5nOpccTuKoKRd
R6uN+83gsbwUGM3sg4du5qjl6JZRFlu872wdqVUrRUqywKFABZMVdwwhkmBlqaKSbU36CWMsdZ/Q
yaJTpop63xroGTojPTKj55chqSWg2cEpgyWUQ/QEtOx8SO5IgHg838LnGnopoHISwktnXt2kscux
WuIzGSNpMmufEx4FPGBM11OEbTuVXvz4/Zw1AAyyoqb0VYNMNRa/7/jfOXmKlILhnYt3roGYQ1tH
plnt8+op9JvTQD6Gvmc82HixHzXVWgwbDskCxhbZymWnyHhnbNVq+vBnUkdO4ZnQ5ekw8LJeUZmU
Go/nAcwiQSwK7ggkhOtzbs+dj36LjnsvpE9rHc/4GKlIfWvr8hUO2cJvEA00WvgAPl3H0etT6zZv
iRPeaB1Gk+2QrMFGLxvv4Dqdvvt+FG1nolZRzHfhLAruH2tGXbhbeygq24CHgjiqDn9DyDEGrJGJ
ceB+6WfMTfkYbLOFHGkL88B9oUg2fl0AVKuMkt9jk25yxPrpb/JBmA+64rsOcGS4gpzL7htudPgE
adE+Fzr8scDokz3uc/PhPFtxmXHGeMdpcnzqCSq2qadZIq2VDzwXBXeUFmAW3ZQmDdFYBxd6SoTH
QciqKwhCaNyy/ZnXOtomx6ZJ8i2VCvjVZyZLsxEv3FMxBR/sRnfla+16FaKLXZMebA1Uqh0hHuUO
GU+boqvoCiPh434xekYDouYulcHEE1EpVk1GitdDxYgGBGvVKGdnoGpFzyCQFmOSqolNUpTfkgIb
RJY63N0BL4GFidZABqLtwkaUf8A3Qk/9fM/bIKLOdHDeJUgc/hw9F6ihYhcyhVasKV0teySUtwN2
Kwa05OP0rG+cA2HHpZa6H4NFsflaCHaEefFFfl/S8t6goOfMx61EdG03HnO/x2CKQEN2KGg149Z2
ebrKEnJUNEour0XdeX7iqsm3H2U9zISqtU6X7s4rqxApp3UJe/XRyKy6fpRJshRfHDSwWVTaapUy
JonaMYX/E+CJ2uZjW90Z6WjSSajfAB4Ex65p1GbQ6mpzJryPEB5FWpargvEhsOMJ9oXfGOGcprXB
OX5JlwPLj0VWqZGMlBBhImpBoqlYg4uK1h0cWS+mK4WJNijv1hztpJ6VHmC+QUsez6jIeuDQdrJr
naemUP1w5vHIjFKWGHqf0kTbitXAfRN19Qh1rTuhKRrBSy3I5KlDrO6B0pcQN7UR9W5dPiAPbS7Y
Y/xb9I96zLM7WbuutWjjwM+8ZjIkLnrMRNGEkeJz5rV0aJc6/tqSNauZMFp7KDNRN3gR8HGegXCs
jEqTh2FYjn06NoCSgq6Kb8EyiAgayBdQD7um6dud5nrBbWNPYV559zG6MP3LQvdHY5+AvhEfsYJV
rKqY5piEQVWi42xuGiaKG9M11zryGN0ApG3tPAJDUh0MPLzwUu3GjzS7sHZFbU5B6JHtqI9ArJ08
LYoI0SQEMLOmgbtb3KX0DgG3ZRcl/YiM1PTS4GKw7PXGnwfv1MOUvPOyGfnzrDUDHBfjs21MBDph
m7jJ1sI/eWbM3Wtw4nVTH0OanzcqXndmvFJ440U3T8g/OfJaYa8580tpi/zz4lWf7dxry8uy7e27
tkhJmRt66Uc2GjCO8tb03jM1+Jb6RHb1kqiglZts2zpetvG7pdstWo58eWqnzTIPBBIjx8TiaCOV
Rk6WX/ldCkGX6+W+5YNf79YRmThJKzoIbfk5CEh/Kog73Hux/MpkBBxu7n0ji2e5T52F/nGJ0NMq
vDw0B6e768nooPyp3a0zV/NrPpoPcNRjPEV9f+Vn6XpHLKQTCW+sdmLR7H0cTN5lE2T2Nmn7hzYY
cZ12LpURqdetuBrWmCWqAJjmAJDdJtQNpxGa44mhpnZwAtEfi2C0L4VFOBYXrd5ORevQlCBaem5b
f6sFaDxyVqyQO6S4Rb+/8ag6tbUwbtgEcN3bU71LmJsdS9gYd4mwIqu26oOJhmPvqx3CWpqJQKOA
GWHBFwakWHvukfJu8qYLsLs5ZFFX5obkR/2+6HL/Et7z8BnPpXa5VA3uH833+DlJ7fptmMqAugRh
1ol2fEtOzyCechWoQ6MTyBD3Nx1wYnP9gyct7VoHThKx83pkidm70XNUr6WocJV53otWVPSRVCfP
8Er6nl3X7zSP2waiiMTktQ7jXo/hNTvMCCMW/2SzOiUbUZIOx6l23po0sbcmyZu0xfVSrVbGccEW
+BJ3Orgj5H7zky3MLdV1RyWY6TUsWb3YDq3tPsQtKworf1dtM2EwQslMD/EadtgKZPGmN4l+dyTh
85c4JDwcqdYIa4yFhKN2uxkc/X6SRWkQJVV2EFq8FoXbfRYbKKSNvFJG1bWfkjcW/2SX5sxRGKY2
mDWnuiETC1IgpEIr3g9uqrEwdZl78AljfNSK3oSx7IJHxi9vpJsO1XCXp+0WmZG4IjU822SYMh8b
NJrHlSzTMGB8t4NJs27JV+T/5h4uImSMn2Uy+9ziViVs7ZQ5qvBjIa1gKhCCkSjq73U6Df0XDfIK
KH3/yi1qeqRUA5+q0dSfAtm7XThydsE40dJg/NK7zahDlHOD4aS1xmqOB1atAJeFBbCP2Sgh7mHC
wQ214BBIqtlJcAyBx+c/x20J/zfOcwmeWZMLMZKhgwvO2nsgV1cHkq6t6WHSg6FJIjwBo/WMvZFd
1xzBHEZ+5lvIH4mPri5a2qXtriCZlVgdp2L4OXUAV7bOSA2K7ZNqq5Y9hYg72exNGe3j5aQbpEKc
gcP0c8uoahVslEjZJvzhxP9PhCgfu0McnR0O9iYHaNPjGP1BmzGmMT23IcsPsQhonVdCWPOX1V7H
/smGnd7uwD9TjQgGgDDPZcHm++s3oAhlP3WIeAfI52z+SyHMLPNDf0qmriFWc0gODlBxxe3u6bmO
gRGb1wbKtIRiM272mZWlycXQxGuN/qyPr5OatrZP0MS1zSx2+tcvCyoZlECU7a79t3Sk2hpjkWI7
PXwP65jZ/ZlUCmrSMy5xwClebcZqpTjSpqR5/s01+Sgl4WLw8q76DyU46uyfGxo1KHtCDRHeOgs0
asbI7UKEZg9NLecLSRcHiodFlslD4cXa0VCToNomGPRiYvhg3tjuMhVrqBdDkh4GdYJuWmSF7+dx
vqwVK/M3b/jvXyJyD4M2Kr0+Js0f06SmICH4QvPLQx1PeMSZ1o69EpkoXCXagjZC1odlee7bF2TT
y3070KtoU87ymZi7+wql8W/eker5/NjWRZVJDWSThmR7lsE2/PMl1BxINSBM0wPoTsrGswrhzGDu
afH0IKbV8VeaAM8RrFjHZuJ8UUtkEnuDLDviLPpGncG4sr9+Y9Y/e2MKJkEIGP3mv3VEPQb3XdW1
6aFx8bhSanL2IgNTormeqYqsvv4ER8C3j9DTWTFmpJ7FabLN6X60J6KwzxIHDKCclu1zXWwMHGO1
jENUYq+U75nSWpSxCtLpVK8HpQFPtkZoA6UpE6/xipDu4e37oTSr5Hw/rqoLUC8NDOJYSSGmHPyp
quNeYLpyb8EOB4zieA0noF9fDvNjW5zvyTOJfTToG9hu8FEclhoa4RPM4vdW6rAGmmJFguCP6qhz
hhuftRqokSbtU22qOfVcpbythTDxT3PgcrUSC2xX5KxaGUFU539ysfhzBr6QbM/tIctUXWbZ5XRp
wMMk2UHAhKrApUM+3iYTsPh1UdIwx8TBhuFrYVxBOF31dv6w/+5E/64Tze7CEvZ/i7dviCv9STf6
/Qf+oRv19T8cFkRdB2bpKJwLrel/6EbpP/u4Ulh5UASzaipF91+6UeMPOsImi6iBrQQ5NQ/iX/1n
/w9lN+WWsxjzEYD3L8m2jY/tZ48gMlR4jpKnom/7qMODIJyQWu84R0ZHTbwx87UgoryJT7hdpwiz
f/+FiBiy6jvOPIac45NfotwIen3+7NQ0hm0377/AdOi/JAyffiNL/LjD8+5MnY/PGzQtl6i0nxfC
YPS72JCBfcwnW7w4qY1TlHSAy9qZWRdbLAv7oNGnqG9EYf9mX2D//rAM+4pxw4ON1ZiwjPN84MfW
PL4IWuNj1gKoi58qqPT0AcYsuCqCTrgbt3G8S1OHlcZlcr2L2Q6yzwb94a/zWq9v3thzlGogqZ+S
EqtP4Y7lfii7sdgyuHbvPHQcS0Tmt3MEqzxcGo3V7Gy9sZHujUrfWkHXQYVT3aTmgl6K9GsAWT7V
YSjR5WzGccVi5zNHb0ML3R/rnms+49MvQkHLLWTZQ8iJTGTLCGW8T+u+5iRl1zTVBssvdglyjRQa
XsrhPrP1L1rXaWgEvYeR+GTiDtaWZcdzm/q6sykgtFRVnJ2wpsPCchwVmD3DnJMDwnlPTi3GeTeN
SMwi9cWcl6eamGUsk6BNLh2Zx2gQl+EL7HrlAtZLTh26kaqYdMenHreKZSfT0gWkamYctPGlABEw
23t1zLtD1pMZmxzby3MpQCELegrdxqddspUj7tXdhPgXtyGP0v0c+8kME6R1kUDSaXkwRpFu68GT
45HgqzLZMDwZ7mcCQtPIsCQAkcw19B1tq9gP63igDR86Lv2frZ2s1kU9dzQ6kiQzJUEYHEtoxdl8
raSgHJzJNEmbtindpeM8efnig1pz69ui7mZIeXDcyeZg47I74GwE4M7GTs9zsmQG6TCvMLU9bVAk
W6k57Qo9w8w9TRue1OCI1Ly6X5EOoooTY35acz/f+M7gETjBFHat9HUblM0Aax9u526gBF1DL8f+
yCAUzV40tXW/B1JrAMHw5xOJNwi5cnWKkKlK+fWc9E9b6hOhQ8bshFntVX+y06F1Q5ZCsJCT1RX5
4YwxQlwYjhW6XufmG569T4jAULeRCjUi/MhjLEafjK7K5iYkF05MUcxIJInyOa6N0Me1/FbnbMyY
oLt8b+pCvtEOrQwEXYBAwfdjjdCv4BR12cuUlWVzCGr2wJu+J7lzHVcLhquVT09KfxpcLsAvXlaE
ASNh9uPc8VS02vBKvl9ebrpgaNPIHYSdbYexq7WtiP3lCj0l6PVe9wZjO07k131aLCJND8vUojDR
4lr1BOuObJduRGH5lQEAFhJIbirXe3GIL0hkoR9WGkFsBUN92aUyazYtTayXXlB+qZqLW30GWE/f
vbgHvKQWQ/pzWO6y+iZfR/LaR0JKsDYHvFqnPtuSxs4nmLKGpAfTx6o2svsvQ+bm2IqziXc/J9i5
YGevh0zIhlaCg3pnwn0eBs5EqyGVPMjbnkaUhgpwHr/peTfqVyDSHf06iOn3o/psxAtN3cDZ0Fdc
kSmylAd8cjo79Fy2Q+6zjhbaMCE/NtfHsieYQESFtFaAOmRkxIRFsBMYy4sDxlxvTv6U6fxXgb4T
8iuIqMTOMTSucnqqk7nM+lDDLfwCorji1unW/kJ0q3vd9gbvmDOq0HYSdE2uXMnNvsXhfsMMCP0m
WQ0mol0jn2mTJJwDhODBysAk3ZB8ABaH+aJwNrD2pyNx6AP8ymlIq8sKETQAMt4B9y7e+CN9a3+6
tls83Rw0nHjc1H3nfaUfIBec6x2o4DJZawM4rbvoRJ4ASg3T1pPPAq7NdeouAdFIbi7C2NfBz9Og
2RayF996Y/hszdI9ElKSO3u0i/JudEur3GiAGae9T+sXpCWweZqBAqOz7eTxziBk+Cq1ppj+jgYT
Ii0l/VLarC6jq9F5hd3nUrRaRroTEiaXKXAql4iJLm1UxBfAJdLL0SNgJhxaGhFz6zfO1p8748KC
JnYMaBFhMe9j7aFgn1n5yMGysYMWAQuSJ89End332LIFuT9QEr162dfSAsaLZ4SEK9ZxbIeJY0PK
ZMHvK6v/8u/C8f9lOlJmlV8WjkX5wqz35UPxqH7oH8VjYP+B1ID1wsSjRzES0F/4CwZ4tgO6LvIf
82ze41/9JV5Qnj91dKRwMan3/iocLXDrDgh07NAIIqg6/xXPM/OUn6sjQweyEpiUj7wDhugfbUDd
VJDj6BrtiRwP/Px2uRtocu0Qtvl3DnWAODoBdt5wwKGHF69zR+0zo48cj95ZyzmzANBxr6ogi0nS
gDbxAEarvPBROOe3g1sD4+sy79lZ3fqUGkl5Mcjc3ARK+8gYNKtOJrfszi0CwEpTXl/mTauhVkgb
wZo/Nuu+Wox9ItcpStbUbHYV86/geUJV6R/AD6owCgIGniY5M6hYTMej45ullzyBeBYtjH6Ae5PG
Z19SgNDxzAoVncAa3Cg4+yWtyXRIdlpZ6XbEU56lM918mmfyukwRFXk7spLW5lrgbGB5n1mFIh6/
3I4PhAoB19hWoKi06lRjqoQGBwcqMB2Qa8xRrn0TMKgM45Lr2YbZUo00+WIn0EmxnybPiIw0NvRX
KcueqPsizRxqKrqKDv3OOhcIEKuxA5cbuiNd6hCwqkZI4BDYzFZTf21tYwMzw16jwiVyqIkIoTNT
2BR+Poo1f6OdvvQOqJIqWRxoxwIulGeCXtmbxRx31141aEedbJ9bHfJduAaaFcrJRkfYp/Ux1bRp
n2Dt/lQg1GPW0uuolRGg3xmlJGMjaJYXOH/FFoZfSVzXkm4yqKc7GDXFJYgyay96uzoywB73RT21
Q9jWAt/VVI5Hn8QIb0yLXVXVYoOMIrlhHl4DrCrnjQvPYWMP1Cu5m4hDvwbxXVfJ6ktcawOg8rj0
wxVV302Zu58LUSV3FuOEW5lO3h3IsekZH/m8AdFPZHyTznfcD4KZn8jYGef4tjTFAqWs0cwIZS+l
DpOajTQy7zoIivgxBa9+IG5Du9Foug0ho4dgN3mddRm7cbnXkFKsGwNE4fLIPBLJaFy6n1vXqD8x
ly4ID4jThMFJ3lpzxADOmyNBG/NYd+iTwmDoqy1o7uEoKdD3siySR1we1kWwwneDmu/IBxqVePL9
BgvPZgRz8m5Im0IY2zpzKOaC9bagRwHG2HRuOc95x046D3nrbfp8tK3Qtmbv0kBckbBPIiIO426c
blCxkPExz+KAQg9/Rr7wXWP+7+6o2OvHrp/r/RR7zTeJh8Vo4atj4fBPfNPVdmlgGCx9Q9oA+py7
2O3TU23P3UNiWOvTyDy22gVyNl9z0ekX2lqzlbet5Z1kOQc7O2/+nII2PuBda7eQBukBxV7+KSj8
8Ul38/LLQoH1xZJDpuijfvGlxWcMOZMnzNWGbk+3z9wGnhx2WeNeSAGosfKzcs/oAo50UDsnOfeB
pHuEpiPkZzUw2llBhhbGYY4BenZbx/l8YlBHrQn71+IupsWUEvBAaiHK142ttctWyBGidQxKiOsy
wL8r0yjR9AjEkDwJPag3HKTNRxtJ682gdZ+ztfuUN5r3NjvQVEM9UJwcBsUevflmzR8AH9gXFTqI
SxSyTcgJmzSuLDkGdu9dLbJDwyvG/tMKQnCDhkG8uiPklUau4taKg/UbkT5dGxqgCADaywZaZGJ/
TlLbidy2BLstq3YBvR4kV2R1j8+DA0YISl+E9kqPmHgZK/V7dyL0LHnpLfJvSkmp3E/tJelYcuu4
ct6k02g9mVT2B0vzmKTMUi6X5oxx0C5czm/DYGo8cXYKeAB1xa6jumJmovvirsh7YP/NYNDqU+Pm
qc9QxCACQodAlBw526ayeQmpGmJFIq1P0xD73wpZ0RYcMyQQ0Tl1MI7T5d7WSM4TTKleRnRiF6Sg
0lxcBpUVOio9UGLUuBo47vWhKW0Gp0p0sNCdv/YY1S1hMoKhNyyGS0zs0qOoqHDDZkHhpsGIvgY9
XXCLOiIa9Pm1Zc+7NxB0HxMt7iN+KQOUPO6PTPyCPeOu+VIbOMIGfgNbRnTOu9Dst6xpzUvDm3o4
gy2HdvwK25bWLg85iD54kf5VYBXFJRg9SsF8fU2xA6GDUemx8/xZ6N0nCDl65BtdGtUxJ4hsdNNd
RmuJmNI1uGuNTmzJKodhaPeyPxDrd10WU7KzxyzedHVnYER37H3OsGfH8/6ar7V/35rIuVMKxYcE
bweCuq45SaIbtx0K4vLKEQCZnL6erkStJwfyQxZa0ZU77DEFizvu3ArVOWlbBI93b+3MOCk0G6O8
IcPEf0zINz7xDpeNCbsyEk7DabEsnOq2ijVnV5qLOBoApyKdTtJm6fXskmx1L3TrWuyHcR439jgP
z3AccUP4og4nr/g69Ma3vG2KaGV7vJzwM0FJ6mV6a/ttBUdVFBs6rGQZWXP/bkD82o7GMn7KddfZ
nnUdIqHzgW/KRxivxZ+yyeivaf4MexlYLe8CSOmU5JaxzdcAx5lNWi+mvVQ7Ssbumc2EtJbfOt0u
v5J8Me4S6RdvFaaG7bLiSmPZ+5r65Z9dkfVHHGpKvlAUGyQiHlu3F4QLxtvDlA36Uafbu0Fzae4w
sxiXa6Plr0Huw9YvU21PGhwgSjJt73JyRJlh59kOxkt7xJ7YbMe2DA4WUb87b6by0qRw9oWZThdZ
JZDjlTMj2cHQtI3OZDeC6TJtLa+vXwdHEjRlI88YEyMal9Q9yMnCzOFcrTbuvBrZPTKDwNwJw3lt
9eZuJEMlrMGlcVpc9yzRGhBk0oqh2oVp6ma7jESc0C3BhRa6uPaa7s7TsdT0LbD3Ck4zCEfVM7j3
taE4MXtMdlBy/LDFYRsSuYaKCyBXv5bJLrbLK6vStPugn+W+dMfgYC85g2irutOK+pbBbboj/Bza
vUBt6pbLXTCNxgaeXrnHSyY2wwrCzE4EaYXpaOzrycIoonnWjTagnGBt9x6wWWaHNY8RjTjGn23s
aluwW1WYMVMPkTs6bGRFyn5gjXfSNILXrFqYB2vcfqLXDi6QnztXA8RKeFaq3G105IJmPM4VzmmQ
ZBoBdat/qoblrsycr4TTfP73Wer/dZbyIJ786ix1n4q3P//j2JcvNXONP8+/8/j2X/8JkkH94P9C
HAx1WnLptyO3Dn5gqCi+Aw5lPfgfusNfrXgoUqbBnFeNvOjR/3Ciso0/mECfNeBUTP/KaYrR/s+n
KbLZfeyttsV74H1ZH4eQLT6drgqIodF4VMN8SQVlDmsD6h/i2jLTeZLVNF3BhET7MTZPJcFsFOA0
lsRYUuyvabFpKJp5Kqr6thz1R8xNCTtZ2eY7YQOBWDliHTsUIJiING/HPImAwN67bsqpCM3ZuM0x
Xr0EVnUFNOjK0iRCRCYCAzNQ+t40c8tp9EOOZO+jPmbXFZSMqPUanG6E8oa65q/oD2iTQk26EIF+
6xq9FQadfBGznAEKddvFBgXVDdl7X+bFprKSZYvG5tqz5r1knIUit34PivpKGtN9PDuEIGTjDuXi
FUzmWztfLvSEv8XGifote1maQWxEu746rC3lZLwKz31ql37HIkhSZpVaX+LWPmSdz+xfZ6woeoXa
1Hwi/KynYipfPFQNO7Lk7vWuuFJXYKjwlJPB9Z43SncKnntHjjynjAqY0ph4PPNyekgsea+OvpFv
usmxK4NXgjKCvZHahC6DWyeO67gq8bgmey6MrtMIIi1c6fzmYn5wKVpkYz+lVnGiY0YIYf6CKuMa
pyWVi2v3W5sPJO3sXQzLrV3yXS3WsGuDhg6SXZxWFNDhTOsrBAePnEpwocy0w2vkEMzBPCXdZqT7
RXhJBaKDbCEjU13LtHphN5QhuwL54BJnnnqtxuYvaO16K3v9djAhCqbrheGj1tUm/aLxhBbRqX23
IOQQo5tdFcV8YfLlHECDuhwT+IREQz0C/mTnGdwSQLqlkebHC00ZTes0sNfLzslPHGUeO5usTZSf
D5XubOallmTOdgP6oeylxvy+Lc0ZfuN6MZlJFuVplwHM8p6yWf/mt9ZNIDN0jdLYLUSbrQ5aURhp
D2vrHJDkD9yo1iGp+I403S+jYiDgjRnJBXLjdCshLkYM2yzM99wJRNtzpDQrC3Wy/lgnxmvAIQLh
PCFLAwh2arWHthsf7Ll8rwiOj2Bzw+Kv5geLWHkYrkNDBSNAQrsajTSwCNH5uhu1y0nQfhLEHu6Y
o183ju2xa/FzKjQlnT1uRct9yrxuYTfhdtSM+bqhUP4KWTSIvDxdNhQm052FLH9TzklMxUjZvjAa
OLTeMp1a4UzHHqjocZ40UmXgTWzbtamIxWmWHTiG6VRhHI9MrbReB6P/ukyde2n4qBm4a0TW2puO
E2y+CarW2njFKl9iT8Cw5vzPACa32/qxqOPHaubkvlntntx7nADEy8fXpBB95eQ0RRiyt5xzF2Kj
sk0zLN2WyjfFY4iPKw8ztNMncutzhgbtNSHYt7UA8gzT+VFo1JSoIinHRnLb66V7rWsIHrWWp9vS
bWF1LnnYrIG7q9iUN1SJ8a0xkH1Aj6LFtm6+CkPAXmgr4tAmPXJn09hZHhs070IZ3bkNWxojm5lZ
JwZDb9zPKuB1KbwnT3PJJmrlMZ66d012F7ZbnH7YdP6JIumj9sXHFgRrCzfRucP20TGWwYGDPFBw
VJ40KMBjOyCvnq8zp71aY8P9zYTy4+xWvVrAhmZB27IN/6P7D0PpWLsL/KyER31TG8XJLC1klRS+
v3mlj3NYXknNQjkuM8hm+vxB0yM9b7byuBEHcyheGC0AFWU5ziHARxZNe0p5ZGa7X1/Lv7vveE2f
DZzBNPgyT13rH9x3iVUHqQ8J9LAMTrp1+ukB23kZaZZ9kBpZyOrzYki56HpWt1+/9N90LufPGyDC
UcIgmC8flGUoLuTKOK8+9FVnbXIOhbcL8021XFzkIi8OejC/yn5mbieJHMmnnuc2qIlTTJfXFF5/
Uq8XY4IshwnEIcAgFYHJ3Zq+vJAuyzc92iaiTRG2Ir+q3Q69+3Q/V8mj7qRoOGb7eoQkGBEAGOwJ
pWyeE04Oke2zPPz6k/6TW8iyDd1EymPojml++GLNMiOU3bTrQ2r2O1vot3qw4gyhe/Cb1/nbLJ07
yDYg/ngOygXMdT9/m4E0/Jl/yb0a4D7r8Z8sHCO25LfD8XCDfINK52pIjOqunJZbsl2ru1R5u+w1
eW8n1mVVquQFBYRhzheJxuA2kOODFrjXVjftyYYk1AWXP+RKsPDtbM5PiWMu+yoxG8XpgFmvd/19
XcyPM1bo3Whm9mnI/GormRheIHV/jzPHDWui67FJ+2I/a/l7LNZHHwf1OvRs3o11QL52QHmfRWQz
n11qF4WHdscc11tvYXDKNMYgI0b72jnkLnkGNdavL+Q/WWHo7KvYLvhbJvbEn6/jymGktbHFHFaJ
+4ByYmZlo9PqovS0Dr9+LQrln2Ro6ilwdPYpTLhe4HxUN3bmkqESXmr0zNO93WenSvxuwTw/ST9K
3XgNPBumzbTCMP/OgYI+UgylrsMADKZm12ezGUH8fFUrfbZay35gVFqY9iHQzGsZB+nWq8sT7dUv
fZ5/82nSM/SbOnABuXWA3ssmG7A6NUt1ZRjJ++pKIgXirDiUlktAuWPhJcD2dllm7nbym8/+wD92
ez85EpBMQDdWF6DNGM/boG12ZmemIYlq5h5k6RDqZvbu0CtEePLf7J3JdttIunWfCLkQQASaKcFW
pKhetjXBkmUbfd/j6e8Gnf7T1s1K3/zHVaOsqpQokkDga87ZJ7nux+QqUcHksSqkQBUD1a8ovRzM
idfr7X2RG+FGmvPxN9/J39yxfBdozQi11SHhG79eALlRtmMxZflepDQKfZhFXgTpfGWg8r4W7ISX
pPh4nU7OOUPIABS1JstFZDdtzLXsJ9gCiMrZDv48YPUXxRot88chLs01FlMGrL119rHZeJ2vziHW
JwaMnEQlSr81Codn3Rje5kZfRXb0gLyPqqriDdfaSD6r/jxRiK1KPyx3ZkqEXTncB8paRBNcn7Lk
4GusfgAcDls281N3Z6j52S3r/jvn8D/Sxf7mJuGZsfxHwAg23suGhqCy03bo8/2ALJsSB23iwJ8j
wQv5ZfCbb0SId5swejeeT4teE8owMOH392QlzQlpcJfva6PJN8JqijXp51c+TypX8P1AimSmPNEg
wTxvV3FMBRikiMApALvCt5AfuOAmsr7auBZgVhgqLTNp53OTiBPjhpvUJWsxdKn2x7ww12bZvGXx
fD+m0zGzl4cxl1lgJq/+sFSpJFnGs35ddfk6HgvDo1zd9Gz6ty1f6aW9nOVortkYkYq68G0YWXpx
OfTEpXftKp3b8DBiQ7w0QX4+FuuhxYabY4KKWhpJJwk6whRp9dQ8PNZtgIVAkipj9uy1xS2ONlgL
VGvC7tZIMCdWHt1ay/hf4MhxQZYdvHlZN5vlNmpGBbd2eLSCpYFQicb9BMoqraiWdD++Bg7nrBks
NZtaUx+rWHGLtX51ctX4BpFvPSCzRzoZXUeQwSFzUYojJv4Yhz2GR4k0q1B7nNBXWo+KBgzzqsaU
xXA6vaIp3mU+T5Yo6LkwuTusob1m8/4SAmi/SoRiMA2Ox6gnb2mM2LoQ71gxY3ao7NNWfjTq6HfP
Y+tvbm9qHYJbgR5wRb1Pqk7B5VTYlrJ9Y09vAPTvEa6cqS/48BS39VJ/XVrtonXFtnWp9C73fB62
22lohhW5E285+A+CGHNCchN37fS1aUOUCfDfGU6+ccdu2qei0WjQkgzhFnKZKk+DN6zP7jVWlXA9
A2PaMOJCPctZ7s02MVwaZ0zcTs+9Sbml12bpsR7pvDEglyB1qKwDGkMA+aFZ8IVgXz/YcffY4qxd
1QbOCoeW1O3S677r7qXqol2RWuMGOYa5rob5CMoIa3QGSE9oaFmL6c1q5nK7mDJsuoN9ElnnnocI
TWb3aIK5W6r51v7xfP2vzPU3MleE+oJa4j/LXB+K7j8AF/780R8zNucPxa9i7kZK4XcBwg+9q/kH
pBIKir+kCT8UC+oPAzW5ciAhWJJNO9XhD9UC4zeedYpbAvWCAQXk38zZlLs8Hn+uN5DV6kqXlPT8
HRBN3tVPXWSgzoujYj+yRB82bpgA+8rzCBARYN+tlXOQIzWKnTs3MrFmGFEenQeLQ7AnCMVZ15CN
uFAj8wO7zOm2sIz8oW8s/wVUKsSo2WSQbmPX3JPuzKLG5TM6Rkt7Zid5MXrDmFjZGsFEjCIAfYV5
os4Pz4ko6BdheJkEMVRptancCC0P8U9UeQnLnnE9I3H41mTs5MARTHKbaI28CZFL3SahLz2tYB6w
0SvNJKh8QryHOiSH4G6GRoi2tylXfTFZ14ZWE9zQGtjTu8w0r4bZMQ+cmnq+GdOq/6Rn/FFrUEnt
V15FoPiUOTpUvyMFjcVyFYX84nT67qZH4mfVCAjaAvK5NjCH0an2Nljssm8RX/gewhewyVxh3xZz
5H+ZLcUJnGDy+0DeOyIGmOjNB8ma9EM+6Mm9m+hwGAFh3gydnz+WSFhv2oZcqeNYjYFiJcR0ixA/
28EMm6XCJ9+lKihvwtK5GxP+roqHB+eU8Inf1s3IJ908Hu27OZrLFxE4zq2fUsmsOMt1sfZdXPRr
rLjF1nayhseZfRjLrLxJROXeqoYc4FNMEtG+4fPb9gj4TqkVsdsIw8WsxqJkvIDEyLEqHnCKOnca
fQRdCllx7uSofSZ4JvGMwZyNPvmAIdC80ghXPCD7LW6SusIYMMts2lh2LK5Y3Q0e3q1O8mw2VLMH
fN/ynkkOJLW9+gyzvfpUI+T6UOqTND2X0Ze1aLeaL0LLSABpwxZw1jC5d2OJvXLiqfzAMyq4G+GD
BBz86BE81ZsvDPAaTAKpprAjIux9dbCdQoIT7qksTTvYdpMeXMkxzqO9b1ftfAAlSTMV+Z12MrDW
DXAE7Az7Nb43nI5k/7SHUCUKqexQdvdIWBXrTHPEi+towiTn2bKecjHJ6/C768y8WNBIulv8aNbF
nBaQoY5TTfvTt3YxsU0XQxvsqUW1vNjcwnKxvCUX+xs2pMUL59iOsw3qi0cOYJ7WXrUX81x6MdIZ
ZYOFDlmUQhezeO1sP9Ae2KEzIkv8azvL2Jst3rwQk56/uPXSi3Ev/u7iM757+oJMt0lZXLx+ykSp
G83YAfXFCegvnkB9cQe2pp4eyIAbniNWwGvNDYtrhNjVpuEZFi8Ow4gYGVR/sSEcxMTh8GxZfmDt
ub21x3zxKBZ1jXynw7xRIvXGxRgtfkYyfFAZtRBgv5ClaKT7SY8wP/ad0a2ndhyPGsTMA1F7aj25
+X0xO6cWxQCaedGwiS7GqyGKu40N4Z/RckjeUcHAXZPaFzVz0qQ++T3+vBsdQYhbZIAWIxrhjCTl
AURHsLaDYVESq2dR1wgou66jlu2KG6hw96TEGqwEaIVResPrk9WCsGDf7mAQ2mKH85pY5Uc9L5uv
8WSf9dnwPxHFN+xHqHoPuUVxG/dFgwYInqEko+6WeFZzWy0GoCEKp5205nNUOdMulXrrhWSvb0nh
xv+u8VOCeQBAyroosb3OnwofAQX265u5rK/bIfHRv4ZMK4G87Co/r7expenXbLeHG6tBCUT+1GeE
ktUuj4SzifzJ32IuilmxK6LNhVHt54JiJu17bUnlFMcpxefd2cHLolVdB4LOJ7ExN5PEVVCYFPWH
Ia6GvZ4F7RPznpYLY9B2QT1+62or3U04qDdtPYjHXhj+i5koki3GhcuD6DcD70uXcegsuoW9mUl1
zIHIbIEqItEtUWDtSihoVw4xpN6oafZdV4buLpp5NMUZ5MtWSVauvTXb56mpCPPBRhfFG6eKWpaq
lf/sVmAwTZX5RCB24Rm+T/U5L5KC3oR4jo8l3mDUqjTTfmQ42wzGw64gtu9TSUbGB9bh2qbtIQ4V
Qz6f0ZMVx6ka4HEB07wz+T+uG2vUbmiln218T7onXEz5QYP4tzZw665Y5yfiSo1xcHKTzHGZkakK
CkHU2V5iUDXCeEQfJQcUEgr8oNcjOzybiDxWWBXHeqWVeMVsNN07u7STK+QCaL5LJAAV6sHnttQb
ZF5NXq2jDs2Lbtb3lh8Xdwz79bMZE//htHzSXcplIIetPhqNNy5LGwMbNXQ9qYE+tuOvJlu0r3jH
mcMBkICa0foDqa3SgvnCmMT04qkiyUlF4qkgY+g+RI70hWClYFO6lXOqfONFc7tvUZQHH/H2ELI4
kR/SSPWUS6XhVG8SzzAT6KgCf+48Vf5TUMsdA9YX3+reHKNSu7mQLXwbpItmNH2c+sldt2lhrG27
fq2yNFn1pn5IUERtamGUXwMSDMHSaCD6cAnve5B6hWfMk2RB4YtbONP1JmmG5C4X1jkP0LAz4us2
WWugWjCIkG+9IayHctOIbD4HU+tvyqz5QpTvI2sISinqC6YxguVFj98ausqa7SIaFXc5XBNVLcVM
5XgtXd1q5Cm3CXOfNPUkedQMi/3ZUOkvoWHjXYsc+ytU1fuuF998ug+njrCca/anHLoFUgkIm2Oi
21fu5M+nUu+QHZrVpyKgF5jd7op0Mp+zsyw35DAkayfoiSQep+xg9iURWsgKYks8RcOUnFKuecQL
ltiKumHUELf4U/R4V/dpeVW044Ocw2Yr5jBns6k8IMjzFzAN0mvNrnhgbA+fEWlCsvIzc2KeQg4p
6NkWUEWTbUkOhaaoOW9+YHyEEeF/0itl3uDcwu/sKBQ5LdeVesuMTByA/7BoI+r2SIrrhRr41c4G
j7rgC1PPKkTRmZawrJph75R+vGpkKTcRrM9V71jhjorFvgdTGazRjsdbnerxxsht/7YmKrPmSycR
GqCKfg6nRnoYHblE2eABcB+NNamC4myW8ROEaIutatjtyiFSRP4YeXHfhQCJY1pBm1xShWRyJXmk
n7SqsdaNNT+3AGSWYrMS+Q2a+8CTg0uXV3wjBW3PAg0tqabf+ENzM6cRuNC2ASFjr+Iye2EvmmNC
Gh+HprstRYvwLb+mWsOdas1M2loYEaSbAsrsu4CYbW5zRLCEpCozUqyqbKlOmIick5VVBHThBTAm
jBUrxlzzrVHnyfcxzn8bv981fibT/39q/B6/5vnXpvn69Wddhfn9p36YHMUf0PWw4DPat/llfzZ8
rk5apzKRc+NzZJXjMDj70fFZf6CnIKtTGqyulkbxr45P/uEuhkiXRZpyTBdL4r8A7GGYftfxOWjU
ydWSkN4sUmrebx7sqYYbOqj8oJEAKcpdTwUY9xvCgQeDZEbqrNVi8x1O7UKiyBqkkWKhUwCBs/dV
JiMmLz7aW9pWcW4WogUHVLKxFspFEFiN8oba3GSBNX7MwKsiIzOV+eoujAxjoWV0rqKsXwgaxJZ/
6fISpoYJ5gmLVbCG/Vx5YmFvwJXoAHrpOu0d4i4k1WOzVVSlXpo7oDviqfgokQ3D3GuyQzcGIGgi
a9s1eAH1llVoH0fBjViIIPkUpY+IAREy8lgDGYKTtPgYiq7aGRigrpoLXASKrPXZvyBHxgt+JKuD
4LrAp/eUQHghhXTW77uhNtZ5at+htXKv9RiVnJMFwQtUU8ScPMX2s931qLA4a/1Yr3cgvhi7RnCl
2RTfFWWByBjL3dbSEh52nPo3ue1eBXmyVsWY3GqUM+igSZ1GmuBsMEoWq24hs9RLTPhQSd3TZylP
bjw2h66Ztb2vzbRKSahdMf8uETRXsxeCcUXDrBfXUMBAwlSOBh5mYD8kYEFvDCwMp8DP1E4Cldsa
lan4rc18V/ZGc21HGo+Uzni0FhLNRLe9aQbkv76dNHdzwnlMyGC6tQiqWKMDRnG6kG06ji8wcC96
FjU7vJvxvusDYwdEzX/unajYEuxofXEi/NhsB4z4OlCo69ILVGcc4es4WdqvI0YKe57O9Ra+dbSe
9CXmGC/sKlgoPVB53M9OnQ/fyDl0tzOhpw6lOjAC7ht5Jxn4pacpLp/Qu8VPDmuBV401Hwu1WenX
WpH0R0fjkVhkOlyZyAWMUwa0zpYBX4ikOefKX5hD5kIfAnT6BM6P8T0L1mrvdEVyNxYVKWy52d8Y
CNyOsoqoZog2i2svouO0951G1NO2bhaGBXQdUEjzQkWijNvGF1DSPNbmNlzoScYFpFQtTKWpc6ix
ZxfQEsMWPfdSo8uoEebegA0Mp40qJFqNxpzd4iXbQ2BIVmGXV9e1ZbwWaWX7pwoWV3hEbPrBimr7
HubiDp+j0A5N1Enf2KUtBZ+96t0hd9+A31foqPxpvpmZN9w2neFkb2xrqTBkjvjAabsnhXZ/SYkL
qYtSXLDSbxif1h3cmTR3r4bCNjBE+g3EmjK0SshtWhZDQ576YF9KO6mfjHSQybhWepK34LSJaIPB
3yin0UB7xwTRc1DyuWd9OW99K2Z0sikCX/80h9XQejqMqnM12Zn9QWdOVoHPVJO4y0e387/EPooO
CAPuihOOkHCpsTmlSOHKVVg2XMwhKK2kSLyxXzDEeuvGn4m8n7S9k/f4ElWRDtqqcLouWfeX4Iel
EpDXAyGaAPjJJEmwmnOl6Bj6DiJs9X6VV2BbcM7KLwwb2mTH0KBntjXh8lz3xMgzRWfM4m5ylfCS
aDhrQHCjLh7NYIZwmTQp+wp9ABnI2Ye1rE18NNnYF+GOZEEUo6WP3Ly4AdluFBZ5L1VotkdoX0pf
FwXkwMAebVCMYW7djCC5t2rBJOp62kN+UnzGzA386ZF8I+NYEx5WrxJU7+jXM3dAx2Ja17krq0MS
udz3o/LXCmFyy6qWhD/Yp+Eut3tnV4R1cpsb6WnG9WGvaqEK4ntVePTL0saR18qQuZxjc1P16LjX
Xd4JPBCWscQT7pSWx8u9CiRLBFa0qcFCaVuCu/QHOy3jjWU0s/CIDtGAeOQ5Gi8S553eZnRtMW3D
H2hQgJvuEU+SuUqJ0V1DuAzYetImrOa5S/VV1szTWzVVn3lG1WeGqxb0Yx/xOE5MZ2Xolf4QzMLf
EpriPCmyKe4kmngeDnl6SEnJuSlaB1K4NulXPZTwtxlILmoGsW5s5Gscnf4eoJT+MbFFtCa2wPnU
I9gvSJ4wyn2sqvFoz/Z8zSbSWcHzQmY4TDHVvEkzVxU4LQnqpbaTaNL0OaZ6DhGTx70pNzE1/C27
/ZjwEHfXpHn5NNtFe5isvoNUks87IiMVccKCwdfcaERxpEV4A4KTTUc9Gs4Rjl4Jf9HEvlrjYmKx
NwLOkGplCCaRgeGHt+UUkFaP/HEjYzfYWbwB/FnI+2CJyZCjcZYfTfB1PAuVW772jtFeC3sWX5mf
FFvVzuYmEb7YW01lftBGXs9wi2BdQmLcEotSbuq8Tc+JPlTPHffhNW19fYtbzj0hl8k92of4RCcG
+tQM+3NSKBBkKKn2JN6/VI6MThMa5w8+45mz7wv4t3FjUQlkM/4Ep9C9IjP1czOGWetF3Pm3KrbH
nWtY9StqCY9CPFmbtLB3yFzGbCUzxzpktF13CQDZo4iT4vOA1XxVjpm+SaZCP4R68IG1lkVDQRdO
rBzpEAR5oiFNagfbPUz53CfnmVyW65HsEnykDWkQPP3B0Gsm+bg0xWwacbsSiAdHsWsCpoUS3KKL
1pzcm9FyvQrtjMcIAU9AHhjsy7NFwgO2xxIBv00fHFCZ3NR1364LlBWvxkgtP8Ibxaiux5wENU5c
NIw9szP7wYSHBpKeFJcoCB8bayqju0vR+t/6/nf1vWTI8E/1/VP7Gv5S2n//gT9Le2yeZEvqqJP1
H/uXH+U9oug/dKjzaOV18tFYqvy/8l6ytcG3KlD7/FXXL7ZUXTdZ9Czm03+pmL6ASX5a5IChRx7G
0n1ZJxkuiu5fdRAFnWRYTPj7Xci5c+I5QzlNW2gEPNAyaR5IfV+QpwEkykZJRuTTxGiBCuZ2qvJ6
X+ORWjpZ1txw1zYX/nQ4Teo2486nhCrSEe85Gr5BJ8p7n2WW9Id7zZ6g8VHS94jJn0J/dLNy32U4
q60ACAYz4dTXbtxM9tlVUcfMHSh8ROF8M0sb6s9+YD029ofA7kTkH3z8GzGKVKfqH8qeD/lBy6kz
NqWErb0J4qHmDreVNG8cwMGezsty6JW6xW1icM+DTJrYrGYSnvSQRmdA2+Guso3Z9Ibc8h/zzAgf
57Yw97wp5KQowD+TlBs9OrGsMWBlYUyNp4jRw1E209Jvw8LvXon+i2AUQI8lwbsm3ouy33OLnskq
C/aZwcFVzMxIkSc+J5j3UNeCjTySiLmE48ZLUG4YJETkjkOxgGMTLZgetEl0pOkCoo4Xs0epDHtn
RMs4ov+ewEtIhS+Wcyjpq2S8x1QS1dfl2BR0P6sM6VrWH/57IvxfzBS0n/9spniO6oC15usvp8L3
H/qx5GVhK4mixQ2B+oXGnjXrX1tey7ZZsLJpJQ7W/Zmq78LiX5bDnAKWZXC0/HU4ANwHd4bEyLId
w6D1/DdNP/Ci900/L2/aNr+Sv2JJ+f71dHB6wJ7FFIi940w5ANm+cLx6gcrO+VSdIlRhPARfptyB
PEv8dPikdyXTrQVMC6uvO5uFFVFSg61Vti/8TY2s8TZcsLb1ArgtcnC1K+Yhh8pvH314p8uzrnrV
zZI7Zl3zAT/h/s2fjZYDp8wGnnc9u9cvys8Bc4egTGDWq9dcxyHuMYlWr2aJR3gF0s99bq1C+5qM
9vjE6iIbvzIpce2YAEE5nMPC3tSogcDcxEc9TkpnZ/XsShG7YFdYBVqHdrTl0FkbYaE9alLR0lGk
9JvSgS9us3xZNdkiA7cNczyLemSInoTOS5qkFNJN2zt8LMAi9mgXAzz1ovMwuy9HGzP6je8MGLhF
pcuV3ySfZTbnxwAcCrO7Wa4VLPuPdYwISglfrjV20LDdzeEZ9sS0dGk0F7JZtB9sWW9xquo2kBH2
HxyK2qe2SYEnIg19CvUmZKaAR25VzX1lP5cNOzrPZsGA5r5m3bsaYx8wpe8uGlF7lq1xU7GvBwCM
jOCxpvB67ThG0faloFNkIJkjLsbPcViCypApLQFRC7DaTeAokoPAUiaAscpeuVT8+pbw3gV3BEG9
YcfVeXbbwGs3yxzcu6PY36yc0AXDptUVQOwh74qjqFOcqZd/TEXM9+qXFj0ROiz+vSnM+BllIkQ/
lQs523AxP3uqzYgakA6IaNURW9T2km0PuUvQ8y7BCE6RwHFB8uQ+i44coFVNKg/dNt3eI3ONBfdP
NM1usIuOFV7rQgdf+NIl2/xmJ1vG66hZm/no5ri+V1NGWosRCJ6MsZx5Qxc3LN0m+MU2IQbqSnMm
/oCBDiDY2AHCKu+Su4iZGzVD4PeYPhUTNWhEMOrk2rFRQJz9fuGUNy2Oo0Nb9sDogiJuv7DdpU1h
C8Vqj60AlP6CJOddGscA8nDxIa+iLVoI3qSn8+tHa3nzzoxScQXVj0+wHhbO11xB2ZEWJPVxDPla
Zvx+n6ygI/FQKxeKPnvdWyfqLVKfeEXL7iAJ9hpwerCyXJvfs2HigVSHoU5gmJpSMWaQg9HPu7oW
8lWHdgApeUlxsXTyXCpDMNKo1Fjv6VSVvLtw3hOzgmoBzRM1GqsaOPmVgfVkFZgpb2vKKHBBklof
ZItH/vnyVzo8dIN9Osko95iV8seq0uIq02ifzm6dQutKk4bWpkGpSnwFGsD5gdVlkWBjWr5SBPnL
ZxJPenNuJ3cxOIP2n+qC/+5OC+/weyiBVszRLimWDAGcHezJhpQTyo7BA8pMF9N2QbN+m2fFFcka
dLmmhIHBOFCak+2KrqccskU2EmNZJiMAwqQd1q1rzEAULBxSS1pGH0/lJ8wWHVFiRccSOw1zSE6u
dMtT63ReUSo4XMogVHHVGPhsuoy1tjexElhctv7xEt/Gl2mFazLLxT12lxZQf92Un1rZNf6W3fiI
2ds1d/HgZFtWThiE+0CBBGqbt1hD0cMMjagHcp7GB8fSMs82WIGtjHqoeTN8ACdLlxrvLksKE6+o
YgfdAnQy18rNcZ3zkVHOja6y9wO56G9VGRMOIfLCMTdUeKydjQapRhDE8oDqgs93WuIIa9vmBOno
d3nBbLgZhJIbcBgGZLQWUTEeE+HSQ8nyYI4LvyJ1wpAw8Slg51bm92lfWMtGFqTPyk5C48ktZnuL
CWX6Ku3MvPKxxe3j3hFfUmVfNOejvQUpEp+q2oq+mtU4PGKbmQ6gSMEqxKnvFZH2hBeufqZYbNZs
w1p20C6xCpjbsYURzUEaLgmWqTvmW91BZZIH+vwVNjtaDxNuyNFRg82OKbYnSdyLb34Cg9BAWUHy
gZ/JFoduxhhH7aXWCsQnfNuxNSwv8mf7pILqXFt19hUpY8ie0WGtxuqvYknajs6ZcdM9yHZj3NAO
mIiEnL4Rp5RBYXU3SxNJku7u2mWqM0MmXzdVUl7jZilgUXX+bd7XnCaTzfpOK7t7kecfzWDAOtS6
zRzs+i4yTyXxfsaTX5rFM+i4+oHp222o+grw8MLLDBpx79OiPOQ2CHwwA61zU7HJ3CNpLzfQx/WP
gTGMR0LAHmdG4R+6ZjJ2BUAGpjpDXrjcHyU0sr4GM4dGbD+WLmV2adw2DWsyKytDktf0UD8NxQzD
xK9a/a4Ji2IzGra+SeNaoCk163EVgqkqNyDvcn0d+uHw4tOrp56QnWKZl3UdE9EqTUGRCZkSl1MV
njPq7aORJ86nyHD1hkehqd90sezIX9DKQ2+BW/TIFXkhNq48AlHpzqxyX4baqa5LxkUts4+xtKDN
+O2JdVu87slgfpgQXh+nMRZ3ibDab4Di6pfJJb74ldFN2t8RXObDKa7n5BCkSU5oQv3RmGb/LgyF
v07QK68oBcdT3wpSFxtKGtuCEtGY2k1dt4zNDSydMMWzr6ivx1O1yA98NRl30Mv7T8zC/XWQhdat
W7rqZuwG7P5JHrIERv5XnplXJteEYBj5Oux07Q4YnVrbsiMrLkuZ5UprvCqbLH+JupY1Z1E++V1J
mp5eP7c8Ejewv9WyBPgkjOAQE+p60iYlPw5DYKKGS6aaPUsj2PuE4bEJZHBjEtB63dk1w25U84lt
YB7QkZ8QFVCOZDeGreQdOsIzQgnkC4Nc1/Lw00jl4VLREYdlhIvujVR88GNpr4LUYidsFNLLEUyv
CRFM14K+jrOQJUTI1IQnhevPi0wGo4nFI3zrIgEmIsAozTsnkNat49btQ1HLjgc9u2LeT9h6yTzC
a28BMdSJWpVd8GTplTjmCEMgV4xgzvNJQQ/MsocoBoXBQC1Ot0bOPG800pjds74g4lrUd6upCcNb
jI5EGZj69KjXdX+cGnPhP/KDPSvga06gnnACyBfrNnPvTIbBuzLvQv6rIcsjmojqPlSsLzxW4cOm
K0iaXYVDIa46oHJ3UWTp69q3DoxFIXMkwfREohAqd5V1z2EXfkTm63tM0OAGBWMfPPXoJoibHlue
uI15ZZXZuB/1ADgABjD2LmRRroAHDoyXM+xJnmN3OKamJARaamVt4pWjgvUNRJi0GlTycAizlC03
FIqSuNtVD7zlASWIvW3Gyo83PA5ZtJNktQakwPjc91f6WAvwwUtgJgh4uZ6nAHCdZPBNgtbUHcda
FluAyyPSJM5TZGNAOzyb8+ZLXHXWNxbXA65bS8370G3Tt9K2CXOpXX+TLqUVYooakcGEg1GKrPAI
brZQTFblJmaq7Dmd010PpTDWPokAHng+NmpwvY8AffvzTPyW+cTzDX9Ujr+v9zJ3zG7jNjKJxlEs
8Qmdte5TEEyMHjW3XiH2pyzIB/k5wdAXbF2gGtxAOrUg47mEWK3xIejT8ZQnTbNhB++OiAAc/66h
DLgGelpy8k5m8NHOehhLs4lY1Zfup6ATxf3sYxZZZUG4rZJuOqlGqXOVhxXg7KrS1l2huiuzSNvj
CPh75+TReCtU2zyGQ3ZVDdWxdOZxXblGdZOBxXqDdKnv+raqr0Sv/F0dOM8UasPWbuo16CR5FzN3
SFeqT5JkCxQVdy48MUzAkTvDnhgkyUdekeZFjE3Vmu87Uy8/j0lGCjtHXkosPFE4K5M1D4ssFj5J
V2vZ27TsgTSXjZAWIuvfBCWSiM9OWz6W3ZSzOaq/75EyjcPt4I84ylDr3hcsnMrL6im/rKHMXH9t
B7e8HhWFHHbnqjtAmQf1h3swgaYah/a9i5xf/xBl/FM9rGrMtbdFCeyKuFcUJKmnyuED0cOFJ83a
CexbDGvVLU+/Q5vxBB1+4+l6b42BLbAs1QG2kYIupYXS+hdXJaa5yQioa+26lqRV04mqKDQe54l4
NbcWv0PkKwZ+vwqudRB2jjJQBujsCN77lVB0TAy9mmKfs0M8IVGFZMnB/Ap0kkUQ9IK3MMXndMYs
2cEnqNF3QuuEFZRdxyomcudCB7eqXNY3Wd2LM+Fm5BzV4Dme+5Acoj5BqreSc+5TtmVLuDDJKC4N
vWznB4PEadzJI4EIUUeMVlvG6hUL9dA+oHZVDc4+gRzZyy3GjC8z/QSCFGekYQt8IqUjM1gycTgx
HjNiNj8N6dR84ZLJvxEZnz+Y4FgWLuMScw4Mv0Q+DbDnFNAbacvZqdNgCc2/m7Wma7Yu8Mlmd0nJ
nPgXaxCXJYlBdSgwQjTCIehs6YUvYUo/DXT/xpb83sjnwp625MKYwCnMcObdl55QIYPe0guQ/Eu/
TDQLvUEniIX7PlL7j8ar5Rf9NJSFc80LEXBGGUAwgvH+6nJqOriKENx9GhIkxXAiw0eSV3w/l9jk
JloiDklCpwlhE/S76IH//eqObjqoPRwJnNBdNCU/X9slM0ZbnwCV1XHJOn/AqxQBaKd+XMKb4Q2C
V2htmgBtyGjb/vkzFu9dYK7OCNzQ8WSLJUrg/XsfUAz7hV9DnRMlv53MMhasdlIRYhc3tM1SLAll
vZygMgSX5NA672j88sBO94EcxeN/x5v/p/Em4QTcAP/ZyfIhat6KHKbYL/PN7z/1Q9Bk/cG+A1c0
Bxb68Z9BMa7xB8mgFqIiaToXxuZfWw82HFz10oGlLg2mj/wZf9pYWIiwr7CZMHJzcI38O1HTr4c4
gBjaU3TmnKn8toVm8+uFzmQ1TCBLW0eKd1YZGc4TJVhqzBNAPK+tGSf+9AH9zQHydy9oG4gLCMrU
HUssB8xPXvyEd10aZaaOJlvgtVhizGb4y7cW2dP7YCI5859f79eHxvc3aEuLz4uAHAbM71w6bmzN
DR2oPNpFaL3GLi9gxrF4bBSzrn9+qV8PjctL8VXzXasF886T5te3BsyZeW8i5DHJBrIZ7LjesxTm
BraYk51bKHnPdoKGEibaeP/PL/0375IrSXE1OECE7Pe0iKFK+knXanlsDKYNwPQ5J4EnLxqRgCfK
P7/Yu/Pp8ka5AgUIUfIqLOf9SHws0ibDAyDhIFq8EJ5KRmlDrPNA6FubuVFukjN2hYaNUdhUhz0p
OmIJo4fqrHn6Em75z3/R/377FpN5bGKoAwnofR/fE0Mw7dLAl0dnkLzdy9hK15Jo9//5WnT7xC9w
CXPhvLugYLrpKes9eTSbgQRBqTVfbLgs911s/O4ptFwwfz0Dl8/ZIlAYD6gi7Bfn2uJA++leidqS
4PGik8feD799H4MZ8B/+/WfHIYTJmRfjlHp31eo9DWdrpPIIp5s8aqfn0eIsxlkxL/GV//xiYvl0
3r+lJWLJoAjiI3wvoXR8JGIzPp5jbGAZXZs9ryl8jeTHy+zOqRL1ij6emzRySX4KW/OAp9b8TXHx
N1cwszuOPX25VSVm1V8/WR+jt+9biTyOTmtcmUkuyGv0iSkutYYrtHKpNpLE4DE/zTjyIcL9D3vn
0Vw3sqbpvzIxe3TAm8Us5jgeeiOKJWmDoEQRHkggEybx6+dJUjdapLqpuLPuiFu3QkXqHCDtZ17D
5qXmiglmIofjx4PyX61e3+h1ATcB+/qeSFjVCXjBSrB56f7c0fKa8UWmC+DDoN3/+19F/BnTOOdq
+SOERlNz6Iao986LgOFNXnoeaHty1MemGPzxl7096jm+jQiaHaFDRhzz5/IVuQJi1wvrLNXGD9JC
pflr62Eiu76UgFtTKP/4G523R7D5ShxQItMTZDXDon93nWHM4xurk+TMTqFY0wugCivRlb2DPbPc
FZK+NrwVXH3yuMR0KaOy3CyIdkRWK+YddSWIOqan/3KCKL8iJterS9chzQGL7gqn+9sg0Zt8syWQ
bQqB4RpSKgkVbdD32js0uUt/aTz/TNZ2c7DXfD10RWgdMkdWIzi6Ri/ZtqYM2FGpLYUO9w4fdjuQ
8b3Ub3lGyiCcvWmQqSdUDtXTAkAHnd98ZV+5kLHznT2UUDCDFwdpJ0v8xz7HfhadpOFol/y1AXDE
aUTBc6BQ5NLucMv+q5oiKOqZDxG0ZACRPir1DZgca9iHwFMf4HVbJWoCae8cHTSeEX2PIH/smgTP
Kzx6i9RDFLXwwpO67fmOmJF+4br2fQw62Z98KN3QUOmM5R0rRPiO+KphB6wnVopy09lMTZZGYoaF
qB4cHJEqiAFPVVn3XyOBfsVZ45ignErijeUqi34O0XDxzdEJUxatXohd04xVyAPSpKw9VYWPFeCl
FRFKF2ttJ8EH/CXEDqcpeGx05f4QeEEfaRT2d0OoGgq4VLARzMUHlDbEFGzmJOCGcTQdQIsC67lv
wEh+itqAt/iMqPGf1r5bnKQefukv7rFW5zr36sVcKqEifkfZd31wJ8iWr+7iL0gTZxnkU4XGDHKW
HrnoKlNKozG43YdRGJcrMJjwa9OWUW5K7YDGYNwAvZKEvNxyLTc1cDVcBOjN5UNpEgFgUDqKWNl+
TqVx07R6jc5yE5hgkYmgbd8kFzaNkrsKRu9CEdrC7juAP3PVFz2rhsIebuehsQfWZSkwA+logiNK
kkbhmTDnpTVFdAelP/X1iUv3ud96QWSEX1E0fgq7nP3X2RkOVA1eile51eDBpV/c/9IuNp7YYNro
kb4AOp0WOQqaCFbyIKnekuAqRPQAktH3doy7hFJ43B90zb28UW1Ai1SAEL1coxrnAUx4g0eYtcFj
aAi1ZENDgqaxdgassVb3uK5UiXduFvrf2mlq7+O10JcQletdL5fO2ZRW7cQHp7CHs6LuQNbgSMGn
1AtU63btxp0t0/AemagC4bvQmONEQamvYnK588bPkRJrqiRBAlV62yWwEKtuV31foc5AXROaEeVl
g3BjTcJCs2V7qyAlU2BNx+ZnFwzqOfZX4LVuNF4hJwU7jvI6UJ2x4mTarjUH12wL6m7K0uJLiC+j
PIDrDX8AowGAiRXoRSftITuQ10ZgeEdBRbfsENTuxu4qKScsNzEwy79lnoVeeKfEpQ5zqlGtTs8d
3Bz6k1jO4VeEj9B/aMX6DRxSd+b5yLajyOyv3yhUVXsQ5Ss1lYlpjNMARmQ1t99KOl9q107Udamh
RycmGKVesfQS1tDQWPueGNCwTJsD2D6UBXNonm1np3djJa3TturFaTlAodLBqH+meMHtc6uwbmlS
Nl+KasLWXbeowbQFhOxe4gRdDY+RgrgcF6uFt2mTb8dpcA6N6Pig2LpCQ87m+PdSTFmrARzpLoxq
r6MA3oP2gIMHdiTrzMyL+YJINz7SRUWevi0QlfFTZH6gkCbpjup5fhpTZINlBJBgxUB27zbd+FkA
ZBDbqZWH0cgztbn9o45k9wXLUxd8vLMcpJV6u7HmOfDibG65lRBLXDneL0K/n6Fh2sxolLnlRRcl
7Y2tRgG9TrGorZCI7FGnIAYst2RLSAxbln0nlFueo/VHgA3ggsY3p616ygabAwmPZrSoUaFEA1xN
CV1GeB37eFwCsJzYCaBqh0PAtGlQil+3boC9Qer4y0299NY20lQ1lEy4j+MxSEENuD7YkqE2n+Ys
Qp4g/MIRxGlsGGAg3ayFPEpKJJ534bQ695Pw2fpjHvRHf4EnfwycCrqnYNluuwha7qaq2/orhswZ
8VwOyNzxOrcDWZtLGF6YH8fiWYvJBxMawRmsAUns29KffzbxjAcQai7BPwhyY2udJ/KIDzis9HbJ
ihEr6zL/Lif1WIrA2wd+kaE+ThNNfqlX2Jyf4OsDW4vdPL6akGtA77eo9vk898eS8t8BaTawxAly
jxs4/PPnKRiauzATz269fllc37mu8EQ6cq7Cx3MTMP0+rbunTOXZ01oU86dsjJg5djxK3BNmNhs/
Q7UBOaUCmkpfy+gMgic6PstciwbGGuc4Ogwym48qWWyoEJ2+7KXy7kK4s9ZmaKrR2YTMAlLJ1BMe
ADfgMQyGtr5cKLReg4Gor3t6fndNEeOz3jnyhz9Z9b4DgPwdKc3pHNb6arzI3SLcyNiDWoy/6mYe
15nGcl9zXCRpANU39s/0PH1PhTV/mlVW3Tojrj/Q/INv1RxW2XagCcJdSftn01PFv0qQtrocFrQl
rGRGtDOfMvnoFrNAPMgDv0/p+9wJbVgwPh4Dw4nDkUdruoXXsziui9o4QsbLIa9b7z6sBD3R1ls/
iSJHnl6P661Ct3yTTNn8daxVP+5tKf3ibCmWJdiCcLbQJEgRyr4KF9gAJ0k+yiNZrnVRRmv3GZSf
iy8SbrkoeVmRXQGnjOermRv+2Zl6eTkKMZ2ADNHnlNGaeieSPJWbziG9yDncTlDRc4qtILKwttkU
TbeZO82g9csUwXGYTsPXalFIuuHRdIHHEccofS+0aHqBIdAOYsuYApLu3EsV6TXY6KSHCx7Xkc+B
6Mw/Oxe9vkOCQuohE5l/6vu9u/fqEFzEGBV3snH6z8iqyocYkMd+WkCiruVCoyUKfciUdE4Rmyij
nSfmqKADueZPdqO4h5SNkCZSCkW98xmqm2klT2nrNRrobabFtWuD/7KH2boMCuVlm8LrvUNseQO9
GdEGh15G8Mo6t0jkycjafU7rfPlHxJ76MQcQzeZQIdBtY2AHCR9VIwwmuzqC3B173TPKBT0wtRwi
/zFS4jnIl+xGlg3qkWsh1ZmHKH236TrI1EDbsZzzaRdA6WiHawsO6t61w1TtksxQuVa9LHTJOpRX
A2ruMQK4sIotP5q+IBHaAZ3K1vIa+Edko77V1tdtUtfoW4FQuM0tj1mjqO74YFQxfRgflrxf0l9e
fv8D/v4L+BvMMLn8f18K/b/1o6ze4Dxf/8a/wN9ugg+lG4cJBBebZhGZ2yvME5fc/yBRBMJJOooK
aQiU8xe1EyVtj0saOLiPzSglVFKnX1XQgB8FFBExVvSowaDm8++gPI115u9lCR7HAeJG3dyh8k7l
9V3eGEeTbprR9n/m9irK59pgWOwdtE6rRw5YYYf3UNag+g5Se/ieS4n+/o8lrUV74WCkiyG9sHxw
ZxV8QVQQ2iS1YSHHNXSOz4PdWAj/AugJVwzC8VCeUEL2pt64YtYIUiOgVo7SvcaLUbCtMghcM/5G
I+2muhwzeBM+CQ0c+RVhjvgExmfRB5sFNFkybGtwbXF6aKdSigKDlBx/mr9l1e+KNiSmiUdxOOYf
IOLYZ76tlnQScT8l1+CnkPOUAKxGvxo2++B7XnWZZMChEBh1irZ57kOEzO79iJr3ANhhHHif1pmz
5fNva+vmtWD0v9qxuemKVknE1/94JPQR4FoiKBlQzsA99+0jGXRX08khe6L1FFSXaE9nL3rWRIcn
uRUWSNk1UYGokaH4xyOSBougGVva2HsiIy416kHRyKV9BjpTInS9ptmKSnG9MBV7RWa7PuRDmFrL
PlyrPrxaMTPh1xqMU8A+2BlndvKX4ti7ch9lC7MG4RUDZEJU/kVw6rdyX5pXBADEST/t2dLhpwDI
UnfXYGG83nw8euyo31c7X4QEr++TRjgxgxebwf3ti3Td9MlKIPmEbBzKGHtRp5WP5YbNDl+8qPSv
MakLOMHpt9aW2goni6a7CnGi8vnjJ3lX+jJPYqS6YG1TtjHtvrdP4oDyQf+2DJ8mScfvKhC6RE+b
lMGLMDsFb4SO6sffaBbGbwVIvpHDxHcgPnMaIaLwrqaKCFdd0aJ3nxYnk4X/04WLkOenSAmyFgAw
mdeudWiYHB9/8R+zS+WHuhskdscmxXhfN0au2oq4Nr0f9Yjyn971WkAjR5cBg6y/Sbs6f44rfXm6
QyH1XE7U9yXFsuucap7c5kmiBAa9tqBw8Ll2FQfHVkFHz8T1kqyp3Vx0xdCG9j6Y8mp9KGWEatOm
qTmlgLIAr0lu0ZikPbXNJ0NtxAlmiPVxnH2/+VsZ9M8BYuGH5n8oX3JTvKvJegNGUElZyR+LnYwo
XJZRHaPe71oFS+LjufhjEWDGi/Apck5GMeCPrpeDzgrFCrv90Wo18MKoWVXl8+RohCG7rglRxkyb
qUNH8uPvfeluvVl9L2qMdHShX1MVfX9spZZjL2IIrO9rYDlk0jAfCqKqKBb5gM6NV7uyPrJNquhR
5zUg4l0/DAOSno21uNN90awzMpOU7lb1HVmAMkHPK3T1edBoX8a7j5+W5flus/CAEew7ViuypIgs
vDsoAiS4hmYcuu95jG8EcN8YlO0N6jwD87Oi7KUnLFooOl1ZXlqwqGXr+1wGaIlrDsuk8jP9g7ls
yudQ2kw915+PiiqCNX5XPr8ewH4qOF2CZczCLxIz0JQyUwNoWG0mkm5mpwURyDXc0jpgRnLYRBzR
FugzvtDVSx3fIhOrlq+rNiHEpl/WlLFwSyQGeqS1KOqWB9fvjSBvj+Eq1aTQL5uf4Qx1ysHxOJXr
DbswCb5gUMMuGFaKkWSookwA+zjQdL/QGhFlux9B4q0Pq/Ki6X4a+nC6kyX/Zd5A3WQjGyebjjlz
czSp+g0xMDngtvQE2nlEy3wGbDB8e/PsoOEit8EGeQCX3wzhcPErRRihxw+VdcnVrZojo8Wk+6Xk
CJaAvzC5KLOEr7aKOeHXUQg03wYnSiBdnaCc8LWPi2A6ppTjisvabxG7mh1c1c7z3tLjGV5IC2tp
icEW6B2sX0efx5PMuSztVJk7s48ppgxHEfcKmerOb0VVHX+9QIDsDa+KZXJi/Hvt1GJAA7tl+ckl
Mwdm3USYEO57CmX8Cx8O3ZQYalfUG399Ri96iseo6YEU2rLkOgR1PUwdGYMRfSK+ehHUlM/w1eWd
stdRRQ2AQjC8EIGW0nGeVV6dgcMYQTw5eWK+Ed8wojYt0pBhEToip95x3prl0iWolz57VdeyaBBS
KJu7VgVdhG2JB4yeogaMevbU1CbUP3aZO9TMmbfYfCCVNCfFdQFh0piU10f8+0ffLBNj2C3UKUFc
cQY76acY3yLGBAEL3MROAf9NsDBwhjWxW+ksHj/TcHLMS5SJCJfL3kunNtt3aCjyxJE7cQrsh9Wb
eJmO1hRPMnioczeYtpCtTWeJBLVa7jrd+WyFsfTQimbmVcQVAlBU8UjIypsvmsfSPAuIRyNaC8GK
Lajpq7FSvDUM/eMUxh6PhwwZ7ZHtkuIYV1xJupHBF6Bq/GGbeDrisUpM+njHHhuY8hk1hpHhXKFp
8Ek1IaB/LNVCPn/IMNBjiZrQeroXccv/k/nWbOCoVJwNhI4rUYaPM8t0pwe9msMjh5jwWPbeYLa0
n5gPxQ0LKjcOtMSN1KuE4033UVFhN7knJxRSH6fFJrW8nKgA84H9ADGq3q7EYmZVe0WBA4ioktUJ
juj7Q7nYlfZ9kgcFvp4OrSNzMuU1vOEDNYpDUIG58g6q0plvI14IZ2WXTbZYbwKtF5Z/LPFm8Pf4
3lF+5L6m230VBuAHMfm1VY1AAKpgXnHdod5GIYFY3cwwJUTENw64OkiIi4WkK04BdehhBG2XWkpr
Pq9SiVkA+iOSuQFKXnTwt6RDswrBuFJnGPbgEe+3+H12CXww5HH9ud5zEHPc7Enh0Q3bZmLskgTs
VYi+1CZ1Q5UfU68cAzwXIXn6VfhjRS0A0QEOW23Mmkv6fOBrh3zJ8+yiQnLMiWBsJtIsnqI0R0qk
Zo12aaVTsy7xg5asodQrcHA/79Zu5We9O42Dc4WTN0cl6nCM0q6pmI92s9iWM/ZXlJFdjtyy7Udm
qXWAseR7hMZnPivpbXMKUjQ1gsN2IVI1oUMlZn6TFKbnZ+i0m3OpsqdmuU0AoLKQcgqxHE/CX0LG
D6FJToeJUWQvOK6SLKipHzyM4Jj9XgfnsabOf4xrufLgiJGMfLXvUOwUB45LrqNJY0jj7RpKO+y8
2K/NJavU2LMcFwp2kH+ieNCcDzrOLf96sTUCcRuOqMA/il61vFLc0UxFUc410YptzZX+0cQ92cjq
jyYP4dQ3gzN3vYf5QjVwqib7LC9ngKBjua4DjfbYy3Z9OrfpHknxtP+U9gsvX3Rc/no/abpPAirL
jK32oWvyiI1dQn5l8cSAlBnBX8u6KWbzM+13Hgt3LRYTOMP9M8e9tKAOPaD6ZTPGXjQY7ChRb2az
P62sYOf6lPIjJNlyB/C8W3DsUiGsaOHQQ3N0+M1qZ2gRdrPU95hEJyjaDAMNorMQx3Vsc7tpFD+g
APfW+ZA1ln+Z8qTetmtF0X8rOHPXQ4Wfe/3kQ2UbIO+FzfA4r9h6XuP2ii4FXBk6g8ILZjyg4rJN
kObufQ9+3wGOIBbcQw9B2lAl7Ma58GquVeiDanK2PXOE5B52Hv2KmSZsD3/ZZks1mch6HWZdU2/S
tZtsgFJo9RXE3eh/CmulfYzle1RWrE2Cg2DabUTC+6es0zRTpyrnJquhA9bzuu6Sol7t4ZC6OIOf
L2wOvAIVdou27SDmmkQZlCACtPU+K6FKcvGBDTyTSJLFG89XrrPVDicc9naZksmOdmBU4ucXufjB
B3V2hD6pdojPol2dJq1tnzizk7sHyB3YGm4U3a1im6deYN0IjGb9z6PE8rE7sSGCC3TeO3vBu0Et
nrq06ANZd77lSwTXWlb1BpJWOKCVAQzI6EqGEVbp8RJkK4W2KRLhDhp2XZ2khSoh0HR+3FCAhe/k
5ttoWGUff3eaMm6fcgju07KrQqX7n3iWeyNkzghNJloRMlD2iUrbPkDhobIDzH9S7CjDK2RQrKo6
QaqdsDb/mYObRmt828VoJHU7sNx6DekkKw/BmsHlZcqbX9G3rYH5O3eIynT0DuauMBeqQCBSBJ9n
HQjh70Q6D+lEPAURvDrqKQqIxlJ7ZsMM6L+y/lsLAmlxMniLcf0IUJY1m7vHl5i7lguc7YC5sjnh
GqSmOUoKCzGTFD+zes5gb3lSzPH52mcWISn6WRNXD6YqJbcM3cfMXU9orvKZtIA6E/2FsjKZAwK8
K0+r/anBl2DsmyL8AncMGCHqTlaEfklmKWoNYuwDjslASiL7GHtj4Z6gaE0UPNvEbvgh6FlwlpVx
YS4NVMZSnBO8RtLSwQE5XL1j4rs1IVHrkmdbp1gP2rwocQkkP2gRzWAOxKZ2uaNnZJ4ITRB/UgyQ
aCNzc9KAXXjSIcsjvntEnKVbP01+AGJg26WI/LbkgB1MzY2EzMTzy6Q052TlRzW/4pZOwhNhiiod
7N4GrAXQ+IPBSXdbjUP4nSZL2x1Ct4zaC2icE9eiEsLEUq2ITMgCw8GMkeraUDnPoyU1KvMwLacR
2AbtYNsBXAYjekX9GiuK5pIzXJsQ6aXcEyIswC316wYDYcY4Vp1tKhYhVsA8veOlFgNJtb1MOhRp
G5KOegStj18d9wpPMEorZ/n8ayTWni20GQX8X+pDbc4ndo2CL7qrHGwUYHhbeNzhkwGwiJylWdLg
Sz041J5ep5EL03EeSP9GdR/36cIbe7RPmKORxpYzIJlZTbiMrqDlUhzEK3rI1REp4qyZT0FMhriQ
gZ7krZxVmOLTMMDJzU+F3ZqgwkZFkRB8xk6FSzEOexZLQ73OweV5pvOKxjO2zATObmqi+akTwxAc
bZHJKb5ZVe52xUVI9Zzn0SsMG7n3vMHmVaeKIPO+RuKNLdJjbkDBq4WDADt18k2g5qDw/KXoHbPA
vHQsevekdyP6cHCLX27XfMLa29qO3UygusW1gSgw9AYTb6rQrMcUsi6Rtc0I4IazRtg5bPnv5reJ
SgZs4+o44rp0cp7LRZ83MqFhFY6ZCebRneRhXrdHpQLmpR7njkkF3OOp5sJbvCn7NsVzVoC6dCKa
JtsG31uWaaGJCcqDP/hm7dYtFt+XDRRA5GSyWsYOJBP4Th5B7dxp5na0pobvateBV7ANB5m6CIqA
GJ1BvZzuaFUUw+M0AGxpNkB0hOJw0bPvXfizoyq8rgOXddbgb8LI0pUkY6OLaiZE+gnhJYkn86x0
sKKYAxVIn4MQ0gu9Kdfrq8cpdxYGJX2NfGRmT8QasosH3rZYElhQ+18Zcby2CYHBkmUIesDJ7D3+
hAMvhWNtWdbyAzFd/Phs/PfsrZcDyIp3Uz5kGJCC8PPG+3CtPbjP1oxs9o2F/KyJ2cPYRGHD4pgk
P4JZzH/M6KFO96lMM2ZNNRR0aWjG1greYZiClhglCTA4YtTNibs6PTnvaU8nDUIE+QPLKQz4ekp7
KNHysYIzOTyKKMB9cN9GC0v/CIwHyytdxcRRr1uvnWoTWtVWAz9+o3twp/jRThP0cOh+sylV0WTX
ZklGdjy31zacibZnQFaTcQeJpRjI2YnMFidbzsRlCOiP4FXPZXaS5u0y3oZLtMpTOuVOfYylS07B
xWb5xAf02HEjP4C16PiYxFcDZ1XZtyYSdXFM5JyZX7PGpcposp/2oCw4pAj4xxBvupnTeZ9kk8kC
XxOLOl3NQ3frMutsyy7D5Waj4pWM15/ikoVOkmSz+ue8bZnSwsGenj5mi4BCg0/emCq1R1nKry4j
QXGEX1w1KwrcljmwFNOIi+BSSSSD4cMjOktnIPfa6tHrFpOhI71uTg4EIU2g2ziVWZUfV43+i5oR
3AnA1jR0osB5X+dEOxDAFUr435dUmTxzAgOUBzsL6bw62chx4H3/8pXvK4eUqTDOCWClgPzBYMp9
W0XWom1jW4XqexDOpnvzujRqpBu5uj5+uz+/CikiYlyc5FyK5+9NVdw8E+tEdeI7nWxzPnWh7yHE
u3BYc3Z9/F0v1cDfq4UOZeoIw3BQxh7Y5vd9F2k7sp7ryvu+eM1IIjPmDVoqKD34OdswB63PXbiG
HYfGiCI0zi7I//Y424EUIe+mCmE6Gwkprzl7Xk/mX72PdshMitCig8udEIX9zJ8+fvw/hgo1C+DL
aPxg1wY70Pz8ty7DMqSNyuYoeMSWeuE5uKBMWsjlSgr18Vf9seY8atBovIZ0giBNvC8dE0YVbksA
9QjN08OTJtVxOT84KygSlyQ9Q0LsLy/3voXiMDGo0YL1p2rq/gEgHqCXxhm9gkekQcwZpRY22w2O
8uaCcCFTaDwhiPcJJjR//llDThyujddq8Bcs8/thpmsaIJtluqpsN7zc3g7zDEl+mpPM+0ZNgtRR
5zlVqhhpVE7Af2+UXYgivK0HtyGig/S+eF0RGMYeItDfYNdHUEhFbVLzoiRTO065wZn+pfGI6teb
Xo0b0AaLDf8roMNH+ejtq0H6XTlM9PBtaOkT5fsB6hfHHIeiZl7Toa8XZ5MXmQalElVBzs348Ru/
UDZ+34GEWgBZbTCLEeSdwHPfPgFZYl47Imq/9bmts3ZPL2ut9lQ98qQ8eQ1bpiE3oTGkOXN+/yqK
WxA/SC+wuIfRfDq/Dk6DgQFjROlfs4s7WD5kC2sNAMkjjpi7WO5iT1kxxsdOpTitozkwl+WERwIE
7jy12fgo8NJDL3cqGikeOfOwzOgRVpTo9jHBvKtgGk59vO66yjKxlZxAaWnEZdyILEYC62TOQlEQ
20QSmih3sRgEjxW9FugloT2nJuB3EzSVsXqJ+FzHBMtpiVApVRvAS4x/nJUDlUl3WoA9nedtRVn2
4+F/v60591xU2QJgTsDv/ljaI5kFouCr/trlvUfMmgkE9LtdgociR++vkvXHX2l2y5sJ56hNwGSy
7sACQEF8O+H0nDQkzHj+mmShqTGORRJWlzC73Mq6sqXNExhk4EgStQAcYiJAYZun+fgx3r85QHCw
86haoyTEnntpf/92draQVGfmMv9adZQ/z4pmUM1nt5rd4cKV6i8UqfcnCD48QeRRKQohm8E2ebfI
Q/TSilxI+W1CwmR9QDbSLAvwviay+vi93Hdbmk+PgStBk4rovHme/a6jlM2LXdft5H5upbLjXUr5
UmUHSDUFmW5RztwOGxreDf+KKNiwLpfASx5I1gIkJwVlXUowpDymfy9mCNTUEVbfBOoF3tRfkGxm
VwAmz01Za7FMGSBGBItNiAC+KRNXDd2R+wkKCi9nVQF3UZaB5OZYmTDbIKty0PzpTy2Lc7Q+gFLN
/L94Cr4bb8YATqdns099BGr+aM4GwPSTJhyXz2NTmps57WhVVLhudmTOH4+3kUj7fT2bOeXwQnQc
Kit1/ffree4ENVXHT+9jv3v5rhHVoKsKYTxzNXHUcwS99t5rQDqMQru0pkr660/DNJoKgTXbDG7g
R6aeSS4oOOncRqZUFKyqHK31QrJVcbUtRFPNJ9obSZj28NNJjwt8oUhLfjX+6BaZJpJVly57Z43t
lZ9NXWMmfA1KvgWZFsLh6LU0AW7O1HhxHTczWTpELTMOAxz83U4NOEORGb220NiRrN2Sngf3XppS
5QAH7zQzJZCPh/Tt1owiLlmuW5TvoGfCzHwPnuhI9qM+yNonGmHLTeKCyN+H9YtH9WCHnz/+svjt
WuHbUJ9zbSNwF3Dxoj/39jzqGa4ptkX6o5686Es5gHo/uPRij2EVC5+GAm59AP2Tcx0XdboTPprp
DYJXD1NWAPdt47GlQ5t5OGVqo9edq/5zSrIsQf7KKd/idusei6S8bXidHwbGC11xsHIcZ6MsvEZI
oTvP7UJecv3lK6WBfKp2FnI0/6w0rSfUhmAro+Sd2P6OEmX1YK2WIhNBVHveymS48bkCqwPe894l
+vnTTgnd72nA1w8Y8PjYLru0JEqhqB121Uy/UDn1N5ASAfIyGZj/ce3x1/LEEN27BAOPIu+cYJMO
YU69JJPyxC1bNOsib3woPA9LotjGOmuHLoD4Wo0QPGpLDJ9CH1sCCmEjFh9jeaAnoY37I53s7TIn
wG5Hv5nOAG/u1ZwAAY/zsvxnhHFIiT5F6Rrdp+5+LUfqbz6CApQWLR8rd/vWV9r+7molv4HvRsdz
DJC9WsIGM19Z7H3jFvyXFfFmQ78uvwignLnmieHeRyTp6hPaYRD9BAW1ASO02PdOS30VRROcZH1v
JP/LuuaWFmFU/SUe+2Mxvix8sDq0bDjE3+cjYyATzMeG5glPIBJXqFzQMRrPAfj28Uu+fNJ/XsMv
bwkrD+ABvquGGfdu2S9uU7kTuJwnZ+5Yxp7LdbHpSHjQocnr6K51m9TQuSwUyusgERAJRVGfICUa
QjJVwL4A64XXQzgkZ63VR5+5b+ENUFdUaLoSvLiqxffdVY5/CwOyfW5GL75oKc/eTq52/0mM59LG
6RwbSZwqu/agNOUbK2pCqjcVvTgHHtDRHhL9VHaZopUwDgcnC+xHG4jwdmX+/hILvWNOMiQmDCAM
YlygTrrvQwIHu9XFj/X65I9m8PPCy0+8rqyPy7o8tk5Sf/WsZNmNbkbTo4c4evTR8ml3H89MYEb+
zcxEBqxp8CCwIrjG3wVITpU2tA/y6CkbaRxQTkMFcokDrP6Qfl7VbvLR3Ikaha0YilsN3Z6uwatn
SS4nEWJZW0eZdb06mX/0Vk3hbEiTb01BPX07VNZlodvoQnv6pPUa754aaH3dWUzaJqQxhn2oWmi7
lJ1Mt5FIjCAKyfdh9otnHZbFlRchEQ8DBfvArBPXTaBqIxktx++6zsfPEGyrW6uNuSDCxZkPnqvm
ceOBd7+f6ySHydbbvEC+oL82qYwWQFT2JY0Q7sRPGC7FF9iI+f84VLXRG6qqYPnLsn8LS2KKGVuf
6gJ8dbLZ6D0Vd6QkzLxH6VNf+MGV1Xvlgyg8jfBt39pXzmzUkT6eTuct8PXlK4kNSHEcF114oHFv
7xf83Ouh4er8CYfHP6Nsho9YOmrrnEJleaARoTh8g2x4EtCeH4psURdFkdi31pR4h4+f5YXo+HZp
EWpyobroe4PEfQ8GHOYmkHGGhUy20GAgb+/Sbx0SnRMukjrY9LZbUeFoOmQ3VUCtcFfmIR7qwGF3
1EmSZEvDEyGYoQujL4WqJ1P6pYTeWjK/rMJCHnsPndJwzOGgIDnsbyDeuPNGwvN6EUPG82xAO2Ub
N2sgTiyG5VBWyrrEE8aoJc8RioDGqVNDh8IQOcBSLUPaCwFKp6guGtq8RJQejHvk92vjmjZj0jbR
9HwIJlJTYhH5SblLe5o3tTdsBhwabFYi7aItFjDyxkuKlpYr4L2FjiZ9JRXWdbaVYB8uZ5GgnN4V
6IBuGb/OOTU0r+HEDjP3HzV0xZcRqbBnv4BWDVehTP9W+Prz/EGJ99UtHLY4Bj3vjmTPpRNaLXP1
Mw6pD2zgf5TfQXlouoZMGTlV9LTKMT0NW+u7xj+9BT06ieb/Y8EiEUHY7IFcRXfo3YIFKSWxMYjq
n2kT6nH3MiHhOub1RVGH2OStU3LfI4dygN2G91iSLl9zFAUF6wSe0scr9l2B7mX3xEaNCOAivN0/
ELsrbhkT3jPlzyyyw0996Mg7t7asXURh95x7cbwa616dCUQJTuvFcy5VG3GRYSm+3BRRHgNIbufp
orBG7xnkfB9s8NirPv3lKd/mAOYpQ2CnAVsczDRJ5bshm5pUN0nvjz+pevfZZyKLQG6pJOrNKO3p
yg2nip6SXEMMuYege84R04WqhmnDfIJGp3wIkjq7sLEH/+yiJ0eHhFvggCZ5zXBnZbT1e9q9rxP9
PzyLey1+/p///fjUFO0OAsxQ/FC/q8fQSDJJ2n9PtDg+zo9F8V/8lX8xLQIfxRmDcyZHIVcJ3X8x
LSyoV0Zsm11Dso+mhKFB/KJauO5/EFtwFQD39JHtjyl4/qJaOPF/QABAfwKcNsINlFj/HapF8HY1
EjigPoDthiG6U6+H2PH2xqHkUa8l3fNPUgoxbsTaSA1Eiec0LFdsY/1suM2LeviBNaN7n+eVdecm
CMC1PszXbV3EKEHLBQ1Um/xzh03RViWW2AfLhB6YbfM5oYWa6gar5OKmHMD94/eIAleHyeFhJLza
C4CzF65F+obw8gz7otInnauru7X01iNcJEwIHWv8aewAwHr5s39tGSvhpa1RWsulmjHlEvoRkJwu
dgiA4j+cw+pAILka1kNU2/0Z6o7i++jm5SNFcH2DZxU62vQ7v+phHbaJIIvcenpVP6chczYuXkin
GeX02ywPbx1lFQW+AdL9POLYUf0lhnvJEf7zon2ZAjSKImbVtpOYvtrbKWgomJRWKsNP6+Alp2A5
gr1wFwiewPDYyJ7bq2hTuE3y/7g7t+42kaUN/5X8AbQ4CrjZF5LlU2wn8SRxcqUl24pAQpyREL/+
expQIojjyUxnfZu1mbnIjJ0S3aquqq566633uB79JqQNhrmhYyey4GCGwrHycGxclKMrtyp2t9Xc
8u70woye8YPKAziQ7N4Tnhd2sPVtYeUatzIvDz4HARM3V14anxeZEb1znPRTHhjWJbx1N8yG1T/q
nn5hey5MiOPk8eSQvG9Wd9ox4vYyT/AkiRw51RuoBUyTYlF30THpEWYkxURy0Xb+VRPf/gqY/BcK
CvSzkp0Hk2WkV2Q485kJG7E+2QLTOM+MdXULblZ9jDca28AItvLdigocg5wM66/5gT8lmNQlABnt
7UrR9++8YgxKiQEz7y1n/pnbuX7h+n7wmZLlbjreBDDHhvuQNpVUoTPQGJ8dojSfVeoWnTagyHyr
VsZzOC5u9lDTXdIHZF0enBS/Yc5pFSqhAyytvT5T6V+E+u9rELuUD81o/8QYC0iNIRF+isGVQudA
W2+aw/sw9+B6jHfFOSDf8p5DubmzdwqHKdv4lxuDPkJ/nRJjp2M6uNcV+DmTcdNMrSiLM9+nrhTZ
a/dCrVIuTj49+XYYlvdUWsfc9EN/fbv1jOQGeIT+cMjDeOkEyZa+n30K/QSkvglXFFujEJlll24Z
+29JQau3c+9QvndCbXdrbeh/BW5TwGeReNX6EsqgtTutzJV+D/i/fJfBrHdjAEw7J5lUXYJq5Gwq
m+rDdrfPHkwvSx5dbmk3JhX+qboqy79JkPZslmD9J38m8pWaUV+8ja7uMNd0PqcjVLn3GEz0IXdJ
qijU5j4TCQLUtQuaZF2hO2lUPe11hw75PIsPU3N/8J7X9EvfxQxKu4bXN3mwEzM+g9NOvUic+AsT
iDZn0H5uP20TpGx2KVMEmHgUXgR89zeRGFmr5qtqllmrcnbYRvp9qaYbc0IuxWVOgHK4Nb058DDg
fecgd3RhUKPNdWrFuTazckWf+WqRILPclXfpJqo+1GobrxNK9/74cJsmlnajxdH8G0TT6hdH2Wbc
frXsIVSq5M7P/BQ6zNgjrjYgsX4M1c1FEkF8OQVKXlCNKIrxhXmoNvZs43jOO0cFez17/ej2mr3E
9sPO7RBmjQW5FgXe7vbvEy1TVlU6v9fTeAwdogZY8ZAmyl/rymUFGiPRpuMkUz6uDz6RugXBMkSa
aeiVFw65qwMovJKd0YNkfu1sdvFisxszgNpN9kxqiBl0+DU1DyyGy5B2lfiF8jc3m5cWYAr3SuSM
X6aO1l1ACLVSqnkrG8KVKp8R8Zd3SbxanSeAwlOYKrAzcxKe74kyMTGhZykzGCbihTpXrbfafjz/
xtkzMMyHaGGUtnYzBrh1DSaPhuIkcOYfAzshCeOFK2ZRv775vR6QevPpv7Sp4BI+QjDae/f9lhEU
lbm37qPCshicBRnBN7SZ4ZBAJQKKrH51y0jF8l1g78KLfCuIOvQwhLQ39nfX0dbxp3tXT68Ca59e
RXaifARP5V64ezMHesZIg3eVk1GC1ln/fgsYc5Jn++wbOBVmGru++ZjN98WVWlUObBMJ1D2Fud+E
F/aO9mYoOKtJqaeYoaKYP+j0+10qjuJcU+fSgYja4/MgM1bnMQ3NXxm3AUf/fje/8g9eOqtCO2TO
sK6XS/KI2Ct9azI3LIt1bVYZMZ010QbwY3qZAaBIJgbt6leBuZt/DW2OOjFB+b4+enNXWT2ncEHv
ZmBLeD3mCl9XZarf08zDDWW7NnZwoCd0a0Oofb5WvflXNG+3NIOtsCBia9b2/LrwQ0ajqRXbB+eG
fh/7qTo5kAgDg6RXcNAy0/qLvV0/McgjukpWXglBLIOn01TfTRUz0G/oOsnOLDso77hS4kteVwSC
RLT0R9iAJtA0R8wABatVh4O9sAFbDS6K0sE9NdHcnh5UDtikts00oSYXcC6QK/HmLMCraHEhFIsX
Yz2vPlQaNmm22mbMiEtsZg+vg+vED7I9TDWqv5nulLW/naxW4XmebMRxhXzz8UDy4ZPo/XrU9+Zu
Wfi2qZzR0rhlqqPnMMOcrExwu6OZY8Y9+oAemJBLTQIjmAfngTaP1AlzMYpLZ6WUZ4cqtq9Kc/uJ
QULQ6thedgimCiw9bjJWPpBlPezPskItnoFvYyLhEieNkESXpVYx+0L06NuBL0JO8b0y9Th/yMrN
paXAdHJWwg81c43DgxbH4ZkB/f+E9/HAhq05EO7KRFnXOvOUAbHYT+Rgtmcp+OTrSFurl5ULoBHG
nyq5qBLAw7c6LevulPns3mf8gP85U9aQFlfUuhyu/9v1Q+aYLpgoelJXlx5xSzndGliDSQa+61mB
G/Be2e1FgJOW0bUKAe2FQlPRWVpRpaXXpshnOSPiVJa7weQFtBiotCGl/Hme018zOXh6NRd0YKbJ
nCct/LgCtXw1V028TqWtjUePVq/DdKWN481bJc9F+OMePqxyMPOzapWoj1vIliDYZ47b2QHLrk6V
sNJuVtZ+c31AERxSKdBoAQjyoqmlGcYXjYkTEAWqMEAA/gZdrdnr8j4ltrxkHCA03BkdJN90Sh7g
tCplFhTbDXU9BpKvJmpa7WfmbufSrjGmqQjieXuyTxW00AekEU3KVcr0CQhEJlY8V88Y7RJ8s+39
PXwogsCWsHU+2YNPp5N6s72z7a33Xt/a+ynOwGVnYHb+UB+k/5mbbbuQs0W+mNUsqR+KZXq4X2bk
WbPj/GTx07o5+2P0737pdUFvlr/Dz4od4prauSrX71S/8GsiAjBHefHMPdywR7pljqmzcxcSD0Yt
iEKqA/WPFSBYI6h5RMILhkTxnH7Zr+3C6wtstvP133ltBc3+XD3TGs8r9hMG/3QXTFIGIr0HKWCz
SC5Hp7vgWCPuTmI4VPvz5gNPNOVXuvD6Cv/xLjxFRZgLZVz5UYd0VxfQnd/RhJ6EE01wR5YA+oh8
Xv0Q6Jzugcv0QhB/ZOZp0RdP84H//3vwy9QRrIeifvw7u9CT8WMX0ARW6NKrLghzxdPdBcdFE8gS
MY3t+y7xgQPaBYgh0F65TdBGlijzA51oFtkzCjCW2PUQep3k1bBWrxGpo7hyyzdH5NZV6k8vWwON
aZ1jFIBSzfDWr6qyyzf4dumDJT/ZuoSeIXDGI3JJxIQk/JtncEoAkaykDhjmqMYYUOpv1sid+9Qa
apo2YpMAaMLXIB6OyMBOAsNk5TcBDmbQ7JBF1E/PLULgDjgBtlWS4/UzuONgjwW0QsoaGKT/gVZb
YiJB/fSMoaZaI4H8wjMOTQVg0xXFLtnlYwtEWAD9hXh6y3dU4kNqLVTQm58PbhfoIZY+CMQ+KtkS
xqM3B6EXFdjWCEovWh00zot4BncQQBMIpJ6cKtgjWjGA/Yn+glNjSHgs2k4oK4yb5Q8uNIQNSHr1
ogzIOdfELIrT1dvMqiCx6YIeHujq6T1x8F9yXz7LF9++1Vf98cimss6QmNZRDu78gyAXFUCp1evO
iJyfBUiot3wHF+jA/wSX1kDNH51HonFEavmEhNgP2OVBT9RP3wkYUBhycYQ6cKi7IOqfkrtgWtAx
iqDv6AV6MeHYHcEQCDII0HL9DM4MAheSDghMdURJWDOJiJpV9p2BO+JjxvDa/fCVKN+Absi8niNr
EAzoPLkdCgxB+3SdApckOrcAiAIoqZ8B6gIQS9kToY9QdhqUwMTWT++q6BrklFSV0nH78/9W3qyX
7/mRPeS86tLRoYMPEJyehED107OOrkM+gdwZ2bVGV5ptH9CJYA6M2fjtZj7d97zuP8gkM5eLPDE+
gEzpS7sAmS3khuQNWq0b0PKZ5OTILt9QR0CJ0PVxmzTqBQquNgI5BrjZaS3G4AwCBXrpOIm0CbSO
9AabTVZEJKNOY2Wa+UYAMLktCtDVsNyCTolD1i2YY0KEumWjDYT6psAc0TZgEJA2nzSgQwD3riq7
fJE6JOVAp/AvvCLFJJCPYuJUYyMG5w/EpCZOrlS0bHIhJHXOHLqXvSLNbITTXCaYATa8Q8B7Sa6f
jBl8BOQEaXGtHwSeGgGRNmSkowgRGzUZnhZwQqUzyC4M7XS907bYrLIXJ0PawWGwcIcCkckzPINI
D7j0WaCURPHYAINfL1KYmI4uuCO8JrETaeb6GVzmDNS3wNLKWQRjBHEEkcGxoNZzi8RGMCyQQzqW
XJojOCTvAP+A9C5wc8TzU1x92S7YlNVwHaC8W+8xPOsI6UdzTKXiZJJlOrMBWh/Y1wVrhIeknftY
eRqcdSQJojcv9e93gfszXUxC59v7cc8u1PU1m3BZHw9u/YJQTlYLDIpGYKnt796Bw3VqF22yKPCt
gPht7ebwdgFEr3RGTR3BbGYRMr+MOSG7Cps2cQLNts0zuHjJ5KDKewf4tKgf0dV3XOWpLpDBHVFi
hW5leCGCSeZfcvniKMC+SRqpiQD6FUaXshNXRhVG2O/bM7CbI3ca2V0greq44PDaMOinOitVJjrH
HJFjanahKewOKESgNV80zUoFSoZBkY1SEqC+Rhl6zpFqM12vJA8A/dXP8MyiwM5I7oJJqowmZkDm
rcL3rg4iXBR9XAJ/Uj+N8g1MFxoF/fchAlA8aP8oNBzPfc9FoiH0bKqkW9oNH9L6oTeSvkBa4Ky4
GFFub77lnhZQYhDziehn/ZFrG5ZdpF9MHoilAa0QvFxHi4APPHWOwFLh4hO59xaNNjy7SF6tuc9J
nQUV1hv+6RlEoJg0hTE5ipxq/Qzu/kwXtrRBBKVOWspxSSu9eBRsZyQ8pwkr6WB3AW5WWbdgEy1D
hwoVY7PKvkGs40QB9GkTb4MLFwlwBSOeVIhAnYnVo/O/ACWSTSJa1ki80bBVP/UH/pZz+I1f+t4B
MqUH/3km2jT8ZfZSi8ivfuHYEvDzz9uGh7qrATx/5xcFbULz2U3xUvz3fzplzbrEfvLDY8m9/pz2
r7cL/PmjO591XNXxf176y3SRPnkQa7PcQ/uad4stDSTMvXxcbBcdPoYag/zjTX5ie/j+/f+N4JcH
av66M+b35KY+jCzdF67xwtIvnG6YUrPIOltRg3BlJU8Xgf8tSkO/89ZN94+07CiI0sVzdPrWDWpW
XjK8N0+5/1TkHeF1f4Ks8LNlAA9IujyV3AA9pSW3pCRvom9vphGtdI/dbW+ghLKfcs6u+8+d77PF
qclKvlhG6ar7yi0ETFbyr5lXJI/k1fPC6yhg28Uh+8JXQeCHkd89kQ0ESlp0+OwvelakgRVJS472
XbWArwSfKSv27c+2qYG+SAtGQPG0ORxfUXivFm0sK/omKiBY6G9zA9aQlX278MOO9aAuLxCC8nKZ
f74In4+Samfe4G/lRWfZ4omh7ss87+h0C9+Rlu8/QRa+6PYVNt2V8qLxBVmUdzS7BVzIy84yn3/j
2O9seoNn+BPSoyLtixZFcmnRUZj3lLuFH8hKvls+pv1x5CCPRDVXXvRu0fVb5GBEsVxe8P7N5WIb
Z57fdettAfZPyL9eptmyY6kAPYm65p8Qfrss/aeOG2sRVX9C+Nco3RxfszYpTSVSWjTMSt6b6SKN
8JTdw9kUuf7MB5wtNv2zT28SaVJZ8e88v7vjTVFKWuwmICLp3mpguxalDmnR6XLVb92uS0iygt8v
wxDWjt2id01gLrEoTsiKv/ei5+Wbq+wn39bku2XF/xUVv1DEtqzwZz7gZ0UU4kkZyor/yO4v4dDu
hBTw+4sssLzssnurbPOqsnI/5Qvv+HbCprR1fVmxn5fpFs/WkdykQKUl+9xseurdphdlRT8s8DvM
I+4eTSrPImsnLXyZ5W8+v/TyTYOmtHw/e4qYn9iJ3Fo2BGnZhwimztVxE2o9abJ4r0t+KdP0vQvk
5/zTkQnjpb/WTa6J33gKlov0P/8HAAD//w==</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83820</xdr:colOff>
      <xdr:row>2</xdr:row>
      <xdr:rowOff>0</xdr:rowOff>
    </xdr:from>
    <xdr:to>
      <xdr:col>10</xdr:col>
      <xdr:colOff>83820</xdr:colOff>
      <xdr:row>13</xdr:row>
      <xdr:rowOff>160020</xdr:rowOff>
    </xdr:to>
    <xdr:graphicFrame macro="">
      <xdr:nvGraphicFramePr>
        <xdr:cNvPr id="3" name="Chart 2">
          <a:extLst>
            <a:ext uri="{FF2B5EF4-FFF2-40B4-BE49-F238E27FC236}">
              <a16:creationId xmlns:a16="http://schemas.microsoft.com/office/drawing/2014/main" id="{C9016554-F8F6-1362-22A1-339D0E9CB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3</xdr:row>
      <xdr:rowOff>144780</xdr:rowOff>
    </xdr:from>
    <xdr:to>
      <xdr:col>14</xdr:col>
      <xdr:colOff>0</xdr:colOff>
      <xdr:row>17</xdr:row>
      <xdr:rowOff>51435</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B391F542-AAB7-9118-AC1E-2EC79EE2A95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185660" y="693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4</xdr:row>
      <xdr:rowOff>129540</xdr:rowOff>
    </xdr:from>
    <xdr:to>
      <xdr:col>10</xdr:col>
      <xdr:colOff>76200</xdr:colOff>
      <xdr:row>18</xdr:row>
      <xdr:rowOff>19050</xdr:rowOff>
    </xdr:to>
    <xdr:graphicFrame macro="">
      <xdr:nvGraphicFramePr>
        <xdr:cNvPr id="2" name="Chart 1">
          <a:extLst>
            <a:ext uri="{FF2B5EF4-FFF2-40B4-BE49-F238E27FC236}">
              <a16:creationId xmlns:a16="http://schemas.microsoft.com/office/drawing/2014/main" id="{1773F0B4-BFD8-B755-2FA3-C55386DD3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274320</xdr:colOff>
      <xdr:row>20</xdr:row>
      <xdr:rowOff>91440</xdr:rowOff>
    </xdr:from>
    <xdr:to>
      <xdr:col>13</xdr:col>
      <xdr:colOff>449580</xdr:colOff>
      <xdr:row>35</xdr:row>
      <xdr:rowOff>53340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4A47BA0-5376-49CB-CF30-3674F1BFD0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00600" y="3749040"/>
              <a:ext cx="4442460" cy="2705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30480</xdr:colOff>
      <xdr:row>5</xdr:row>
      <xdr:rowOff>167640</xdr:rowOff>
    </xdr:from>
    <xdr:to>
      <xdr:col>10</xdr:col>
      <xdr:colOff>449580</xdr:colOff>
      <xdr:row>18</xdr:row>
      <xdr:rowOff>125730</xdr:rowOff>
    </xdr:to>
    <xdr:graphicFrame macro="">
      <xdr:nvGraphicFramePr>
        <xdr:cNvPr id="6" name="Chart 5">
          <a:extLst>
            <a:ext uri="{FF2B5EF4-FFF2-40B4-BE49-F238E27FC236}">
              <a16:creationId xmlns:a16="http://schemas.microsoft.com/office/drawing/2014/main" id="{02B108CD-E6CF-8640-6FEF-29EE37D4F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320040</xdr:colOff>
      <xdr:row>6</xdr:row>
      <xdr:rowOff>99061</xdr:rowOff>
    </xdr:from>
    <xdr:to>
      <xdr:col>15</xdr:col>
      <xdr:colOff>320040</xdr:colOff>
      <xdr:row>12</xdr:row>
      <xdr:rowOff>137161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D9E7222-404B-7DFB-AD78-900B4E4ADF4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24900" y="119634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388620</xdr:colOff>
      <xdr:row>6</xdr:row>
      <xdr:rowOff>41910</xdr:rowOff>
    </xdr:from>
    <xdr:to>
      <xdr:col>14</xdr:col>
      <xdr:colOff>83820</xdr:colOff>
      <xdr:row>21</xdr:row>
      <xdr:rowOff>41910</xdr:rowOff>
    </xdr:to>
    <xdr:graphicFrame macro="">
      <xdr:nvGraphicFramePr>
        <xdr:cNvPr id="2" name="Chart 1">
          <a:extLst>
            <a:ext uri="{FF2B5EF4-FFF2-40B4-BE49-F238E27FC236}">
              <a16:creationId xmlns:a16="http://schemas.microsoft.com/office/drawing/2014/main" id="{496B4334-27CD-C64C-5CAF-2A28A958A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541020</xdr:colOff>
      <xdr:row>0</xdr:row>
      <xdr:rowOff>0</xdr:rowOff>
    </xdr:from>
    <xdr:ext cx="9608820" cy="5394960"/>
    <xdr:grpSp>
      <xdr:nvGrpSpPr>
        <xdr:cNvPr id="2" name="Shape 2">
          <a:extLst>
            <a:ext uri="{FF2B5EF4-FFF2-40B4-BE49-F238E27FC236}">
              <a16:creationId xmlns:a16="http://schemas.microsoft.com/office/drawing/2014/main" id="{D6ACD555-FB14-45A9-B42F-DE60F4F3339A}"/>
            </a:ext>
          </a:extLst>
        </xdr:cNvPr>
        <xdr:cNvGrpSpPr/>
      </xdr:nvGrpSpPr>
      <xdr:grpSpPr>
        <a:xfrm>
          <a:off x="1150620" y="0"/>
          <a:ext cx="9608820" cy="5394960"/>
          <a:chOff x="0" y="60488"/>
          <a:chExt cx="10692000" cy="7439025"/>
        </a:xfrm>
      </xdr:grpSpPr>
      <xdr:grpSp>
        <xdr:nvGrpSpPr>
          <xdr:cNvPr id="3" name="Shape 29">
            <a:extLst>
              <a:ext uri="{FF2B5EF4-FFF2-40B4-BE49-F238E27FC236}">
                <a16:creationId xmlns:a16="http://schemas.microsoft.com/office/drawing/2014/main" id="{CE322044-C9AC-8E6E-1BE2-BDD6DC36C3D1}"/>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BB2B6B0E-E5F3-E330-634F-F93B7951B4E7}"/>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16872ED2-C4CA-6279-1E94-1BE3349A490D}"/>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B5C375E5-F5BC-7B2C-3770-1702F33835F7}"/>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6A518C7C-F1A2-11D7-4224-C35948829D72}"/>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6DD99EA7-3206-D85E-31A3-00031349E2E4}"/>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F01D4F9B-C117-8CF2-FC64-0AD964A73A95}"/>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B5A4FAFC-DD87-984F-F042-A1063A829DB3}"/>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D9A0EA89-5E00-09CA-12DF-94EF56DC146F}"/>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DDB8EC6C-228D-7683-23D5-E2E4A89A32CB}"/>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E4A40F85-2BC9-4831-3329-328DA5A37613}"/>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EE1F62E1-730D-C6B3-F697-4A55BC8AAB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6ED7D598-39ED-DDC1-F16C-8DA55C8B21D1}"/>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BE0E3F8F-F279-79D1-8F68-5A59182A0ABA}"/>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4BD74353-D48D-F6EC-7FB6-AC18C6E49CDD}"/>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88B66B22-2F5E-CB4B-797D-E64E3756697E}"/>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1D00761B-9C12-36EF-3105-FE742E5E4BC3}"/>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BB0C876E-1616-4A5A-C2E3-2048D9DD69E6}"/>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7471F97E-6AF2-8CDB-AC89-ED397BAE2A63}"/>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5BE642E2-1402-72D1-8249-95F8AE619CB7}"/>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FF6434B4-6AA5-C617-BB0D-61CA6CF233FD}"/>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BF924475-60E1-A4FA-FFF0-395C8F694281}"/>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C561B7AB-7E0E-955C-8BA8-C6974AA68045}"/>
                </a:ext>
              </a:extLst>
            </xdr:cNvPr>
            <xdr:cNvSpPr/>
          </xdr:nvSpPr>
          <xdr:spPr>
            <a:xfrm>
              <a:off x="9435103"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F615E21A-BC7F-C089-5CCF-1710250A1841}"/>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C729C8FF-7C45-861B-AD87-2D8E1B3C3083}"/>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A3331CEE-DF0B-0BFB-FECA-DFF1ECB2453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1</xdr:col>
      <xdr:colOff>338687</xdr:colOff>
      <xdr:row>0</xdr:row>
      <xdr:rowOff>76200</xdr:rowOff>
    </xdr:from>
    <xdr:ext cx="5841133" cy="593304"/>
    <xdr:sp macro="" textlink="">
      <xdr:nvSpPr>
        <xdr:cNvPr id="29" name="Rectangle 28">
          <a:extLst>
            <a:ext uri="{FF2B5EF4-FFF2-40B4-BE49-F238E27FC236}">
              <a16:creationId xmlns:a16="http://schemas.microsoft.com/office/drawing/2014/main" id="{1080ACC8-B3B5-D171-8CFD-44FF7430D861}"/>
            </a:ext>
          </a:extLst>
        </xdr:cNvPr>
        <xdr:cNvSpPr/>
      </xdr:nvSpPr>
      <xdr:spPr>
        <a:xfrm>
          <a:off x="948287" y="76200"/>
          <a:ext cx="5841133" cy="593304"/>
        </a:xfrm>
        <a:prstGeom prst="rect">
          <a:avLst/>
        </a:prstGeom>
        <a:noFill/>
      </xdr:spPr>
      <xdr:txBody>
        <a:bodyPr wrap="square" lIns="91440" tIns="45720" rIns="91440" bIns="45720">
          <a:spAutoFit/>
        </a:bodyPr>
        <a:lstStyle/>
        <a:p>
          <a:pPr algn="ctr"/>
          <a:r>
            <a:rPr lang="en-US" sz="3200" b="1" cap="none" spc="0">
              <a:ln w="9525">
                <a:solidFill>
                  <a:schemeClr val="bg1"/>
                </a:solidFill>
                <a:prstDash val="solid"/>
              </a:ln>
              <a:solidFill>
                <a:schemeClr val="tx1"/>
              </a:solidFill>
              <a:effectLst>
                <a:outerShdw blurRad="50800" dist="38100" dir="5400000" algn="t" rotWithShape="0">
                  <a:prstClr val="black">
                    <a:alpha val="40000"/>
                  </a:prstClr>
                </a:outerShdw>
              </a:effectLst>
            </a:rPr>
            <a:t>Sales</a:t>
          </a:r>
          <a:r>
            <a:rPr lang="en-US" sz="3200" b="1" cap="none" spc="0" baseline="0">
              <a:ln w="9525">
                <a:solidFill>
                  <a:schemeClr val="bg1"/>
                </a:solidFill>
                <a:prstDash val="solid"/>
              </a:ln>
              <a:solidFill>
                <a:schemeClr val="tx1"/>
              </a:solidFill>
              <a:effectLst>
                <a:outerShdw blurRad="50800" dist="38100" dir="5400000" algn="t" rotWithShape="0">
                  <a:prstClr val="black">
                    <a:alpha val="40000"/>
                  </a:prstClr>
                </a:outerShdw>
              </a:effectLst>
            </a:rPr>
            <a:t> Performace Dashboard</a:t>
          </a:r>
          <a:endParaRPr lang="en-US" sz="3200" b="1" cap="none" spc="0">
            <a:ln w="9525">
              <a:solidFill>
                <a:schemeClr val="bg1"/>
              </a:solidFill>
              <a:prstDash val="solid"/>
            </a:ln>
            <a:solidFill>
              <a:schemeClr val="tx1"/>
            </a:solidFill>
            <a:effectLst>
              <a:outerShdw blurRad="50800" dist="38100" dir="5400000" algn="t" rotWithShape="0">
                <a:prstClr val="black">
                  <a:alpha val="40000"/>
                </a:prstClr>
              </a:outerShdw>
            </a:effectLst>
          </a:endParaRPr>
        </a:p>
      </xdr:txBody>
    </xdr:sp>
    <xdr:clientData/>
  </xdr:oneCellAnchor>
  <xdr:twoCellAnchor>
    <xdr:from>
      <xdr:col>2</xdr:col>
      <xdr:colOff>396240</xdr:colOff>
      <xdr:row>3</xdr:row>
      <xdr:rowOff>152401</xdr:rowOff>
    </xdr:from>
    <xdr:to>
      <xdr:col>5</xdr:col>
      <xdr:colOff>160020</xdr:colOff>
      <xdr:row>5</xdr:row>
      <xdr:rowOff>68580</xdr:rowOff>
    </xdr:to>
    <xdr:sp macro="" textlink="">
      <xdr:nvSpPr>
        <xdr:cNvPr id="30" name="TextBox 29">
          <a:extLst>
            <a:ext uri="{FF2B5EF4-FFF2-40B4-BE49-F238E27FC236}">
              <a16:creationId xmlns:a16="http://schemas.microsoft.com/office/drawing/2014/main" id="{82579C51-6969-4DEC-B00B-086D8D59CA14}"/>
            </a:ext>
          </a:extLst>
        </xdr:cNvPr>
        <xdr:cNvSpPr txBox="1"/>
      </xdr:nvSpPr>
      <xdr:spPr>
        <a:xfrm>
          <a:off x="1615440" y="701041"/>
          <a:ext cx="1592580" cy="28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Total</a:t>
          </a:r>
          <a:r>
            <a:rPr lang="en-IN" sz="1400" b="1" baseline="0">
              <a:solidFill>
                <a:schemeClr val="accent5">
                  <a:lumMod val="50000"/>
                </a:schemeClr>
              </a:solidFill>
            </a:rPr>
            <a:t> </a:t>
          </a:r>
          <a:r>
            <a:rPr lang="en-IN" sz="1600" b="1" baseline="0">
              <a:solidFill>
                <a:schemeClr val="accent5">
                  <a:lumMod val="50000"/>
                </a:schemeClr>
              </a:solidFill>
            </a:rPr>
            <a:t>Sales</a:t>
          </a:r>
          <a:endParaRPr lang="en-IN" sz="1600" b="1">
            <a:solidFill>
              <a:schemeClr val="accent5">
                <a:lumMod val="50000"/>
              </a:schemeClr>
            </a:solidFill>
          </a:endParaRPr>
        </a:p>
      </xdr:txBody>
    </xdr:sp>
    <xdr:clientData/>
  </xdr:twoCellAnchor>
  <xdr:twoCellAnchor>
    <xdr:from>
      <xdr:col>8</xdr:col>
      <xdr:colOff>533400</xdr:colOff>
      <xdr:row>3</xdr:row>
      <xdr:rowOff>160020</xdr:rowOff>
    </xdr:from>
    <xdr:to>
      <xdr:col>11</xdr:col>
      <xdr:colOff>419100</xdr:colOff>
      <xdr:row>5</xdr:row>
      <xdr:rowOff>145181</xdr:rowOff>
    </xdr:to>
    <xdr:sp macro="" textlink="">
      <xdr:nvSpPr>
        <xdr:cNvPr id="31" name="TextBox 30">
          <a:extLst>
            <a:ext uri="{FF2B5EF4-FFF2-40B4-BE49-F238E27FC236}">
              <a16:creationId xmlns:a16="http://schemas.microsoft.com/office/drawing/2014/main" id="{74A6A3B3-CFA1-4F7E-8294-BAD5FCF55009}"/>
            </a:ext>
          </a:extLst>
        </xdr:cNvPr>
        <xdr:cNvSpPr txBox="1"/>
      </xdr:nvSpPr>
      <xdr:spPr>
        <a:xfrm>
          <a:off x="5410200" y="708660"/>
          <a:ext cx="171450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Total</a:t>
          </a:r>
          <a:r>
            <a:rPr lang="en-IN" sz="1600" b="1" baseline="0">
              <a:solidFill>
                <a:schemeClr val="accent5">
                  <a:lumMod val="50000"/>
                </a:schemeClr>
              </a:solidFill>
            </a:rPr>
            <a:t> Profit</a:t>
          </a:r>
          <a:endParaRPr lang="en-IN" sz="1600" b="1">
            <a:solidFill>
              <a:schemeClr val="accent5">
                <a:lumMod val="50000"/>
              </a:schemeClr>
            </a:solidFill>
          </a:endParaRPr>
        </a:p>
      </xdr:txBody>
    </xdr:sp>
    <xdr:clientData/>
  </xdr:twoCellAnchor>
  <xdr:twoCellAnchor>
    <xdr:from>
      <xdr:col>5</xdr:col>
      <xdr:colOff>38100</xdr:colOff>
      <xdr:row>3</xdr:row>
      <xdr:rowOff>152401</xdr:rowOff>
    </xdr:from>
    <xdr:to>
      <xdr:col>8</xdr:col>
      <xdr:colOff>144780</xdr:colOff>
      <xdr:row>5</xdr:row>
      <xdr:rowOff>45721</xdr:rowOff>
    </xdr:to>
    <xdr:sp macro="" textlink="">
      <xdr:nvSpPr>
        <xdr:cNvPr id="32" name="TextBox 31">
          <a:extLst>
            <a:ext uri="{FF2B5EF4-FFF2-40B4-BE49-F238E27FC236}">
              <a16:creationId xmlns:a16="http://schemas.microsoft.com/office/drawing/2014/main" id="{3DCA0949-E7CD-479B-ACB1-C3C49788E888}"/>
            </a:ext>
          </a:extLst>
        </xdr:cNvPr>
        <xdr:cNvSpPr txBox="1"/>
      </xdr:nvSpPr>
      <xdr:spPr>
        <a:xfrm>
          <a:off x="3086100" y="701041"/>
          <a:ext cx="1935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Total</a:t>
          </a:r>
          <a:r>
            <a:rPr lang="en-IN" sz="1600" b="1" baseline="0">
              <a:solidFill>
                <a:schemeClr val="accent5">
                  <a:lumMod val="50000"/>
                </a:schemeClr>
              </a:solidFill>
            </a:rPr>
            <a:t> Sales Quantity</a:t>
          </a:r>
          <a:endParaRPr lang="en-IN" sz="1600" b="1">
            <a:solidFill>
              <a:schemeClr val="accent5">
                <a:lumMod val="50000"/>
              </a:schemeClr>
            </a:solidFill>
          </a:endParaRPr>
        </a:p>
      </xdr:txBody>
    </xdr:sp>
    <xdr:clientData/>
  </xdr:twoCellAnchor>
  <xdr:twoCellAnchor>
    <xdr:from>
      <xdr:col>11</xdr:col>
      <xdr:colOff>548640</xdr:colOff>
      <xdr:row>3</xdr:row>
      <xdr:rowOff>144780</xdr:rowOff>
    </xdr:from>
    <xdr:to>
      <xdr:col>14</xdr:col>
      <xdr:colOff>434340</xdr:colOff>
      <xdr:row>5</xdr:row>
      <xdr:rowOff>129941</xdr:rowOff>
    </xdr:to>
    <xdr:sp macro="" textlink="">
      <xdr:nvSpPr>
        <xdr:cNvPr id="36" name="TextBox 35">
          <a:extLst>
            <a:ext uri="{FF2B5EF4-FFF2-40B4-BE49-F238E27FC236}">
              <a16:creationId xmlns:a16="http://schemas.microsoft.com/office/drawing/2014/main" id="{BC3EBC8D-F6CC-4A6A-B243-5C5F951685D0}"/>
            </a:ext>
          </a:extLst>
        </xdr:cNvPr>
        <xdr:cNvSpPr txBox="1"/>
      </xdr:nvSpPr>
      <xdr:spPr>
        <a:xfrm>
          <a:off x="7254240" y="693420"/>
          <a:ext cx="171450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5">
                  <a:lumMod val="50000"/>
                </a:schemeClr>
              </a:solidFill>
            </a:rPr>
            <a:t>Profit Rate</a:t>
          </a:r>
          <a:endParaRPr lang="en-IN" sz="1600" b="1">
            <a:solidFill>
              <a:schemeClr val="accent5">
                <a:lumMod val="50000"/>
              </a:schemeClr>
            </a:solidFill>
          </a:endParaRPr>
        </a:p>
      </xdr:txBody>
    </xdr:sp>
    <xdr:clientData/>
  </xdr:twoCellAnchor>
  <xdr:twoCellAnchor>
    <xdr:from>
      <xdr:col>14</xdr:col>
      <xdr:colOff>228600</xdr:colOff>
      <xdr:row>4</xdr:row>
      <xdr:rowOff>7620</xdr:rowOff>
    </xdr:from>
    <xdr:to>
      <xdr:col>17</xdr:col>
      <xdr:colOff>114300</xdr:colOff>
      <xdr:row>5</xdr:row>
      <xdr:rowOff>175661</xdr:rowOff>
    </xdr:to>
    <xdr:sp macro="" textlink="">
      <xdr:nvSpPr>
        <xdr:cNvPr id="37" name="TextBox 36">
          <a:extLst>
            <a:ext uri="{FF2B5EF4-FFF2-40B4-BE49-F238E27FC236}">
              <a16:creationId xmlns:a16="http://schemas.microsoft.com/office/drawing/2014/main" id="{43AFC3F4-50DB-4823-89A0-4F23B1994344}"/>
            </a:ext>
          </a:extLst>
        </xdr:cNvPr>
        <xdr:cNvSpPr txBox="1"/>
      </xdr:nvSpPr>
      <xdr:spPr>
        <a:xfrm>
          <a:off x="8763000" y="739140"/>
          <a:ext cx="171450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accent5">
                <a:lumMod val="50000"/>
              </a:schemeClr>
            </a:solidFill>
          </a:endParaRPr>
        </a:p>
      </xdr:txBody>
    </xdr:sp>
    <xdr:clientData/>
  </xdr:twoCellAnchor>
  <xdr:twoCellAnchor>
    <xdr:from>
      <xdr:col>2</xdr:col>
      <xdr:colOff>571500</xdr:colOff>
      <xdr:row>7</xdr:row>
      <xdr:rowOff>137160</xdr:rowOff>
    </xdr:from>
    <xdr:to>
      <xdr:col>5</xdr:col>
      <xdr:colOff>457200</xdr:colOff>
      <xdr:row>9</xdr:row>
      <xdr:rowOff>122321</xdr:rowOff>
    </xdr:to>
    <xdr:sp macro="" textlink="">
      <xdr:nvSpPr>
        <xdr:cNvPr id="38" name="TextBox 37">
          <a:extLst>
            <a:ext uri="{FF2B5EF4-FFF2-40B4-BE49-F238E27FC236}">
              <a16:creationId xmlns:a16="http://schemas.microsoft.com/office/drawing/2014/main" id="{2A4C29CD-6A65-4F99-8D41-A93A6B9D68E7}"/>
            </a:ext>
          </a:extLst>
        </xdr:cNvPr>
        <xdr:cNvSpPr txBox="1"/>
      </xdr:nvSpPr>
      <xdr:spPr>
        <a:xfrm>
          <a:off x="1790700" y="1417320"/>
          <a:ext cx="171450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Sales</a:t>
          </a:r>
          <a:r>
            <a:rPr lang="en-IN" sz="1600" b="1" baseline="0">
              <a:solidFill>
                <a:schemeClr val="accent5">
                  <a:lumMod val="50000"/>
                </a:schemeClr>
              </a:solidFill>
            </a:rPr>
            <a:t> By Category</a:t>
          </a:r>
          <a:endParaRPr lang="en-IN" sz="1600" b="1">
            <a:solidFill>
              <a:schemeClr val="accent5">
                <a:lumMod val="50000"/>
              </a:schemeClr>
            </a:solidFill>
          </a:endParaRPr>
        </a:p>
      </xdr:txBody>
    </xdr:sp>
    <xdr:clientData/>
  </xdr:twoCellAnchor>
  <xdr:twoCellAnchor>
    <xdr:from>
      <xdr:col>8</xdr:col>
      <xdr:colOff>7620</xdr:colOff>
      <xdr:row>7</xdr:row>
      <xdr:rowOff>152400</xdr:rowOff>
    </xdr:from>
    <xdr:to>
      <xdr:col>10</xdr:col>
      <xdr:colOff>502920</xdr:colOff>
      <xdr:row>9</xdr:row>
      <xdr:rowOff>137561</xdr:rowOff>
    </xdr:to>
    <xdr:sp macro="" textlink="">
      <xdr:nvSpPr>
        <xdr:cNvPr id="39" name="TextBox 38">
          <a:extLst>
            <a:ext uri="{FF2B5EF4-FFF2-40B4-BE49-F238E27FC236}">
              <a16:creationId xmlns:a16="http://schemas.microsoft.com/office/drawing/2014/main" id="{C6C09FB3-8CAE-47DF-A7C6-0863AE9FE93E}"/>
            </a:ext>
          </a:extLst>
        </xdr:cNvPr>
        <xdr:cNvSpPr txBox="1"/>
      </xdr:nvSpPr>
      <xdr:spPr>
        <a:xfrm>
          <a:off x="4884420" y="1432560"/>
          <a:ext cx="171450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State</a:t>
          </a:r>
          <a:r>
            <a:rPr lang="en-IN" sz="1600" b="1" baseline="0">
              <a:solidFill>
                <a:schemeClr val="accent5">
                  <a:lumMod val="50000"/>
                </a:schemeClr>
              </a:solidFill>
            </a:rPr>
            <a:t> wise Sales</a:t>
          </a:r>
          <a:endParaRPr lang="en-IN" sz="1600" b="1">
            <a:solidFill>
              <a:schemeClr val="accent5">
                <a:lumMod val="50000"/>
              </a:schemeClr>
            </a:solidFill>
          </a:endParaRPr>
        </a:p>
      </xdr:txBody>
    </xdr:sp>
    <xdr:clientData/>
  </xdr:twoCellAnchor>
  <xdr:twoCellAnchor>
    <xdr:from>
      <xdr:col>13</xdr:col>
      <xdr:colOff>190500</xdr:colOff>
      <xdr:row>7</xdr:row>
      <xdr:rowOff>160020</xdr:rowOff>
    </xdr:from>
    <xdr:to>
      <xdr:col>16</xdr:col>
      <xdr:colOff>76200</xdr:colOff>
      <xdr:row>9</xdr:row>
      <xdr:rowOff>145181</xdr:rowOff>
    </xdr:to>
    <xdr:sp macro="" textlink="">
      <xdr:nvSpPr>
        <xdr:cNvPr id="40" name="TextBox 39">
          <a:extLst>
            <a:ext uri="{FF2B5EF4-FFF2-40B4-BE49-F238E27FC236}">
              <a16:creationId xmlns:a16="http://schemas.microsoft.com/office/drawing/2014/main" id="{1C0CDC30-D4F8-4F34-8FD4-47DE1EB411B0}"/>
            </a:ext>
          </a:extLst>
        </xdr:cNvPr>
        <xdr:cNvSpPr txBox="1"/>
      </xdr:nvSpPr>
      <xdr:spPr>
        <a:xfrm>
          <a:off x="8115300" y="1440180"/>
          <a:ext cx="171450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5">
                  <a:lumMod val="50000"/>
                </a:schemeClr>
              </a:solidFill>
            </a:rPr>
            <a:t>Profit Distribution</a:t>
          </a:r>
          <a:endParaRPr lang="en-IN" sz="1600" b="1">
            <a:solidFill>
              <a:schemeClr val="accent5">
                <a:lumMod val="50000"/>
              </a:schemeClr>
            </a:solidFill>
          </a:endParaRPr>
        </a:p>
      </xdr:txBody>
    </xdr:sp>
    <xdr:clientData/>
  </xdr:twoCellAnchor>
  <xdr:twoCellAnchor>
    <xdr:from>
      <xdr:col>6</xdr:col>
      <xdr:colOff>556260</xdr:colOff>
      <xdr:row>18</xdr:row>
      <xdr:rowOff>129540</xdr:rowOff>
    </xdr:from>
    <xdr:to>
      <xdr:col>10</xdr:col>
      <xdr:colOff>312420</xdr:colOff>
      <xdr:row>20</xdr:row>
      <xdr:rowOff>114701</xdr:rowOff>
    </xdr:to>
    <xdr:sp macro="" textlink="">
      <xdr:nvSpPr>
        <xdr:cNvPr id="42" name="TextBox 41">
          <a:extLst>
            <a:ext uri="{FF2B5EF4-FFF2-40B4-BE49-F238E27FC236}">
              <a16:creationId xmlns:a16="http://schemas.microsoft.com/office/drawing/2014/main" id="{64B24611-FD2E-4EBA-8963-D685643C4421}"/>
            </a:ext>
          </a:extLst>
        </xdr:cNvPr>
        <xdr:cNvSpPr txBox="1"/>
      </xdr:nvSpPr>
      <xdr:spPr>
        <a:xfrm>
          <a:off x="4213860" y="3421380"/>
          <a:ext cx="219456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Sate</a:t>
          </a:r>
          <a:r>
            <a:rPr lang="en-IN" sz="1600" b="1" baseline="0">
              <a:solidFill>
                <a:schemeClr val="accent5">
                  <a:lumMod val="50000"/>
                </a:schemeClr>
              </a:solidFill>
            </a:rPr>
            <a:t> Wise Performance Performance</a:t>
          </a:r>
          <a:endParaRPr lang="en-IN" sz="1600" b="1">
            <a:solidFill>
              <a:schemeClr val="accent5">
                <a:lumMod val="50000"/>
              </a:schemeClr>
            </a:solidFill>
          </a:endParaRPr>
        </a:p>
      </xdr:txBody>
    </xdr:sp>
    <xdr:clientData/>
  </xdr:twoCellAnchor>
  <xdr:twoCellAnchor>
    <xdr:from>
      <xdr:col>11</xdr:col>
      <xdr:colOff>30480</xdr:colOff>
      <xdr:row>18</xdr:row>
      <xdr:rowOff>121920</xdr:rowOff>
    </xdr:from>
    <xdr:to>
      <xdr:col>14</xdr:col>
      <xdr:colOff>304800</xdr:colOff>
      <xdr:row>20</xdr:row>
      <xdr:rowOff>107081</xdr:rowOff>
    </xdr:to>
    <xdr:sp macro="" textlink="">
      <xdr:nvSpPr>
        <xdr:cNvPr id="43" name="TextBox 42">
          <a:extLst>
            <a:ext uri="{FF2B5EF4-FFF2-40B4-BE49-F238E27FC236}">
              <a16:creationId xmlns:a16="http://schemas.microsoft.com/office/drawing/2014/main" id="{845B6E55-556A-4816-8E85-6574013BEA82}"/>
            </a:ext>
          </a:extLst>
        </xdr:cNvPr>
        <xdr:cNvSpPr txBox="1"/>
      </xdr:nvSpPr>
      <xdr:spPr>
        <a:xfrm>
          <a:off x="6736080" y="3413760"/>
          <a:ext cx="210312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Quantity</a:t>
          </a:r>
          <a:r>
            <a:rPr lang="en-IN" sz="1600" b="1" baseline="0">
              <a:solidFill>
                <a:schemeClr val="accent5">
                  <a:lumMod val="50000"/>
                </a:schemeClr>
              </a:solidFill>
            </a:rPr>
            <a:t> Sold Trends</a:t>
          </a:r>
          <a:endParaRPr lang="en-IN" sz="1600" b="1">
            <a:solidFill>
              <a:schemeClr val="accent5">
                <a:lumMod val="50000"/>
              </a:schemeClr>
            </a:solidFill>
          </a:endParaRPr>
        </a:p>
      </xdr:txBody>
    </xdr:sp>
    <xdr:clientData/>
  </xdr:twoCellAnchor>
  <xdr:twoCellAnchor>
    <xdr:from>
      <xdr:col>14</xdr:col>
      <xdr:colOff>228600</xdr:colOff>
      <xdr:row>19</xdr:row>
      <xdr:rowOff>0</xdr:rowOff>
    </xdr:from>
    <xdr:to>
      <xdr:col>17</xdr:col>
      <xdr:colOff>114300</xdr:colOff>
      <xdr:row>20</xdr:row>
      <xdr:rowOff>168041</xdr:rowOff>
    </xdr:to>
    <xdr:sp macro="" textlink="">
      <xdr:nvSpPr>
        <xdr:cNvPr id="44" name="TextBox 43">
          <a:extLst>
            <a:ext uri="{FF2B5EF4-FFF2-40B4-BE49-F238E27FC236}">
              <a16:creationId xmlns:a16="http://schemas.microsoft.com/office/drawing/2014/main" id="{406B94FB-D99E-470F-9171-F1062FFDD8B0}"/>
            </a:ext>
          </a:extLst>
        </xdr:cNvPr>
        <xdr:cNvSpPr txBox="1"/>
      </xdr:nvSpPr>
      <xdr:spPr>
        <a:xfrm>
          <a:off x="8763000" y="3474720"/>
          <a:ext cx="1714500"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Total</a:t>
          </a:r>
          <a:r>
            <a:rPr lang="en-IN" sz="1600" b="1" baseline="0">
              <a:solidFill>
                <a:schemeClr val="accent5">
                  <a:lumMod val="50000"/>
                </a:schemeClr>
              </a:solidFill>
            </a:rPr>
            <a:t> Profit</a:t>
          </a:r>
          <a:endParaRPr lang="en-IN" sz="1600" b="1">
            <a:solidFill>
              <a:schemeClr val="accent5">
                <a:lumMod val="50000"/>
              </a:schemeClr>
            </a:solidFill>
          </a:endParaRPr>
        </a:p>
      </xdr:txBody>
    </xdr:sp>
    <xdr:clientData/>
  </xdr:twoCellAnchor>
  <xdr:twoCellAnchor editAs="oneCell">
    <xdr:from>
      <xdr:col>2</xdr:col>
      <xdr:colOff>7620</xdr:colOff>
      <xdr:row>18</xdr:row>
      <xdr:rowOff>160020</xdr:rowOff>
    </xdr:from>
    <xdr:to>
      <xdr:col>6</xdr:col>
      <xdr:colOff>312420</xdr:colOff>
      <xdr:row>29</xdr:row>
      <xdr:rowOff>38099</xdr:rowOff>
    </xdr:to>
    <mc:AlternateContent xmlns:mc="http://schemas.openxmlformats.org/markup-compatibility/2006" xmlns:a14="http://schemas.microsoft.com/office/drawing/2010/main">
      <mc:Choice Requires="a14">
        <xdr:graphicFrame macro="">
          <xdr:nvGraphicFramePr>
            <xdr:cNvPr id="45" name="State 1">
              <a:extLst>
                <a:ext uri="{FF2B5EF4-FFF2-40B4-BE49-F238E27FC236}">
                  <a16:creationId xmlns:a16="http://schemas.microsoft.com/office/drawing/2014/main" id="{A808D39A-98BA-420C-818F-0D49A5F2C1E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26820" y="3451860"/>
              <a:ext cx="2743200" cy="1889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9</xdr:row>
      <xdr:rowOff>137160</xdr:rowOff>
    </xdr:from>
    <xdr:to>
      <xdr:col>6</xdr:col>
      <xdr:colOff>213360</xdr:colOff>
      <xdr:row>17</xdr:row>
      <xdr:rowOff>129540</xdr:rowOff>
    </xdr:to>
    <xdr:graphicFrame macro="">
      <xdr:nvGraphicFramePr>
        <xdr:cNvPr id="46" name="Chart 45">
          <a:extLst>
            <a:ext uri="{FF2B5EF4-FFF2-40B4-BE49-F238E27FC236}">
              <a16:creationId xmlns:a16="http://schemas.microsoft.com/office/drawing/2014/main" id="{6002F320-5271-4960-BBB2-198D50249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9</xdr:row>
      <xdr:rowOff>15240</xdr:rowOff>
    </xdr:from>
    <xdr:to>
      <xdr:col>11</xdr:col>
      <xdr:colOff>594360</xdr:colOff>
      <xdr:row>16</xdr:row>
      <xdr:rowOff>144780</xdr:rowOff>
    </xdr:to>
    <xdr:graphicFrame macro="">
      <xdr:nvGraphicFramePr>
        <xdr:cNvPr id="47" name="Chart 46">
          <a:extLst>
            <a:ext uri="{FF2B5EF4-FFF2-40B4-BE49-F238E27FC236}">
              <a16:creationId xmlns:a16="http://schemas.microsoft.com/office/drawing/2014/main" id="{845FDEE6-F90D-44FE-ABD7-4915EBC29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281940</xdr:colOff>
      <xdr:row>9</xdr:row>
      <xdr:rowOff>137160</xdr:rowOff>
    </xdr:from>
    <xdr:to>
      <xdr:col>17</xdr:col>
      <xdr:colOff>259080</xdr:colOff>
      <xdr:row>18</xdr:row>
      <xdr:rowOff>38100</xdr:rowOff>
    </xdr:to>
    <xdr:graphicFrame macro="">
      <xdr:nvGraphicFramePr>
        <xdr:cNvPr id="48" name="Chart 47">
          <a:extLst>
            <a:ext uri="{FF2B5EF4-FFF2-40B4-BE49-F238E27FC236}">
              <a16:creationId xmlns:a16="http://schemas.microsoft.com/office/drawing/2014/main" id="{0C27B02C-29ED-4BCB-A7C6-A5B3804F1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190500</xdr:colOff>
      <xdr:row>18</xdr:row>
      <xdr:rowOff>152400</xdr:rowOff>
    </xdr:from>
    <xdr:to>
      <xdr:col>17</xdr:col>
      <xdr:colOff>365760</xdr:colOff>
      <xdr:row>29</xdr:row>
      <xdr:rowOff>53340</xdr:rowOff>
    </xdr:to>
    <mc:AlternateContent xmlns:mc="http://schemas.openxmlformats.org/markup-compatibility/2006" xmlns:a14="http://schemas.microsoft.com/office/drawing/2010/main">
      <mc:Choice Requires="a14">
        <xdr:graphicFrame macro="">
          <xdr:nvGraphicFramePr>
            <xdr:cNvPr id="49" name="Category 1">
              <a:extLst>
                <a:ext uri="{FF2B5EF4-FFF2-40B4-BE49-F238E27FC236}">
                  <a16:creationId xmlns:a16="http://schemas.microsoft.com/office/drawing/2014/main" id="{D683DB5F-76E9-4812-9CC9-F8A716C9424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724900" y="3444240"/>
              <a:ext cx="200406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5</xdr:row>
      <xdr:rowOff>45720</xdr:rowOff>
    </xdr:from>
    <xdr:to>
      <xdr:col>4</xdr:col>
      <xdr:colOff>198120</xdr:colOff>
      <xdr:row>6</xdr:row>
      <xdr:rowOff>121920</xdr:rowOff>
    </xdr:to>
    <xdr:sp macro="" textlink="KPI!B7">
      <xdr:nvSpPr>
        <xdr:cNvPr id="50" name="TextBox 49">
          <a:extLst>
            <a:ext uri="{FF2B5EF4-FFF2-40B4-BE49-F238E27FC236}">
              <a16:creationId xmlns:a16="http://schemas.microsoft.com/office/drawing/2014/main" id="{BA4B80FB-5F75-5CBE-C611-05B7D4465D64}"/>
            </a:ext>
          </a:extLst>
        </xdr:cNvPr>
        <xdr:cNvSpPr txBox="1"/>
      </xdr:nvSpPr>
      <xdr:spPr>
        <a:xfrm>
          <a:off x="1828800" y="960120"/>
          <a:ext cx="8077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E231E8-233D-41B8-A2D0-086F4532C328}" type="TxLink">
            <a:rPr lang="en-US" sz="1100" b="1" i="0" u="none" strike="noStrike">
              <a:solidFill>
                <a:schemeClr val="accent2">
                  <a:lumMod val="75000"/>
                </a:schemeClr>
              </a:solidFill>
              <a:latin typeface="Calibri"/>
              <a:ea typeface="Calibri"/>
              <a:cs typeface="Calibri"/>
            </a:rPr>
            <a:pPr/>
            <a:t>887917.2</a:t>
          </a:fld>
          <a:endParaRPr lang="en-IN" sz="1100" b="1">
            <a:solidFill>
              <a:schemeClr val="accent2">
                <a:lumMod val="75000"/>
              </a:schemeClr>
            </a:solidFill>
          </a:endParaRPr>
        </a:p>
      </xdr:txBody>
    </xdr:sp>
    <xdr:clientData/>
  </xdr:twoCellAnchor>
  <xdr:twoCellAnchor>
    <xdr:from>
      <xdr:col>6</xdr:col>
      <xdr:colOff>22860</xdr:colOff>
      <xdr:row>5</xdr:row>
      <xdr:rowOff>45720</xdr:rowOff>
    </xdr:from>
    <xdr:to>
      <xdr:col>7</xdr:col>
      <xdr:colOff>220980</xdr:colOff>
      <xdr:row>6</xdr:row>
      <xdr:rowOff>121920</xdr:rowOff>
    </xdr:to>
    <xdr:sp macro="" textlink="KPI!B8">
      <xdr:nvSpPr>
        <xdr:cNvPr id="51" name="TextBox 50">
          <a:extLst>
            <a:ext uri="{FF2B5EF4-FFF2-40B4-BE49-F238E27FC236}">
              <a16:creationId xmlns:a16="http://schemas.microsoft.com/office/drawing/2014/main" id="{D499C948-E099-4B6A-9862-962BD2796DAE}"/>
            </a:ext>
          </a:extLst>
        </xdr:cNvPr>
        <xdr:cNvSpPr txBox="1"/>
      </xdr:nvSpPr>
      <xdr:spPr>
        <a:xfrm>
          <a:off x="3680460" y="960120"/>
          <a:ext cx="8077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763E3A-7F56-434A-AA2C-66BA5116250A}" type="TxLink">
            <a:rPr lang="en-US" sz="1100" b="1" i="0" u="none" strike="noStrike">
              <a:solidFill>
                <a:schemeClr val="accent2">
                  <a:lumMod val="75000"/>
                </a:schemeClr>
              </a:solidFill>
              <a:latin typeface="Calibri"/>
              <a:ea typeface="Calibri"/>
              <a:cs typeface="Calibri"/>
            </a:rPr>
            <a:pPr marL="0" indent="0"/>
            <a:t>15236</a:t>
          </a:fld>
          <a:endParaRPr lang="en-IN" sz="1100" b="1" i="0" u="none" strike="noStrike">
            <a:solidFill>
              <a:schemeClr val="accent2">
                <a:lumMod val="75000"/>
              </a:schemeClr>
            </a:solidFill>
            <a:latin typeface="Calibri"/>
            <a:ea typeface="Calibri"/>
            <a:cs typeface="Calibri"/>
          </a:endParaRPr>
        </a:p>
      </xdr:txBody>
    </xdr:sp>
    <xdr:clientData/>
  </xdr:twoCellAnchor>
  <xdr:twoCellAnchor>
    <xdr:from>
      <xdr:col>9</xdr:col>
      <xdr:colOff>99060</xdr:colOff>
      <xdr:row>5</xdr:row>
      <xdr:rowOff>53340</xdr:rowOff>
    </xdr:from>
    <xdr:to>
      <xdr:col>10</xdr:col>
      <xdr:colOff>297180</xdr:colOff>
      <xdr:row>6</xdr:row>
      <xdr:rowOff>129540</xdr:rowOff>
    </xdr:to>
    <xdr:sp macro="" textlink="KPI!B9">
      <xdr:nvSpPr>
        <xdr:cNvPr id="52" name="TextBox 51">
          <a:extLst>
            <a:ext uri="{FF2B5EF4-FFF2-40B4-BE49-F238E27FC236}">
              <a16:creationId xmlns:a16="http://schemas.microsoft.com/office/drawing/2014/main" id="{8EBCF0CA-8AA0-4881-9D45-704C966929AA}"/>
            </a:ext>
          </a:extLst>
        </xdr:cNvPr>
        <xdr:cNvSpPr txBox="1"/>
      </xdr:nvSpPr>
      <xdr:spPr>
        <a:xfrm>
          <a:off x="5585460" y="967740"/>
          <a:ext cx="8077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F4D8E0-0A62-46FE-BF5D-94A8F24F20AE}" type="TxLink">
            <a:rPr lang="en-US" sz="1100" b="1" i="0" u="none" strike="noStrike">
              <a:solidFill>
                <a:schemeClr val="accent2">
                  <a:lumMod val="75000"/>
                </a:schemeClr>
              </a:solidFill>
              <a:latin typeface="Calibri"/>
              <a:ea typeface="Calibri"/>
              <a:cs typeface="Calibri"/>
            </a:rPr>
            <a:pPr marL="0" indent="0"/>
            <a:t>108803.67</a:t>
          </a:fld>
          <a:endParaRPr lang="en-IN" sz="1100" b="1" i="0" u="none" strike="noStrike">
            <a:solidFill>
              <a:schemeClr val="accent2">
                <a:lumMod val="75000"/>
              </a:schemeClr>
            </a:solidFill>
            <a:latin typeface="Calibri"/>
            <a:ea typeface="Calibri"/>
            <a:cs typeface="Calibri"/>
          </a:endParaRPr>
        </a:p>
      </xdr:txBody>
    </xdr:sp>
    <xdr:clientData/>
  </xdr:twoCellAnchor>
  <xdr:twoCellAnchor>
    <xdr:from>
      <xdr:col>12</xdr:col>
      <xdr:colOff>243840</xdr:colOff>
      <xdr:row>5</xdr:row>
      <xdr:rowOff>53340</xdr:rowOff>
    </xdr:from>
    <xdr:to>
      <xdr:col>13</xdr:col>
      <xdr:colOff>441960</xdr:colOff>
      <xdr:row>6</xdr:row>
      <xdr:rowOff>129540</xdr:rowOff>
    </xdr:to>
    <xdr:sp macro="" textlink="KPI!B10">
      <xdr:nvSpPr>
        <xdr:cNvPr id="53" name="TextBox 52">
          <a:extLst>
            <a:ext uri="{FF2B5EF4-FFF2-40B4-BE49-F238E27FC236}">
              <a16:creationId xmlns:a16="http://schemas.microsoft.com/office/drawing/2014/main" id="{D15782B0-97DF-4EF2-90B6-43202D408835}"/>
            </a:ext>
          </a:extLst>
        </xdr:cNvPr>
        <xdr:cNvSpPr txBox="1"/>
      </xdr:nvSpPr>
      <xdr:spPr>
        <a:xfrm>
          <a:off x="7559040" y="967740"/>
          <a:ext cx="8077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51D7C9-995F-49CD-AF07-AEF49C436A36}" type="TxLink">
            <a:rPr lang="en-US" sz="1100" b="1" i="0" u="none" strike="noStrike">
              <a:solidFill>
                <a:schemeClr val="accent2">
                  <a:lumMod val="75000"/>
                </a:schemeClr>
              </a:solidFill>
              <a:latin typeface="Calibri"/>
              <a:ea typeface="Calibri"/>
              <a:cs typeface="Calibri"/>
            </a:rPr>
            <a:pPr marL="0" indent="0"/>
            <a:t>12%</a:t>
          </a:fld>
          <a:endParaRPr lang="en-IN" sz="1100" b="1" i="0" u="none" strike="noStrike">
            <a:solidFill>
              <a:schemeClr val="accent2">
                <a:lumMod val="75000"/>
              </a:schemeClr>
            </a:solidFill>
            <a:latin typeface="Calibri"/>
            <a:ea typeface="Calibri"/>
            <a:cs typeface="Calibri"/>
          </a:endParaRPr>
        </a:p>
      </xdr:txBody>
    </xdr:sp>
    <xdr:clientData/>
  </xdr:twoCellAnchor>
  <xdr:twoCellAnchor>
    <xdr:from>
      <xdr:col>6</xdr:col>
      <xdr:colOff>365760</xdr:colOff>
      <xdr:row>20</xdr:row>
      <xdr:rowOff>60960</xdr:rowOff>
    </xdr:from>
    <xdr:to>
      <xdr:col>10</xdr:col>
      <xdr:colOff>510540</xdr:colOff>
      <xdr:row>29</xdr:row>
      <xdr:rowOff>7620</xdr:rowOff>
    </xdr:to>
    <mc:AlternateContent xmlns:mc="http://schemas.openxmlformats.org/markup-compatibility/2006">
      <mc:Choice xmlns:cx4="http://schemas.microsoft.com/office/drawing/2016/5/10/chartex" Requires="cx4">
        <xdr:graphicFrame macro="">
          <xdr:nvGraphicFramePr>
            <xdr:cNvPr id="54" name="Chart 53">
              <a:extLst>
                <a:ext uri="{FF2B5EF4-FFF2-40B4-BE49-F238E27FC236}">
                  <a16:creationId xmlns:a16="http://schemas.microsoft.com/office/drawing/2014/main" id="{0CFEDDB0-7012-4CFF-AC2D-95EC3D9B69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023360" y="3718560"/>
              <a:ext cx="2583180" cy="1592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548640</xdr:colOff>
      <xdr:row>20</xdr:row>
      <xdr:rowOff>83820</xdr:rowOff>
    </xdr:from>
    <xdr:to>
      <xdr:col>14</xdr:col>
      <xdr:colOff>114300</xdr:colOff>
      <xdr:row>29</xdr:row>
      <xdr:rowOff>7620</xdr:rowOff>
    </xdr:to>
    <xdr:graphicFrame macro="">
      <xdr:nvGraphicFramePr>
        <xdr:cNvPr id="55" name="Chart 54">
          <a:extLst>
            <a:ext uri="{FF2B5EF4-FFF2-40B4-BE49-F238E27FC236}">
              <a16:creationId xmlns:a16="http://schemas.microsoft.com/office/drawing/2014/main" id="{6CC8398C-1C84-44F9-B613-C8A4FE485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94.543827199072" createdVersion="8" refreshedVersion="8" minRefreshableVersion="3" recordCount="4043" xr:uid="{C5ADD5CC-F46C-46BE-89A6-5A5A3C541F6D}">
  <cacheSource type="worksheet">
    <worksheetSource ref="A1:I1048576" sheet="Data"/>
  </cacheSource>
  <cacheFields count="9">
    <cacheField name="Order Date" numFmtId="0">
      <sharedItems containsNonDate="0" containsDate="1" containsString="0" containsBlank="1" minDate="2014-01-02T00:00:00" maxDate="2017-12-12T00:00:00"/>
    </cacheField>
    <cacheField name="Customer Name" numFmtId="0">
      <sharedItems containsBlank="1" count="739">
        <s v="Darren Powers"/>
        <s v="Phillina Ober"/>
        <s v="Mick Brown"/>
        <s v="Lycoris Saunders"/>
        <s v="Jack O'Briant"/>
        <s v="Maria Etezadi"/>
        <s v="Vivek Sundaresam"/>
        <s v="Melanie Seite"/>
        <s v="Anthony Jacobs"/>
        <s v="Seth Vernon"/>
        <s v="Bradley Drucker"/>
        <s v="Cynthia Delaney"/>
        <s v="Eric Barreto"/>
        <s v="Tom Boeckenhauer"/>
        <s v="Deborah Brumfield"/>
        <s v="Mark Haberlin"/>
        <s v="Neil Ducich"/>
        <s v="Delfina Latchford"/>
        <s v="Cyma Kinney"/>
        <s v="Chris Selesnick"/>
        <s v="Nathan Mautz"/>
        <s v="Natalie Fritzler"/>
        <s v="Guy Armstrong"/>
        <s v="Sanjit Chand"/>
        <s v="Dave Brooks"/>
        <s v="Hallie Redmond"/>
        <s v="Vicky Freymann"/>
        <s v="Shahid Collister"/>
        <s v="Giulietta Weimer"/>
        <s v="Kristina Nunn"/>
        <s v="Nicole Hansen"/>
        <s v="Ashley Jarboe"/>
        <s v="Anne Pryor"/>
        <s v="Jill Stevenson"/>
        <s v="Sam Craven"/>
        <s v="Eva Jacobs"/>
        <s v="Clay Ludtke"/>
        <s v="Aimee Bixby"/>
        <s v="Aaron Bergman"/>
        <s v="Nora Pelletier"/>
        <s v="Craig Molinari"/>
        <s v="Scott Williamson"/>
        <s v="Kean Thornton"/>
        <s v="Chloris Kastensmidt"/>
        <s v="Kelly Andreada"/>
        <s v="Filia McAdams"/>
        <s v="Richard Bierner"/>
        <s v="Kunst Miller"/>
        <s v="Katharine Harms"/>
        <s v="Rob Dowd"/>
        <s v="Anna HÃ¤berlin"/>
        <s v="Katrina Edelman"/>
        <s v="Paul Knutson"/>
        <s v="Maurice Satty"/>
        <s v="Mary Zewe"/>
        <s v="Ken Black"/>
        <s v="Tracy Hopkins"/>
        <s v="Greg Maxwell"/>
        <s v="John Grady"/>
        <s v="Ruben Dartt"/>
        <s v="Roy Phan"/>
        <s v="Guy Phonely"/>
        <s v="Shirley Daniels"/>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Andrew Roberts"/>
        <s v="Cari Schnelling"/>
        <s v="Joni Sundaresam"/>
        <s v="Nathan Cano"/>
        <s v="Paul MacIntyre"/>
        <s v="Andrew Allen"/>
        <s v="Nat Carroll"/>
        <s v="Bill Shonely"/>
        <s v="Peter Fuller"/>
        <s v="Emily Burns"/>
        <s v="Giulietta Dortch"/>
        <s v="Harold Pawlan"/>
        <s v="Steve Nguyen"/>
        <s v="Carol Triggs"/>
        <s v="Patrick Gardner"/>
        <s v="Sean Braxton"/>
        <s v="Arianne Irving"/>
        <s v="Art Foster"/>
        <s v="Greg Matthias"/>
        <s v="Paul Gonzalez"/>
        <s v="Raymond Messe"/>
        <s v="Brooke Gillingham"/>
        <s v="Victoria Wilson"/>
        <s v="Harold Dahlen"/>
        <s v="Hunter Lopez"/>
        <s v="Dianna Wilson"/>
        <s v="Corey Roper"/>
        <s v="Liz Thompson"/>
        <s v="Quincy Jones"/>
        <s v="Christine Kargatis"/>
        <s v="Steven Cartwright"/>
        <s v="Ross Baird"/>
        <s v="Richard Eichhorn"/>
        <s v="Mark Packer"/>
        <s v="Bobby Trafton"/>
        <s v="Bryan Mills"/>
        <s v="Grant Thornton"/>
        <s v="Sarah Bern"/>
        <s v="Valerie Takahito"/>
        <s v="Bart Pistole"/>
        <s v="Nick Radford"/>
        <s v="Carlos Soltero"/>
        <s v="Rick Duston"/>
        <s v="Brosina Hoffman"/>
        <s v="Carl Weiss"/>
        <s v="Chuck Magee"/>
        <s v="Frank Olsen"/>
        <s v="Thomas Seio"/>
        <s v="Heather Kirkland"/>
        <s v="Dorris liebe"/>
        <s v="Laurel Workman"/>
        <s v="Eric Hoffmann"/>
        <s v="Maxwell Schwartz"/>
        <s v="Michael Chen"/>
        <s v="Dan Campbell"/>
        <s v="Dennis Pardue"/>
        <s v="David Wiener"/>
        <s v="Don Miller"/>
        <s v="Emily Phan"/>
        <s v="Becky Castell"/>
        <s v="John Lee"/>
        <s v="Michelle Huthwaite"/>
        <s v="Ed Braxton"/>
        <s v="Brian Moss"/>
        <s v="Gary Hansen"/>
        <s v="Darrin Sayre"/>
        <s v="Laura Armstrong"/>
        <s v="Michael Nguyen"/>
        <s v="Mark Hamilton"/>
        <s v="Jamie Kunitz"/>
        <s v="Alyssa Crouse"/>
        <s v="Ben Ferrer"/>
        <s v="Max Engle"/>
        <s v="Paul Van Hugh"/>
        <s v="Barbara Fisher"/>
        <s v="Ivan Liston"/>
        <s v="Ann Steele"/>
        <s v="Nick Zandusky"/>
        <s v="Bruce Stewart"/>
        <s v="Berenike Kampe"/>
        <s v="Valerie Dominguez"/>
        <s v="Marina Lichtenstein"/>
        <s v="Chad Sievert"/>
        <s v="Sonia Sunley"/>
        <s v="Ricardo Sperren"/>
        <s v="Stephanie Phelps"/>
        <s v="Gary Zandusky"/>
        <s v="Roland Fjeld"/>
        <s v="Trudy Brown"/>
        <s v="Lena Radford"/>
        <s v="Maria Bertelson"/>
        <s v="Tamara Manning"/>
        <s v="Matt Abelman"/>
        <s v="Vivek Gonzalez"/>
        <s v="Andy Gerbode"/>
        <s v="Emily Ducich"/>
        <s v="Matthew Grinstein"/>
        <s v="Joseph Holt"/>
        <s v="Gene McClure"/>
        <s v="Roger Demir"/>
        <s v="Ken Lonsdale"/>
        <s v="Charles Sheldon"/>
        <s v="Ben Wallace"/>
        <s v="Duane Huffman"/>
        <s v="Lauren Leatherbury"/>
        <s v="Larry Tron"/>
        <s v="Jack Lebron"/>
        <s v="Lena Hernandez"/>
        <s v="Justin MacKendrick"/>
        <s v="Katherine Ducich"/>
        <s v="Christina VanderZanden"/>
        <s v="Allen Goldenen"/>
        <s v="Mathew Reese"/>
        <s v="Nora Preis"/>
        <s v="Patrick Ryan"/>
        <s v="Victoria Pisteka"/>
        <s v="Dennis Kane"/>
        <s v="Sam Zeldin"/>
        <s v="Rick Bensley"/>
        <s v="Lisa Ryan"/>
        <s v="Shahid Shariari"/>
        <s v="Becky Martin"/>
        <s v="Lisa Hazard"/>
        <s v="Karen Carlisle"/>
        <s v="Ted Trevino"/>
        <s v="Stefania Perrino"/>
        <s v="Marc Crier"/>
        <s v="Kean Takahito"/>
        <s v="Paul Prost"/>
        <s v="Toby Swindell"/>
        <s v="Maribeth Schnelling"/>
        <s v="Rick Reed"/>
        <s v="Logan Currie"/>
        <s v="Daniel Lacy"/>
        <s v="Nicole Fjeld"/>
        <s v="Chris Cortes"/>
        <s v="Dianna Arnett"/>
        <s v="Sandra Flanagan"/>
        <s v="Liz Willingham"/>
        <s v="Brad Norvell"/>
        <s v="Pete Takahito"/>
        <s v="Tom Ashbrook"/>
        <s v="Luke Weiss"/>
        <s v="Neil FranzÃ¶sisch"/>
        <s v="Erin Smith"/>
        <s v="Beth Paige"/>
        <s v="Allen Rosenblatt"/>
        <s v="Sara Luxemburg"/>
        <s v="Denny Ordway"/>
        <s v="Russell D'Ascenzo"/>
        <s v="David Flashing"/>
        <s v="Joy Daniels"/>
        <s v="Brian Derr"/>
        <s v="Keith Herrera"/>
        <s v="Xylona Preis"/>
        <s v="Alice McCarthy"/>
        <s v="Jack Garza"/>
        <s v="Duane Noonan"/>
        <s v="Shirley Jackson"/>
        <s v="Tanja Norvell"/>
        <s v="Fred Chung"/>
        <s v="Jill Fjeld"/>
        <s v="Dean percer"/>
        <s v="Helen Andreada"/>
        <s v="Dorothy Badders"/>
        <s v="Alan Shonely"/>
        <s v="Barry Pond"/>
        <s v="Russell Applegate"/>
        <s v="Natalie DeCherney"/>
        <s v="Ken Heidel"/>
        <s v="Suzanne McNair"/>
        <s v="Paul Lucas"/>
        <s v="Deirdre Greer"/>
        <s v="Erin Ashbrook"/>
        <s v="Patrick O'Brill"/>
        <s v="Liz Carlisle"/>
        <s v="Julie Kriz"/>
        <s v="Shahid Hopkins"/>
        <s v="Steven Ward"/>
        <s v="Speros Goranitis"/>
        <s v="Resi PÃ¶lking"/>
        <s v="Annie Thurman"/>
        <s v="Denise Monton"/>
        <s v="Tracy Collins"/>
        <s v="Odella Nelson"/>
        <s v="MaryBeth Skach"/>
        <s v="William Brown"/>
        <s v="Tiffany House"/>
        <s v="Deanra Eno"/>
        <s v="Steven Roelle"/>
        <s v="Maribeth Dona"/>
        <s v="Barry Gonzalez"/>
        <s v="George Ashbrook"/>
        <s v="Tamara Chand"/>
        <s v="Troy Blackwell"/>
        <s v="Jeremy Pistek"/>
        <s v="Benjamin Farhat"/>
        <s v="Pete Kriz"/>
        <s v="Tracy Zic"/>
        <s v="Karen Daniels"/>
        <s v="Arthur Prichep"/>
        <s v="Tom Stivers"/>
        <s v="Roy FranzÃ¶sisch"/>
        <s v="Joseph Airdo"/>
        <s v="Darren Budd"/>
        <s v="Toby Ritter"/>
        <s v="Toby Braunhardt"/>
        <s v="Joe Kamberova"/>
        <s v="Matt Connell"/>
        <s v="Anna Andreadi"/>
        <s v="David Philippe"/>
        <s v="Michael Dominguez"/>
        <s v="Katherine Nockton"/>
        <s v="Matt Collins"/>
        <s v="Elizabeth Moffitt"/>
        <s v="Nathan Gelder"/>
        <s v="Matthew Clasen"/>
        <s v="Cathy Prescott"/>
        <s v="Brendan Sweed"/>
        <s v="David Kendrick"/>
        <s v="Roy Collins"/>
        <s v="Nona Balk"/>
        <s v="Rob Lucas"/>
        <s v="Joni Blumstein"/>
        <s v="Luke Foster"/>
        <s v="Ryan Crowe"/>
        <s v="Frank Preis"/>
        <s v="Erica Hernandez"/>
        <s v="Thomas Boland"/>
        <s v="Tim Brockman"/>
        <s v="Jim Karlsson"/>
        <s v="Denny Joy"/>
        <s v="Dario Medina"/>
        <s v="Sally Matthias"/>
        <s v="Sally Hughsby"/>
        <s v="Craig Yedwab"/>
        <s v="Logan Haushalter"/>
        <s v="Philip Brown"/>
        <s v="Claudia Bergmann"/>
        <s v="Sylvia Foulston"/>
        <s v="Amy Hunt"/>
        <s v="Andrew Gjertsen"/>
        <s v="James Lanier"/>
        <s v="Craig Carroll"/>
        <s v="Michael Moore"/>
        <s v="Yana Sorensen"/>
        <s v="Cindy Schnelling"/>
        <s v="Allen Armold"/>
        <s v="Rick Wilson"/>
        <s v="Pauline Webber"/>
        <s v="Trudy Schmidt"/>
        <s v="Lori Olson"/>
        <s v="Damala Kotsonis"/>
        <s v="Michael Stewart"/>
        <s v="Frank Atkinson"/>
        <s v="Sarah Jordon"/>
        <s v="Shui Tom"/>
        <s v="Dave Hallsten"/>
        <s v="Tracy Poddar"/>
        <s v="Dave Kipp"/>
        <s v="Pete Armstrong"/>
        <s v="Sarah Foster"/>
        <s v="Alan Haines"/>
        <s v="Mike Vittorini"/>
        <s v="Jennifer Jackson"/>
        <s v="John Lucas"/>
        <s v="Eugene Moren"/>
        <s v="Dana Kaydos"/>
        <s v="Anthony Rawles"/>
        <s v="Noel Staavos"/>
        <s v="Toby Gnade"/>
        <s v="Edward Becker"/>
        <s v="Evan Bailliet"/>
        <s v="Michael Oakman"/>
        <s v="Cari Sayre"/>
        <s v="John Dryer"/>
        <s v="Greg Guthrie"/>
        <s v="Carol Adams"/>
        <s v="Jennifer Ferguson"/>
        <s v="Thomas Thornton"/>
        <s v="Frank Merwin"/>
        <s v="Mick Crebagga"/>
        <s v="Ivan Gibson"/>
        <s v="Eugene Hildebrand"/>
        <s v="Andy Reiter"/>
        <s v="Robert Dilbeck"/>
        <s v="Jennifer Braxton"/>
        <s v="David Bremer"/>
        <s v="Noah Childs"/>
        <s v="Julia Barnett"/>
        <s v="Lena Cacioppo"/>
        <s v="Alan Schoenberger"/>
        <s v="Stuart Van"/>
        <s v="Anna Gayman"/>
        <s v="Alejandro Ballentine"/>
        <s v="Natalie Webber"/>
        <s v="Alan Barnes"/>
        <s v="Paul Stevenson"/>
        <s v="Cindy Stewart"/>
        <s v="Annie Zypern"/>
        <s v="Rose O'Brian"/>
        <s v="James Galang"/>
        <s v="Catherine Glotzbach"/>
        <s v="Becky Pak"/>
        <s v="Brenda Bowman"/>
        <s v="Eleni McCrary"/>
        <s v="Maureen Gnade"/>
        <s v="Anthony Garverick"/>
        <s v="Trudy Glocke"/>
        <s v="Max Jones"/>
        <s v="Brian Dahlen"/>
        <s v="Jim Epp"/>
        <s v="Giulietta Baptist"/>
        <s v="Laurel Elliston"/>
        <s v="Jonathan Howell"/>
        <s v="Rob Haberlin"/>
        <s v="Karl Braun"/>
        <s v="Bruce Degenhardt"/>
        <s v="Irene Maddox"/>
        <s v="Alan Dominguez"/>
        <s v="Julie Prescott"/>
        <s v="Victor Preis"/>
        <s v="Mitch Webber"/>
        <s v="Kalyca Meade"/>
        <s v="Darrin Martin"/>
        <s v="Brian Thompson"/>
        <s v="Clytie Kelty"/>
        <s v="Todd Sumrall"/>
        <s v="Fred McMath"/>
        <s v="Corey-Lock"/>
        <s v="Brad Eason"/>
        <s v="Darren Koutras"/>
        <s v="Rachel Payne"/>
        <s v="Parhena Norris"/>
        <s v="Kelly Williams"/>
        <s v="Eudokia Martin"/>
        <s v="Denny Blanton"/>
        <s v="David Smith"/>
        <s v="Naresj Patel"/>
        <s v="Monica Federle"/>
        <s v="Bill Donatelli"/>
        <s v="Barry Weirich"/>
        <s v="Philisse Overcash"/>
        <s v="Doug Bickford"/>
        <s v="Daniel Raglin"/>
        <s v="Julie Creighton"/>
        <s v="Mike Gockenbach"/>
        <s v="John Huston"/>
        <s v="Christine Sundaresam"/>
        <s v="Shaun Chance"/>
        <s v="Arthur Gainer"/>
        <s v="Cathy Armstrong"/>
        <s v="Sung Pak"/>
        <s v="Tamara Willingham"/>
        <s v="Beth Thompson"/>
        <s v="Chuck Clark"/>
        <s v="Alyssa Tate"/>
        <s v="Shaun Weien"/>
        <s v="Charles Crestani"/>
        <s v="Corey Catlett"/>
        <s v="Neoma Murray"/>
        <s v="Bobby Odegard"/>
        <s v="Alex Russell"/>
        <s v="George Bell"/>
        <s v="Skye Norling"/>
        <s v="Craig Carreira"/>
        <s v="Robert Marley"/>
        <s v="Eric Murdock"/>
        <s v="Jennifer Patt"/>
        <s v="Christopher Schild"/>
        <s v="Henry MacAllister"/>
        <s v="Michael Paige"/>
        <s v="Sheri Gordon"/>
        <s v="Alex Avila"/>
        <s v="Joel Jenkins"/>
        <s v="Jeremy Farry"/>
        <s v="Gene Hale"/>
        <s v="Sonia Cooley"/>
        <s v="Sean O'Donnell"/>
        <s v="Ralph Kennedy"/>
        <s v="Justin Hirsh"/>
        <s v="Jas O'Carroll"/>
        <s v="Kelly Collister"/>
        <s v="Scot Wooten"/>
        <s v="Barry Blumstein"/>
        <s v="Emily Grady"/>
        <s v="Corinna Mitchell"/>
        <s v="Fred Hopkins"/>
        <s v="Christy Brittain"/>
        <s v="Meg Tillman"/>
        <s v="Karen Bern"/>
        <s v="Mike Caudle"/>
        <s v="Christine Phan"/>
        <s v="Doug O'Connell"/>
        <s v="Adrian Barton"/>
        <s v="Helen Abelman"/>
        <s v="Maria Zettner"/>
        <s v="Amy Cox"/>
        <s v="Duane Benoit"/>
        <s v="Keith Dawkins"/>
        <s v="Charlotte Melton"/>
        <s v="Adam Shillingsburg"/>
        <s v="Dianna Vittorini"/>
        <s v="Jesus Ocampo"/>
        <s v="Alan Hwang"/>
        <s v="Steve Chapman"/>
        <s v="Yoseph Carroll"/>
        <s v="Eugene Barchas"/>
        <s v="Lindsay Castell"/>
        <s v="Dean Katz"/>
        <s v="Bill Stewart"/>
        <s v="Pierre Wener"/>
        <s v="Ritsa Hightower"/>
        <s v="Harry Marie"/>
        <s v="Matt Hagelstein"/>
        <s v="Stephanie Ulpright"/>
        <s v="Katrina Willman"/>
        <s v="Gary Hwang"/>
        <s v="Katherine Murray"/>
        <s v="Art Ferguson"/>
        <s v="Mike Pelletier"/>
        <s v="Kristen Hastings"/>
        <s v="Tonja Turnell"/>
        <s v="Henry Goldwyn"/>
        <s v="Ken Brennan"/>
        <s v="Khloe Miller"/>
        <s v="Frank Carlisle"/>
        <s v="Julia West"/>
        <s v="Ryan Akin"/>
        <s v="Stuart Calhoun"/>
        <s v="Lena Creighton"/>
        <s v="Jim Kriz"/>
        <s v="Cynthia Arntzen"/>
        <s v="Jonathan Doherty"/>
        <s v="Brendan Murry"/>
        <s v="Christine Abelman"/>
        <s v="Bill Overfelt"/>
        <s v="Erica Bern"/>
        <s v="Ben Peterman"/>
        <s v="Anthony Johnson"/>
        <s v="Maureen Fritzler"/>
        <s v="Joy Bell-"/>
        <s v="Tracy Blumstein"/>
        <s v="Christina Anderson"/>
        <s v="Bobby Elias"/>
        <s v="Cathy Hwang"/>
        <s v="Justin Ritter"/>
        <s v="Phillip Breyer"/>
        <s v="Jason Gross"/>
        <s v="Theresa Swint"/>
        <s v="Michael Granlund"/>
        <s v="Randy Ferguson"/>
        <s v="Rob Williams"/>
        <s v="Zuschuss Carroll"/>
        <s v="Brian DeCherney"/>
        <s v="Sanjit Jacobs"/>
        <s v="Pamela Stobb"/>
        <s v="Caroline Jumper"/>
        <s v="Bryan Davis"/>
        <s v="Karen Ferguson"/>
        <s v="Rick Huthwaite"/>
        <s v="Maya Herman"/>
        <s v="Brad Thomas"/>
        <s v="Raymond Buch"/>
        <s v="Don Weiss"/>
        <s v="Daniel Byrd"/>
        <s v="Muhammed Yedwab"/>
        <s v="Zuschuss Donatelli"/>
        <s v="Evan Henry"/>
        <s v="Jeremy Lonsdale"/>
        <s v="Sean Wendt"/>
        <s v="Herbert Flentye"/>
        <s v="Jason Fortune-"/>
        <s v="Chris McAfee"/>
        <s v="Cindy Chapman"/>
        <s v="Dan Lawera"/>
        <s v="Susan MacKendrick"/>
        <s v="Patrick Jones"/>
        <s v="Barry Franz"/>
        <s v="Lindsay Williams"/>
        <s v="Thea Hendricks"/>
        <s v="Cynthia Voltz"/>
        <s v="Vivek Grady"/>
        <s v="Jill Matthias"/>
        <s v="Vivian Mathis"/>
        <s v="Edward Nazzal"/>
        <s v="Janet Lee"/>
        <s v="Scot Coram"/>
        <s v="Liz Preis"/>
        <s v="Ross DeVincentis"/>
        <s v="Roy Skaria"/>
        <s v="Toby Carlisle"/>
        <s v="Dean Braden"/>
        <s v="Olvera Toch"/>
        <s v="Erica Smith"/>
        <s v="Darrin Van Huff"/>
        <s v="Stewart Carmichael"/>
        <s v="Craig Reiter"/>
        <s v="Arthur Wiediger"/>
        <s v="Jay Fein"/>
        <s v="Katherine Hughes"/>
        <s v="Guy Thornton"/>
        <s v="Barry FranzÃ¶sisch"/>
        <s v="Christopher Conant"/>
        <s v="Chad Cunningham"/>
        <s v="Joe Elijah"/>
        <s v="Thea Hudgings"/>
        <s v="Susan Gilcrest"/>
        <s v="Alex Grayson"/>
        <s v="Max Ludwig"/>
        <s v="Ralph Arnett"/>
        <s v="Linda Cazamias"/>
        <s v="Liz MacKendrick"/>
        <s v="Dorothy Wardle"/>
        <s v="Michelle Tran"/>
        <s v="Adam Bellavance"/>
        <s v="Laurel Beltran"/>
        <s v="Rob Beeghly"/>
        <s v="Ionia McGrath"/>
        <s v="Jasper Cacioppo"/>
        <s v="Mark Van Huff"/>
        <s v="Fred Wasserman"/>
        <s v="Elpida Rittenbach"/>
        <s v="Mary O'Rourke"/>
        <s v="Bruce Geld"/>
        <s v="Michael Grace"/>
        <s v="Troy Staebel"/>
        <s v="Matt Collister"/>
        <s v="Hunter Glantz"/>
        <s v="Tim Taslimi"/>
        <s v="Dionis Lloyd"/>
        <s v="Bart Watters"/>
        <s v="Joel Eaton"/>
        <s v="Peter McVee"/>
        <s v="Sibella Parks"/>
        <s v="Phillip Flathmann"/>
        <s v="Alejandro Savely"/>
        <s v="Michelle Arnett"/>
        <s v="Lindsay Shagiari"/>
        <s v="Kelly Lampkin"/>
        <s v="Penelope Sewall"/>
        <s v="Lisa DeCherney"/>
        <s v="Claire Gute"/>
        <s v="Philip Fox"/>
        <s v="Pamela Coakley"/>
        <s v="Debra Catini"/>
        <s v="Liz Pelletier"/>
        <s v="Sung Chung"/>
        <s v="Susan Pistek"/>
        <s v="Carl Ludwig"/>
        <s v="John Murray"/>
        <s v="Mike Kennedy"/>
        <s v="Jamie Frazer"/>
        <s v="Gary McGarr"/>
        <s v="Ellis Ballard"/>
        <s v="Justin Ellison"/>
        <s v="Aleksandra Gannaway"/>
        <s v="Tony Chapman"/>
        <s v="Theone Pippenger"/>
        <s v="Harold Engle"/>
        <s v="Greg Tran"/>
        <s v="Dave Poirier"/>
        <s v="Janet Molinari"/>
        <s v="Erin Creighton"/>
        <s v="Janet Martin"/>
        <s v="Aaron Smayling"/>
        <s v="Christopher Martinez"/>
        <s v="Thais Sissman"/>
        <s v="Linda Southworth"/>
        <s v="Cassandra Brandow"/>
        <s v="Tom Prescott"/>
        <s v="Don Jones"/>
        <s v="Magdelene Morse"/>
        <s v="Maribeth Yedwab"/>
        <s v="Ken Dana"/>
        <s v="Ed Jacobs"/>
        <s v="Bill Tyler"/>
        <s v="Julia Dunbar"/>
        <s v="Roland Murray"/>
        <s v="Victoria Brennan"/>
        <s v="Mick Hernandez"/>
        <s v="Karen Seio"/>
        <s v="Candace McMahon"/>
        <s v="Marc Harrigan"/>
        <s v="Nick Crebassa"/>
        <s v="John Castell"/>
        <s v="Sue Ann Reed"/>
        <s v="Anne McFarland"/>
        <s v="Adrian Hane"/>
        <s v="Bryan Spruell"/>
        <s v="Mitch Gastineau"/>
        <s v="Dennis Bolton"/>
        <s v="Sample Company A"/>
        <s v="Dorothy Dickinson"/>
        <s v="Fred Harton"/>
        <s v="Helen Wasserman"/>
        <s v="Saphhira Shifley"/>
        <s v="Meg O'Connel"/>
        <s v="Michelle Lonsdale"/>
        <s v="Erin Mull"/>
        <s v="Maureen Gastineau"/>
        <s v="Sean Christensen"/>
        <s v="George Zrebassa"/>
        <s v="Muhammed MacIntyre"/>
        <s v="Sarah Brown"/>
        <s v="Chuck Sachs"/>
        <s v="Tony Sayre"/>
        <s v="Angele Hood"/>
        <s v="Tamara Dahlen"/>
        <s v="Jenna Caffey"/>
        <s v="Sean Miller"/>
        <s v="Frank Gastineau"/>
        <s v="Beth Fritzler"/>
        <s v="Larry Hughes"/>
        <s v="Ted Butterfield"/>
        <s v="Patrick O'Donnell"/>
        <s v="Todd Boyes"/>
        <s v="Joni Wasserman"/>
        <s v="Rick Hansen"/>
        <s v="Bradley Nguyen"/>
        <s v="Sung Shariari"/>
        <s v="Bill Eplett"/>
        <s v="Ann Chong"/>
        <s v="Anthony Witt"/>
        <s v="Katrina Bavinger"/>
        <s v="Grace Kelly"/>
        <s v="Robert Waldorf"/>
        <s v="Jessica Myrick"/>
        <s v="Bart Folk"/>
        <s v="Neola Schneider"/>
        <s v="Jane Waco"/>
        <s v="Juliana Krohn"/>
        <s v="Chad McGuire"/>
        <s v="Cyra Reiten"/>
        <s v="Harry Greene"/>
        <s v="Neil Knudson"/>
        <s v="Nora Paige"/>
        <s v="Nancy Lomonaco"/>
        <s v="Sharelle Roach"/>
        <s v="Kimberly Carter"/>
        <s v="Denise Leinenbach"/>
        <s v="Peter BÃ¼hler"/>
        <s v="Clay Rozendal"/>
        <s v="Susan Vittorini"/>
        <s v="Christina DeMoss"/>
        <s v="Roger Barcio"/>
        <s v="Maris LaWare"/>
        <s v="Carol Darley"/>
        <s v="Ann Blume"/>
        <s v="Thomas Brumley"/>
        <s v="Nat Gilpin"/>
        <s v="Larry Blacks"/>
        <s v="Clay Cheatham"/>
        <s v="Joy Smith"/>
        <s v="Michael Kennedy"/>
        <s v="Charles McCrossin"/>
        <s v="Patrick Bzostek"/>
        <s v="Ralph Ritter"/>
        <m/>
      </sharedItems>
    </cacheField>
    <cacheField name="State" numFmtId="0">
      <sharedItems containsBlank="1" count="49">
        <s v="Texas"/>
        <s v="Illinois"/>
        <s v="Pennsylvania"/>
        <s v="California"/>
        <s v="Georgia"/>
        <s v="Kentucky"/>
        <s v="Virginia"/>
        <s v="Delaware"/>
        <s v="Wisconsin"/>
        <s v="Florida"/>
        <s v="Washington"/>
        <s v="New Jersey"/>
        <s v="New York"/>
        <s v="Nevada"/>
        <s v="Missouri"/>
        <s v="North Carolina"/>
        <s v="Ohio"/>
        <s v="South Carolina"/>
        <s v="Michigan"/>
        <s v="Colorado"/>
        <s v="Massachusetts"/>
        <s v="Louisiana"/>
        <s v="Alabama"/>
        <s v="Arizona"/>
        <s v="Idaho"/>
        <s v="Montana"/>
        <s v="Indiana"/>
        <s v="Connecticut"/>
        <s v="Minnesota"/>
        <s v="Arkansas"/>
        <s v="Utah"/>
        <s v="Tennessee"/>
        <s v="Mississippi"/>
        <s v="Maine"/>
        <s v="Oklahoma"/>
        <s v="Oregon"/>
        <s v="Kansas"/>
        <s v="Nebraska"/>
        <s v="New Mexico"/>
        <s v="Maryland"/>
        <s v="Rhode Island"/>
        <s v="Vermont"/>
        <s v="Iowa"/>
        <s v="New Hampshire"/>
        <s v="Wyoming"/>
        <s v="District of Columbia"/>
        <s v="West Virginia"/>
        <s v="South Dakota"/>
        <m/>
      </sharedItems>
    </cacheField>
    <cacheField name="Category" numFmtId="0">
      <sharedItems containsBlank="1" count="4">
        <s v="Office Supplies"/>
        <s v="Furniture"/>
        <s v="Technology"/>
        <m/>
      </sharedItems>
    </cacheField>
    <cacheField name="Sub Category" numFmtId="0">
      <sharedItems containsBlank="1" count="18">
        <s v="Paper"/>
        <s v="Labels"/>
        <s v="Storage"/>
        <s v="Binders"/>
        <s v="Art"/>
        <s v="Chairs"/>
        <s v="Phones"/>
        <s v="Fasteners"/>
        <s v="Furnishings"/>
        <s v="Accessories"/>
        <s v="Tables"/>
        <s v="Envelopes"/>
        <s v="Bookcases"/>
        <s v="Appliances"/>
        <s v="Supplies"/>
        <s v="Copiers"/>
        <s v="Machines"/>
        <m/>
      </sharedItems>
    </cacheField>
    <cacheField name="Product Name" numFmtId="0">
      <sharedItems containsBlank="1" count="160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GBC Standard Recycled Report Covers, Clear Plastic Sheets"/>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Sannysis Cute Owl Design Soft Skin Case Cover for Samsung Galaxy S4"/>
        <s v="Novimex Swivel Fabric Task Chair"/>
        <s v="Black Print Carbonless 8 1/2&quot; x 8 1/4&quot; Rapid Memo Book"/>
        <s v="Plymouth Boxed Rubber Bands by Plymouth"/>
        <s v="Harbour Creations Steel Folding Chair"/>
        <s v="DAX Black Cherry Wood-Tone Poster Frame"/>
        <s v="Fellowes Bankers Box Recycled Super Stor/Drawer"/>
        <s v="Recycled Steel Personal File for Hanging File Folders"/>
        <s v="Bevis Round Conference Room Tables and Bases"/>
        <s v="Staple envelope"/>
        <s v="Array Parchment Paper, Assorted Colors"/>
        <s v="Xerox 1971"/>
        <s v="Hypercom P1300 Pinpad"/>
        <s v="Zebra Zazzle Fluorescent Highlighters"/>
        <s v="PowerGen Dual USB Car Charger"/>
        <s v="Cardinal HOLDit! Binder Insert Strips,Extra Strips"/>
        <s v="Avery 495"/>
        <s v="O'Sullivan 4-Shelf Bookcase in Odessa Pine"/>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Tennsco 6- and 18-Compartment Lockers"/>
        <s v="BOSTON Ranger #55 Pencil Sharpener, Black"/>
        <s v="Eldon Wave Desk Accessories"/>
        <s v="Stockwell Push Pins"/>
        <s v="Southworth 100% RÃ©sumÃ© Paper, 24lb."/>
        <s v="Fellowes Premier Superior Surge Suppressor, 10-Outlet, With Phone and Remote"/>
        <s v="Panasonic KX-TG9471B"/>
        <s v="Xerox 198"/>
        <s v="Economy #2 Pencils"/>
        <s v="Avery 490"/>
        <s v="Pressboard Data Binder, Crimson, 12&quot; X 8 1/2&quot;"/>
        <s v="Rogers Profile Extra Capacity Storage Tub"/>
        <s v="Zipper Ring Binder Pockets"/>
        <s v="Xerox 1990"/>
        <s v="Motorola Droid Maxx"/>
        <s v="Euro-Pro Shark Turbo Vacuum"/>
        <s v="Xerox 1898"/>
        <s v="Xerox 1947"/>
        <s v="Luxo Adjustable Task Clamp Lamp"/>
        <s v="Enermax Briskie RF Wireless Keyboard and Mouse Combo"/>
        <s v="Logitech G600 MMO Gaming Mouse"/>
        <s v="Avery 518"/>
        <s v="Advantus Panel Wall Acrylic Frame"/>
        <s v="Newell 319"/>
        <s v="Avery Non-Stick Binders"/>
        <s v="Safco Commercial Shelving"/>
        <s v="Logitech Wireless Marathon Mouse M705"/>
        <s v="Xerox 209"/>
        <s v="Xerox 1966"/>
        <s v="Eaton Premium Continuous-Feed Paper, 25% Cotton, Letter Size, White, 1000 Shts/Box"/>
        <s v="Crayola Colored Pencils"/>
        <s v="Xerox 1957"/>
        <s v="Newell 321"/>
        <s v="Martin Yale Chadless Opener Electric Letter Opener"/>
        <s v="Tenex File Box, Personal Filing Tote with Lid, Black"/>
        <s v="Adjustable Personal File Tote"/>
        <s v="Stanley Contemporary Battery Pencil Sharpeners"/>
        <s v="Fellowes Twister Kit, Gray/Clear, 3/pkg"/>
        <s v="Binney &amp; Smith Crayola Metallic Colored Pencils, 8-Color Set"/>
        <s v="Space Solutions HD Industrial Steel Shelvin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AT&amp;T TR1909W"/>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O'Sullivan Living Dimensions 2-Shelf Bookcases"/>
        <s v="Xerox 213"/>
        <s v="Prismacolor Color Pencil Set"/>
        <s v="Belkin 6 Outlet Metallic Surge Strip"/>
        <s v="Brother DCP1000 Digital 3 in 1 Multifunction Machine"/>
        <s v="Avery 481"/>
        <s v="GBC Poly Designer Binding Covers"/>
        <s v="Avery Durable Plastic 1&quot; Binders"/>
        <s v="Fellowes Binding Cases"/>
        <s v="DAX Wood Document Frame"/>
        <s v="OIC Thumb-Tacks"/>
        <s v="Eldon Regeneration Recycled Desk Accessories, Smoke"/>
        <s v="Holmes Odor Grabber"/>
        <s v="Adams &quot;While You Were Out&quot; Message Pads"/>
        <s v="Newell 350"/>
        <s v="Xerox 1933"/>
        <s v="Eldon Portable Mobile Manager"/>
        <s v="Storex Dura Pro Binders"/>
        <s v="Easy-staple paper"/>
        <s v="Wilson Jones Legal Size Ring Binders"/>
        <s v="Staple-on labels"/>
        <s v="Model L Table or Wall-Mount Pencil Sharpener"/>
        <s v="Acco PRESSTEX Data Binder with Storage Hooks, Dark Blue, 14 7/8&quot; X 11&quot;"/>
        <s v="Balt Split Level Computer Training Table"/>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Sanford Colorific Scented Colored Pencils, 12/Pack"/>
        <s v="Mophie Juice Pack Helium for iPhone"/>
        <s v="Hot File 7-Pocket, Floor Stand"/>
        <s v="Security-Tint Envelopes"/>
        <s v="Avery 513"/>
        <s v="Contract Clock, 14&quot;, Brown"/>
        <s v="Recycled Steel Personal File for Standard File Folders"/>
        <s v="Seth Thomas 14&quot; Day/Date Wall Clock"/>
        <s v="Commercial WindTunnel Clean Air Upright Vacuum, Replacement Belts, Filtration Bags"/>
        <s v="O'Sullivan Living Dimensions 5-Shelf Bookcases"/>
        <s v="G.E. Halogen Desk Lamp Bulbs"/>
        <s v="Sanford Liquid Accent Highlighters"/>
        <s v="Wilson Jones Century Plastic Molded Ring Binders"/>
        <s v="Acme Office Executive Series Stainless Steel Trimmers"/>
        <s v="Chromcraft Bull-Nose Wood 48&quot; x 96&quot; Rectangular Conference Tables"/>
        <s v="#10- 4 1/8&quot; x 9 1/2&quot; Recycled Envelopes"/>
        <s v="Round Specialty Laser Printer Labels"/>
        <s v="Presstex Flexible Ring Binders"/>
        <s v="Xerox 1944"/>
        <s v="Bevis Round Conference Table Top, X-Base"/>
        <s v="Hon Deluxe Fabric Upholstered Stacking Chairs, Squared Back"/>
        <s v="Situations Contoured Folding Chairs, 4/Set"/>
        <s v="Green Canvas Binder for 8-1/2&quot; x 14&quot; Sheets"/>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Square Credit Card Reader"/>
        <s v="Logitech M510 Wireless Mouse"/>
        <s v="Boston 1645 Deluxe Heavier-Duty Electric Pencil Sharpener"/>
        <s v="Staple remover"/>
        <s v="Deluxe Chalkboard Eraser Cleaner"/>
        <s v="Bevis 44 x 96 Conference Tables"/>
        <s v="DIXON Oriole Pencils"/>
        <s v="Xerox 1909"/>
        <s v="Executive Impressions 13-1/2&quot; Indoor/Outdoor Wall Clock"/>
        <s v="Dot Matrix Printer Tape Reel Labels, White, 5000/Box"/>
        <s v="Cardinal Holdit Business Card Pockets"/>
        <s v="Wilson SignalBoost 841262 DB PRO Amplifier Kit"/>
        <s v="Avery Durable Binders"/>
        <s v="Logitech B530 USBÂ HeadsetÂ -Â headsetÂ - Full size, Binaural"/>
        <s v="Fellowes Mighty 8 Compact Surge Protector"/>
        <s v="Southworth Structures Collection"/>
        <s v="NETGEAR AC1750 Dual Band GigabitÂ Smart WiFi Router"/>
        <s v="Avery 516"/>
        <s v="Xerox 1995"/>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Wilson Jones Ledger-Size, Piano-Hinge Binder, 2&quot;, Blue"/>
        <s v="Eureka Recycled Copy Paper 8 1/2&quot; x 11&quot;, Ream"/>
        <s v="Xerox 1895"/>
        <s v="Avery 49"/>
        <s v="Perma STOR-ALL Hanging File Box, 13 1/8&quot;W x 12 1/4&quot;D x 10 1/2&quot;H"/>
        <s v="Avery Hidden Tab Dividers for Binding Systems"/>
        <s v="Bush Heritage Pine Collection 5-Shelf Bookcase, Albany Pine Finish, *Special Order"/>
        <s v="Prang Drawing Pencil Set"/>
        <s v="Xerox 1967"/>
        <s v="Cisco SPA508G"/>
        <s v="Global Commerce Series High-Back Swivel/Tilt Chairs"/>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Self-Adhesive Ring Binder Labels"/>
        <s v="Xerox 1949"/>
        <s v="Verbatim 25 GB 6x Blu-ray Single Layer Recordable Disc, 1/Pack"/>
        <s v="Hon Deluxe Fabric Upholstered Stacking Chairs"/>
        <s v="Fluorescent Highlighters by Dixon"/>
        <s v="Xerox 195"/>
        <s v="Self-Adhesive Address Labels for Typewriters by Universal"/>
        <s v="Honeywell Quietcare HEPA Air Cleaner"/>
        <s v="Xerox 1916"/>
        <s v="Wilson Jones data.warehouse D-Ring Binders with DublLock"/>
        <s v="Acco Clips to Go Binder Clips, 24 Clips in Two Sizes"/>
        <s v="Wilson Jones 14 Line Acrylic Coated Pressboard Data Binder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Staple magnet"/>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Xerox 1913"/>
        <s v="Global Value Steno Chair, Gray"/>
        <s v="Logitech Desktop MK120 Mouse and keyboard Combo"/>
        <s v="Akro Stacking Bins"/>
        <s v="Boston KS Multi-Size Manual Pencil Sharpener"/>
        <s v="Fellowes Advanced Computer Series Surge Protectors"/>
        <s v="Binney &amp; Smith inkTank Erasable Pocket Highlighter, Chisel Tip, Yellow"/>
        <s v="Hon GuestStacker Chair"/>
        <s v="Plantronics CS 50-USB -Â headsetÂ - Convertible, Monaural"/>
        <s v="SAFCO PlanMaster Heigh-Adjustable Drafting Table Base, 43w x 30d x 30-37h, Black"/>
        <s v="Maxell 74 Minute CD-R Spindle, 50/P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Avery Hole Reinforcements"/>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very 501"/>
        <s v="Acco Translucent Poly Ring Binders"/>
        <s v="BOSTON Model 1800 Electric Pencil Sharpeners, Putty/Woodgrain"/>
        <s v="Prestige Round Ring Binders"/>
        <s v="Xerox 216"/>
        <s v="Wilson Jones Hanging Recycled Pressboard Data Binders"/>
        <s v="WD My Passport Ultra 2TB Portable External Hard Drive"/>
        <s v="Holmes Cool Mist Humidifier for the Whole House with 8-Gallon Output per Day, Extended Life Filter"/>
        <s v="Tenex Carpeted, Granite-Look or Clear Contemporary Contour Shape Chair Mats"/>
        <s v="SANFORD Major Accent Highlighters"/>
        <s v="Newell 324"/>
        <s v="Logitech Wireless Performance Mouse MX for PC and Mac"/>
        <s v="Epson TM-T88V Direct Thermal Printer - Monochrome - Desktop"/>
        <s v="GBC DocuBind TL300 Electric Binding System"/>
        <s v="LogitechÂ Gaming G510s - Keyboard"/>
        <s v="GBC VeloBinder Strips"/>
        <s v="Economy Rollaway Files"/>
        <s v="Telescoping Adjustable Floor Lamp"/>
        <s v="invisibleSHIELD by ZAGG Smudge-Free Screen Protector"/>
        <s v="DAX Natural Wood-Tone Poster Frame"/>
        <s v="StarTech.com 10/100 VDSL2 Ethernet Extender Kit"/>
        <s v="Executive Impressions 13&quot; Clairmont Wall Clock"/>
        <s v="GBC Laser Imprintable Binding System Covers, Desert Sand"/>
        <s v="Xerox 2000"/>
        <s v="3M Polarizing Task Lamp with Clamp Arm, Light Gray"/>
        <s v="Plantronics CordlessÂ Phone HeadsetÂ with In-line Volume - M214C"/>
        <s v="AT&amp;T EL51110 DECT"/>
        <s v="Panasonic KX TS3282B Corded phone"/>
        <s v="Angle-D Binders with Locking Rings, Label Holders"/>
        <s v="Riverside Furniture Oval Coffee Table, Oval End Table, End Table with Drawer"/>
        <s v="Belkin Standard 104 key USB Keyboard"/>
        <s v="Dixon Ticonderoga Core-Lock Colored Pencils"/>
        <s v="Avery Recycled Flexi-View Covers for Binding Systems"/>
        <s v="Padded Folding Chairs, Black, 4/Carton"/>
        <s v="Akro-Mils 12-Gallon Tote"/>
        <s v="Acme Design Line 8&quot; Stainless Steel Bent Scissors w/Champagne Handles, 3-1/8&quot; Cut"/>
        <s v="Avery Legal 4-Ring Binder"/>
        <s v="Acco Hot Clips Clips to Go"/>
        <s v="Avery Heavy-Duty EZD View Binder with Locking Rings"/>
        <s v="BIC Brite Liner Highlighters"/>
        <s v="Lexmark MX611dhe Monochrome Laser Printer"/>
        <s v="SAFCO Arco Folding Chair"/>
        <s v="Kensington 7 Outlet MasterPiece Power Center"/>
        <s v="JBL Micro Wireless Portable Bluetooth Speaker"/>
        <s v="Logitech Wireless Touch Keyboard K400"/>
        <s v="GBC ProClick Punch Binding System"/>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on Deluxe Fabric Upholstered Stacking Chairs, Rounded Back"/>
        <s v="Hunt PowerHouse Electric Pencil Sharpener, Blue"/>
        <s v="Carina Double Wide Media Storage Towers in Natural &amp; Black"/>
        <s v="Snap-A-Way Black Print Carbonless Ruled Speed Letter, Triplicate"/>
        <s v="Global Super Steno Chair"/>
        <s v="Nontoxic Chalk"/>
        <s v="Acco PRESSTEX Data Binder with Storage Hooks, Light Blue, 9 1/2&quot; X 11&quot;"/>
        <s v="Alphabetical Labels for Top Tab Filing"/>
        <s v="Global Italian Leather Office Chair"/>
        <s v="Advantus Motivational Note Cards"/>
        <s v="Xerox 210"/>
        <s v="Rosewill 107 Normal Keys USB Wired Standard Keyboard"/>
        <s v="Master Caster Door Stop, Large Neon Orange"/>
        <s v="Polycom SoundPoint IP 450 VoIP phone"/>
        <s v="3D Systems Cube Printer, 2nd Generation, White"/>
        <s v="Nu-Dell Executive Frame"/>
        <s v="Newell 320"/>
        <s v="Ampad Poly Cover Wirebound Steno Book, 6&quot; x 9&quot; Assorted Colors, Gregg Ruled"/>
        <s v="Peel &amp; Seel Envelopes"/>
        <s v="GuestStacker Chair with Chrome Finish Legs"/>
        <s v="Kensington 6 Outlet Guardian Standard Surge Protector"/>
        <s v="Dana Fluorescent Magnifying Lamp, White, 36&quot;"/>
        <s v="Deflect-o DuraMat Lighweight, Studded, Beveled Mat for Low Pile Carpeting"/>
        <s v="Xerox 220"/>
        <s v="Fellowes 8 Outlet Superior Workstation Surge Protector"/>
        <s v="SanDisk Cruzer 32 GB USB Flash Drive"/>
        <s v="Wilson Jones Impact Binders"/>
        <s v="Premier Elliptical Ring Binder, Black"/>
        <s v="Compact Automatic Electric Letter Opener"/>
        <s v="SanDisk Cruzer 16 GB USB Flash Drive"/>
        <s v="GBC DocuBind P100 Manual Binding Machine"/>
        <s v="Seth Thomas 8 1/2&quot; Cubicle Clock"/>
        <s v="HON 5400 Series Task Chairs for Big and Tall"/>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Hunt Boston Vacuum Mount KS Pencil Sharpener"/>
        <s v="Convenience Packs of Business Envelopes"/>
        <s v="Logitech G105 Gaming Keyboard"/>
        <s v="Colored Push Pins"/>
        <s v="Smead Alpha-Z Color-Coded Second Alphabetical Labels and Starter Set"/>
        <s v="Avery 512"/>
        <s v="GBC Recycled Regency Composition Covers"/>
        <s v="Avery 519"/>
        <s v="Office Star - Contemporary Task Swivel chair with Loop Arms, Charcoal"/>
        <s v="Plantronics Audio 478 Stereo USB Headset"/>
        <s v="ImationÂ USB 2.0 SwivelÂ Flash DriveÂ USBÂ flash driveÂ - 4 GB - Pink"/>
        <s v="Tennsco Lockers, Gray"/>
        <s v="Fellowes Staxonsteel Drawer Files"/>
        <s v="Seth Thomas 16&quot; Steel Case Clock"/>
        <s v="Fellowes Personal Hanging Folder Files, Navy"/>
        <s v="Maxell 74 Minute CDR, 10/Pack"/>
        <s v="Xerox 197"/>
        <s v="iOttie HLCRIO102 Car Mount"/>
        <s v="#10- 4 1/8&quot; x 9 1/2&quot; Security-Tint Envelopes"/>
        <s v="Westinghouse Clip-On Gooseneck Lamps"/>
        <s v="Cisco 8x8 Inc. 6753i IP Business Phone System"/>
        <s v="Hewlett-Packard Deskjet F4180 All-in-One Color Ink-jet - Printer / copier / scanner"/>
        <s v="Dixon Ticonderoga Core-Lock Colored Pencils, 48-Color Set"/>
        <s v="Fellowes High-Stak Drawer Files"/>
        <s v="Airmail Envelopes"/>
        <s v="DAX Cubicle Frames - 8x10"/>
        <s v="WD My Passport Ultra 1TB Portable External Hard Drive"/>
        <s v="Iris Project Case"/>
        <s v="Global Enterprise Series Seating High-Back Swivel/Tilt Chairs"/>
        <s v="Eldon Pizzaz Desk Accessories"/>
        <s v="Premium Writing Pencils, Soft, #2 by Central Association for the Blind"/>
        <s v="Sortfiler Multipurpose Personal File Organizer, Black"/>
        <s v="Acme Hot Forged Carbon Steel Scissors with Nickel-Plated Handles, 3 7/8&quot; Cut, 8&quot;L"/>
        <s v="ClearOne CHATAttach 160 -Â speaker phone"/>
        <s v="Carina Mini System Audio Rack, Model AR050B"/>
        <s v="Plantronics Voyager Pro HD - Bluetooth Headset"/>
        <s v="Cisco IPÂ PhoneÂ 7961G VoIPÂ phoneÂ - Dark gray"/>
        <s v="Southworth Parchment Paper &amp; Envelopes"/>
        <s v="Multi-Use Personal File Cart and Caster Set, Three Stacking Bins"/>
        <s v="OIC #2 Pencils, Medium Soft"/>
        <s v="Avery 475"/>
        <s v="Master Big Foot Doorstop, Beige"/>
        <s v="Howard Miller 13&quot; Diameter Pewter Finish Round Wall Clock"/>
        <s v="Acco Economy Flexible Poly Round Ring Binder"/>
        <s v="Avery 499"/>
        <s v="Tensor Computer Mounted Lamp"/>
        <s v="Polycom CX300 Desktop Phone USB VoIP phone"/>
        <s v="I Need's 3d Hello Kitty Hybrid Silicone Case Cover for HTC One X 4g with 3d Hello Kitty Stylus Pen Green/pink"/>
        <s v="Acco D-Ring Binder w/DublLock"/>
        <s v="Adjustable Depth Letter/Legal Cart"/>
        <s v="Samsung Rugby III"/>
        <s v="Acco Pressboard Covers with Storage Hooks, 14 7/8&quot; x 11&quot;, Light Blue"/>
        <s v="Acme Kleen Earth Office Shears"/>
        <s v="Ampad Evidence Wirebond Steno Books, 6&quot; x 9&quot;"/>
        <s v="Hon Racetrack Conference Tables"/>
        <s v="Avery Self-Adhesive Photo Pockets for Polaroid Photos"/>
        <s v="Tenex Antistatic Computer Chair Mats"/>
        <s v="Belkin F8E887 USB Wired Ergonomic Keyboard"/>
        <s v="Prang Dustless Chalk Sticks"/>
        <s v="DMI Arturo Collection Mission-style Design Wood Chair"/>
        <s v="Canon imageCLASS MF7460 Monochrome Digital Laser Multifunction Copier"/>
        <s v="Panasonic Kx-TS550"/>
        <s v="NETGEAR N750 Dual Band Wi-Fi Gigabit Router"/>
        <s v="Trav-L-File Heavy-Duty Shuttle II, Black"/>
        <s v="OIC Bulk Pack Metal Binder Clips"/>
        <s v="Executive Impressions 12&quot; Wall Clock"/>
        <s v="Polycom SoundPoint Pro SE-225 Corded phone"/>
        <s v="Cardinal EasyOpen D-Ring Binders"/>
        <s v="Hewlett-Packard Deskjet D4360 Printer"/>
        <s v="Acco Flexible ACCOHIDE Square Ring Data Binder, Dark Blue, 11 1/2&quot; X 14&quot; 7/8&quot;"/>
        <s v="Newell 343"/>
        <s v="OIC Stacking Trays"/>
        <s v="Maxell 4.7GB DVD-RW 3/Pack"/>
        <s v="Tennsco Double-Tier Lockers"/>
        <s v="Sony 16GB Class 10 Micro SDHC R40 Memory Card"/>
        <s v="Memorex Micro Travel Drive 32 GB"/>
        <s v="Global Stack Chair with Arms, Black"/>
        <s v="Satellite Sectional Post Binders"/>
        <s v="Avery Triangle Shaped Sheet Lifters, Black, 2/Pack"/>
        <s v="Acme Stainless Steel Office Snips"/>
        <s v="Belkin 8 Outlet Surge Protector"/>
        <s v="Portable Personal File Box"/>
        <s v="X-Rack File for Hanging Folders"/>
        <s v="ACCOHIDE 3-Ring Binder, Blue, 1&quot;"/>
        <s v="Riverleaf Stik-Withit Designer Note Cubes"/>
        <s v="Panasonic KP-150 Electric Pencil Sharpener"/>
        <s v="Toshiba IPT2010-SD IPÂ Telephone"/>
        <s v="Sauder Mission Library with Doors, Fruitwood Finish"/>
        <s v="Samsung Galaxy Note 3"/>
        <s v="Decoflex Hanging Personal Folder File, Blue"/>
        <s v="Recycled Desk Saver Line &quot;While You Were Out&quot; Book, 5 1/2&quot; X 4&quot;"/>
        <s v="Xerox 1912"/>
        <s v="Eldon 200 Class Desk Accessories, Black"/>
        <s v="Jabra SPEAK 410"/>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Hon Every-Day Series Multi-Task Chairs"/>
        <s v="Acco Perma 3000 Stacking Storage Drawers"/>
        <s v="Stur-D-Stor Shelving, Vertical 5-Shelf: 72&quot;H x 36&quot;W x 18 1/2&quot;D"/>
        <s v="BIC Brite Liner Grip Highlighters, Assorted, 5/Pack"/>
        <s v="Samsung Galaxy S III - 16GB - pebble blue (T-Mobile)"/>
        <s v="Global Airflow Leather Mesh Back Chair, Black"/>
        <s v="Universal Recycled Hanging Pressboard Report Binders, Letter Size"/>
        <s v="Boston Electric Pencil Sharpener, Model 1818, Charcoal Black"/>
        <s v="Wirebound Message Book, 4 per Page"/>
        <s v="Xerox 1893"/>
        <s v="Geemarc AmpliPOWER60"/>
        <s v="Classic Ivory AntiqueÂ TelephoneÂ ZL1810"/>
        <s v="50 Colored Long Pencils"/>
        <s v="Hon Olson Stacker Stools"/>
        <s v="GE 4 Foot Flourescent Tube, 40 Watt"/>
        <s v="Atlantic Metals Mobile 3-Shelf Bookcases, Custom Colors"/>
        <s v="Xerox 1979"/>
        <s v="Fellowes PB500 Electric Punch Plastic Comb Binding Machine with Manual Bind"/>
        <s v="DAX Wood Document Frame."/>
        <s v="Wirebound Message Books, Four 2 3/4&quot; x 5&quot; Forms per Page, 600 Sets per Book"/>
        <s v="Xerox 1882"/>
        <s v="Acme Value Line Scissors"/>
        <s v="Personal Filing Tote with Lid, Black/Gray"/>
        <s v="Xerox 1974"/>
        <s v="Bevis Boat-Shaped Conference Table"/>
        <s v="Avery Fluorescent Highlighter Four-Color Set"/>
        <s v="ImationÂ 16GB Mini TravelDrive USB 2.0Â Flash Drive"/>
        <s v="GE General Use Halogen Bulbs, 100 Watts, 1 Bulb per Pack"/>
        <s v="Logitech G602 Wireless Gaming Mouse"/>
        <s v="Office Star - Professional Matrix Back Chair with 2-to-1 Synchro Tilt and Mesh Fabric Seat"/>
        <s v="Hunt BOSTON Vista Battery-Operated Pencil Sharpener, Black"/>
        <s v="Floodlight Indoor Halogen Bulbs, 1 Bulb per Pack, 60 Watts"/>
        <s v="BlueLounge Milo Smartphone Stand, White/Metallic"/>
        <s v="Master Caster Door Stop, Brown"/>
        <s v="Xerox 214"/>
        <s v="Hon 4070 Series Pagoda Round Back Stacking Chairs"/>
        <s v="Linden 10&quot; Round Wall Clock, Black"/>
        <s v="Ultra Door Push Plate"/>
        <s v="Logitech 910-002974 M325 Wireless Mouse for Web Scrolling"/>
        <s v="Deflect-o SuperTray Unbreakable Stackable Tray, Letter, Black"/>
        <s v="12-1/2 Diameter Round Wall Clock"/>
        <s v="ImationÂ 32GB Pocket Pro USB 3.0Â Flash DriveÂ - 32 GB - Black - 1 P ..."/>
        <s v="DAX Metal Frame, Desktop, Stepped-Edge"/>
        <s v="Xerox 1942"/>
        <s v="Avery 509"/>
        <s v="Kingston Digital DataTraveler 8GB USB 2.0"/>
        <s v="RSVP Cards &amp; Envelopes, Blank White, 8-1/2&quot; X 11&quot;, 24 Cards/25 Envelopes/Set"/>
        <s v="Jabra Supreme Plus Driver EditionÂ Headset"/>
        <s v="Hunt BOSTON Model 1606 High-Volume Electric Pencil Sharpener, Beige"/>
        <s v="netTALK DUO VoIP Telephone Service"/>
        <s v="Recycled Eldon Regeneration Jumbo File"/>
        <s v="Cameo Buff Policy Envelopes"/>
        <s v="Lunatik TT5L-002 Taktik Strike Impact Protection System for iPhone 5"/>
        <s v="Panasonic KX T7736-B Digital phone"/>
        <s v="File Shuttle I and Handi-File"/>
        <s v="Bionaire 99.97% HEPA Air Cleaner"/>
        <s v="Shocksock Galaxy S4 Armband"/>
        <s v="Ibico Covers for Plastic or Wire Binding Elements"/>
        <s v="Rogers Deluxe File Chest"/>
        <s v="Standard Rollaway File with Lock"/>
        <s v="Newell 32"/>
        <s v="Green Bar Computer Printout Paper"/>
        <s v="Companion Letter/Legal File, Black"/>
        <s v="Acco PRESSTEX Data Binder with Storage Hooks, Dark Blue, 9 1/2&quot; X 11&quot;"/>
        <s v="Samsung HM1900 Bluetooth Headset"/>
        <s v="SanDisk Ultra 16 GB MicroSDHC Class 10 Memory Card"/>
        <s v="Avery 492"/>
        <s v="Xerox 232"/>
        <s v="Xerox 1964"/>
        <s v="Xerox 1987"/>
        <s v="Recycled Data-Pak for Archival Bound Computer Printouts, 12-1/2 x 12-1/2 x 16"/>
        <s v="Astroparche Fine Business Paper"/>
        <s v="Tripp Lite TLP810NET Broadband Surge for Modem/Fax"/>
        <s v="Canon PC940 Copier"/>
        <s v="Adams Write n' Stick Phone Message Book, 11&quot; X 5 1/4&quot;, 200 Messages"/>
        <s v="Poly Designer Cover &amp; Back"/>
        <s v="Office Star - Contemporary Swivel Chair with Padded Adjustable Arms and Flex Back"/>
        <s v="Xerox 1931"/>
        <s v="Xerox Color Copier Paper, 11&quot; x 17&quot;, Ream"/>
        <s v="Hon Non-Folding Utility Tables"/>
        <s v="Bretford Rectangular Conference Table Tops"/>
        <s v="Eldon Advantage Chair Mats for Low to Medium Pile Carpets"/>
        <s v="GBC DocuBind 300 Electric Binding Machine"/>
        <s v="Eldon Image Series Desk Accessories, Burgundy"/>
        <s v="Woodgrain Magazine Files by Perma"/>
        <s v="Longer-Life Soft White Bulbs"/>
        <s v="Avery 505"/>
        <s v="O'Sullivan 2-Door Barrister Bookcase in Odessa Pine"/>
        <s v="Speck Products Candyshell Flip Case"/>
        <s v="Cisco 9971 IP Video Phone Charcoal"/>
        <s v="SAFCO Mobile Desk Side File, Wire Frame"/>
        <s v="Newell 313"/>
        <s v="Xerox 1959"/>
        <s v="Enermax Acrylux Wireless Keyboard"/>
        <s v="Newell 317"/>
        <s v="Global Deluxe Steno Chair"/>
        <s v="Newell 34"/>
        <s v="It's Hot Message Books with Stickers, 2 3/4&quot; x 5&quot;"/>
        <s v="Belkin 5 Outlet SurgeMaster Power Centers"/>
        <s v="Boston 1730 StandUp Electric Pencil Sharpener"/>
        <s v="Speediset Carbonless Redi-Letter 7&quot; x 8 1/2&quot;"/>
        <s v="Bush Advantage Collection Racetrack Conference Table"/>
        <s v="Dual Level, Single-Width Filing Carts"/>
        <s v="Anker 24W Portable Micro USB Car Charger"/>
        <s v="SanDisk Cruzer 4 GB USB Flash Drive"/>
        <s v="LG Electronics Tone+ HBS-730 Bluetooth Headset"/>
        <s v="Coloredge Poster Frame"/>
        <s v="Kensington SlimBlade Notebook Wireless Mouse with Nano Receiver"/>
        <s v="Hand-Finished Solid Wood Document Frame"/>
        <s v="Wilson Jones Standard D-Ring Binders"/>
        <s v="Global Fabric Manager's Chair, Dark Gray"/>
        <s v="Newell 310"/>
        <s v="Hon Metal Bookcases, Putty"/>
        <s v="SANFORD Liquid Accent Tank-Style Highlighters"/>
        <s v="UniKeep View Case Binders"/>
        <s v="Memorex Mini Travel Drive 8 GB USB 2.0 Flash Drive"/>
        <s v="Tennsco Industrial Shelving"/>
        <s v="Xerox 1920"/>
        <s v="Wirebound Message Books, Four 2 3/4 x 5 Forms per Page, 200 Sets per Book"/>
        <s v="Advantus Push Pins, Aluminum Head"/>
        <s v="Sanford Colorific Colored Pencils, 12/Box"/>
        <s v="Eldon ProFile File 'N Store Portable File Tub Letter/Legal Size Black"/>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Brown Kraft Recycled Envelopes"/>
        <s v="Fellowes Strictly Business Drawer File, Letter/Legal Size"/>
        <s v="Samsung Convoy 3"/>
        <s v="Avery Round Ring Poly Binders"/>
        <s v="36X48 HARDFLOOR CHAIRMAT"/>
        <s v="Cisco SPA525G2 IP Phone - Wireless"/>
        <s v="Avanti 4.4 Cu. Ft. Refrigerator"/>
        <s v="Deflect-o Glass Clear Studded Chair Mats"/>
        <s v="Canon PC1060 Personal Laser Copier"/>
        <s v="Microsoft Sculpt Comfort Mouse"/>
        <s v="GBC Twin Loop Wire Binding Elements, 9/16&quot; Spine, Black"/>
        <s v="LG G3"/>
        <s v="Rush Hierlooms Collection 1&quot; Thick Stackable Bookcases"/>
        <s v="Hon Mobius Operator's Chair"/>
        <s v="Nortel Meridian M3904 Professional Digital phone"/>
        <s v="Boston 1900 Electric Pencil Sharpener"/>
        <s v="Xerox 1997"/>
        <s v="Avery Premier Heavy-Duty Binder with Round Locking Rings"/>
        <s v="Acco Suede Grain Vinyl Round Ring Binder"/>
        <s v="Eldon Expressions Desk Accessory, Wood Pencil Holder, Oak"/>
        <s v="Acrylic Self-Standing Desk Frames"/>
        <s v="APC 7 Outlet Network SurgeArrest Surge Protector"/>
        <s v="Anker Ultra-Slim Mini Bluetooth 3.0 Wireless Keyboard"/>
        <s v="Aluminum Screw Posts"/>
        <s v="Vtech AT&amp;T CL2940 Corded Speakerphone, Black"/>
        <s v="Eldon Advantage Foldable Chair Mats for Low Pile Carpets"/>
        <s v="GBC Prestige Therm-A-Bind Covers"/>
        <s v="Hoover Shoulder Vac Commercial Portable Vacuum"/>
        <s v="Acco Expandable Hanging Binders"/>
        <s v="Cardinal Slant-D Ring Binders"/>
        <s v="Cush Cases Heavy Duty Rugged Cover Case for Samsung Galaxy S5 - Purple"/>
        <s v="DAX Charcoal/Nickel-Tone Document Frame, 5 x 7"/>
        <s v="Dixon Ticonderoga Pencils"/>
        <s v="Hoover Upright Vacuum With Dirt Cup"/>
        <s v="Razer Kraken PRO Over Ear PC and Music Headset"/>
        <s v="Newell 331"/>
        <s v="Xerox 192"/>
        <s v="Laminate Occasional Tables"/>
        <s v="Honeywell Enviracaire Portable HEPA Air Cleaner for up to 10 x 16 Room"/>
        <s v="Insertable Tab Post Binder Dividers"/>
        <s v="Steel Personal Filing/Posting Tote"/>
        <s v="Faber Castell Col-Erase Pencils"/>
        <s v="OtterBox Commuter Series Case - iPhone 5 &amp; 5s"/>
        <s v="Kensington 4 Outlet MasterPiece Compact Power Control Center"/>
        <s v="Executive Impressions Supervisor Wall Clock"/>
        <s v="Executive Impressions 14&quot; Two-Color Numerals Wall Clock"/>
        <s v="Canon PC-428 Personal Copier"/>
        <s v="Rogers Jumbo File, Granite"/>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Xerox 1897"/>
        <s v="Global Leather Highback Executive Chair with Pneumatic Height Adjustment, Black"/>
        <s v="Ibico Recycled Linen-Style Covers"/>
        <s v="GBC Linen Binding Covers"/>
        <s v="Avery Binding System Hidden Tab Executive Style Index Sets"/>
        <s v="Electrix 20W Halogen Replacement Bulb for Zoom-In Desk Lamp"/>
        <s v="Staple-based wall hangings"/>
        <s v="ShoreTel ShorePhone IP 230 VoIP phone"/>
        <s v="Chromcraft Round Conference Tables"/>
        <s v="Xerox 1902"/>
        <s v="VTech DS6151"/>
        <s v="Xerox 204"/>
        <s v="Tripp Lite Isotel 8 Ultra 8 Outlet Metal Surge"/>
        <s v="Global Chrome Stack Chair"/>
        <s v="Xerox 1962"/>
        <s v="Xerox 1953"/>
        <s v="Digium D40 VoIP phone"/>
        <s v="Avery Poly Binder Pockets"/>
        <s v="Xerox 1928"/>
        <s v="iKross Bluetooth Portable Keyboard + Cell Phone Stand Holder + Brush for Apple iPhone 5S 5C 5, 4S 4"/>
        <s v="Avery 491"/>
        <s v="Wirebound Message Books, Two 4 1/4&quot; x 5&quot; Forms per Page"/>
        <s v="Executive Impressions 10&quot; Spectator Wall Clock"/>
        <s v="LogitechÂ Z-906 Speaker sys - home theater - 5.1-CH"/>
        <s v="Xerox 1981"/>
        <s v="3-ring staple pack"/>
        <s v="Maxell 4.7GB DVD+R 5/Pack"/>
        <s v="Xerox 1951"/>
        <s v="Fellowes Super Stor/Drawer Files"/>
        <s v="Advantus Employee of the Month Certificate Frame, 11 x 13-1/2"/>
        <s v="Newell 344"/>
        <s v="Smead Alpha-Z Color-Coded Name Labels First Letter Starter Set"/>
        <s v="Xerox 1963"/>
        <s v="Dexim XPower Skin Super-Thin Power Case for iPhone 5 - Black"/>
        <s v="Wilson Jones Elliptical Ring 3 1/2&quot; Capacity Binders, 800 sheets"/>
        <s v="Logitech Keyboard K120"/>
        <s v="SlimView Poly Binder, 3/8&quot;"/>
        <s v="Xerox 222"/>
        <s v="DAX Clear Channel Poster Frame"/>
        <s v="Hon 2090 Â“Pillow SoftÂ” Series Mid Back Swivel/Tilt Chairs"/>
        <s v="Cisco SPA301"/>
        <s v="GBC Standard Plastic Binding Systems' Combs"/>
        <s v="Tennsco 16-Compartment Lockers with Coat Rack"/>
        <s v="DataProducts Ampli Magnifier Task Lamp, Black,"/>
        <s v="Hon 4070 Series Pagoda Armless Upholstered Stacking Chairs"/>
        <s v="Global Wood Trimmed Manager's Task Chair, Khaki"/>
        <s v="Advantus Rolling Storage Box"/>
        <s v="24-Hour Round Wall Clock"/>
        <s v="Things To Do Today Pad"/>
        <s v="Novimex High-Tech Fabric Mesh Task Chair"/>
        <s v="Eldon Antistatic Chair Mats for Low to Medium Pile Carpets"/>
        <s v="Important Message Pads, 50 4-1/4 x 5-1/2 Forms per Pad"/>
        <s v="Howard Miller 12&quot; Round Wall Clock"/>
        <s v="Mitel MiVoice 5330e IP Phone"/>
        <s v="Colorific Watercolor Pencils"/>
        <s v="Stackable Trays"/>
        <s v="Durable Pressboard Binders"/>
        <s v="HP Standard 104 key PS/2 Keyboard"/>
        <s v="OtterBox Commuter Series Case - Samsung Galaxy S4"/>
        <s v="Iceberg Mobile Mega Data/Printer Cart"/>
        <s v="Bush Mission Pointe Library"/>
        <s v="Novimex Turbo Task Chair"/>
        <s v="Newell 333"/>
        <s v="Tops Wirebound Message Log Books"/>
        <s v="Binney &amp; Smith inkTank Desk Highlighter, Chisel Tip, Yellow, 12/Box"/>
        <s v="Advantus Map Pennant Flags and Round Head Tacks"/>
        <s v="Fellowes Powershred HS-440 4-Sheet High Security Shredder"/>
        <s v="Eldon ClusterMat Chair Mat with Cordless Antistatic Protection"/>
        <s v="Avery 05222 Permanent Self-Adhesive File Folder Labels for Typewriters, on Rolls, White, 250/Roll"/>
        <s v="GBC Recycled VeloBinder Covers"/>
        <s v="Wilson Jones Active Use Binders"/>
        <s v="Project Tote Personal File"/>
        <s v="Panasonic KX-TG9541B DECT 6.0 Digital 2-Line Expandable Cordless Phone With Digital Answering System"/>
        <s v="Acco 7-Outlet Masterpiece Power Center, Wihtout Fax/Phone Line Protection"/>
        <s v="Accohide Poly Flexible Ring Binders"/>
        <s v="Howard Miller 13-3/4&quot; Diameter Brushed Chrome Round Wall Clock"/>
        <s v="3M Organizer Strips"/>
        <s v="Novimex Fabric Task Chair"/>
        <s v="Xerox 1896"/>
        <s v="Lesro Sheffield Collection Coffee Table, End Table, Center Table, Corner Table"/>
        <s v="Tuf-Vin Binders"/>
        <s v="Vtech CS6719"/>
        <s v="GE 2-Jack Phone Line Splitter"/>
        <s v="Ibico Presentation Index for Binding Systems"/>
        <s v="Okidata C331dn Printer"/>
        <s v="Plantronics MX500i Earset"/>
        <s v="Office Star Flex Back Scooter Chair with White Frame"/>
        <s v="Eldon Expressions Wood Desk Accessories, Oak"/>
        <s v="Xerox 188"/>
        <s v="Xerox 1906"/>
        <s v="O'Sullivan Manor Hill 2-Door Library in Brianna Oak"/>
        <s v="Cardinal Hold-It CD Pocket"/>
        <s v="Wilson Jones Hanging View Binder, White, 1&quot;"/>
        <s v="Tenex V2T-RE Standard Weight Series Chair Mat, 45&quot; x 53&quot;, Lip 25&quot; x 12&quot;"/>
        <s v="Acco Six-Outlet Power Strip, 4' Cord Length"/>
        <s v="Ativa D5772 2-Line 5.8GHz Digital Expandable Corded/Cordless Phone System with Answering &amp; Caller ID/Call Waiting, Black/Silver"/>
        <s v="Avery 50"/>
        <s v="Global Ergonomic Managers Chair"/>
        <s v="Boston 1827 Commercial Additional Cutter, Drive Gear &amp; Gear Rack for 1606"/>
        <s v="Conquest 14 Commercial Heavy-Duty Upright Vacuum, Collection System, Accessory Kit"/>
        <s v="GBC DocuBind P50 Personal Binding Machine"/>
        <s v="Sanford Uni-Blazer View Highlighters, Chisel Tip, Yellow"/>
        <s v="KI Conference Tables"/>
        <s v="GBC Ibimaster 500 Manual ProClick Binding System"/>
        <s v="Artistic Insta-Plaque"/>
        <s v="Xerox 1886"/>
        <s v="Belkin QODE FastFit Bluetooth Keyboard"/>
        <s v="Avery File Folder Labels"/>
        <s v="O'Sullivan Cherrywood Estates Traditional Barrister Bookcase"/>
        <s v="Xerox 1885"/>
        <s v="Avery 489"/>
        <s v="Peel-Off China Markers"/>
        <s v="GBC Binding covers"/>
        <s v="AT&amp;T 841000 Phone"/>
        <s v="Deluxe Heavy-Duty Vinyl Round Ring Binder"/>
        <s v="Jet-Pak Recycled Peel 'N' Seal Padded Mailers"/>
        <s v="Eldon Gobal File Keepers"/>
        <s v="White Business Envelopes with Contemporary Seam, Recycled White Business Envelopes"/>
        <s v="Sterilite Officeware Hinged File Box"/>
        <s v="TRENDnet 56K USB 2.0 Phone, Internet and Fax Modem"/>
        <s v="Holmes Replacement Filter for HEPA Air Cleaner, Very Large Room, HEPA Filter"/>
        <s v="Office Star - Ergonomically Designed Knee Chair"/>
        <s v="Avery Durable Slant Ring Binders, No Labels"/>
        <s v="GE 48&quot; Fluorescent Tube, Cool White Energy Saver, 34 Watts, 30/Box"/>
        <s v="Xerox 1908"/>
        <s v="Logitech G19 Programmable Gaming Keyboard"/>
        <s v="Sauder Camden County Barrister Bookcase, Planked Cherry Finish"/>
        <s v="DXL Angle-View Binders with Locking Rings, Black"/>
        <s v="Sauder Camden County Collection Libraries, Planked Cherry Finish"/>
        <s v="Tensor Brushed Steel Torchiere Floor Lamp"/>
        <s v="Acco Hanging Data Binders"/>
        <s v="Howard Miller 16&quot; Diameter Gallery Wall Clock"/>
        <s v="Assorted Color Push Pins"/>
        <s v="GBC Plasticlear Binding Covers"/>
        <s v="Safco Industrial Wire Shelving"/>
        <s v="Metal Folding Chairs, Beige, 4/Carton"/>
        <s v="Anderson Hickey Conga Table Tops &amp; Accessories"/>
        <s v="GBC Wire Binding Strips"/>
        <s v="Angle-D Ring Binders"/>
        <s v="Mobile Personal File Cube"/>
        <s v="KeyTronicÂ E03601U1 -Â KeyboardÂ - Beige"/>
        <s v="Acco Pressboard Covers with Storage Hooks, 9 1/2&quot; x 11&quot;, Executive Red"/>
        <s v="Bretford CR8500 Series Meeting Room Furniture"/>
        <s v="Xerox 1952"/>
        <s v="Xerox 1960"/>
        <s v="Belkin 19&quot; Center-Weighted Shelf, Gray"/>
        <s v="Manco Dry-Lighter Erasable Highlighter"/>
        <s v="Seth Thomas 13 1/2&quot; Wall Clock"/>
        <s v="Global Commerce Series Low-Back Swivel/Tilt Chairs"/>
        <s v="Boston 19500 Mighty Mite Electric Pencil Sharpener"/>
        <s v="Avery 474"/>
        <s v="Deflect-o DuraMat Antistatic Studded Beveled Mat for Medium Pile Carpeting"/>
        <s v="Space Solutions Industrial Galvanized Steel Shelving."/>
        <s v="LogitechÂ LS21 Speaker System - PC Multimedia - 2.1-CH - Wired"/>
        <s v="Deflect-O Glasstique Clear Desk Accessories"/>
        <s v="Avery 503"/>
        <s v="Fellowes Advanced 8 Outlet Surge Suppressor with Phone/Fax Protection"/>
        <s v="Xerox 208"/>
        <s v="Hewlett Packard 310 Color Digital Copier"/>
        <s v="Avery 520"/>
        <s v="Gould Plastics 9-Pocket Panel Bin, 18-3/8w x 5-1/4d x 20-1/2h, Black"/>
        <s v="OIC Binder Clips, Mini, 1/4&quot; Capacity, Black"/>
        <s v="HP Office Recycled Paper (20Lb. and 87 Bright)"/>
        <s v="Tyvek  Top-Opening Peel &amp; Seel Envelopes, Plain White"/>
        <s v="Lenovo 17-Key USB Numeric Keypad"/>
        <s v="Computer Printout Paper with Letter-Trim Perforations"/>
        <s v="Pressboard Hanging Data Binders for Unburst Sheets"/>
        <s v="HTC One Mini"/>
        <s v="Xerox 202"/>
        <s v="GBC Plastic Binding Combs"/>
        <s v="SanDisk Ultra 32 GB MicroSDHC Class 10 Memory Card"/>
        <s v="ImationÂ 8gb Micro Traveldrive Usb 2.0Â Flash Drive"/>
        <s v="Safco Value Mate Series Steel Bookcases, Baked Enamel Finish on Steel, Gray"/>
        <s v="Microsoft Natural Ergonomic Keyboard 4000"/>
        <s v="Office Star - Mesh Screen back chair with Vinyl seat"/>
        <s v="Tenex Personal Project File with Scoop Front Design, Black"/>
        <s v="Xerox 1946"/>
        <s v="Bush Cubix Collection Bookcases, Fully Assembled"/>
        <s v="Global Highback Leather Tilter in Burgundy"/>
        <s v="Tenex Traditional Chairmats for Medium Pile Carpet, Standard Lip, 36&quot; x 48&quot;"/>
        <s v="KLD Oscar II Style Snap-on Ultra Thin Side Flip Synthetic Leather Cover Case for HTC One HTC M7"/>
        <s v="Clear Mylar Reinforcing Strips"/>
        <s v="Avery Hi-Liter Smear-Safe Highlighters"/>
        <s v="High-Back Leather Manager's Chair"/>
        <s v="Belkin 8 Outlet SurgeMaster II Gold Surge Protector"/>
        <s v="Xerox 1894"/>
        <s v="Global Leather &amp; Oak Executive Chair, Burgundy"/>
        <s v="Bretford CR4500 Series Slim Rectangular Table"/>
        <s v="Eldon Fold 'N Roll Cart System"/>
        <s v="Memorex 25GB 6X Branded Blu-Ray Recordable Disc, 30/Pack"/>
        <s v="Atlantic Metals Mobile 4-Shelf Bookcases, Custom Colors"/>
        <s v="4009 Highlighters by Sanford"/>
        <s v="Brites Rubber Bands, 1 1/2 oz. Box"/>
        <s v="Avoid Verbal Orders Carbonless Minifold Book"/>
        <s v="Razer Tiamat Over Ear 7.1 Surround Sound PC Gaming Headset"/>
        <s v="Lumber Crayons"/>
        <s v="Iceberg OfficeWorks 42&quot; Round Tables"/>
        <s v="Hon Comfortask Task/Swivel Chairs"/>
        <s v="Bevis Round Bullnose 29&quot; High Table Top"/>
        <s v="Logitech K350 2.4Ghz Wireless Keyboard"/>
        <s v="Global Armless Task Chair, Royal Blue"/>
        <s v="Contemporary Wood/Metal Frame"/>
        <s v="GBC Premium Transparent Covers with Diagonal Lined Pattern"/>
        <s v="O'Sullivan Living Dimensions 3-Shelf Bookcases"/>
        <s v="Hon Olson Stacker Chairs"/>
        <s v="Aastra 6757i CT Wireless VoIP phone"/>
        <s v="Eureka Hand Vacuum, Bagless"/>
        <s v="Cisco IP Phone 7961G-GE VoIP phone"/>
        <s v="Logitech Trackman Marble Mouse"/>
        <s v="#10 Gummed Flap White Envelopes, 100/Box"/>
        <s v="Office Star - Mid Back Dual function Ergonomic High Back Chair with 2-Way Adjustable Arms"/>
        <s v="Belkin 325VA UPS Surge Protector, 6'"/>
        <s v="Wilson Jones 1&quot; Hanging DublLock Ring Binders"/>
        <s v="Avery 476"/>
        <s v="Hanging Personal Folder File"/>
        <s v="Acme Titanium Bonded Scissors"/>
        <s v="Redi-Strip #10 Envelopes, 4 1/8 x 9 1/2"/>
        <s v="Safco Contoured Stacking Chairs"/>
        <s v="Rubber Band Ball"/>
        <s v="Loose Memo Sheets"/>
        <s v="White Envelopes, White Envelopes with Clear Poly Window"/>
        <s v="Avery Hanging File Binders"/>
        <s v="Tenex Chairmats For Use with Hard Floors"/>
        <s v="Fellowes Recycled Storage Drawers"/>
        <s v="Canon PC170 Desktop Personal Copier"/>
        <s v="American Pencil"/>
        <s v="Alliance Rubber Bands"/>
        <s v="Xerox 1988"/>
        <s v="Executive Impressions 14&quot; Contract Wall Clock"/>
        <s v="Microsoft Arc Touch Mouse"/>
        <s v="Newell 314"/>
        <s v="Fellowes Desktop Hanging File Manager"/>
        <s v="Nu-Dell EZ-Mount Plastic Wall Frames"/>
        <s v="Zebra ZM400 Thermal Label Printer"/>
        <s v="OIC Binder Clips"/>
        <s v="Permanent Self-Adhesive File Folder Labels for Typewriters, 1 1/8 x 3 1/2, White"/>
        <s v="Riverside Palais Royal Lawyers Bookcase, Royale Cherry Finish"/>
        <s v="While You Were Out Pads, 50 per Pad, 4 x 5 1/4, Green Cycle"/>
        <s v="Binder Posts"/>
        <s v="Bevis Round Conference Table Top &amp; Single Column Base"/>
        <s v="Xerox 1978"/>
        <s v="Poly String Tie Envelopes"/>
        <s v="AmazonBasics 3-Button USB Wired Mouse"/>
        <s v="LogitechÂ VX Revolution Cordless Laser Mouse for Notebooks (Black)"/>
        <s v="Letter Size Cart"/>
        <s v="Advantus 10-Drawer Portable Organizer, Chrome Metal Frame, Smoke Drawers"/>
        <s v="Blue String-Tie &amp; Button Interoffice Envelopes, 10 x 13"/>
        <s v="GBC Pre-Punched Binding Paper, Plastic, White, 8-1/2&quot; x 11&quot;"/>
        <s v="Global Troy Executive Leather Low-Back Tilter"/>
        <s v="Xerox 219"/>
        <s v="Bush Advantage Collection Round Conference Table"/>
        <s v="Xerox 207"/>
        <s v="Newell 307"/>
        <s v="Lexmark MarkNet N8150 Wireless Print Server"/>
        <s v="Cardinal Poly Pocket Divider Pockets for Ring Binders"/>
        <s v="Verbatim 25 GB 6x Blu-ray Single Layer Recordable Disc, 25/Pack"/>
        <s v="GBC Therma-A-Bind 250T Electric Binding System"/>
        <s v="Sauder Forest Hills Library, Woodland Oak Finish"/>
        <s v="Panasonic KX-TG6844B Expandable Digital Cordless Telephone"/>
        <s v="Xerox 1935"/>
        <s v="SpineVue Locking Slant-D Ring Binders by Cardinal"/>
        <s v="DAX Two-Tone Rosewood/Black Document Frame, Desktop, 5 x 7"/>
        <s v="Wausau Papers Astrobrights Colored Envelopes"/>
        <s v="Tyvek Side-Opening Peel &amp; Seel Expanding Envelopes"/>
        <s v="Jensen SMPS-640 -Â speaker phone"/>
        <s v="Avery Hi-Liter Fluorescent Desk Style Markers"/>
        <s v="GBC White Gloss Covers, Plain Front"/>
        <s v="Avery 488"/>
        <s v="Avery Reinforcements for Hole-Punch Pages"/>
        <s v="Xerox 1970"/>
        <s v="Belkin 19&quot; Vented Equipment Shelf, Black"/>
        <s v="Polycom SoundStation2 EX ConferenceÂ phone"/>
        <s v="Global Low Back Tilter Chair"/>
        <s v="Message Book, Phone, Wirebound Standard Line Memo, 2 3/4&quot; X 5&quot;"/>
        <s v="Xerox 1903"/>
        <s v="Hewlett Packard 610 Color Digital Copier / Printer"/>
        <s v="Xerox 20"/>
        <s v="Spiral Phone Message Books with Labels by Adams"/>
        <s v="Alliance Big Bands Rubber Bands, 12/Pack"/>
        <s v="Pressboard Data Binders by Wilson Jones"/>
        <s v="Avery Durable Slant Ring Binders With Label Holder"/>
        <s v="Xerox 218"/>
        <s v="Nokia Lumia 521 (T-Mobile)"/>
        <s v="WD My Passport Ultra 500GB Portable External Hard Drive"/>
        <s v="Permanent Self-Adhesive File Folder Labels for Typewriters by Universal"/>
        <s v="Staples in misc. colors"/>
        <s v="Xerox 201"/>
        <s v="Memorex 25GB 6X Branded Blu-Ray Recordable Disc, 15/Pack"/>
        <s v="Avery 486"/>
        <s v="Adams Phone Message Book, 200 Message Capacity, 8 1/16Â” x 11Â”"/>
        <s v="Xerox 1883"/>
        <s v="3M Replacement Filter for Office Air Cleaner for 20' x 33' Room"/>
        <s v="Bush Westfield Collection Bookcases, Dark Cherry Finish"/>
        <s v="Newell 326"/>
        <s v="Bevis Rectangular Conference Tables"/>
        <s v="Xerox 1932"/>
        <s v="Avery Personal Creations Heavyweight Cards"/>
        <s v="Maxell 4.7GB DVD+RW 3/Pack"/>
        <s v="Recycled Premium Regency Composition Covers"/>
        <s v="Newell 311"/>
        <s v="Black Print Carbonless Snap-Off Rapid Letter, 8 1/2&quot; x 7&quot;"/>
        <s v="Eldon Cleatmat Chair Mats for Medium Pile Carpets"/>
        <s v="Xerox 1930"/>
        <s v="Bush Westfield Collection Bookcases, Medium Cherry Finish"/>
        <s v="GE 30522EE2"/>
        <s v="ImationÂ Clip USBÂ flash driveÂ - 8 GB"/>
        <s v="Hon Practical Foundations 30 x 60 Training Table, Light Gray/Charcoal"/>
        <s v="LogitechÂ MX Performance Wireless Mouse"/>
        <s v="Newell 337"/>
        <s v="Xerox 212"/>
        <s v="Plastic Binding Combs"/>
        <s v="Avaya 5410 Digital phone"/>
        <s v="Logitech G500s Laser Gaming Mouse with Adjustable Weight Tuning"/>
        <s v="Logitech Media Keyboard K200"/>
        <s v="Xerox 2"/>
        <s v="Cyber Acoustics AC-202b Speech Recognition Stereo Headset"/>
        <s v="HP Designjet T520 Inkjet Large Format Printer - 24&quot; Color"/>
        <s v="Deflect-o RollaMat Studded, Beveled Mat for Medium Pile Carpeting"/>
        <s v="Revere Boxed Rubber Bands by Revere"/>
        <s v="Bush Andora Bookcase, Maple/Graphite Gray Finish"/>
        <s v="Ames Color-File Green Diamond Border X-ray Mailers"/>
        <s v="White Dual Perf Computer Printout Paper, 2700 Sheets, 1 Part, Heavyweight, 20 lbs., 14 7/8 x 11"/>
        <s v="Xerox 1943"/>
        <s v="Fellowes Mobile File Cart, Black"/>
        <s v="Anker Astro 15000mAh USB Portable Charger"/>
        <s v="Micro Innovations USB RF Wireless Keyboard with Mouse"/>
        <s v="Motorola L703CM"/>
        <s v="Samsung Galaxy S4 Mini"/>
        <s v="Mediabridge Sport Armband iPhone 5s"/>
        <s v="Ativa V4110MDD Micro-Cut Shredder"/>
        <s v="RCA ViSYS 25423RE1 Corded phone"/>
        <s v="Rediform Wirebound &quot;Phone Memo&quot; Message Book, 11 x 5-3/4"/>
        <s v="Plantronics Encore H101 Dual EarpiecesÂ Headset"/>
        <s v="Office Impressions End Table, 20-1/2&quot;H x 24&quot;W x 20&quot;D"/>
        <s v="Elite 5&quot; Scissors"/>
        <s v="High Speed Automatic Electric Letter Opener"/>
        <s v="Berol Giant Pencil Sharpener"/>
        <s v="Grandstream GXP1160 VoIP phone"/>
        <s v="Peel &amp; Stick Add-On Corner Pockets"/>
        <s v="Eldon Cleatmat Plus Chair Mats for High Pile Carpets"/>
        <s v="Belkin Grip Candy Sheer Case / Cover for iPhone 5 and 5S"/>
        <s v="Xerox 1993"/>
        <s v="Verbatim 25 GB 6x Blu-ray Single Layer Recordable Disc, 3/Pack"/>
        <s v="Tyvek Interoffice Envelopes, 9 1/2&quot; x 12 1/2&quot;, 100/Box"/>
        <s v="Honeywell Enviracaire Portable Air Cleaner for up to 8 x 10 Room"/>
        <s v="Personal Folder Holder, Ebony"/>
        <s v="Xerox 193"/>
        <s v="Rediform Voice Mail Log Books"/>
        <s v="Apple iPhone 5"/>
        <s v="Okidata MB760 Printer"/>
        <s v="Mini 13-1/2 Capacity Data Binder Rack, Pearl"/>
        <s v="Tennsco Stur-D-Stor Boltless Shelving, 5 Shelves, 24&quot; Deep, Sand"/>
        <s v="Hammermill Color Copier Paper (28Lb. and 96 Bright)"/>
        <s v="Newell 342"/>
        <s v="Belkin F9H710-06 7 Outlet SurgeMaster Surge Protector"/>
        <s v="Boston 16801 Nautilus Battery Pencil Sharpener"/>
        <s v="Avery 473"/>
        <s v="Regeneration Desk Collection"/>
        <s v="Global Executive Mid-Back Manager's Chair"/>
        <s v="GBC Velobind Prepunched Cover Sets, Regency Series"/>
        <s v="Clearsounds A400"/>
        <s v="Premier Automatic Letter Opener"/>
        <s v="Nortel Meridian M5316 Digital phone"/>
        <s v="Xerox 1939"/>
        <s v="Belkin 7-Outlet SurgeMaster Home Series"/>
        <s v="Eldon Jumbo ProFile Portable File Boxes Graphite/Black"/>
        <s v="Sauder Barrister Bookcases"/>
        <s v="Xerox 1923"/>
        <s v="Kensington Orbit Wireless Mobile Trackball for PC and Mac"/>
        <s v="GBC DocuBind P400 Electric Binding System"/>
        <s v="#10 Self-Seal White Envelopes"/>
        <s v="C-Line Magnetic Cubicle Keepers, Clear Polypropylene"/>
        <s v="Ampad #10 Peel &amp; Seel Holiday Envelopes"/>
        <s v="Hon Metal Bookcases, Black"/>
        <s v="Eldon Radial Chair Mat for Low to Medium Pile Carpets"/>
        <s v="Storex Flexible Poly Binders with Double Pockets"/>
        <s v="Bush Somerset Collection Bookcase"/>
        <s v="Xerox 227"/>
        <s v="Wilson Jones Clip &amp; Carry Folder Binder Tool for Ring Binders, Clear"/>
        <s v="GBC Prepunched Paper, 19-Hole, for Binding Systems, 24-lb"/>
        <s v="JM Magazine Binder"/>
        <s v="Xerox 206"/>
        <s v="Fellowes Bankers Box Staxonsteel Drawer File/Stacking System"/>
        <s v="TOPS &quot;Important Message&quot; Pads, Canary, 4-1/4 x 5-1/2, 50 Sheets per Pad"/>
        <s v="Xerox 1914"/>
        <s v="Xerox 1994"/>
        <s v="Super Decoflex Portable Personal File"/>
        <s v="Global Stack Chair without Arms, Black"/>
        <s v="Sterilite Show Offs Storage Containers"/>
        <s v="Avery 502"/>
        <s v="Eldon 200 Class Desk Accessories"/>
        <s v="Heavy-Duty E-Z-D Binders"/>
        <s v="Newell 316"/>
        <s v="Computer Room Manger, 14&quot;"/>
        <s v="Cisco 8961 IP Phone Charcoal"/>
        <s v="Avery 496"/>
        <s v="Xerox 1965"/>
        <s v="Cisco Small Business SPA 502G VoIP phone"/>
        <s v="Computer Printout Index Tabs"/>
        <s v="Hon 61000 Series Interactive Training Tables"/>
        <s v="Global Adaptabilities Conference Tables"/>
        <s v="Snap-A-Way Black Print Carbonless Speed Message, No Reply Area, Duplicate"/>
        <s v="Avaya 4621SW VoIP phone"/>
        <s v="Advantus T-Pin Paper Clips"/>
        <s v="DAX Solid Wood Frames"/>
        <s v="Executive Impressions 8-1/2&quot; Career Panel/Partition Cubicle Clock"/>
        <s v="Bady BDG101FRU Card Printer"/>
        <s v="Tenex 46&quot; x 60&quot; Computer Anti-Static Chairmat, Rectangular Shaped"/>
        <s v="Sony Micro Vault Click 8 GB USB 2.0 Flash Drive"/>
        <s v="Sanford Pocket Accent Highlighters"/>
        <s v="TOPS Money Receipt Book, Consecutively Numbered in Red,"/>
        <s v="Euro Pro Shark Stick Mini Vacuum"/>
        <s v="Xerox 1911"/>
        <s v="GBC VeloBind Cover Sets"/>
        <s v="Grip Seal Envelopes"/>
        <s v="Manila Recycled Extra-Heavyweight Clasp Envelopes, 6&quot; x 9&quot;"/>
        <s v="Memorex Mini Travel Drive 32 GB USB 2.0 Flash Drive"/>
        <s v="Luxo Professional Fluorescent Magnifier Lamp with Clamp-Mount Base"/>
        <s v="PureGear Roll-On Screen Protector"/>
        <s v="Eldon 100 Class Desk Accessories"/>
        <s v="Panasonic KX MC6040 Color Laser Multifunction Printer"/>
        <s v="Sauder Inglewood Library Bookcases"/>
        <s v="Eldon Base for stackable storage shelf, platinum"/>
        <s v="Plantronics S12 Corded Telephone Headset System"/>
        <s v="Xerox 191"/>
        <s v="Trimflex Flexible Post Binders"/>
        <s v="Avery Binder Labels"/>
        <s v="Xerox 230"/>
        <s v="Xerox Blank Computer Paper"/>
        <s v="Samsung Galaxy Mega 6.3"/>
        <s v="Electrix Halogen Magnifier Lamp"/>
        <s v="Deflect-o EconoMat Nonstudded, No Bevel Mat"/>
        <s v="Cisco CP-7937G Unified IP Conference Station Phone"/>
        <s v="Bush Cubix Conference Tables, Fully Assembled"/>
        <s v="Bretford Â“Just In TimeÂ” Height-Adjustable Multi-Task Work Tables"/>
        <s v="Avery 487"/>
        <s v="Logitech G35 7.1-Channel Surround Sound Headset"/>
        <s v="1.7 Cubic Foot Compact &quot;Cube&quot; Office Refrigerators"/>
        <s v="Avery Heavy-Duty EZD  Binder With Locking Rings"/>
        <s v="Canon Color ImageCLASS MF8580Cdw Wireless Laser All-In-One Printer, Copier, Scanner"/>
        <s v="IBM Multi-Purpose Copy Paper, 8 1/2 x 11&quot;, Case"/>
        <s v="Xerox 228"/>
        <s v="Dax Clear Box Frame"/>
        <s v="Xerox 1975"/>
        <s v="Acco Pressboard Covers with Storage Hooks, 14 7/8&quot; x 11&quot;, Executive Red"/>
        <s v="Binding Machine Supplies"/>
        <s v="Avery 477"/>
        <s v="KeyTronicÂ KT400U2 -Â KeyboardÂ - Black"/>
        <s v="Southworth 25% Cotton Antique Laid Paper &amp; Envelopes"/>
        <s v="Avery Hi-Liter Pen Style Six-Color Fluorescent Set"/>
        <s v="Avanti 1.7 Cu. Ft. Refrigerator"/>
        <s v="Xerox 1925"/>
        <s v="Inter-Office Recycled Envelopes, Brown Kraft, Button-String,10&quot; x 13&quot; , 100/Box"/>
        <s v="OtterBox Defender Series Case - Samsung Galaxy S4"/>
        <s v="Acme Softgrip Scissors"/>
        <s v="Flat Face Poster Frame"/>
        <s v="Global Leather Task Chair, Black"/>
        <s v="Cisco SPA 502G IP Phone"/>
        <s v="GBC Twin Loop Wire Binding Elements"/>
        <s v="Logitech Mobile Speakerphone P710e -Â speaker phone"/>
        <s v="Jabra SPEAK 410 Multidevice Speakerphone"/>
        <s v="Xerox 1921"/>
        <s v="Brother MFC-9340CDW LED All-In-One Printer, Copier Scanner"/>
        <s v="Eldon 500 Class Desk Accessories"/>
        <s v="Barricks Non-Folding Utility Table with Steel Legs, Laminate Tops"/>
        <s v="Nortel Business Series Terminal T7208 Digital phone"/>
        <s v="XtraLife ClearVue Slant-D Ring Binders by Cardinal"/>
        <s v="Sony Micro Vault Click 4 GB USB 2.0 Flash Drive"/>
        <s v="Avery 478"/>
        <s v="Pressboard Covers with Storage Hooks, 9 1/2&quot; x 11&quot;, Light Blue"/>
        <s v="Boston Model 1800 Electric Pencil Sharpener, Gray"/>
        <s v="LogitechÂ Illuminated - Keyboard"/>
        <s v="Ink Jet Note and Greeting Cards, 8-1/2&quot; x 5-1/2&quot; Card Size"/>
        <s v="Chromcraft 48&quot; x 96&quot; Racetrack Double Pedestal Table"/>
        <s v="Xerox 1954"/>
        <s v="Apple EarPods with Remote and Mic"/>
        <s v="Avery Durable Slant Ring Binders"/>
        <s v="Premium Transparent Presentation Covers, No Pattern/Clear, 8 1/2&quot; x 11&quot;"/>
        <s v="Logitech diNovo Edge Keyboard"/>
        <s v="BPI Conference Tables"/>
        <s v="Boston 16765 Mini Stand Up Battery Pencil Sharpener"/>
        <s v="Sabrent 4-Port USB 2.0 Hub"/>
        <s v="Telephone Message Books with Fax/Mobile Section, 5 1/2&quot; x 3 3/16&quot;"/>
        <s v="Anker 36W 4-Port USB Wall Charger Travel Power Adapter for iPhone 5s 5c 5"/>
        <s v="Eureka The Boss Plus 12-Amp Hard Box Upright Vacuum, Red"/>
        <s v="Newell 315"/>
        <s v="Okidata C610n Printer"/>
        <s v="Belkin F9M820V08 8 Outlet Surge"/>
        <s v="Plantronics Savi W720 Multi-Device Wireless Headset System"/>
        <s v="Ultra Door Pull Handle"/>
        <s v="Blackstonian Pencils"/>
        <s v="Tenex &quot;The Solids&quot; Textured Chair Mats"/>
        <s v="Crate-A-Files"/>
        <s v="Safco Value Mate Steel Bookcase, Baked Enamel Finish on Steel, Black"/>
        <s v="Wirebound Four 2-3/4 x 5 Forms per Page, 400 Sets per Book"/>
        <s v="Acme Preferred Stainless Steel Scissors"/>
        <s v="6&quot; Cubicle Wall Clock, Black"/>
        <s v="Eldon Mobile Mega Data Cart  Mega Stackable  Add-On Trays"/>
        <s v="C-Line Peel &amp; Stick Add-On Filing Pockets, 8-3/4 x 5-1/8, 10/Pack"/>
        <s v="Nortel Networks T7316 E Nt8 B27"/>
        <s v="14-7/8 x 11 Blue Bar Computer Printout Paper"/>
        <s v="Advantus Push Pins"/>
        <s v="Xerox 196"/>
        <s v="Recycled Easel Ring Binders"/>
        <s v="Global Task Chair, Black"/>
        <s v="Global Comet Stacking Arm Chair"/>
        <s v="Fellowes Basic Home/Office Series Surge Protectors"/>
        <s v="AT&amp;T CL83451 4-Handset Telephone"/>
        <s v="Sony 64GB Class 10 Micro SDHC R40 Memory Card"/>
        <s v="Square Ring Data Binders, Rigid 75 Pt. Covers, 11&quot; x 14-7/8&quot;"/>
        <s v="Premium Transparent Presentation Covers by GBC"/>
        <s v="Avery 52"/>
        <s v="Kensington 7 Outlet MasterPiece Power Center with Fax/Phone Line Protection"/>
        <s v="Belkin SportFit Armband For iPhone 5s/5c, Fuchsia"/>
        <s v="Petty Cash Envelope"/>
        <s v="Lesro Round Back Collection Coffee Table, End Table"/>
        <s v="Ampad Gold Fibre Wirebound Steno Books, 6&quot; x 9&quot;, Gregg Ruled"/>
        <s v="Eberhard Faber 3 1/2&quot; Golf Pencils"/>
        <s v="Xerox 1900"/>
        <s v="Eldon Expressions Punched Metal &amp; Wood Desk Accessories, Black &amp; Cherry"/>
        <s v="Acco Perma 2700 Stacking Storage Drawers"/>
        <s v="Wirebound Message Books, Four 2 3/4 x 5 White Forms per Page"/>
        <s v="Ibico EB-19 Dual Function Manual Binding System"/>
        <s v="LogitechÂ P710e Mobile Speakerphone"/>
        <s v="Xerox 1972"/>
        <s v="Insertable Tab Indexes For Data Binders"/>
        <s v="Crayola Anti Dust Chalk, 12/Pack"/>
        <s v="Xerox 1976"/>
        <s v="Eldon Expressions Desk Accessory, Wood Photo Frame, Mahogany"/>
        <s v="GBC Instant Report Kit"/>
        <s v="ImationÂ 30456 USBÂ Flash DriveÂ 8GB"/>
        <s v="Xerox 1991"/>
        <s v="DAX Contemporary Wood Frame with Silver Metal Mat, Desktop, 11 x 14 Size"/>
        <s v="Canon imageCLASS 2200 Advanced Copier"/>
        <s v="Stanley Bostitch Contemporary Electric Pencil Sharpeners"/>
        <s v="Office Star - Contemporary Task Swivel Chair"/>
        <s v="Laser &amp; Ink Jet Business Envelopes"/>
        <s v="Ibico Plastic Spiral Binding Combs"/>
        <s v="Letter Size File"/>
        <s v="Bush Andora Conference Table, Maple/Graphite Gray Finish"/>
        <s v="Magna Visual Magnetic Picture Hangers"/>
        <s v="Zebra GK420t Direct Thermal/Thermal Transfer Printer"/>
        <s v="Avery Framed View Binder, EZD Ring (Locking), Navy, 1 1/2&quot;"/>
        <s v="Avery 511"/>
        <s v="Fellowes Econo/Stor Drawers"/>
        <s v="Luxo Professional Magnifying Clamp-On Fluorescent Lamps"/>
        <s v="Bush Westfield Collection Bookcases, Dark Cherry Finish, Fully Assembled"/>
        <s v="Global Manager's Adjustable Task Chair, Storm"/>
        <s v="Eldon 400 Class Desk Accessories, Black Carbon"/>
        <s v="Newell 309"/>
        <s v="Tenex Personal Filing Tote With Secure Closure Lid, Black/Frost"/>
        <s v="Newell 332"/>
        <s v="Global Deluxe High-Back Office Chair in Storm"/>
        <s v="Kensington K72356US Mouse-in-a-Box USB Desktop Mouse"/>
        <s v="Honeywell Enviracaire Portable HEPA Air Cleaner for 16' x 20' Room"/>
        <s v="Boston 16750 Black Compact Battery Pencil Sharpener"/>
        <s v="Holmes 99% HEPA Air Purifier"/>
        <s v="Xerox 1892"/>
        <s v="Fellowes Black Plastic Comb Bindings"/>
        <s v="Xerox 22"/>
        <s v="Multicolor Computer Printout Paper"/>
        <s v="Okidata B401 Printer"/>
        <s v="Bevis Steel Folding Chairs"/>
        <s v="OIC Colored Binder Clips, Assorted Sizes"/>
        <s v="Serrated Blade or Curved Handle Hand Letter Openers"/>
        <s v="Xerox 1887"/>
        <s v="Premier Electric Letter Opener"/>
        <s v="Okidata B400 Printer"/>
        <s v="Cardinal Holdit Data Disk Pockets"/>
        <s v="Anker Astro Mini 3000mAh Ultra-Compact Portable Charger"/>
        <s v="O'Sullivan Plantations 2-Door Library in Landvery Oak"/>
        <s v="Logitech Wireless Headset H600 Over-The-Head Design"/>
        <s v="Cherry 142-key Programmable Keyboard"/>
        <s v="Harbour Creations 67200 Series Stacking Chairs"/>
        <s v="Tenex Chairmat w/ Average Lip, 45&quot; x 53&quot;"/>
        <s v="Embossed Ink Jet Note Cards"/>
        <s v="Wilson Jones International Size A4 Ring Binders"/>
        <s v="Ibico Plastic and Wire Spiral Binding Combs"/>
        <s v="Xerox 23"/>
        <s v="Executive Impressions 14&quot; Contract Wall Clock with Quartz Movement"/>
        <s v="GBC VeloBinder Manual Binding System"/>
        <s v="Xerox 1996"/>
        <s v="Xerox 1924"/>
        <s v="3M Polarizing Light Filter Sleeves"/>
        <s v="Canvas Sectional Post Binders"/>
        <s v="Belkin F9S820V06 8 Outlet Surge"/>
        <s v="Newell 338"/>
        <s v="Eldon Expressions Wood and Plastic Desk Accessories, Oak"/>
        <s v="Sauder Facets Collection Library, Sky Alder Finish"/>
        <s v="Micropad Numeric Keypads"/>
        <s v="Sanyo 2.5 Cubic Foot Mid-Size Office Refrigerators"/>
        <s v="Boston School Pro Electric Pencil Sharpener, 1670"/>
        <s v="Magnifier Swing Arm Lamp"/>
        <s v="Balt Solid Wood Round Tables"/>
        <s v="Round Ring Binders"/>
        <s v="Tyvek  Top-Opening Peel &amp; Seel  Envelopes, Gray"/>
        <s v="Panasonic KX TS3282W Corded phone"/>
        <s v="Universal Premium White Copier/Laser Paper (20Lb. and 87 Bright)"/>
        <s v="Executive Impressions 14&quot;"/>
        <s v="Tenex Chairmats For Use With Carpeted Floors"/>
        <s v="Sauder Facets Collection Locker/File Cabinet, Sky Alder Finish"/>
        <s v="Eldon Regeneration Recycled Desk Accessories, Black"/>
        <s v="Deluxe Rollaway Locking File with Drawer"/>
        <s v="Sauder Camden County Collection Library"/>
        <s v="Hon 4060 Series Tables"/>
        <s v="Carina Media Storage Towers in Natural &amp; Black"/>
        <s v="Belkin OmniView SE Rackmount Kit"/>
        <s v="Xerox 1915"/>
        <s v="Fellowes PB200 Plastic Comb Binding Machine"/>
        <s v="O'Sullivan 5-Shelf Heavy-Duty Bookcases"/>
        <s v="#10 White Business Envelopes,4 1/8 x 9 1/2"/>
        <s v="Plantronics Calisto P620-M USB Wireless Speakerphone System"/>
        <s v="Google Nexus 5"/>
        <s v="Xerox 1880"/>
        <s v="Xerox 1977"/>
        <s v="Electrix Architect's Clamp-On Swing Arm Lamp, Black"/>
        <s v="Motorola HK250 Universal Bluetooth Headset"/>
        <s v="Newell 341"/>
        <s v="Hon 94000 Series Round Tables"/>
        <s v="SimpliFile Personal File, Black Granite, 15w x 6-15/16d x 11-1/4h"/>
        <s v="Newell 318"/>
        <s v="Avery 517"/>
        <s v="ARKON Windshield Dashboard Air Vent Car Mount Holder"/>
        <s v="Holmes HEPA Air Purifier"/>
        <s v="Harmony HEPA Quiet Air Purifiers"/>
        <s v="Xerox 221"/>
        <s v="Tennsco Regal Shelving Units"/>
        <s v="First Data FD10 PIN Pad"/>
        <s v="Black Avery Memo-Size 3-Ring Binder, 5 1/2&quot; x 8 1/2&quot;"/>
        <s v="Case Logic 2.4GHz Wireless Keyboard"/>
        <s v="Xerox 1907"/>
        <s v="Fiskars Home &amp; Office Scissors"/>
        <s v="Howard Miller 11-1/2&quot; Diameter Brentwood Wall Clock"/>
        <s v="Wilson Jones Easy Flow II Sheet Lifters"/>
        <s v="Avery 3 1/2&quot; Diskette Storage Pages, 10/Pack"/>
        <s v="Hoover Commercial SteamVac"/>
        <s v="Xerox 1905"/>
        <s v="GBC ProClick 150 Presentation Binding System"/>
        <s v="Tennsco Commercial Shelving"/>
        <s v="Acme Galleria Hot Forged Steel Scissors with Colored Handles"/>
        <s v="GBC Durable Plastic Covers"/>
        <s v="HP Officejet Pro 8600 e-All-In-One Printer, Copier, Scanner, Fax"/>
        <s v="Xerox 189"/>
        <s v="Sanyo Counter Height Refrigerator with Crisper, 3.6 Cubic Foot, Stainless Steel/Black"/>
        <s v="Acco Recycled 2&quot; Capacity Laser Printer Hanging Data Binders"/>
        <s v="Stacking Trays by OIC"/>
        <s v="Acco Pressboard Covers with Storage Hooks, 14 7/8&quot; x 11&quot;, Dark Blue"/>
        <s v="Logitech G13 Programmable Gameboard with LCD Display"/>
        <s v="Imation Bio 2GB USBÂ Flash Drive ImationÂ Corp"/>
        <s v="Avery 497"/>
        <s v="Avery 515"/>
        <s v="Kensington 7 Outlet MasterPiece HOMEOFFICE Power Control Center"/>
        <s v="Westinghouse Floor Lamp with Metal Mesh Shade, Black"/>
        <s v="Economy Binders"/>
        <s v="File Shuttle II and Handi-File, Black"/>
        <s v="Avery 4027 File Folder Labels for Dot Matrix Printers, 5000 Labels per Box, White"/>
        <s v="Belkin 8 Outlet SurgeMaster II Gold Surge Protector with Phone Protection"/>
        <s v="Avery Address/Shipping Labels for Typewriters, 4&quot; x 2&quot;"/>
        <s v="Newell 323"/>
        <s v="Howard Miller Distant Time Traveler Alarm Clock"/>
        <s v="MaxellÂ LTO Ultrium - 800 GB"/>
        <s v="GBC DocuBind TL200 Manual Binding Machine"/>
        <s v="Desktop 3-Pocket Hot File"/>
        <s v="Memorex Mini Travel Drive 16 GB USB 2.0 Flash Drive"/>
        <s v="Executive Impressions 16-1/2&quot; Circular Wall Clock"/>
        <s v="Avery 498"/>
        <s v="Cubify CubeX 3D Printer Double Head Print"/>
        <s v="Panasonic KX - TS880B Telephone"/>
        <s v="GBC Instant Index System for Binding Systems"/>
        <s v="Tenex Contemporary Contur Chairmats for Low and Medium Pile Carpet, Computer, 39&quot; x 49&quot;"/>
        <s v="Luxo Professional Combination Clamp-On Lamps"/>
        <s v="Color-Coded Legal Exhibit Labels"/>
        <s v="Computer Printout Paper with Letter-Trim Fine Perforations"/>
        <s v="Office Impressions Heavy Duty Welded Shelving &amp; Multimedia Storage Drawers"/>
        <s v="Avery 48"/>
        <s v="Tripp Lite Isotel 6 Outlet Surge Protector with Fax/Modem Protection"/>
        <s v="Dixon Ticonderoga Erasable Colored Pencil Set, 12-Color"/>
        <s v="Flexible Leather- Look Classic Collection Ring Binder"/>
        <s v="Pencil and Crayon Sharpener"/>
        <s v="Xerox 1948"/>
        <s v="Kleencut Forged Office Shears by Acme United Corporation"/>
        <s v="Fellowes Stor/Drawer Steel Plus Storage Drawers"/>
        <s v="Career Cubicle Clock, 8 1/4&quot;, Black"/>
        <s v="Motorola L804"/>
        <s v="Tenex Personal Self-Stacking Standard File Box, Black/Gray"/>
        <s v="Peel &amp; Seel Recycled Catalog Envelopes, Brown"/>
        <s v="SAFCO Optional Arm Kit for Workspace Cribbage Stacking Chair"/>
        <s v="Belkin Premiere Surge Master II 8-outlet surge protector"/>
        <s v="Blue Parrot B250XT Professional Grade Wireless BluetoothÂ HeadsetÂ with"/>
        <s v="Home/Office Personal File Carts"/>
        <s v="Ampad Phone Message Book, Recycled, 400 Message Capacity, 5 Â¾Â” x 11Â”"/>
        <s v="Newell 348"/>
        <s v="Xerox 1927"/>
        <s v="Panasonic KP-4ABK Battery-Operated Pencil Sharpener"/>
        <s v="TOPS Carbonless Receipt Book, Four 2-3/4 x 7-1/4 Money Receipts per Page"/>
        <s v="Newell 347"/>
        <s v="Hoover Commercial Soft Guard Upright Vacuum And Disposable Filtration Bags"/>
        <s v="DAX Cubicle Frames, 8-1/2 x 11"/>
        <s v="Maxell Pro 80 Minute CD-R, 10/Pack"/>
        <s v="Eureka Sanitaire  Multi-Pro Heavy-Duty Upright, Disposable Bags"/>
        <s v="Eldon 200 Class Desk Accessories, Burgundy"/>
        <s v="Plantronics Audio 995 Wireless Stereo Headset"/>
        <s v="Hewlett-Packard 300S Scientific Calculator"/>
        <s v="Innergie mMini Combo Duo USB Travel Charging Kit"/>
        <s v="Newell 346"/>
        <s v="Eldon 300 Class Desk Accessories, Black"/>
        <s v="Eureka Disposable Bags for Sanitaire Vibra Groomer I Upright Vac"/>
        <s v="Acme Tagit Stainless Steel Antibacterial Scissors"/>
        <s v="ClearOne Communications CHAT 70 OCÂ Speaker Phone"/>
        <s v="Memorex Micro Travel Drive 16 GB"/>
        <s v="GBC VeloBinder Electric Binding Machine"/>
        <s v="Adams Telephone Message Book W/Dividers/Space For Phone Numbers, 5 1/4&quot;X8 1/2&quot;, 200/Messages"/>
        <s v="iHome FM Clock Radio with Lightning Dock"/>
        <s v="Newell 351"/>
        <s v="REDIFORM Incoming/Outgoing Call Register, 11&quot; X 8 1/2&quot;, 100 Messages"/>
        <s v="24 Capacity Maxi Data Binder Racks, Pearl"/>
        <s v="Personal File Boxes with Fold-Down Carry Handle"/>
        <s v="Sanford EarthWrite Recycled Pencils, Medium Soft, #2"/>
        <s v="Global Leather Executive Chair"/>
        <s v="Fellowes Officeware Wire Shelving"/>
        <s v="Cisco Desktop Collaboration Experience DX650 IP Video Phone"/>
        <s v="O'Sullivan 3-Shelf Heavy-Duty Bookcases"/>
        <s v="TOPS Voice Message Log Book, Flash Format"/>
        <s v="Dana Swing-Arm Lamps"/>
        <s v="Xerox 203"/>
        <s v="Hewlett-Packard Deskjet 5550 Printer"/>
        <s v="Okidata MB491 Multifunction Printer"/>
        <s v="Square Credit Card Reader, 4 1/2&quot; x 4 1/2&quot; x 1&quot;, White"/>
        <s v="Wirebound Message Books, 5-1/2 x 4 Forms, 2 or 4 Forms per Page"/>
        <s v="Apple iPhone 5S"/>
        <s v="Plastic Stacking Crates &amp; Casters"/>
        <s v="Plantronics CS510 - Over-the-Head monaural Wireless Headset System"/>
        <s v="Binney &amp; Smith inkTank Erasable Desk Highlighter, Chisel Tip, Yellow, 12/Box"/>
        <s v="Avery 485"/>
        <s v="Tensor Track Tree Floor Lamp"/>
        <s v="Newell 325"/>
        <s v="Quartet Alpha White Chalk, 12/Pack"/>
        <s v="Eldon 200 Class Desk Accessories, Smoke"/>
        <s v="Fellowes 8 Outlet Superior Workstation Surge Protector w/o Phone/Fax/Modem Protection"/>
        <s v="Belkin iPhone and iPad Lightning Cable"/>
        <s v="Xerox 1998"/>
        <s v="O'Sullivan Elevations Bookcase, Cherry Finish"/>
        <s v="Fellowes Bases and Tops For Staxonsteel/High-Stak Systems"/>
        <s v="Letter/Legal File Tote with Clear Snap-On Lid, Black Granite"/>
        <s v="Hammermill CopyPlus Copy Paper (20Lb. and 84 Bright)"/>
        <s v="Tennsco Lockers, Sand"/>
        <s v="Quartet Omega Colored Chalk, 12/Pack"/>
        <s v="Avery Printable Repositionable Plastic Tabs"/>
        <s v="Safco Industrial Shelving"/>
        <s v="Polycom VoiceStation 500 ConferenceÂ phone"/>
        <s v="Mead 1st Gear 2&quot; Zipper Binder, Asst. Colors"/>
        <s v="Global Enterprise Series Seating Low-Back Swivel/Tilt Chairs"/>
        <s v="BIC Brite Liner Grip Highlighters"/>
        <s v="Hon 4700 Series Mobuis Mid-Back Task Chairs with Adjustable Arms"/>
        <s v="Xerox 1937"/>
        <s v="Perixx PERIBOARD-512B, Ergonomic Split Keyboard"/>
        <s v="Seth Thomas 12&quot; Clock w/ Goldtone Case"/>
        <s v="Avery Metallic Poly Binders"/>
        <s v="Polycom CX600 IP Phone VoIP phone"/>
        <s v="MaxellÂ iVDR EX 500GB Cartridge"/>
        <s v="Ooma Telo VoIP Home Phone System"/>
        <s v="Xerox 1890"/>
        <s v="Hon 2111 Invitation Series Straight Table"/>
        <s v="Kensington Expert Mouse Optical USB Trackball for PC or Mac"/>
        <s v="Office Star Flex Back Scooter Chair with Aluminum Finish Frame"/>
        <s v="&quot;While you Were Out&quot; Message Book, One Form per Page"/>
        <s v="Sanford Colorific Eraseable Coloring Pencils, 12 Count"/>
        <s v="Chromcraft Bull-Nose Wood Oval Conference Tables &amp; Bases"/>
        <s v="Bush Birmingham Collection Bookcase, Dark Cherry"/>
        <s v="Telephone Message Books with Fax/Mobile Section, 4 1/4&quot; x 6&quot;"/>
        <s v="QVS USB Car Charger 2-Port 2.1Amp for iPod/iPhone/iPad/iPad 2/iPad 3"/>
        <s v="Avery Trapezoid Extra Heavy Duty 4&quot; Binders"/>
        <s v="DAX Copper Panel Document Frame, 5 x 7 Size"/>
        <s v="Motorla HX550 Universal Bluetooth Headset"/>
        <s v="DAX Two-Tone Silver Metal Document Frame"/>
        <s v="Boston 1799 Powerhouse Electric Pencil Sharpener"/>
        <s v="ImationÂ SwivelÂ Flash DriveÂ USBÂ flash driveÂ - 8 GB"/>
        <s v="Memorex Froggy Flash Drive 8 GB"/>
        <s v="Samsung Galaxy Note 2"/>
        <s v="Xerox 1888"/>
        <s v="Unpadded Memo Slips"/>
        <s v="Newell 35"/>
        <s v="Microsoft Wireless Mobile Mouse 4000"/>
        <s v="Acco Data Flex Cable Posts For Top &amp; Bottom Load Binders, 6&quot; Capacity"/>
        <s v="Acco 6 Outlet Guardian Standard Surge Suppressor"/>
        <s v="Rediform S.O.S. 1-Up Phone Message Bk, 4-1/4x3-1/16 Bk, 1 Form/Pg, 40 Messages/Bk, 3/Pk"/>
        <s v="Wilson Jones Suede Grain Vinyl Binders"/>
        <s v="iOttie XL Car Mount"/>
        <s v="Design Ebony Sketching Pencil"/>
        <s v="Personal Creations Ink Jet Cards and Labels"/>
        <s v="Sony 32GB Class 10 Micro SDHC R40 Memory Card"/>
        <s v="Nu-Dell Leatherette Frames"/>
        <s v="Plantronics 81402"/>
        <s v="i.Sound Portable Power - 8000 mAh"/>
        <s v="Lock-Up Easel 'Spel-Binder'"/>
        <s v="Master Caster Door Stop, Gray"/>
        <s v="Ricoh - Ink Collector Unit for GX3000 Series Printers"/>
        <s v="Acco 6 Outlet Guardian Premium Plus Surge Suppressor"/>
        <s v="Hoover Portapower Portable Vacuum"/>
        <s v="3D Systems Cube Printer, 2nd Generation, Magenta"/>
        <s v="Hoover Replacement Belts For Soft Guard &amp; Commercial Ltweight Upright Vacs, 2/Pk"/>
        <s v="Logitech G430 Surround Sound Gaming Headset with Dolby 7.1 Technology"/>
        <s v="Xerox 217"/>
        <s v="Storex DuraTech Recycled Plastic Frosted Binders"/>
        <s v="TOPS 4 x 6 Fluorescent Color Memo Sheets, 500 Sheets per Pack"/>
        <s v="Hon Every-Day Chair Series Swivel Task Chairs"/>
        <s v="Wirebound Message Books, 2 7/8&quot; x 5&quot;, 3 Forms per Page"/>
        <s v="Xerox 1989"/>
        <s v="Maxell 4.7GB DVD-R 5/Pack"/>
        <s v="Global Adaptabilites Bookcase, Cherry/Storm Gray Finish"/>
        <s v="Clarity 53712"/>
        <s v="Document Clip Frames"/>
        <s v="Space Solutions Commercial Steel Shelving"/>
        <s v="Eldon Image Series Black Desk Accessories"/>
        <s v="Colored Envelopes"/>
        <s v="Global Deluxe Office Fabric Chairs"/>
        <s v="Xerox 1992"/>
        <s v="Strathmore Photo Mount Cards"/>
        <s v="Canon Image Class D660 Copier"/>
        <s v="Cubify CubeX 3D Printer Triple Head Print"/>
        <s v="Adams Telephone Message Books, 5 1/4Â” x 11Â”"/>
        <s v="Motorola Moto X"/>
        <s v="Decoflex Hanging Personal Folder File"/>
        <s v="Newell 339"/>
        <s v="Maxell CD-R Discs"/>
        <s v="Panasonic KP-310 Heavy-Duty Electric Pencil Sharpener"/>
        <s v="DYMO CardScan Personal V9 Business Card Scanner"/>
        <s v="Fellowes PB300 Plastic Comb Binding Machine"/>
        <s v="GBC Imprintable Covers"/>
        <s v="12 Colored Short Pencils"/>
        <s v="Eureka The Boss Lite 10-Amp Upright Vacuum, Blue"/>
        <s v="Verbatim 25 GB 6x Blu-ray Single Layer Recordable Disc, 10/Pack"/>
        <s v="Dixon Ticonderoga Maple Cedar Pencil, #2"/>
        <s v="Acco 3-Hole Punch"/>
        <s v="Xerox 1968"/>
        <s v="Xerox 1899"/>
        <s v="SAFCO Commercial Wire Shelving, Black"/>
        <s v="Jabra BIZ 2300 Duo QD Duo CordedÂ Headset"/>
        <s v="Quality Park Security Envelopes"/>
        <s v="Ultra Door Kickplate, 8&quot;H x 34&quot;W"/>
        <s v="Xerox 1940"/>
        <s v="Hon 4-Shelf Metal Bookcases"/>
        <s v="Seidio BD2-HK3IPH5-BK DILEX Case and Holster Combo for Apple iPhone 5/5s - Black"/>
        <s v="Macally Suction Cup Mount"/>
        <s v="AT&amp;T CL2909"/>
        <s v="Xerox 1956"/>
        <s v="First Data TMFD35 PIN Pad"/>
        <s v="Tensor &quot;Hersey Kiss&quot; Styled Floor Lamp"/>
        <s v="Seth Thomas 14&quot; Putty-Colored Wall Clock"/>
        <s v="Self-Adhesive Removable Labels"/>
        <s v="Ibico EPK-21 Electric Binding System"/>
        <s v="Wirebound Service Call Books, 5 1/2&quot; x 4&quot;"/>
        <s v="C-Line Cubicle Keepers Polyproplyene Holder w/Velcro Back, 8-1/2x11, 25/Bx"/>
        <s v="Safco Industrial Wire Shelving System"/>
        <s v="Tenex Traditional Chairmats for Hard Floors, Average Lip, 36&quot; x 48&quot;"/>
        <s v="Belkin 8-Outlet Premiere SurgeMaster II Surge Protectors"/>
        <s v="Standard Line Â“While You Were OutÂ” Hardbound Telephone Message Book"/>
        <s v="Recycled Interoffice Envelopes with String and Button Closure, 10 x 13"/>
        <s v="BIC Liqua Brite Liner"/>
        <s v="Harmony Air Purifier"/>
        <s v="Col-Erase Pencils with Erasers"/>
        <s v="Leather Task Chair, Black"/>
        <s v="Hoover Commercial Lightweight Upright Vacuum"/>
        <s v="Pastel Pink Envelopes"/>
        <m/>
      </sharedItems>
    </cacheField>
    <cacheField name="Sales" numFmtId="0">
      <sharedItems containsString="0" containsBlank="1" containsNumber="1" minValue="0.56000000000000005" maxValue="17499.95"/>
    </cacheField>
    <cacheField name="Quantity" numFmtId="0">
      <sharedItems containsString="0" containsBlank="1" containsNumber="1" containsInteger="1" minValue="1" maxValue="14"/>
    </cacheField>
    <cacheField name="Profit" numFmtId="0">
      <sharedItems containsString="0" containsBlank="1" containsNumber="1" minValue="-3839.99" maxValue="83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94.554698263892" createdVersion="8" refreshedVersion="8" minRefreshableVersion="3" recordCount="4042" xr:uid="{0D1E3DF4-9C4A-4AEA-9F47-29536C606D51}">
  <cacheSource type="worksheet">
    <worksheetSource name="Table1"/>
  </cacheSource>
  <cacheFields count="9">
    <cacheField name="Order Date" numFmtId="14">
      <sharedItems containsSemiMixedTypes="0" containsNonDate="0" containsDate="1" containsString="0" minDate="2014-01-02T00:00:00" maxDate="2017-12-12T00:00:00"/>
    </cacheField>
    <cacheField name="Customer Name" numFmtId="0">
      <sharedItems count="738">
        <s v="Darren Powers"/>
        <s v="Phillina Ober"/>
        <s v="Mick Brown"/>
        <s v="Lycoris Saunders"/>
        <s v="Jack O'Briant"/>
        <s v="Maria Etezadi"/>
        <s v="Vivek Sundaresam"/>
        <s v="Melanie Seite"/>
        <s v="Anthony Jacobs"/>
        <s v="Seth Vernon"/>
        <s v="Bradley Drucker"/>
        <s v="Cynthia Delaney"/>
        <s v="Eric Barreto"/>
        <s v="Tom Boeckenhauer"/>
        <s v="Deborah Brumfield"/>
        <s v="Mark Haberlin"/>
        <s v="Neil Ducich"/>
        <s v="Delfina Latchford"/>
        <s v="Cyma Kinney"/>
        <s v="Chris Selesnick"/>
        <s v="Nathan Mautz"/>
        <s v="Natalie Fritzler"/>
        <s v="Guy Armstrong"/>
        <s v="Sanjit Chand"/>
        <s v="Dave Brooks"/>
        <s v="Hallie Redmond"/>
        <s v="Vicky Freymann"/>
        <s v="Shahid Collister"/>
        <s v="Giulietta Weimer"/>
        <s v="Kristina Nunn"/>
        <s v="Nicole Hansen"/>
        <s v="Ashley Jarboe"/>
        <s v="Anne Pryor"/>
        <s v="Jill Stevenson"/>
        <s v="Sam Craven"/>
        <s v="Eva Jacobs"/>
        <s v="Clay Ludtke"/>
        <s v="Aimee Bixby"/>
        <s v="Aaron Bergman"/>
        <s v="Nora Pelletier"/>
        <s v="Craig Molinari"/>
        <s v="Scott Williamson"/>
        <s v="Kean Thornton"/>
        <s v="Chloris Kastensmidt"/>
        <s v="Kelly Andreada"/>
        <s v="Filia McAdams"/>
        <s v="Richard Bierner"/>
        <s v="Kunst Miller"/>
        <s v="Katharine Harms"/>
        <s v="Rob Dowd"/>
        <s v="Anna HÃ¤berlin"/>
        <s v="Katrina Edelman"/>
        <s v="Paul Knutson"/>
        <s v="Maurice Satty"/>
        <s v="Mary Zewe"/>
        <s v="Ken Black"/>
        <s v="Tracy Hopkins"/>
        <s v="Greg Maxwell"/>
        <s v="John Grady"/>
        <s v="Ruben Dartt"/>
        <s v="Roy Phan"/>
        <s v="Guy Phonely"/>
        <s v="Shirley Daniels"/>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Andrew Roberts"/>
        <s v="Cari Schnelling"/>
        <s v="Joni Sundaresam"/>
        <s v="Nathan Cano"/>
        <s v="Paul MacIntyre"/>
        <s v="Andrew Allen"/>
        <s v="Nat Carroll"/>
        <s v="Bill Shonely"/>
        <s v="Peter Fuller"/>
        <s v="Emily Burns"/>
        <s v="Giulietta Dortch"/>
        <s v="Harold Pawlan"/>
        <s v="Steve Nguyen"/>
        <s v="Carol Triggs"/>
        <s v="Patrick Gardner"/>
        <s v="Sean Braxton"/>
        <s v="Arianne Irving"/>
        <s v="Art Foster"/>
        <s v="Greg Matthias"/>
        <s v="Paul Gonzalez"/>
        <s v="Raymond Messe"/>
        <s v="Brooke Gillingham"/>
        <s v="Victoria Wilson"/>
        <s v="Harold Dahlen"/>
        <s v="Hunter Lopez"/>
        <s v="Dianna Wilson"/>
        <s v="Corey Roper"/>
        <s v="Liz Thompson"/>
        <s v="Quincy Jones"/>
        <s v="Christine Kargatis"/>
        <s v="Steven Cartwright"/>
        <s v="Ross Baird"/>
        <s v="Richard Eichhorn"/>
        <s v="Mark Packer"/>
        <s v="Bobby Trafton"/>
        <s v="Bryan Mills"/>
        <s v="Grant Thornton"/>
        <s v="Sarah Bern"/>
        <s v="Valerie Takahito"/>
        <s v="Bart Pistole"/>
        <s v="Nick Radford"/>
        <s v="Carlos Soltero"/>
        <s v="Rick Duston"/>
        <s v="Brosina Hoffman"/>
        <s v="Carl Weiss"/>
        <s v="Chuck Magee"/>
        <s v="Frank Olsen"/>
        <s v="Thomas Seio"/>
        <s v="Heather Kirkland"/>
        <s v="Dorris liebe"/>
        <s v="Laurel Workman"/>
        <s v="Eric Hoffmann"/>
        <s v="Maxwell Schwartz"/>
        <s v="Michael Chen"/>
        <s v="Dan Campbell"/>
        <s v="Dennis Pardue"/>
        <s v="David Wiener"/>
        <s v="Don Miller"/>
        <s v="Emily Phan"/>
        <s v="Becky Castell"/>
        <s v="John Lee"/>
        <s v="Michelle Huthwaite"/>
        <s v="Ed Braxton"/>
        <s v="Brian Moss"/>
        <s v="Gary Hansen"/>
        <s v="Darrin Sayre"/>
        <s v="Laura Armstrong"/>
        <s v="Michael Nguyen"/>
        <s v="Mark Hamilton"/>
        <s v="Jamie Kunitz"/>
        <s v="Alyssa Crouse"/>
        <s v="Ben Ferrer"/>
        <s v="Max Engle"/>
        <s v="Paul Van Hugh"/>
        <s v="Barbara Fisher"/>
        <s v="Ivan Liston"/>
        <s v="Ann Steele"/>
        <s v="Nick Zandusky"/>
        <s v="Bruce Stewart"/>
        <s v="Berenike Kampe"/>
        <s v="Valerie Dominguez"/>
        <s v="Marina Lichtenstein"/>
        <s v="Chad Sievert"/>
        <s v="Sonia Sunley"/>
        <s v="Ricardo Sperren"/>
        <s v="Stephanie Phelps"/>
        <s v="Gary Zandusky"/>
        <s v="Roland Fjeld"/>
        <s v="Trudy Brown"/>
        <s v="Lena Radford"/>
        <s v="Maria Bertelson"/>
        <s v="Tamara Manning"/>
        <s v="Matt Abelman"/>
        <s v="Vivek Gonzalez"/>
        <s v="Andy Gerbode"/>
        <s v="Emily Ducich"/>
        <s v="Matthew Grinstein"/>
        <s v="Joseph Holt"/>
        <s v="Gene McClure"/>
        <s v="Roger Demir"/>
        <s v="Ken Lonsdale"/>
        <s v="Charles Sheldon"/>
        <s v="Ben Wallace"/>
        <s v="Duane Huffman"/>
        <s v="Lauren Leatherbury"/>
        <s v="Larry Tron"/>
        <s v="Jack Lebron"/>
        <s v="Lena Hernandez"/>
        <s v="Justin MacKendrick"/>
        <s v="Katherine Ducich"/>
        <s v="Christina VanderZanden"/>
        <s v="Allen Goldenen"/>
        <s v="Mathew Reese"/>
        <s v="Nora Preis"/>
        <s v="Patrick Ryan"/>
        <s v="Victoria Pisteka"/>
        <s v="Dennis Kane"/>
        <s v="Sam Zeldin"/>
        <s v="Rick Bensley"/>
        <s v="Lisa Ryan"/>
        <s v="Shahid Shariari"/>
        <s v="Becky Martin"/>
        <s v="Lisa Hazard"/>
        <s v="Karen Carlisle"/>
        <s v="Ted Trevino"/>
        <s v="Stefania Perrino"/>
        <s v="Marc Crier"/>
        <s v="Kean Takahito"/>
        <s v="Paul Prost"/>
        <s v="Toby Swindell"/>
        <s v="Maribeth Schnelling"/>
        <s v="Rick Reed"/>
        <s v="Logan Currie"/>
        <s v="Daniel Lacy"/>
        <s v="Nicole Fjeld"/>
        <s v="Chris Cortes"/>
        <s v="Dianna Arnett"/>
        <s v="Sandra Flanagan"/>
        <s v="Liz Willingham"/>
        <s v="Brad Norvell"/>
        <s v="Pete Takahito"/>
        <s v="Tom Ashbrook"/>
        <s v="Luke Weiss"/>
        <s v="Neil FranzÃ¶sisch"/>
        <s v="Erin Smith"/>
        <s v="Beth Paige"/>
        <s v="Allen Rosenblatt"/>
        <s v="Sara Luxemburg"/>
        <s v="Denny Ordway"/>
        <s v="Russell D'Ascenzo"/>
        <s v="David Flashing"/>
        <s v="Joy Daniels"/>
        <s v="Brian Derr"/>
        <s v="Keith Herrera"/>
        <s v="Xylona Preis"/>
        <s v="Alice McCarthy"/>
        <s v="Jack Garza"/>
        <s v="Duane Noonan"/>
        <s v="Shirley Jackson"/>
        <s v="Tanja Norvell"/>
        <s v="Fred Chung"/>
        <s v="Jill Fjeld"/>
        <s v="Dean percer"/>
        <s v="Helen Andreada"/>
        <s v="Dorothy Badders"/>
        <s v="Alan Shonely"/>
        <s v="Barry Pond"/>
        <s v="Russell Applegate"/>
        <s v="Natalie DeCherney"/>
        <s v="Ken Heidel"/>
        <s v="Suzanne McNair"/>
        <s v="Paul Lucas"/>
        <s v="Deirdre Greer"/>
        <s v="Erin Ashbrook"/>
        <s v="Patrick O'Brill"/>
        <s v="Liz Carlisle"/>
        <s v="Julie Kriz"/>
        <s v="Shahid Hopkins"/>
        <s v="Steven Ward"/>
        <s v="Speros Goranitis"/>
        <s v="Resi PÃ¶lking"/>
        <s v="Annie Thurman"/>
        <s v="Denise Monton"/>
        <s v="Tracy Collins"/>
        <s v="Odella Nelson"/>
        <s v="MaryBeth Skach"/>
        <s v="William Brown"/>
        <s v="Tiffany House"/>
        <s v="Deanra Eno"/>
        <s v="Steven Roelle"/>
        <s v="Maribeth Dona"/>
        <s v="Barry Gonzalez"/>
        <s v="George Ashbrook"/>
        <s v="Tamara Chand"/>
        <s v="Troy Blackwell"/>
        <s v="Jeremy Pistek"/>
        <s v="Benjamin Farhat"/>
        <s v="Pete Kriz"/>
        <s v="Tracy Zic"/>
        <s v="Karen Daniels"/>
        <s v="Arthur Prichep"/>
        <s v="Tom Stivers"/>
        <s v="Roy FranzÃ¶sisch"/>
        <s v="Joseph Airdo"/>
        <s v="Darren Budd"/>
        <s v="Toby Ritter"/>
        <s v="Toby Braunhardt"/>
        <s v="Joe Kamberova"/>
        <s v="Matt Connell"/>
        <s v="Anna Andreadi"/>
        <s v="David Philippe"/>
        <s v="Michael Dominguez"/>
        <s v="Katherine Nockton"/>
        <s v="Matt Collins"/>
        <s v="Elizabeth Moffitt"/>
        <s v="Nathan Gelder"/>
        <s v="Matthew Clasen"/>
        <s v="Cathy Prescott"/>
        <s v="Brendan Sweed"/>
        <s v="David Kendrick"/>
        <s v="Roy Collins"/>
        <s v="Nona Balk"/>
        <s v="Rob Lucas"/>
        <s v="Joni Blumstein"/>
        <s v="Luke Foster"/>
        <s v="Ryan Crowe"/>
        <s v="Frank Preis"/>
        <s v="Erica Hernandez"/>
        <s v="Thomas Boland"/>
        <s v="Tim Brockman"/>
        <s v="Jim Karlsson"/>
        <s v="Denny Joy"/>
        <s v="Dario Medina"/>
        <s v="Sally Matthias"/>
        <s v="Sally Hughsby"/>
        <s v="Craig Yedwab"/>
        <s v="Logan Haushalter"/>
        <s v="Philip Brown"/>
        <s v="Claudia Bergmann"/>
        <s v="Sylvia Foulston"/>
        <s v="Amy Hunt"/>
        <s v="Andrew Gjertsen"/>
        <s v="James Lanier"/>
        <s v="Craig Carroll"/>
        <s v="Michael Moore"/>
        <s v="Yana Sorensen"/>
        <s v="Cindy Schnelling"/>
        <s v="Allen Armold"/>
        <s v="Rick Wilson"/>
        <s v="Pauline Webber"/>
        <s v="Trudy Schmidt"/>
        <s v="Lori Olson"/>
        <s v="Damala Kotsonis"/>
        <s v="Michael Stewart"/>
        <s v="Frank Atkinson"/>
        <s v="Sarah Jordon"/>
        <s v="Shui Tom"/>
        <s v="Dave Hallsten"/>
        <s v="Tracy Poddar"/>
        <s v="Dave Kipp"/>
        <s v="Pete Armstrong"/>
        <s v="Sarah Foster"/>
        <s v="Alan Haines"/>
        <s v="Mike Vittorini"/>
        <s v="Jennifer Jackson"/>
        <s v="John Lucas"/>
        <s v="Eugene Moren"/>
        <s v="Dana Kaydos"/>
        <s v="Anthony Rawles"/>
        <s v="Noel Staavos"/>
        <s v="Toby Gnade"/>
        <s v="Edward Becker"/>
        <s v="Evan Bailliet"/>
        <s v="Michael Oakman"/>
        <s v="Cari Sayre"/>
        <s v="John Dryer"/>
        <s v="Greg Guthrie"/>
        <s v="Carol Adams"/>
        <s v="Jennifer Ferguson"/>
        <s v="Thomas Thornton"/>
        <s v="Frank Merwin"/>
        <s v="Mick Crebagga"/>
        <s v="Ivan Gibson"/>
        <s v="Eugene Hildebrand"/>
        <s v="Andy Reiter"/>
        <s v="Robert Dilbeck"/>
        <s v="Jennifer Braxton"/>
        <s v="David Bremer"/>
        <s v="Noah Childs"/>
        <s v="Julia Barnett"/>
        <s v="Lena Cacioppo"/>
        <s v="Alan Schoenberger"/>
        <s v="Stuart Van"/>
        <s v="Anna Gayman"/>
        <s v="Alejandro Ballentine"/>
        <s v="Natalie Webber"/>
        <s v="Alan Barnes"/>
        <s v="Paul Stevenson"/>
        <s v="Cindy Stewart"/>
        <s v="Annie Zypern"/>
        <s v="Rose O'Brian"/>
        <s v="James Galang"/>
        <s v="Catherine Glotzbach"/>
        <s v="Becky Pak"/>
        <s v="Brenda Bowman"/>
        <s v="Eleni McCrary"/>
        <s v="Maureen Gnade"/>
        <s v="Anthony Garverick"/>
        <s v="Trudy Glocke"/>
        <s v="Max Jones"/>
        <s v="Brian Dahlen"/>
        <s v="Jim Epp"/>
        <s v="Giulietta Baptist"/>
        <s v="Laurel Elliston"/>
        <s v="Jonathan Howell"/>
        <s v="Rob Haberlin"/>
        <s v="Karl Braun"/>
        <s v="Bruce Degenhardt"/>
        <s v="Irene Maddox"/>
        <s v="Alan Dominguez"/>
        <s v="Julie Prescott"/>
        <s v="Victor Preis"/>
        <s v="Mitch Webber"/>
        <s v="Kalyca Meade"/>
        <s v="Darrin Martin"/>
        <s v="Brian Thompson"/>
        <s v="Clytie Kelty"/>
        <s v="Todd Sumrall"/>
        <s v="Fred McMath"/>
        <s v="Corey-Lock"/>
        <s v="Brad Eason"/>
        <s v="Darren Koutras"/>
        <s v="Rachel Payne"/>
        <s v="Parhena Norris"/>
        <s v="Kelly Williams"/>
        <s v="Eudokia Martin"/>
        <s v="Denny Blanton"/>
        <s v="David Smith"/>
        <s v="Naresj Patel"/>
        <s v="Monica Federle"/>
        <s v="Bill Donatelli"/>
        <s v="Barry Weirich"/>
        <s v="Philisse Overcash"/>
        <s v="Doug Bickford"/>
        <s v="Daniel Raglin"/>
        <s v="Julie Creighton"/>
        <s v="Mike Gockenbach"/>
        <s v="John Huston"/>
        <s v="Christine Sundaresam"/>
        <s v="Shaun Chance"/>
        <s v="Arthur Gainer"/>
        <s v="Cathy Armstrong"/>
        <s v="Sung Pak"/>
        <s v="Tamara Willingham"/>
        <s v="Beth Thompson"/>
        <s v="Chuck Clark"/>
        <s v="Alyssa Tate"/>
        <s v="Shaun Weien"/>
        <s v="Charles Crestani"/>
        <s v="Corey Catlett"/>
        <s v="Neoma Murray"/>
        <s v="Bobby Odegard"/>
        <s v="Alex Russell"/>
        <s v="George Bell"/>
        <s v="Skye Norling"/>
        <s v="Craig Carreira"/>
        <s v="Robert Marley"/>
        <s v="Eric Murdock"/>
        <s v="Jennifer Patt"/>
        <s v="Christopher Schild"/>
        <s v="Henry MacAllister"/>
        <s v="Michael Paige"/>
        <s v="Sheri Gordon"/>
        <s v="Alex Avila"/>
        <s v="Joel Jenkins"/>
        <s v="Jeremy Farry"/>
        <s v="Gene Hale"/>
        <s v="Sonia Cooley"/>
        <s v="Sean O'Donnell"/>
        <s v="Ralph Kennedy"/>
        <s v="Justin Hirsh"/>
        <s v="Jas O'Carroll"/>
        <s v="Kelly Collister"/>
        <s v="Scot Wooten"/>
        <s v="Barry Blumstein"/>
        <s v="Emily Grady"/>
        <s v="Corinna Mitchell"/>
        <s v="Fred Hopkins"/>
        <s v="Christy Brittain"/>
        <s v="Meg Tillman"/>
        <s v="Karen Bern"/>
        <s v="Mike Caudle"/>
        <s v="Christine Phan"/>
        <s v="Doug O'Connell"/>
        <s v="Adrian Barton"/>
        <s v="Helen Abelman"/>
        <s v="Maria Zettner"/>
        <s v="Amy Cox"/>
        <s v="Duane Benoit"/>
        <s v="Keith Dawkins"/>
        <s v="Charlotte Melton"/>
        <s v="Adam Shillingsburg"/>
        <s v="Dianna Vittorini"/>
        <s v="Jesus Ocampo"/>
        <s v="Alan Hwang"/>
        <s v="Steve Chapman"/>
        <s v="Yoseph Carroll"/>
        <s v="Eugene Barchas"/>
        <s v="Lindsay Castell"/>
        <s v="Dean Katz"/>
        <s v="Bill Stewart"/>
        <s v="Pierre Wener"/>
        <s v="Ritsa Hightower"/>
        <s v="Harry Marie"/>
        <s v="Matt Hagelstein"/>
        <s v="Stephanie Ulpright"/>
        <s v="Katrina Willman"/>
        <s v="Gary Hwang"/>
        <s v="Katherine Murray"/>
        <s v="Art Ferguson"/>
        <s v="Mike Pelletier"/>
        <s v="Kristen Hastings"/>
        <s v="Tonja Turnell"/>
        <s v="Henry Goldwyn"/>
        <s v="Ken Brennan"/>
        <s v="Khloe Miller"/>
        <s v="Frank Carlisle"/>
        <s v="Julia West"/>
        <s v="Ryan Akin"/>
        <s v="Stuart Calhoun"/>
        <s v="Lena Creighton"/>
        <s v="Jim Kriz"/>
        <s v="Cynthia Arntzen"/>
        <s v="Jonathan Doherty"/>
        <s v="Brendan Murry"/>
        <s v="Christine Abelman"/>
        <s v="Bill Overfelt"/>
        <s v="Erica Bern"/>
        <s v="Ben Peterman"/>
        <s v="Anthony Johnson"/>
        <s v="Maureen Fritzler"/>
        <s v="Joy Bell-"/>
        <s v="Tracy Blumstein"/>
        <s v="Christina Anderson"/>
        <s v="Bobby Elias"/>
        <s v="Cathy Hwang"/>
        <s v="Justin Ritter"/>
        <s v="Phillip Breyer"/>
        <s v="Jason Gross"/>
        <s v="Theresa Swint"/>
        <s v="Michael Granlund"/>
        <s v="Randy Ferguson"/>
        <s v="Rob Williams"/>
        <s v="Zuschuss Carroll"/>
        <s v="Brian DeCherney"/>
        <s v="Sanjit Jacobs"/>
        <s v="Pamela Stobb"/>
        <s v="Caroline Jumper"/>
        <s v="Bryan Davis"/>
        <s v="Karen Ferguson"/>
        <s v="Rick Huthwaite"/>
        <s v="Maya Herman"/>
        <s v="Brad Thomas"/>
        <s v="Raymond Buch"/>
        <s v="Don Weiss"/>
        <s v="Daniel Byrd"/>
        <s v="Muhammed Yedwab"/>
        <s v="Zuschuss Donatelli"/>
        <s v="Evan Henry"/>
        <s v="Jeremy Lonsdale"/>
        <s v="Sean Wendt"/>
        <s v="Herbert Flentye"/>
        <s v="Jason Fortune-"/>
        <s v="Chris McAfee"/>
        <s v="Cindy Chapman"/>
        <s v="Dan Lawera"/>
        <s v="Susan MacKendrick"/>
        <s v="Patrick Jones"/>
        <s v="Barry Franz"/>
        <s v="Lindsay Williams"/>
        <s v="Thea Hendricks"/>
        <s v="Cynthia Voltz"/>
        <s v="Vivek Grady"/>
        <s v="Jill Matthias"/>
        <s v="Vivian Mathis"/>
        <s v="Edward Nazzal"/>
        <s v="Janet Lee"/>
        <s v="Scot Coram"/>
        <s v="Liz Preis"/>
        <s v="Ross DeVincentis"/>
        <s v="Roy Skaria"/>
        <s v="Toby Carlisle"/>
        <s v="Dean Braden"/>
        <s v="Olvera Toch"/>
        <s v="Erica Smith"/>
        <s v="Darrin Van Huff"/>
        <s v="Stewart Carmichael"/>
        <s v="Craig Reiter"/>
        <s v="Arthur Wiediger"/>
        <s v="Jay Fein"/>
        <s v="Katherine Hughes"/>
        <s v="Guy Thornton"/>
        <s v="Barry FranzÃ¶sisch"/>
        <s v="Christopher Conant"/>
        <s v="Chad Cunningham"/>
        <s v="Joe Elijah"/>
        <s v="Thea Hudgings"/>
        <s v="Susan Gilcrest"/>
        <s v="Alex Grayson"/>
        <s v="Max Ludwig"/>
        <s v="Ralph Arnett"/>
        <s v="Linda Cazamias"/>
        <s v="Liz MacKendrick"/>
        <s v="Dorothy Wardle"/>
        <s v="Michelle Tran"/>
        <s v="Adam Bellavance"/>
        <s v="Laurel Beltran"/>
        <s v="Rob Beeghly"/>
        <s v="Ionia McGrath"/>
        <s v="Jasper Cacioppo"/>
        <s v="Mark Van Huff"/>
        <s v="Fred Wasserman"/>
        <s v="Elpida Rittenbach"/>
        <s v="Mary O'Rourke"/>
        <s v="Bruce Geld"/>
        <s v="Michael Grace"/>
        <s v="Troy Staebel"/>
        <s v="Matt Collister"/>
        <s v="Hunter Glantz"/>
        <s v="Tim Taslimi"/>
        <s v="Dionis Lloyd"/>
        <s v="Bart Watters"/>
        <s v="Joel Eaton"/>
        <s v="Peter McVee"/>
        <s v="Sibella Parks"/>
        <s v="Phillip Flathmann"/>
        <s v="Alejandro Savely"/>
        <s v="Michelle Arnett"/>
        <s v="Lindsay Shagiari"/>
        <s v="Kelly Lampkin"/>
        <s v="Penelope Sewall"/>
        <s v="Lisa DeCherney"/>
        <s v="Claire Gute"/>
        <s v="Philip Fox"/>
        <s v="Pamela Coakley"/>
        <s v="Debra Catini"/>
        <s v="Liz Pelletier"/>
        <s v="Sung Chung"/>
        <s v="Susan Pistek"/>
        <s v="Carl Ludwig"/>
        <s v="John Murray"/>
        <s v="Mike Kennedy"/>
        <s v="Jamie Frazer"/>
        <s v="Gary McGarr"/>
        <s v="Ellis Ballard"/>
        <s v="Justin Ellison"/>
        <s v="Aleksandra Gannaway"/>
        <s v="Tony Chapman"/>
        <s v="Theone Pippenger"/>
        <s v="Harold Engle"/>
        <s v="Greg Tran"/>
        <s v="Dave Poirier"/>
        <s v="Janet Molinari"/>
        <s v="Erin Creighton"/>
        <s v="Janet Martin"/>
        <s v="Aaron Smayling"/>
        <s v="Christopher Martinez"/>
        <s v="Thais Sissman"/>
        <s v="Linda Southworth"/>
        <s v="Cassandra Brandow"/>
        <s v="Tom Prescott"/>
        <s v="Don Jones"/>
        <s v="Magdelene Morse"/>
        <s v="Maribeth Yedwab"/>
        <s v="Ken Dana"/>
        <s v="Ed Jacobs"/>
        <s v="Bill Tyler"/>
        <s v="Julia Dunbar"/>
        <s v="Roland Murray"/>
        <s v="Victoria Brennan"/>
        <s v="Mick Hernandez"/>
        <s v="Karen Seio"/>
        <s v="Candace McMahon"/>
        <s v="Marc Harrigan"/>
        <s v="Nick Crebassa"/>
        <s v="John Castell"/>
        <s v="Sue Ann Reed"/>
        <s v="Anne McFarland"/>
        <s v="Adrian Hane"/>
        <s v="Bryan Spruell"/>
        <s v="Mitch Gastineau"/>
        <s v="Dennis Bolton"/>
        <s v="Sample Company A"/>
        <s v="Dorothy Dickinson"/>
        <s v="Fred Harton"/>
        <s v="Helen Wasserman"/>
        <s v="Saphhira Shifley"/>
        <s v="Meg O'Connel"/>
        <s v="Michelle Lonsdale"/>
        <s v="Erin Mull"/>
        <s v="Maureen Gastineau"/>
        <s v="Sean Christensen"/>
        <s v="George Zrebassa"/>
        <s v="Muhammed MacIntyre"/>
        <s v="Sarah Brown"/>
        <s v="Chuck Sachs"/>
        <s v="Tony Sayre"/>
        <s v="Angele Hood"/>
        <s v="Tamara Dahlen"/>
        <s v="Jenna Caffey"/>
        <s v="Sean Miller"/>
        <s v="Frank Gastineau"/>
        <s v="Beth Fritzler"/>
        <s v="Larry Hughes"/>
        <s v="Ted Butterfield"/>
        <s v="Patrick O'Donnell"/>
        <s v="Todd Boyes"/>
        <s v="Joni Wasserman"/>
        <s v="Rick Hansen"/>
        <s v="Bradley Nguyen"/>
        <s v="Sung Shariari"/>
        <s v="Bill Eplett"/>
        <s v="Ann Chong"/>
        <s v="Anthony Witt"/>
        <s v="Katrina Bavinger"/>
        <s v="Grace Kelly"/>
        <s v="Robert Waldorf"/>
        <s v="Jessica Myrick"/>
        <s v="Bart Folk"/>
        <s v="Neola Schneider"/>
        <s v="Jane Waco"/>
        <s v="Juliana Krohn"/>
        <s v="Chad McGuire"/>
        <s v="Cyra Reiten"/>
        <s v="Harry Greene"/>
        <s v="Neil Knudson"/>
        <s v="Nora Paige"/>
        <s v="Nancy Lomonaco"/>
        <s v="Sharelle Roach"/>
        <s v="Kimberly Carter"/>
        <s v="Denise Leinenbach"/>
        <s v="Peter BÃ¼hler"/>
        <s v="Clay Rozendal"/>
        <s v="Susan Vittorini"/>
        <s v="Christina DeMoss"/>
        <s v="Roger Barcio"/>
        <s v="Maris LaWare"/>
        <s v="Carol Darley"/>
        <s v="Ann Blume"/>
        <s v="Thomas Brumley"/>
        <s v="Nat Gilpin"/>
        <s v="Larry Blacks"/>
        <s v="Clay Cheatham"/>
        <s v="Joy Smith"/>
        <s v="Michael Kennedy"/>
        <s v="Charles McCrossin"/>
        <s v="Patrick Bzostek"/>
        <s v="Ralph Ritter"/>
      </sharedItems>
    </cacheField>
    <cacheField name="State" numFmtId="0">
      <sharedItems count="48">
        <s v="Texas"/>
        <s v="Illinois"/>
        <s v="Pennsylvania"/>
        <s v="California"/>
        <s v="Georgia"/>
        <s v="Kentucky"/>
        <s v="Virginia"/>
        <s v="Delaware"/>
        <s v="Wisconsin"/>
        <s v="Florida"/>
        <s v="Washington"/>
        <s v="New Jersey"/>
        <s v="New York"/>
        <s v="Nevada"/>
        <s v="Missouri"/>
        <s v="North Carolina"/>
        <s v="Ohio"/>
        <s v="South Carolina"/>
        <s v="Michigan"/>
        <s v="Colorado"/>
        <s v="Massachusetts"/>
        <s v="Louisiana"/>
        <s v="Alabama"/>
        <s v="Arizona"/>
        <s v="Idaho"/>
        <s v="Montana"/>
        <s v="Indiana"/>
        <s v="Connecticut"/>
        <s v="Minnesota"/>
        <s v="Arkansas"/>
        <s v="Utah"/>
        <s v="Tennessee"/>
        <s v="Mississippi"/>
        <s v="Maine"/>
        <s v="Oklahoma"/>
        <s v="Oregon"/>
        <s v="Kansas"/>
        <s v="Nebraska"/>
        <s v="New Mexico"/>
        <s v="Maryland"/>
        <s v="Rhode Island"/>
        <s v="Vermont"/>
        <s v="Iowa"/>
        <s v="New Hampshire"/>
        <s v="Wyoming"/>
        <s v="District of Columbia"/>
        <s v="West Virginia"/>
        <s v="South Dakota"/>
      </sharedItems>
    </cacheField>
    <cacheField name="Category" numFmtId="0">
      <sharedItems count="3">
        <s v="Office Supplies"/>
        <s v="Furniture"/>
        <s v="Technology"/>
      </sharedItems>
    </cacheField>
    <cacheField name="Sub Category" numFmtId="0">
      <sharedItems count="17">
        <s v="Paper"/>
        <s v="Labels"/>
        <s v="Storage"/>
        <s v="Binders"/>
        <s v="Art"/>
        <s v="Chairs"/>
        <s v="Phones"/>
        <s v="Fasteners"/>
        <s v="Furnishings"/>
        <s v="Accessories"/>
        <s v="Tables"/>
        <s v="Envelopes"/>
        <s v="Bookcases"/>
        <s v="Appliances"/>
        <s v="Supplies"/>
        <s v="Copiers"/>
        <s v="Machines"/>
      </sharedItems>
    </cacheField>
    <cacheField name="Product Name" numFmtId="0">
      <sharedItems count="1608">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GBC Standard Recycled Report Covers, Clear Plastic Sheets"/>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Sannysis Cute Owl Design Soft Skin Case Cover for Samsung Galaxy S4"/>
        <s v="Novimex Swivel Fabric Task Chair"/>
        <s v="Black Print Carbonless 8 1/2&quot; x 8 1/4&quot; Rapid Memo Book"/>
        <s v="Plymouth Boxed Rubber Bands by Plymouth"/>
        <s v="Harbour Creations Steel Folding Chair"/>
        <s v="DAX Black Cherry Wood-Tone Poster Frame"/>
        <s v="Fellowes Bankers Box Recycled Super Stor/Drawer"/>
        <s v="Recycled Steel Personal File for Hanging File Folders"/>
        <s v="Bevis Round Conference Room Tables and Bases"/>
        <s v="Staple envelope"/>
        <s v="Array Parchment Paper, Assorted Colors"/>
        <s v="Xerox 1971"/>
        <s v="Hypercom P1300 Pinpad"/>
        <s v="Zebra Zazzle Fluorescent Highlighters"/>
        <s v="PowerGen Dual USB Car Charger"/>
        <s v="Cardinal HOLDit! Binder Insert Strips,Extra Strips"/>
        <s v="Avery 495"/>
        <s v="O'Sullivan 4-Shelf Bookcase in Odessa Pine"/>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Tennsco 6- and 18-Compartment Lockers"/>
        <s v="BOSTON Ranger #55 Pencil Sharpener, Black"/>
        <s v="Eldon Wave Desk Accessories"/>
        <s v="Stockwell Push Pins"/>
        <s v="Southworth 100% RÃ©sumÃ© Paper, 24lb."/>
        <s v="Fellowes Premier Superior Surge Suppressor, 10-Outlet, With Phone and Remote"/>
        <s v="Panasonic KX-TG9471B"/>
        <s v="Xerox 198"/>
        <s v="Economy #2 Pencils"/>
        <s v="Avery 490"/>
        <s v="Pressboard Data Binder, Crimson, 12&quot; X 8 1/2&quot;"/>
        <s v="Rogers Profile Extra Capacity Storage Tub"/>
        <s v="Zipper Ring Binder Pockets"/>
        <s v="Xerox 1990"/>
        <s v="Motorola Droid Maxx"/>
        <s v="Euro-Pro Shark Turbo Vacuum"/>
        <s v="Xerox 1898"/>
        <s v="Xerox 1947"/>
        <s v="Luxo Adjustable Task Clamp Lamp"/>
        <s v="Enermax Briskie RF Wireless Keyboard and Mouse Combo"/>
        <s v="Logitech G600 MMO Gaming Mouse"/>
        <s v="Avery 518"/>
        <s v="Advantus Panel Wall Acrylic Frame"/>
        <s v="Newell 319"/>
        <s v="Avery Non-Stick Binders"/>
        <s v="Safco Commercial Shelving"/>
        <s v="Logitech Wireless Marathon Mouse M705"/>
        <s v="Xerox 209"/>
        <s v="Xerox 1966"/>
        <s v="Eaton Premium Continuous-Feed Paper, 25% Cotton, Letter Size, White, 1000 Shts/Box"/>
        <s v="Crayola Colored Pencils"/>
        <s v="Xerox 1957"/>
        <s v="Newell 321"/>
        <s v="Martin Yale Chadless Opener Electric Letter Opener"/>
        <s v="Tenex File Box, Personal Filing Tote with Lid, Black"/>
        <s v="Adjustable Personal File Tote"/>
        <s v="Stanley Contemporary Battery Pencil Sharpeners"/>
        <s v="Fellowes Twister Kit, Gray/Clear, 3/pkg"/>
        <s v="Binney &amp; Smith Crayola Metallic Colored Pencils, 8-Color Set"/>
        <s v="Space Solutions HD Industrial Steel Shelvin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AT&amp;T TR1909W"/>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O'Sullivan Living Dimensions 2-Shelf Bookcases"/>
        <s v="Xerox 213"/>
        <s v="Prismacolor Color Pencil Set"/>
        <s v="Belkin 6 Outlet Metallic Surge Strip"/>
        <s v="Brother DCP1000 Digital 3 in 1 Multifunction Machine"/>
        <s v="Avery 481"/>
        <s v="GBC Poly Designer Binding Covers"/>
        <s v="Avery Durable Plastic 1&quot; Binders"/>
        <s v="Fellowes Binding Cases"/>
        <s v="DAX Wood Document Frame"/>
        <s v="OIC Thumb-Tacks"/>
        <s v="Eldon Regeneration Recycled Desk Accessories, Smoke"/>
        <s v="Holmes Odor Grabber"/>
        <s v="Adams &quot;While You Were Out&quot; Message Pads"/>
        <s v="Newell 350"/>
        <s v="Xerox 1933"/>
        <s v="Eldon Portable Mobile Manager"/>
        <s v="Storex Dura Pro Binders"/>
        <s v="Easy-staple paper"/>
        <s v="Wilson Jones Legal Size Ring Binders"/>
        <s v="Staple-on labels"/>
        <s v="Model L Table or Wall-Mount Pencil Sharpener"/>
        <s v="Acco PRESSTEX Data Binder with Storage Hooks, Dark Blue, 14 7/8&quot; X 11&quot;"/>
        <s v="Balt Split Level Computer Training Table"/>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Sanford Colorific Scented Colored Pencils, 12/Pack"/>
        <s v="Mophie Juice Pack Helium for iPhone"/>
        <s v="Hot File 7-Pocket, Floor Stand"/>
        <s v="Security-Tint Envelopes"/>
        <s v="Avery 513"/>
        <s v="Contract Clock, 14&quot;, Brown"/>
        <s v="Recycled Steel Personal File for Standard File Folders"/>
        <s v="Seth Thomas 14&quot; Day/Date Wall Clock"/>
        <s v="Commercial WindTunnel Clean Air Upright Vacuum, Replacement Belts, Filtration Bags"/>
        <s v="O'Sullivan Living Dimensions 5-Shelf Bookcases"/>
        <s v="G.E. Halogen Desk Lamp Bulbs"/>
        <s v="Sanford Liquid Accent Highlighters"/>
        <s v="Wilson Jones Century Plastic Molded Ring Binders"/>
        <s v="Acme Office Executive Series Stainless Steel Trimmers"/>
        <s v="Chromcraft Bull-Nose Wood 48&quot; x 96&quot; Rectangular Conference Tables"/>
        <s v="#10- 4 1/8&quot; x 9 1/2&quot; Recycled Envelopes"/>
        <s v="Round Specialty Laser Printer Labels"/>
        <s v="Presstex Flexible Ring Binders"/>
        <s v="Xerox 1944"/>
        <s v="Bevis Round Conference Table Top, X-Base"/>
        <s v="Hon Deluxe Fabric Upholstered Stacking Chairs, Squared Back"/>
        <s v="Situations Contoured Folding Chairs, 4/Set"/>
        <s v="Green Canvas Binder for 8-1/2&quot; x 14&quot; Sheets"/>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Square Credit Card Reader"/>
        <s v="Logitech M510 Wireless Mouse"/>
        <s v="Boston 1645 Deluxe Heavier-Duty Electric Pencil Sharpener"/>
        <s v="Staple remover"/>
        <s v="Deluxe Chalkboard Eraser Cleaner"/>
        <s v="Bevis 44 x 96 Conference Tables"/>
        <s v="DIXON Oriole Pencils"/>
        <s v="Xerox 1909"/>
        <s v="Executive Impressions 13-1/2&quot; Indoor/Outdoor Wall Clock"/>
        <s v="Dot Matrix Printer Tape Reel Labels, White, 5000/Box"/>
        <s v="Cardinal Holdit Business Card Pockets"/>
        <s v="Wilson SignalBoost 841262 DB PRO Amplifier Kit"/>
        <s v="Avery Durable Binders"/>
        <s v="Logitech B530 USBÂ HeadsetÂ -Â headsetÂ - Full size, Binaural"/>
        <s v="Fellowes Mighty 8 Compact Surge Protector"/>
        <s v="Southworth Structures Collection"/>
        <s v="NETGEAR AC1750 Dual Band GigabitÂ Smart WiFi Router"/>
        <s v="Avery 516"/>
        <s v="Xerox 1995"/>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Wilson Jones Ledger-Size, Piano-Hinge Binder, 2&quot;, Blue"/>
        <s v="Eureka Recycled Copy Paper 8 1/2&quot; x 11&quot;, Ream"/>
        <s v="Xerox 1895"/>
        <s v="Avery 49"/>
        <s v="Perma STOR-ALL Hanging File Box, 13 1/8&quot;W x 12 1/4&quot;D x 10 1/2&quot;H"/>
        <s v="Avery Hidden Tab Dividers for Binding Systems"/>
        <s v="Bush Heritage Pine Collection 5-Shelf Bookcase, Albany Pine Finish, *Special Order"/>
        <s v="Prang Drawing Pencil Set"/>
        <s v="Xerox 1967"/>
        <s v="Cisco SPA508G"/>
        <s v="Global Commerce Series High-Back Swivel/Tilt Chairs"/>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Self-Adhesive Ring Binder Labels"/>
        <s v="Xerox 1949"/>
        <s v="Verbatim 25 GB 6x Blu-ray Single Layer Recordable Disc, 1/Pack"/>
        <s v="Hon Deluxe Fabric Upholstered Stacking Chairs"/>
        <s v="Fluorescent Highlighters by Dixon"/>
        <s v="Xerox 195"/>
        <s v="Self-Adhesive Address Labels for Typewriters by Universal"/>
        <s v="Honeywell Quietcare HEPA Air Cleaner"/>
        <s v="Xerox 1916"/>
        <s v="Wilson Jones data.warehouse D-Ring Binders with DublLock"/>
        <s v="Acco Clips to Go Binder Clips, 24 Clips in Two Sizes"/>
        <s v="Wilson Jones 14 Line Acrylic Coated Pressboard Data Binder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Staple magnet"/>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Xerox 1913"/>
        <s v="Global Value Steno Chair, Gray"/>
        <s v="Logitech Desktop MK120 Mouse and keyboard Combo"/>
        <s v="Akro Stacking Bins"/>
        <s v="Boston KS Multi-Size Manual Pencil Sharpener"/>
        <s v="Fellowes Advanced Computer Series Surge Protectors"/>
        <s v="Binney &amp; Smith inkTank Erasable Pocket Highlighter, Chisel Tip, Yellow"/>
        <s v="Hon GuestStacker Chair"/>
        <s v="Plantronics CS 50-USB -Â headsetÂ - Convertible, Monaural"/>
        <s v="SAFCO PlanMaster Heigh-Adjustable Drafting Table Base, 43w x 30d x 30-37h, Black"/>
        <s v="Maxell 74 Minute CD-R Spindle, 50/P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Avery Hole Reinforcements"/>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very 501"/>
        <s v="Acco Translucent Poly Ring Binders"/>
        <s v="BOSTON Model 1800 Electric Pencil Sharpeners, Putty/Woodgrain"/>
        <s v="Prestige Round Ring Binders"/>
        <s v="Xerox 216"/>
        <s v="Wilson Jones Hanging Recycled Pressboard Data Binders"/>
        <s v="WD My Passport Ultra 2TB Portable External Hard Drive"/>
        <s v="Holmes Cool Mist Humidifier for the Whole House with 8-Gallon Output per Day, Extended Life Filter"/>
        <s v="Tenex Carpeted, Granite-Look or Clear Contemporary Contour Shape Chair Mats"/>
        <s v="SANFORD Major Accent Highlighters"/>
        <s v="Newell 324"/>
        <s v="Logitech Wireless Performance Mouse MX for PC and Mac"/>
        <s v="Epson TM-T88V Direct Thermal Printer - Monochrome - Desktop"/>
        <s v="GBC DocuBind TL300 Electric Binding System"/>
        <s v="LogitechÂ Gaming G510s - Keyboard"/>
        <s v="GBC VeloBinder Strips"/>
        <s v="Economy Rollaway Files"/>
        <s v="Telescoping Adjustable Floor Lamp"/>
        <s v="invisibleSHIELD by ZAGG Smudge-Free Screen Protector"/>
        <s v="DAX Natural Wood-Tone Poster Frame"/>
        <s v="StarTech.com 10/100 VDSL2 Ethernet Extender Kit"/>
        <s v="Executive Impressions 13&quot; Clairmont Wall Clock"/>
        <s v="GBC Laser Imprintable Binding System Covers, Desert Sand"/>
        <s v="Xerox 2000"/>
        <s v="3M Polarizing Task Lamp with Clamp Arm, Light Gray"/>
        <s v="Plantronics CordlessÂ Phone HeadsetÂ with In-line Volume - M214C"/>
        <s v="AT&amp;T EL51110 DECT"/>
        <s v="Panasonic KX TS3282B Corded phone"/>
        <s v="Angle-D Binders with Locking Rings, Label Holders"/>
        <s v="Riverside Furniture Oval Coffee Table, Oval End Table, End Table with Drawer"/>
        <s v="Belkin Standard 104 key USB Keyboard"/>
        <s v="Dixon Ticonderoga Core-Lock Colored Pencils"/>
        <s v="Avery Recycled Flexi-View Covers for Binding Systems"/>
        <s v="Padded Folding Chairs, Black, 4/Carton"/>
        <s v="Akro-Mils 12-Gallon Tote"/>
        <s v="Acme Design Line 8&quot; Stainless Steel Bent Scissors w/Champagne Handles, 3-1/8&quot; Cut"/>
        <s v="Avery Legal 4-Ring Binder"/>
        <s v="Acco Hot Clips Clips to Go"/>
        <s v="Avery Heavy-Duty EZD View Binder with Locking Rings"/>
        <s v="BIC Brite Liner Highlighters"/>
        <s v="Lexmark MX611dhe Monochrome Laser Printer"/>
        <s v="SAFCO Arco Folding Chair"/>
        <s v="Kensington 7 Outlet MasterPiece Power Center"/>
        <s v="JBL Micro Wireless Portable Bluetooth Speaker"/>
        <s v="Logitech Wireless Touch Keyboard K400"/>
        <s v="GBC ProClick Punch Binding System"/>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on Deluxe Fabric Upholstered Stacking Chairs, Rounded Back"/>
        <s v="Hunt PowerHouse Electric Pencil Sharpener, Blue"/>
        <s v="Carina Double Wide Media Storage Towers in Natural &amp; Black"/>
        <s v="Snap-A-Way Black Print Carbonless Ruled Speed Letter, Triplicate"/>
        <s v="Global Super Steno Chair"/>
        <s v="Nontoxic Chalk"/>
        <s v="Acco PRESSTEX Data Binder with Storage Hooks, Light Blue, 9 1/2&quot; X 11&quot;"/>
        <s v="Alphabetical Labels for Top Tab Filing"/>
        <s v="Global Italian Leather Office Chair"/>
        <s v="Advantus Motivational Note Cards"/>
        <s v="Xerox 210"/>
        <s v="Rosewill 107 Normal Keys USB Wired Standard Keyboard"/>
        <s v="Master Caster Door Stop, Large Neon Orange"/>
        <s v="Polycom SoundPoint IP 450 VoIP phone"/>
        <s v="3D Systems Cube Printer, 2nd Generation, White"/>
        <s v="Nu-Dell Executive Frame"/>
        <s v="Newell 320"/>
        <s v="Ampad Poly Cover Wirebound Steno Book, 6&quot; x 9&quot; Assorted Colors, Gregg Ruled"/>
        <s v="Peel &amp; Seel Envelopes"/>
        <s v="GuestStacker Chair with Chrome Finish Legs"/>
        <s v="Kensington 6 Outlet Guardian Standard Surge Protector"/>
        <s v="Dana Fluorescent Magnifying Lamp, White, 36&quot;"/>
        <s v="Deflect-o DuraMat Lighweight, Studded, Beveled Mat for Low Pile Carpeting"/>
        <s v="Xerox 220"/>
        <s v="Fellowes 8 Outlet Superior Workstation Surge Protector"/>
        <s v="SanDisk Cruzer 32 GB USB Flash Drive"/>
        <s v="Wilson Jones Impact Binders"/>
        <s v="Premier Elliptical Ring Binder, Black"/>
        <s v="Compact Automatic Electric Letter Opener"/>
        <s v="SanDisk Cruzer 16 GB USB Flash Drive"/>
        <s v="GBC DocuBind P100 Manual Binding Machine"/>
        <s v="Seth Thomas 8 1/2&quot; Cubicle Clock"/>
        <s v="HON 5400 Series Task Chairs for Big and Tall"/>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Hunt Boston Vacuum Mount KS Pencil Sharpener"/>
        <s v="Convenience Packs of Business Envelopes"/>
        <s v="Logitech G105 Gaming Keyboard"/>
        <s v="Colored Push Pins"/>
        <s v="Smead Alpha-Z Color-Coded Second Alphabetical Labels and Starter Set"/>
        <s v="Avery 512"/>
        <s v="GBC Recycled Regency Composition Covers"/>
        <s v="Avery 519"/>
        <s v="Office Star - Contemporary Task Swivel chair with Loop Arms, Charcoal"/>
        <s v="Plantronics Audio 478 Stereo USB Headset"/>
        <s v="ImationÂ USB 2.0 SwivelÂ Flash DriveÂ USBÂ flash driveÂ - 4 GB - Pink"/>
        <s v="Tennsco Lockers, Gray"/>
        <s v="Fellowes Staxonsteel Drawer Files"/>
        <s v="Seth Thomas 16&quot; Steel Case Clock"/>
        <s v="Fellowes Personal Hanging Folder Files, Navy"/>
        <s v="Maxell 74 Minute CDR, 10/Pack"/>
        <s v="Xerox 197"/>
        <s v="iOttie HLCRIO102 Car Mount"/>
        <s v="#10- 4 1/8&quot; x 9 1/2&quot; Security-Tint Envelopes"/>
        <s v="Westinghouse Clip-On Gooseneck Lamps"/>
        <s v="Cisco 8x8 Inc. 6753i IP Business Phone System"/>
        <s v="Hewlett-Packard Deskjet F4180 All-in-One Color Ink-jet - Printer / copier / scanner"/>
        <s v="Dixon Ticonderoga Core-Lock Colored Pencils, 48-Color Set"/>
        <s v="Fellowes High-Stak Drawer Files"/>
        <s v="Airmail Envelopes"/>
        <s v="DAX Cubicle Frames - 8x10"/>
        <s v="WD My Passport Ultra 1TB Portable External Hard Drive"/>
        <s v="Iris Project Case"/>
        <s v="Global Enterprise Series Seating High-Back Swivel/Tilt Chairs"/>
        <s v="Eldon Pizzaz Desk Accessories"/>
        <s v="Premium Writing Pencils, Soft, #2 by Central Association for the Blind"/>
        <s v="Sortfiler Multipurpose Personal File Organizer, Black"/>
        <s v="Acme Hot Forged Carbon Steel Scissors with Nickel-Plated Handles, 3 7/8&quot; Cut, 8&quot;L"/>
        <s v="ClearOne CHATAttach 160 -Â speaker phone"/>
        <s v="Carina Mini System Audio Rack, Model AR050B"/>
        <s v="Plantronics Voyager Pro HD - Bluetooth Headset"/>
        <s v="Cisco IPÂ PhoneÂ 7961G VoIPÂ phoneÂ - Dark gray"/>
        <s v="Southworth Parchment Paper &amp; Envelopes"/>
        <s v="Multi-Use Personal File Cart and Caster Set, Three Stacking Bins"/>
        <s v="OIC #2 Pencils, Medium Soft"/>
        <s v="Avery 475"/>
        <s v="Master Big Foot Doorstop, Beige"/>
        <s v="Howard Miller 13&quot; Diameter Pewter Finish Round Wall Clock"/>
        <s v="Acco Economy Flexible Poly Round Ring Binder"/>
        <s v="Avery 499"/>
        <s v="Tensor Computer Mounted Lamp"/>
        <s v="Polycom CX300 Desktop Phone USB VoIP phone"/>
        <s v="I Need's 3d Hello Kitty Hybrid Silicone Case Cover for HTC One X 4g with 3d Hello Kitty Stylus Pen Green/pink"/>
        <s v="Acco D-Ring Binder w/DublLock"/>
        <s v="Adjustable Depth Letter/Legal Cart"/>
        <s v="Samsung Rugby III"/>
        <s v="Acco Pressboard Covers with Storage Hooks, 14 7/8&quot; x 11&quot;, Light Blue"/>
        <s v="Acme Kleen Earth Office Shears"/>
        <s v="Ampad Evidence Wirebond Steno Books, 6&quot; x 9&quot;"/>
        <s v="Hon Racetrack Conference Tables"/>
        <s v="Avery Self-Adhesive Photo Pockets for Polaroid Photos"/>
        <s v="Tenex Antistatic Computer Chair Mats"/>
        <s v="Belkin F8E887 USB Wired Ergonomic Keyboard"/>
        <s v="Prang Dustless Chalk Sticks"/>
        <s v="DMI Arturo Collection Mission-style Design Wood Chair"/>
        <s v="Canon imageCLASS MF7460 Monochrome Digital Laser Multifunction Copier"/>
        <s v="Panasonic Kx-TS550"/>
        <s v="NETGEAR N750 Dual Band Wi-Fi Gigabit Router"/>
        <s v="Trav-L-File Heavy-Duty Shuttle II, Black"/>
        <s v="OIC Bulk Pack Metal Binder Clips"/>
        <s v="Executive Impressions 12&quot; Wall Clock"/>
        <s v="Polycom SoundPoint Pro SE-225 Corded phone"/>
        <s v="Cardinal EasyOpen D-Ring Binders"/>
        <s v="Hewlett-Packard Deskjet D4360 Printer"/>
        <s v="Acco Flexible ACCOHIDE Square Ring Data Binder, Dark Blue, 11 1/2&quot; X 14&quot; 7/8&quot;"/>
        <s v="Newell 343"/>
        <s v="OIC Stacking Trays"/>
        <s v="Maxell 4.7GB DVD-RW 3/Pack"/>
        <s v="Tennsco Double-Tier Lockers"/>
        <s v="Sony 16GB Class 10 Micro SDHC R40 Memory Card"/>
        <s v="Memorex Micro Travel Drive 32 GB"/>
        <s v="Global Stack Chair with Arms, Black"/>
        <s v="Satellite Sectional Post Binders"/>
        <s v="Avery Triangle Shaped Sheet Lifters, Black, 2/Pack"/>
        <s v="Acme Stainless Steel Office Snips"/>
        <s v="Belkin 8 Outlet Surge Protector"/>
        <s v="Portable Personal File Box"/>
        <s v="X-Rack File for Hanging Folders"/>
        <s v="ACCOHIDE 3-Ring Binder, Blue, 1&quot;"/>
        <s v="Riverleaf Stik-Withit Designer Note Cubes"/>
        <s v="Panasonic KP-150 Electric Pencil Sharpener"/>
        <s v="Toshiba IPT2010-SD IPÂ Telephone"/>
        <s v="Sauder Mission Library with Doors, Fruitwood Finish"/>
        <s v="Samsung Galaxy Note 3"/>
        <s v="Decoflex Hanging Personal Folder File, Blue"/>
        <s v="Recycled Desk Saver Line &quot;While You Were Out&quot; Book, 5 1/2&quot; X 4&quot;"/>
        <s v="Xerox 1912"/>
        <s v="Eldon 200 Class Desk Accessories, Black"/>
        <s v="Jabra SPEAK 410"/>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Hon Every-Day Series Multi-Task Chairs"/>
        <s v="Acco Perma 3000 Stacking Storage Drawers"/>
        <s v="Stur-D-Stor Shelving, Vertical 5-Shelf: 72&quot;H x 36&quot;W x 18 1/2&quot;D"/>
        <s v="BIC Brite Liner Grip Highlighters, Assorted, 5/Pack"/>
        <s v="Samsung Galaxy S III - 16GB - pebble blue (T-Mobile)"/>
        <s v="Global Airflow Leather Mesh Back Chair, Black"/>
        <s v="Universal Recycled Hanging Pressboard Report Binders, Letter Size"/>
        <s v="Boston Electric Pencil Sharpener, Model 1818, Charcoal Black"/>
        <s v="Wirebound Message Book, 4 per Page"/>
        <s v="Xerox 1893"/>
        <s v="Geemarc AmpliPOWER60"/>
        <s v="Classic Ivory AntiqueÂ TelephoneÂ ZL1810"/>
        <s v="50 Colored Long Pencils"/>
        <s v="Hon Olson Stacker Stools"/>
        <s v="GE 4 Foot Flourescent Tube, 40 Watt"/>
        <s v="Atlantic Metals Mobile 3-Shelf Bookcases, Custom Colors"/>
        <s v="Xerox 1979"/>
        <s v="Fellowes PB500 Electric Punch Plastic Comb Binding Machine with Manual Bind"/>
        <s v="DAX Wood Document Frame."/>
        <s v="Wirebound Message Books, Four 2 3/4&quot; x 5&quot; Forms per Page, 600 Sets per Book"/>
        <s v="Xerox 1882"/>
        <s v="Acme Value Line Scissors"/>
        <s v="Personal Filing Tote with Lid, Black/Gray"/>
        <s v="Xerox 1974"/>
        <s v="Bevis Boat-Shaped Conference Table"/>
        <s v="Avery Fluorescent Highlighter Four-Color Set"/>
        <s v="ImationÂ 16GB Mini TravelDrive USB 2.0Â Flash Drive"/>
        <s v="GE General Use Halogen Bulbs, 100 Watts, 1 Bulb per Pack"/>
        <s v="Logitech G602 Wireless Gaming Mouse"/>
        <s v="Office Star - Professional Matrix Back Chair with 2-to-1 Synchro Tilt and Mesh Fabric Seat"/>
        <s v="Hunt BOSTON Vista Battery-Operated Pencil Sharpener, Black"/>
        <s v="Floodlight Indoor Halogen Bulbs, 1 Bulb per Pack, 60 Watts"/>
        <s v="BlueLounge Milo Smartphone Stand, White/Metallic"/>
        <s v="Master Caster Door Stop, Brown"/>
        <s v="Xerox 214"/>
        <s v="Hon 4070 Series Pagoda Round Back Stacking Chairs"/>
        <s v="Linden 10&quot; Round Wall Clock, Black"/>
        <s v="Ultra Door Push Plate"/>
        <s v="Logitech 910-002974 M325 Wireless Mouse for Web Scrolling"/>
        <s v="Deflect-o SuperTray Unbreakable Stackable Tray, Letter, Black"/>
        <s v="12-1/2 Diameter Round Wall Clock"/>
        <s v="ImationÂ 32GB Pocket Pro USB 3.0Â Flash DriveÂ - 32 GB - Black - 1 P ..."/>
        <s v="DAX Metal Frame, Desktop, Stepped-Edge"/>
        <s v="Xerox 1942"/>
        <s v="Avery 509"/>
        <s v="Kingston Digital DataTraveler 8GB USB 2.0"/>
        <s v="RSVP Cards &amp; Envelopes, Blank White, 8-1/2&quot; X 11&quot;, 24 Cards/25 Envelopes/Set"/>
        <s v="Jabra Supreme Plus Driver EditionÂ Headset"/>
        <s v="Hunt BOSTON Model 1606 High-Volume Electric Pencil Sharpener, Beige"/>
        <s v="netTALK DUO VoIP Telephone Service"/>
        <s v="Recycled Eldon Regeneration Jumbo File"/>
        <s v="Cameo Buff Policy Envelopes"/>
        <s v="Lunatik TT5L-002 Taktik Strike Impact Protection System for iPhone 5"/>
        <s v="Panasonic KX T7736-B Digital phone"/>
        <s v="File Shuttle I and Handi-File"/>
        <s v="Bionaire 99.97% HEPA Air Cleaner"/>
        <s v="Shocksock Galaxy S4 Armband"/>
        <s v="Ibico Covers for Plastic or Wire Binding Elements"/>
        <s v="Rogers Deluxe File Chest"/>
        <s v="Standard Rollaway File with Lock"/>
        <s v="Newell 32"/>
        <s v="Green Bar Computer Printout Paper"/>
        <s v="Companion Letter/Legal File, Black"/>
        <s v="Acco PRESSTEX Data Binder with Storage Hooks, Dark Blue, 9 1/2&quot; X 11&quot;"/>
        <s v="Samsung HM1900 Bluetooth Headset"/>
        <s v="SanDisk Ultra 16 GB MicroSDHC Class 10 Memory Card"/>
        <s v="Avery 492"/>
        <s v="Xerox 232"/>
        <s v="Xerox 1964"/>
        <s v="Xerox 1987"/>
        <s v="Recycled Data-Pak for Archival Bound Computer Printouts, 12-1/2 x 12-1/2 x 16"/>
        <s v="Astroparche Fine Business Paper"/>
        <s v="Tripp Lite TLP810NET Broadband Surge for Modem/Fax"/>
        <s v="Canon PC940 Copier"/>
        <s v="Adams Write n' Stick Phone Message Book, 11&quot; X 5 1/4&quot;, 200 Messages"/>
        <s v="Poly Designer Cover &amp; Back"/>
        <s v="Office Star - Contemporary Swivel Chair with Padded Adjustable Arms and Flex Back"/>
        <s v="Xerox 1931"/>
        <s v="Xerox Color Copier Paper, 11&quot; x 17&quot;, Ream"/>
        <s v="Hon Non-Folding Utility Tables"/>
        <s v="Bretford Rectangular Conference Table Tops"/>
        <s v="Eldon Advantage Chair Mats for Low to Medium Pile Carpets"/>
        <s v="GBC DocuBind 300 Electric Binding Machine"/>
        <s v="Eldon Image Series Desk Accessories, Burgundy"/>
        <s v="Woodgrain Magazine Files by Perma"/>
        <s v="Longer-Life Soft White Bulbs"/>
        <s v="Avery 505"/>
        <s v="O'Sullivan 2-Door Barrister Bookcase in Odessa Pine"/>
        <s v="Speck Products Candyshell Flip Case"/>
        <s v="Cisco 9971 IP Video Phone Charcoal"/>
        <s v="SAFCO Mobile Desk Side File, Wire Frame"/>
        <s v="Newell 313"/>
        <s v="Xerox 1959"/>
        <s v="Enermax Acrylux Wireless Keyboard"/>
        <s v="Newell 317"/>
        <s v="Global Deluxe Steno Chair"/>
        <s v="Newell 34"/>
        <s v="It's Hot Message Books with Stickers, 2 3/4&quot; x 5&quot;"/>
        <s v="Belkin 5 Outlet SurgeMaster Power Centers"/>
        <s v="Boston 1730 StandUp Electric Pencil Sharpener"/>
        <s v="Speediset Carbonless Redi-Letter 7&quot; x 8 1/2&quot;"/>
        <s v="Bush Advantage Collection Racetrack Conference Table"/>
        <s v="Dual Level, Single-Width Filing Carts"/>
        <s v="Anker 24W Portable Micro USB Car Charger"/>
        <s v="SanDisk Cruzer 4 GB USB Flash Drive"/>
        <s v="LG Electronics Tone+ HBS-730 Bluetooth Headset"/>
        <s v="Coloredge Poster Frame"/>
        <s v="Kensington SlimBlade Notebook Wireless Mouse with Nano Receiver"/>
        <s v="Hand-Finished Solid Wood Document Frame"/>
        <s v="Wilson Jones Standard D-Ring Binders"/>
        <s v="Global Fabric Manager's Chair, Dark Gray"/>
        <s v="Newell 310"/>
        <s v="Hon Metal Bookcases, Putty"/>
        <s v="SANFORD Liquid Accent Tank-Style Highlighters"/>
        <s v="UniKeep View Case Binders"/>
        <s v="Memorex Mini Travel Drive 8 GB USB 2.0 Flash Drive"/>
        <s v="Tennsco Industrial Shelving"/>
        <s v="Xerox 1920"/>
        <s v="Wirebound Message Books, Four 2 3/4 x 5 Forms per Page, 200 Sets per Book"/>
        <s v="Advantus Push Pins, Aluminum Head"/>
        <s v="Sanford Colorific Colored Pencils, 12/Box"/>
        <s v="Eldon ProFile File 'N Store Portable File Tub Letter/Legal Size Black"/>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Brown Kraft Recycled Envelopes"/>
        <s v="Fellowes Strictly Business Drawer File, Letter/Legal Size"/>
        <s v="Samsung Convoy 3"/>
        <s v="Avery Round Ring Poly Binders"/>
        <s v="36X48 HARDFLOOR CHAIRMAT"/>
        <s v="Cisco SPA525G2 IP Phone - Wireless"/>
        <s v="Avanti 4.4 Cu. Ft. Refrigerator"/>
        <s v="Deflect-o Glass Clear Studded Chair Mats"/>
        <s v="Canon PC1060 Personal Laser Copier"/>
        <s v="Microsoft Sculpt Comfort Mouse"/>
        <s v="GBC Twin Loop Wire Binding Elements, 9/16&quot; Spine, Black"/>
        <s v="LG G3"/>
        <s v="Rush Hierlooms Collection 1&quot; Thick Stackable Bookcases"/>
        <s v="Hon Mobius Operator's Chair"/>
        <s v="Nortel Meridian M3904 Professional Digital phone"/>
        <s v="Boston 1900 Electric Pencil Sharpener"/>
        <s v="Xerox 1997"/>
        <s v="Avery Premier Heavy-Duty Binder with Round Locking Rings"/>
        <s v="Acco Suede Grain Vinyl Round Ring Binder"/>
        <s v="Eldon Expressions Desk Accessory, Wood Pencil Holder, Oak"/>
        <s v="Acrylic Self-Standing Desk Frames"/>
        <s v="APC 7 Outlet Network SurgeArrest Surge Protector"/>
        <s v="Anker Ultra-Slim Mini Bluetooth 3.0 Wireless Keyboard"/>
        <s v="Aluminum Screw Posts"/>
        <s v="Vtech AT&amp;T CL2940 Corded Speakerphone, Black"/>
        <s v="Eldon Advantage Foldable Chair Mats for Low Pile Carpets"/>
        <s v="GBC Prestige Therm-A-Bind Covers"/>
        <s v="Hoover Shoulder Vac Commercial Portable Vacuum"/>
        <s v="Acco Expandable Hanging Binders"/>
        <s v="Cardinal Slant-D Ring Binders"/>
        <s v="Cush Cases Heavy Duty Rugged Cover Case for Samsung Galaxy S5 - Purple"/>
        <s v="DAX Charcoal/Nickel-Tone Document Frame, 5 x 7"/>
        <s v="Dixon Ticonderoga Pencils"/>
        <s v="Hoover Upright Vacuum With Dirt Cup"/>
        <s v="Razer Kraken PRO Over Ear PC and Music Headset"/>
        <s v="Newell 331"/>
        <s v="Xerox 192"/>
        <s v="Laminate Occasional Tables"/>
        <s v="Honeywell Enviracaire Portable HEPA Air Cleaner for up to 10 x 16 Room"/>
        <s v="Insertable Tab Post Binder Dividers"/>
        <s v="Steel Personal Filing/Posting Tote"/>
        <s v="Faber Castell Col-Erase Pencils"/>
        <s v="OtterBox Commuter Series Case - iPhone 5 &amp; 5s"/>
        <s v="Kensington 4 Outlet MasterPiece Compact Power Control Center"/>
        <s v="Executive Impressions Supervisor Wall Clock"/>
        <s v="Executive Impressions 14&quot; Two-Color Numerals Wall Clock"/>
        <s v="Canon PC-428 Personal Copier"/>
        <s v="Rogers Jumbo File, Granite"/>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Xerox 1897"/>
        <s v="Global Leather Highback Executive Chair with Pneumatic Height Adjustment, Black"/>
        <s v="Ibico Recycled Linen-Style Covers"/>
        <s v="GBC Linen Binding Covers"/>
        <s v="Avery Binding System Hidden Tab Executive Style Index Sets"/>
        <s v="Electrix 20W Halogen Replacement Bulb for Zoom-In Desk Lamp"/>
        <s v="Staple-based wall hangings"/>
        <s v="ShoreTel ShorePhone IP 230 VoIP phone"/>
        <s v="Chromcraft Round Conference Tables"/>
        <s v="Xerox 1902"/>
        <s v="VTech DS6151"/>
        <s v="Xerox 204"/>
        <s v="Tripp Lite Isotel 8 Ultra 8 Outlet Metal Surge"/>
        <s v="Global Chrome Stack Chair"/>
        <s v="Xerox 1962"/>
        <s v="Xerox 1953"/>
        <s v="Digium D40 VoIP phone"/>
        <s v="Avery Poly Binder Pockets"/>
        <s v="Xerox 1928"/>
        <s v="iKross Bluetooth Portable Keyboard + Cell Phone Stand Holder + Brush for Apple iPhone 5S 5C 5, 4S 4"/>
        <s v="Avery 491"/>
        <s v="Wirebound Message Books, Two 4 1/4&quot; x 5&quot; Forms per Page"/>
        <s v="Executive Impressions 10&quot; Spectator Wall Clock"/>
        <s v="LogitechÂ Z-906 Speaker sys - home theater - 5.1-CH"/>
        <s v="Xerox 1981"/>
        <s v="3-ring staple pack"/>
        <s v="Maxell 4.7GB DVD+R 5/Pack"/>
        <s v="Xerox 1951"/>
        <s v="Fellowes Super Stor/Drawer Files"/>
        <s v="Advantus Employee of the Month Certificate Frame, 11 x 13-1/2"/>
        <s v="Newell 344"/>
        <s v="Smead Alpha-Z Color-Coded Name Labels First Letter Starter Set"/>
        <s v="Xerox 1963"/>
        <s v="Dexim XPower Skin Super-Thin Power Case for iPhone 5 - Black"/>
        <s v="Wilson Jones Elliptical Ring 3 1/2&quot; Capacity Binders, 800 sheets"/>
        <s v="Logitech Keyboard K120"/>
        <s v="SlimView Poly Binder, 3/8&quot;"/>
        <s v="Xerox 222"/>
        <s v="DAX Clear Channel Poster Frame"/>
        <s v="Hon 2090 Â“Pillow SoftÂ” Series Mid Back Swivel/Tilt Chairs"/>
        <s v="Cisco SPA301"/>
        <s v="GBC Standard Plastic Binding Systems' Combs"/>
        <s v="Tennsco 16-Compartment Lockers with Coat Rack"/>
        <s v="DataProducts Ampli Magnifier Task Lamp, Black,"/>
        <s v="Hon 4070 Series Pagoda Armless Upholstered Stacking Chairs"/>
        <s v="Global Wood Trimmed Manager's Task Chair, Khaki"/>
        <s v="Advantus Rolling Storage Box"/>
        <s v="24-Hour Round Wall Clock"/>
        <s v="Things To Do Today Pad"/>
        <s v="Novimex High-Tech Fabric Mesh Task Chair"/>
        <s v="Eldon Antistatic Chair Mats for Low to Medium Pile Carpets"/>
        <s v="Important Message Pads, 50 4-1/4 x 5-1/2 Forms per Pad"/>
        <s v="Howard Miller 12&quot; Round Wall Clock"/>
        <s v="Mitel MiVoice 5330e IP Phone"/>
        <s v="Colorific Watercolor Pencils"/>
        <s v="Stackable Trays"/>
        <s v="Durable Pressboard Binders"/>
        <s v="HP Standard 104 key PS/2 Keyboard"/>
        <s v="OtterBox Commuter Series Case - Samsung Galaxy S4"/>
        <s v="Iceberg Mobile Mega Data/Printer Cart"/>
        <s v="Bush Mission Pointe Library"/>
        <s v="Novimex Turbo Task Chair"/>
        <s v="Newell 333"/>
        <s v="Tops Wirebound Message Log Books"/>
        <s v="Binney &amp; Smith inkTank Desk Highlighter, Chisel Tip, Yellow, 12/Box"/>
        <s v="Advantus Map Pennant Flags and Round Head Tacks"/>
        <s v="Fellowes Powershred HS-440 4-Sheet High Security Shredder"/>
        <s v="Eldon ClusterMat Chair Mat with Cordless Antistatic Protection"/>
        <s v="Avery 05222 Permanent Self-Adhesive File Folder Labels for Typewriters, on Rolls, White, 250/Roll"/>
        <s v="GBC Recycled VeloBinder Covers"/>
        <s v="Wilson Jones Active Use Binders"/>
        <s v="Project Tote Personal File"/>
        <s v="Panasonic KX-TG9541B DECT 6.0 Digital 2-Line Expandable Cordless Phone With Digital Answering System"/>
        <s v="Acco 7-Outlet Masterpiece Power Center, Wihtout Fax/Phone Line Protection"/>
        <s v="Accohide Poly Flexible Ring Binders"/>
        <s v="Howard Miller 13-3/4&quot; Diameter Brushed Chrome Round Wall Clock"/>
        <s v="3M Organizer Strips"/>
        <s v="Novimex Fabric Task Chair"/>
        <s v="Xerox 1896"/>
        <s v="Lesro Sheffield Collection Coffee Table, End Table, Center Table, Corner Table"/>
        <s v="Tuf-Vin Binders"/>
        <s v="Vtech CS6719"/>
        <s v="GE 2-Jack Phone Line Splitter"/>
        <s v="Ibico Presentation Index for Binding Systems"/>
        <s v="Okidata C331dn Printer"/>
        <s v="Plantronics MX500i Earset"/>
        <s v="Office Star Flex Back Scooter Chair with White Frame"/>
        <s v="Eldon Expressions Wood Desk Accessories, Oak"/>
        <s v="Xerox 188"/>
        <s v="Xerox 1906"/>
        <s v="O'Sullivan Manor Hill 2-Door Library in Brianna Oak"/>
        <s v="Cardinal Hold-It CD Pocket"/>
        <s v="Wilson Jones Hanging View Binder, White, 1&quot;"/>
        <s v="Tenex V2T-RE Standard Weight Series Chair Mat, 45&quot; x 53&quot;, Lip 25&quot; x 12&quot;"/>
        <s v="Acco Six-Outlet Power Strip, 4' Cord Length"/>
        <s v="Ativa D5772 2-Line 5.8GHz Digital Expandable Corded/Cordless Phone System with Answering &amp; Caller ID/Call Waiting, Black/Silver"/>
        <s v="Avery 50"/>
        <s v="Global Ergonomic Managers Chair"/>
        <s v="Boston 1827 Commercial Additional Cutter, Drive Gear &amp; Gear Rack for 1606"/>
        <s v="Conquest 14 Commercial Heavy-Duty Upright Vacuum, Collection System, Accessory Kit"/>
        <s v="GBC DocuBind P50 Personal Binding Machine"/>
        <s v="Sanford Uni-Blazer View Highlighters, Chisel Tip, Yellow"/>
        <s v="KI Conference Tables"/>
        <s v="GBC Ibimaster 500 Manual ProClick Binding System"/>
        <s v="Artistic Insta-Plaque"/>
        <s v="Xerox 1886"/>
        <s v="Belkin QODE FastFit Bluetooth Keyboard"/>
        <s v="Avery File Folder Labels"/>
        <s v="O'Sullivan Cherrywood Estates Traditional Barrister Bookcase"/>
        <s v="Xerox 1885"/>
        <s v="Avery 489"/>
        <s v="Peel-Off China Markers"/>
        <s v="GBC Binding covers"/>
        <s v="AT&amp;T 841000 Phone"/>
        <s v="Deluxe Heavy-Duty Vinyl Round Ring Binder"/>
        <s v="Jet-Pak Recycled Peel 'N' Seal Padded Mailers"/>
        <s v="Eldon Gobal File Keepers"/>
        <s v="White Business Envelopes with Contemporary Seam, Recycled White Business Envelopes"/>
        <s v="Sterilite Officeware Hinged File Box"/>
        <s v="TRENDnet 56K USB 2.0 Phone, Internet and Fax Modem"/>
        <s v="Holmes Replacement Filter for HEPA Air Cleaner, Very Large Room, HEPA Filter"/>
        <s v="Office Star - Ergonomically Designed Knee Chair"/>
        <s v="Avery Durable Slant Ring Binders, No Labels"/>
        <s v="GE 48&quot; Fluorescent Tube, Cool White Energy Saver, 34 Watts, 30/Box"/>
        <s v="Xerox 1908"/>
        <s v="Logitech G19 Programmable Gaming Keyboard"/>
        <s v="Sauder Camden County Barrister Bookcase, Planked Cherry Finish"/>
        <s v="DXL Angle-View Binders with Locking Rings, Black"/>
        <s v="Sauder Camden County Collection Libraries, Planked Cherry Finish"/>
        <s v="Tensor Brushed Steel Torchiere Floor Lamp"/>
        <s v="Acco Hanging Data Binders"/>
        <s v="Howard Miller 16&quot; Diameter Gallery Wall Clock"/>
        <s v="Assorted Color Push Pins"/>
        <s v="GBC Plasticlear Binding Covers"/>
        <s v="Safco Industrial Wire Shelving"/>
        <s v="Metal Folding Chairs, Beige, 4/Carton"/>
        <s v="Anderson Hickey Conga Table Tops &amp; Accessories"/>
        <s v="GBC Wire Binding Strips"/>
        <s v="Angle-D Ring Binders"/>
        <s v="Mobile Personal File Cube"/>
        <s v="KeyTronicÂ E03601U1 -Â KeyboardÂ - Beige"/>
        <s v="Acco Pressboard Covers with Storage Hooks, 9 1/2&quot; x 11&quot;, Executive Red"/>
        <s v="Bretford CR8500 Series Meeting Room Furniture"/>
        <s v="Xerox 1952"/>
        <s v="Xerox 1960"/>
        <s v="Belkin 19&quot; Center-Weighted Shelf, Gray"/>
        <s v="Manco Dry-Lighter Erasable Highlighter"/>
        <s v="Seth Thomas 13 1/2&quot; Wall Clock"/>
        <s v="Global Commerce Series Low-Back Swivel/Tilt Chairs"/>
        <s v="Boston 19500 Mighty Mite Electric Pencil Sharpener"/>
        <s v="Avery 474"/>
        <s v="Deflect-o DuraMat Antistatic Studded Beveled Mat for Medium Pile Carpeting"/>
        <s v="Space Solutions Industrial Galvanized Steel Shelving."/>
        <s v="LogitechÂ LS21 Speaker System - PC Multimedia - 2.1-CH - Wired"/>
        <s v="Deflect-O Glasstique Clear Desk Accessories"/>
        <s v="Avery 503"/>
        <s v="Fellowes Advanced 8 Outlet Surge Suppressor with Phone/Fax Protection"/>
        <s v="Xerox 208"/>
        <s v="Hewlett Packard 310 Color Digital Copier"/>
        <s v="Avery 520"/>
        <s v="Gould Plastics 9-Pocket Panel Bin, 18-3/8w x 5-1/4d x 20-1/2h, Black"/>
        <s v="OIC Binder Clips, Mini, 1/4&quot; Capacity, Black"/>
        <s v="HP Office Recycled Paper (20Lb. and 87 Bright)"/>
        <s v="Tyvek  Top-Opening Peel &amp; Seel Envelopes, Plain White"/>
        <s v="Lenovo 17-Key USB Numeric Keypad"/>
        <s v="Computer Printout Paper with Letter-Trim Perforations"/>
        <s v="Pressboard Hanging Data Binders for Unburst Sheets"/>
        <s v="HTC One Mini"/>
        <s v="Xerox 202"/>
        <s v="GBC Plastic Binding Combs"/>
        <s v="SanDisk Ultra 32 GB MicroSDHC Class 10 Memory Card"/>
        <s v="ImationÂ 8gb Micro Traveldrive Usb 2.0Â Flash Drive"/>
        <s v="Safco Value Mate Series Steel Bookcases, Baked Enamel Finish on Steel, Gray"/>
        <s v="Microsoft Natural Ergonomic Keyboard 4000"/>
        <s v="Office Star - Mesh Screen back chair with Vinyl seat"/>
        <s v="Tenex Personal Project File with Scoop Front Design, Black"/>
        <s v="Xerox 1946"/>
        <s v="Bush Cubix Collection Bookcases, Fully Assembled"/>
        <s v="Global Highback Leather Tilter in Burgundy"/>
        <s v="Tenex Traditional Chairmats for Medium Pile Carpet, Standard Lip, 36&quot; x 48&quot;"/>
        <s v="KLD Oscar II Style Snap-on Ultra Thin Side Flip Synthetic Leather Cover Case for HTC One HTC M7"/>
        <s v="Clear Mylar Reinforcing Strips"/>
        <s v="Avery Hi-Liter Smear-Safe Highlighters"/>
        <s v="High-Back Leather Manager's Chair"/>
        <s v="Belkin 8 Outlet SurgeMaster II Gold Surge Protector"/>
        <s v="Xerox 1894"/>
        <s v="Global Leather &amp; Oak Executive Chair, Burgundy"/>
        <s v="Bretford CR4500 Series Slim Rectangular Table"/>
        <s v="Eldon Fold 'N Roll Cart System"/>
        <s v="Memorex 25GB 6X Branded Blu-Ray Recordable Disc, 30/Pack"/>
        <s v="Atlantic Metals Mobile 4-Shelf Bookcases, Custom Colors"/>
        <s v="4009 Highlighters by Sanford"/>
        <s v="Brites Rubber Bands, 1 1/2 oz. Box"/>
        <s v="Avoid Verbal Orders Carbonless Minifold Book"/>
        <s v="Razer Tiamat Over Ear 7.1 Surround Sound PC Gaming Headset"/>
        <s v="Lumber Crayons"/>
        <s v="Iceberg OfficeWorks 42&quot; Round Tables"/>
        <s v="Hon Comfortask Task/Swivel Chairs"/>
        <s v="Bevis Round Bullnose 29&quot; High Table Top"/>
        <s v="Logitech K350 2.4Ghz Wireless Keyboard"/>
        <s v="Global Armless Task Chair, Royal Blue"/>
        <s v="Contemporary Wood/Metal Frame"/>
        <s v="GBC Premium Transparent Covers with Diagonal Lined Pattern"/>
        <s v="O'Sullivan Living Dimensions 3-Shelf Bookcases"/>
        <s v="Hon Olson Stacker Chairs"/>
        <s v="Aastra 6757i CT Wireless VoIP phone"/>
        <s v="Eureka Hand Vacuum, Bagless"/>
        <s v="Cisco IP Phone 7961G-GE VoIP phone"/>
        <s v="Logitech Trackman Marble Mouse"/>
        <s v="#10 Gummed Flap White Envelopes, 100/Box"/>
        <s v="Office Star - Mid Back Dual function Ergonomic High Back Chair with 2-Way Adjustable Arms"/>
        <s v="Belkin 325VA UPS Surge Protector, 6'"/>
        <s v="Wilson Jones 1&quot; Hanging DublLock Ring Binders"/>
        <s v="Avery 476"/>
        <s v="Hanging Personal Folder File"/>
        <s v="Acme Titanium Bonded Scissors"/>
        <s v="Redi-Strip #10 Envelopes, 4 1/8 x 9 1/2"/>
        <s v="Safco Contoured Stacking Chairs"/>
        <s v="Rubber Band Ball"/>
        <s v="Loose Memo Sheets"/>
        <s v="White Envelopes, White Envelopes with Clear Poly Window"/>
        <s v="Avery Hanging File Binders"/>
        <s v="Tenex Chairmats For Use with Hard Floors"/>
        <s v="Fellowes Recycled Storage Drawers"/>
        <s v="Canon PC170 Desktop Personal Copier"/>
        <s v="American Pencil"/>
        <s v="Alliance Rubber Bands"/>
        <s v="Xerox 1988"/>
        <s v="Executive Impressions 14&quot; Contract Wall Clock"/>
        <s v="Microsoft Arc Touch Mouse"/>
        <s v="Newell 314"/>
        <s v="Fellowes Desktop Hanging File Manager"/>
        <s v="Nu-Dell EZ-Mount Plastic Wall Frames"/>
        <s v="Zebra ZM400 Thermal Label Printer"/>
        <s v="OIC Binder Clips"/>
        <s v="Permanent Self-Adhesive File Folder Labels for Typewriters, 1 1/8 x 3 1/2, White"/>
        <s v="Riverside Palais Royal Lawyers Bookcase, Royale Cherry Finish"/>
        <s v="While You Were Out Pads, 50 per Pad, 4 x 5 1/4, Green Cycle"/>
        <s v="Binder Posts"/>
        <s v="Bevis Round Conference Table Top &amp; Single Column Base"/>
        <s v="Xerox 1978"/>
        <s v="Poly String Tie Envelopes"/>
        <s v="AmazonBasics 3-Button USB Wired Mouse"/>
        <s v="LogitechÂ VX Revolution Cordless Laser Mouse for Notebooks (Black)"/>
        <s v="Letter Size Cart"/>
        <s v="Advantus 10-Drawer Portable Organizer, Chrome Metal Frame, Smoke Drawers"/>
        <s v="Blue String-Tie &amp; Button Interoffice Envelopes, 10 x 13"/>
        <s v="GBC Pre-Punched Binding Paper, Plastic, White, 8-1/2&quot; x 11&quot;"/>
        <s v="Global Troy Executive Leather Low-Back Tilter"/>
        <s v="Xerox 219"/>
        <s v="Bush Advantage Collection Round Conference Table"/>
        <s v="Xerox 207"/>
        <s v="Newell 307"/>
        <s v="Lexmark MarkNet N8150 Wireless Print Server"/>
        <s v="Cardinal Poly Pocket Divider Pockets for Ring Binders"/>
        <s v="Verbatim 25 GB 6x Blu-ray Single Layer Recordable Disc, 25/Pack"/>
        <s v="GBC Therma-A-Bind 250T Electric Binding System"/>
        <s v="Sauder Forest Hills Library, Woodland Oak Finish"/>
        <s v="Panasonic KX-TG6844B Expandable Digital Cordless Telephone"/>
        <s v="Xerox 1935"/>
        <s v="SpineVue Locking Slant-D Ring Binders by Cardinal"/>
        <s v="DAX Two-Tone Rosewood/Black Document Frame, Desktop, 5 x 7"/>
        <s v="Wausau Papers Astrobrights Colored Envelopes"/>
        <s v="Tyvek Side-Opening Peel &amp; Seel Expanding Envelopes"/>
        <s v="Jensen SMPS-640 -Â speaker phone"/>
        <s v="Avery Hi-Liter Fluorescent Desk Style Markers"/>
        <s v="GBC White Gloss Covers, Plain Front"/>
        <s v="Avery 488"/>
        <s v="Avery Reinforcements for Hole-Punch Pages"/>
        <s v="Xerox 1970"/>
        <s v="Belkin 19&quot; Vented Equipment Shelf, Black"/>
        <s v="Polycom SoundStation2 EX ConferenceÂ phone"/>
        <s v="Global Low Back Tilter Chair"/>
        <s v="Message Book, Phone, Wirebound Standard Line Memo, 2 3/4&quot; X 5&quot;"/>
        <s v="Xerox 1903"/>
        <s v="Hewlett Packard 610 Color Digital Copier / Printer"/>
        <s v="Xerox 20"/>
        <s v="Spiral Phone Message Books with Labels by Adams"/>
        <s v="Alliance Big Bands Rubber Bands, 12/Pack"/>
        <s v="Pressboard Data Binders by Wilson Jones"/>
        <s v="Avery Durable Slant Ring Binders With Label Holder"/>
        <s v="Xerox 218"/>
        <s v="Nokia Lumia 521 (T-Mobile)"/>
        <s v="WD My Passport Ultra 500GB Portable External Hard Drive"/>
        <s v="Permanent Self-Adhesive File Folder Labels for Typewriters by Universal"/>
        <s v="Staples in misc. colors"/>
        <s v="Xerox 201"/>
        <s v="Memorex 25GB 6X Branded Blu-Ray Recordable Disc, 15/Pack"/>
        <s v="Avery 486"/>
        <s v="Adams Phone Message Book, 200 Message Capacity, 8 1/16Â” x 11Â”"/>
        <s v="Xerox 1883"/>
        <s v="3M Replacement Filter for Office Air Cleaner for 20' x 33' Room"/>
        <s v="Bush Westfield Collection Bookcases, Dark Cherry Finish"/>
        <s v="Newell 326"/>
        <s v="Bevis Rectangular Conference Tables"/>
        <s v="Xerox 1932"/>
        <s v="Avery Personal Creations Heavyweight Cards"/>
        <s v="Maxell 4.7GB DVD+RW 3/Pack"/>
        <s v="Recycled Premium Regency Composition Covers"/>
        <s v="Newell 311"/>
        <s v="Black Print Carbonless Snap-Off Rapid Letter, 8 1/2&quot; x 7&quot;"/>
        <s v="Eldon Cleatmat Chair Mats for Medium Pile Carpets"/>
        <s v="Xerox 1930"/>
        <s v="Bush Westfield Collection Bookcases, Medium Cherry Finish"/>
        <s v="GE 30522EE2"/>
        <s v="ImationÂ Clip USBÂ flash driveÂ - 8 GB"/>
        <s v="Hon Practical Foundations 30 x 60 Training Table, Light Gray/Charcoal"/>
        <s v="LogitechÂ MX Performance Wireless Mouse"/>
        <s v="Newell 337"/>
        <s v="Xerox 212"/>
        <s v="Plastic Binding Combs"/>
        <s v="Avaya 5410 Digital phone"/>
        <s v="Logitech G500s Laser Gaming Mouse with Adjustable Weight Tuning"/>
        <s v="Logitech Media Keyboard K200"/>
        <s v="Xerox 2"/>
        <s v="Cyber Acoustics AC-202b Speech Recognition Stereo Headset"/>
        <s v="HP Designjet T520 Inkjet Large Format Printer - 24&quot; Color"/>
        <s v="Deflect-o RollaMat Studded, Beveled Mat for Medium Pile Carpeting"/>
        <s v="Revere Boxed Rubber Bands by Revere"/>
        <s v="Bush Andora Bookcase, Maple/Graphite Gray Finish"/>
        <s v="Ames Color-File Green Diamond Border X-ray Mailers"/>
        <s v="White Dual Perf Computer Printout Paper, 2700 Sheets, 1 Part, Heavyweight, 20 lbs., 14 7/8 x 11"/>
        <s v="Xerox 1943"/>
        <s v="Fellowes Mobile File Cart, Black"/>
        <s v="Anker Astro 15000mAh USB Portable Charger"/>
        <s v="Micro Innovations USB RF Wireless Keyboard with Mouse"/>
        <s v="Motorola L703CM"/>
        <s v="Samsung Galaxy S4 Mini"/>
        <s v="Mediabridge Sport Armband iPhone 5s"/>
        <s v="Ativa V4110MDD Micro-Cut Shredder"/>
        <s v="RCA ViSYS 25423RE1 Corded phone"/>
        <s v="Rediform Wirebound &quot;Phone Memo&quot; Message Book, 11 x 5-3/4"/>
        <s v="Plantronics Encore H101 Dual EarpiecesÂ Headset"/>
        <s v="Office Impressions End Table, 20-1/2&quot;H x 24&quot;W x 20&quot;D"/>
        <s v="Elite 5&quot; Scissors"/>
        <s v="High Speed Automatic Electric Letter Opener"/>
        <s v="Berol Giant Pencil Sharpener"/>
        <s v="Grandstream GXP1160 VoIP phone"/>
        <s v="Peel &amp; Stick Add-On Corner Pockets"/>
        <s v="Eldon Cleatmat Plus Chair Mats for High Pile Carpets"/>
        <s v="Belkin Grip Candy Sheer Case / Cover for iPhone 5 and 5S"/>
        <s v="Xerox 1993"/>
        <s v="Verbatim 25 GB 6x Blu-ray Single Layer Recordable Disc, 3/Pack"/>
        <s v="Tyvek Interoffice Envelopes, 9 1/2&quot; x 12 1/2&quot;, 100/Box"/>
        <s v="Honeywell Enviracaire Portable Air Cleaner for up to 8 x 10 Room"/>
        <s v="Personal Folder Holder, Ebony"/>
        <s v="Xerox 193"/>
        <s v="Rediform Voice Mail Log Books"/>
        <s v="Apple iPhone 5"/>
        <s v="Okidata MB760 Printer"/>
        <s v="Mini 13-1/2 Capacity Data Binder Rack, Pearl"/>
        <s v="Tennsco Stur-D-Stor Boltless Shelving, 5 Shelves, 24&quot; Deep, Sand"/>
        <s v="Hammermill Color Copier Paper (28Lb. and 96 Bright)"/>
        <s v="Newell 342"/>
        <s v="Belkin F9H710-06 7 Outlet SurgeMaster Surge Protector"/>
        <s v="Boston 16801 Nautilus Battery Pencil Sharpener"/>
        <s v="Avery 473"/>
        <s v="Regeneration Desk Collection"/>
        <s v="Global Executive Mid-Back Manager's Chair"/>
        <s v="GBC Velobind Prepunched Cover Sets, Regency Series"/>
        <s v="Clearsounds A400"/>
        <s v="Premier Automatic Letter Opener"/>
        <s v="Nortel Meridian M5316 Digital phone"/>
        <s v="Xerox 1939"/>
        <s v="Belkin 7-Outlet SurgeMaster Home Series"/>
        <s v="Eldon Jumbo ProFile Portable File Boxes Graphite/Black"/>
        <s v="Sauder Barrister Bookcases"/>
        <s v="Xerox 1923"/>
        <s v="Kensington Orbit Wireless Mobile Trackball for PC and Mac"/>
        <s v="GBC DocuBind P400 Electric Binding System"/>
        <s v="#10 Self-Seal White Envelopes"/>
        <s v="C-Line Magnetic Cubicle Keepers, Clear Polypropylene"/>
        <s v="Ampad #10 Peel &amp; Seel Holiday Envelopes"/>
        <s v="Hon Metal Bookcases, Black"/>
        <s v="Eldon Radial Chair Mat for Low to Medium Pile Carpets"/>
        <s v="Storex Flexible Poly Binders with Double Pockets"/>
        <s v="Bush Somerset Collection Bookcase"/>
        <s v="Xerox 227"/>
        <s v="Wilson Jones Clip &amp; Carry Folder Binder Tool for Ring Binders, Clear"/>
        <s v="GBC Prepunched Paper, 19-Hole, for Binding Systems, 24-lb"/>
        <s v="JM Magazine Binder"/>
        <s v="Xerox 206"/>
        <s v="Fellowes Bankers Box Staxonsteel Drawer File/Stacking System"/>
        <s v="TOPS &quot;Important Message&quot; Pads, Canary, 4-1/4 x 5-1/2, 50 Sheets per Pad"/>
        <s v="Xerox 1914"/>
        <s v="Xerox 1994"/>
        <s v="Super Decoflex Portable Personal File"/>
        <s v="Global Stack Chair without Arms, Black"/>
        <s v="Sterilite Show Offs Storage Containers"/>
        <s v="Avery 502"/>
        <s v="Eldon 200 Class Desk Accessories"/>
        <s v="Heavy-Duty E-Z-D Binders"/>
        <s v="Newell 316"/>
        <s v="Computer Room Manger, 14&quot;"/>
        <s v="Cisco 8961 IP Phone Charcoal"/>
        <s v="Avery 496"/>
        <s v="Xerox 1965"/>
        <s v="Cisco Small Business SPA 502G VoIP phone"/>
        <s v="Computer Printout Index Tabs"/>
        <s v="Hon 61000 Series Interactive Training Tables"/>
        <s v="Global Adaptabilities Conference Tables"/>
        <s v="Snap-A-Way Black Print Carbonless Speed Message, No Reply Area, Duplicate"/>
        <s v="Avaya 4621SW VoIP phone"/>
        <s v="Advantus T-Pin Paper Clips"/>
        <s v="DAX Solid Wood Frames"/>
        <s v="Executive Impressions 8-1/2&quot; Career Panel/Partition Cubicle Clock"/>
        <s v="Bady BDG101FRU Card Printer"/>
        <s v="Tenex 46&quot; x 60&quot; Computer Anti-Static Chairmat, Rectangular Shaped"/>
        <s v="Sony Micro Vault Click 8 GB USB 2.0 Flash Drive"/>
        <s v="Sanford Pocket Accent Highlighters"/>
        <s v="TOPS Money Receipt Book, Consecutively Numbered in Red,"/>
        <s v="Euro Pro Shark Stick Mini Vacuum"/>
        <s v="Xerox 1911"/>
        <s v="GBC VeloBind Cover Sets"/>
        <s v="Grip Seal Envelopes"/>
        <s v="Manila Recycled Extra-Heavyweight Clasp Envelopes, 6&quot; x 9&quot;"/>
        <s v="Memorex Mini Travel Drive 32 GB USB 2.0 Flash Drive"/>
        <s v="Luxo Professional Fluorescent Magnifier Lamp with Clamp-Mount Base"/>
        <s v="PureGear Roll-On Screen Protector"/>
        <s v="Eldon 100 Class Desk Accessories"/>
        <s v="Panasonic KX MC6040 Color Laser Multifunction Printer"/>
        <s v="Sauder Inglewood Library Bookcases"/>
        <s v="Eldon Base for stackable storage shelf, platinum"/>
        <s v="Plantronics S12 Corded Telephone Headset System"/>
        <s v="Xerox 191"/>
        <s v="Trimflex Flexible Post Binders"/>
        <s v="Avery Binder Labels"/>
        <s v="Xerox 230"/>
        <s v="Xerox Blank Computer Paper"/>
        <s v="Samsung Galaxy Mega 6.3"/>
        <s v="Electrix Halogen Magnifier Lamp"/>
        <s v="Deflect-o EconoMat Nonstudded, No Bevel Mat"/>
        <s v="Cisco CP-7937G Unified IP Conference Station Phone"/>
        <s v="Bush Cubix Conference Tables, Fully Assembled"/>
        <s v="Bretford Â“Just In TimeÂ” Height-Adjustable Multi-Task Work Tables"/>
        <s v="Avery 487"/>
        <s v="Logitech G35 7.1-Channel Surround Sound Headset"/>
        <s v="1.7 Cubic Foot Compact &quot;Cube&quot; Office Refrigerators"/>
        <s v="Avery Heavy-Duty EZD  Binder With Locking Rings"/>
        <s v="Canon Color ImageCLASS MF8580Cdw Wireless Laser All-In-One Printer, Copier, Scanner"/>
        <s v="IBM Multi-Purpose Copy Paper, 8 1/2 x 11&quot;, Case"/>
        <s v="Xerox 228"/>
        <s v="Dax Clear Box Frame"/>
        <s v="Xerox 1975"/>
        <s v="Acco Pressboard Covers with Storage Hooks, 14 7/8&quot; x 11&quot;, Executive Red"/>
        <s v="Binding Machine Supplies"/>
        <s v="Avery 477"/>
        <s v="KeyTronicÂ KT400U2 -Â KeyboardÂ - Black"/>
        <s v="Southworth 25% Cotton Antique Laid Paper &amp; Envelopes"/>
        <s v="Avery Hi-Liter Pen Style Six-Color Fluorescent Set"/>
        <s v="Avanti 1.7 Cu. Ft. Refrigerator"/>
        <s v="Xerox 1925"/>
        <s v="Inter-Office Recycled Envelopes, Brown Kraft, Button-String,10&quot; x 13&quot; , 100/Box"/>
        <s v="OtterBox Defender Series Case - Samsung Galaxy S4"/>
        <s v="Acme Softgrip Scissors"/>
        <s v="Flat Face Poster Frame"/>
        <s v="Global Leather Task Chair, Black"/>
        <s v="Cisco SPA 502G IP Phone"/>
        <s v="GBC Twin Loop Wire Binding Elements"/>
        <s v="Logitech Mobile Speakerphone P710e -Â speaker phone"/>
        <s v="Jabra SPEAK 410 Multidevice Speakerphone"/>
        <s v="Xerox 1921"/>
        <s v="Brother MFC-9340CDW LED All-In-One Printer, Copier Scanner"/>
        <s v="Eldon 500 Class Desk Accessories"/>
        <s v="Barricks Non-Folding Utility Table with Steel Legs, Laminate Tops"/>
        <s v="Nortel Business Series Terminal T7208 Digital phone"/>
        <s v="XtraLife ClearVue Slant-D Ring Binders by Cardinal"/>
        <s v="Sony Micro Vault Click 4 GB USB 2.0 Flash Drive"/>
        <s v="Avery 478"/>
        <s v="Pressboard Covers with Storage Hooks, 9 1/2&quot; x 11&quot;, Light Blue"/>
        <s v="Boston Model 1800 Electric Pencil Sharpener, Gray"/>
        <s v="LogitechÂ Illuminated - Keyboard"/>
        <s v="Ink Jet Note and Greeting Cards, 8-1/2&quot; x 5-1/2&quot; Card Size"/>
        <s v="Chromcraft 48&quot; x 96&quot; Racetrack Double Pedestal Table"/>
        <s v="Xerox 1954"/>
        <s v="Apple EarPods with Remote and Mic"/>
        <s v="Avery Durable Slant Ring Binders"/>
        <s v="Premium Transparent Presentation Covers, No Pattern/Clear, 8 1/2&quot; x 11&quot;"/>
        <s v="Logitech diNovo Edge Keyboard"/>
        <s v="BPI Conference Tables"/>
        <s v="Boston 16765 Mini Stand Up Battery Pencil Sharpener"/>
        <s v="Sabrent 4-Port USB 2.0 Hub"/>
        <s v="Telephone Message Books with Fax/Mobile Section, 5 1/2&quot; x 3 3/16&quot;"/>
        <s v="Anker 36W 4-Port USB Wall Charger Travel Power Adapter for iPhone 5s 5c 5"/>
        <s v="Eureka The Boss Plus 12-Amp Hard Box Upright Vacuum, Red"/>
        <s v="Newell 315"/>
        <s v="Okidata C610n Printer"/>
        <s v="Belkin F9M820V08 8 Outlet Surge"/>
        <s v="Plantronics Savi W720 Multi-Device Wireless Headset System"/>
        <s v="Ultra Door Pull Handle"/>
        <s v="Blackstonian Pencils"/>
        <s v="Tenex &quot;The Solids&quot; Textured Chair Mats"/>
        <s v="Crate-A-Files"/>
        <s v="Safco Value Mate Steel Bookcase, Baked Enamel Finish on Steel, Black"/>
        <s v="Wirebound Four 2-3/4 x 5 Forms per Page, 400 Sets per Book"/>
        <s v="Acme Preferred Stainless Steel Scissors"/>
        <s v="6&quot; Cubicle Wall Clock, Black"/>
        <s v="Eldon Mobile Mega Data Cart  Mega Stackable  Add-On Trays"/>
        <s v="C-Line Peel &amp; Stick Add-On Filing Pockets, 8-3/4 x 5-1/8, 10/Pack"/>
        <s v="Nortel Networks T7316 E Nt8 B27"/>
        <s v="14-7/8 x 11 Blue Bar Computer Printout Paper"/>
        <s v="Advantus Push Pins"/>
        <s v="Xerox 196"/>
        <s v="Recycled Easel Ring Binders"/>
        <s v="Global Task Chair, Black"/>
        <s v="Global Comet Stacking Arm Chair"/>
        <s v="Fellowes Basic Home/Office Series Surge Protectors"/>
        <s v="AT&amp;T CL83451 4-Handset Telephone"/>
        <s v="Sony 64GB Class 10 Micro SDHC R40 Memory Card"/>
        <s v="Square Ring Data Binders, Rigid 75 Pt. Covers, 11&quot; x 14-7/8&quot;"/>
        <s v="Premium Transparent Presentation Covers by GBC"/>
        <s v="Avery 52"/>
        <s v="Kensington 7 Outlet MasterPiece Power Center with Fax/Phone Line Protection"/>
        <s v="Belkin SportFit Armband For iPhone 5s/5c, Fuchsia"/>
        <s v="Petty Cash Envelope"/>
        <s v="Lesro Round Back Collection Coffee Table, End Table"/>
        <s v="Ampad Gold Fibre Wirebound Steno Books, 6&quot; x 9&quot;, Gregg Ruled"/>
        <s v="Eberhard Faber 3 1/2&quot; Golf Pencils"/>
        <s v="Xerox 1900"/>
        <s v="Eldon Expressions Punched Metal &amp; Wood Desk Accessories, Black &amp; Cherry"/>
        <s v="Acco Perma 2700 Stacking Storage Drawers"/>
        <s v="Wirebound Message Books, Four 2 3/4 x 5 White Forms per Page"/>
        <s v="Ibico EB-19 Dual Function Manual Binding System"/>
        <s v="LogitechÂ P710e Mobile Speakerphone"/>
        <s v="Xerox 1972"/>
        <s v="Insertable Tab Indexes For Data Binders"/>
        <s v="Crayola Anti Dust Chalk, 12/Pack"/>
        <s v="Xerox 1976"/>
        <s v="Eldon Expressions Desk Accessory, Wood Photo Frame, Mahogany"/>
        <s v="GBC Instant Report Kit"/>
        <s v="ImationÂ 30456 USBÂ Flash DriveÂ 8GB"/>
        <s v="Xerox 1991"/>
        <s v="DAX Contemporary Wood Frame with Silver Metal Mat, Desktop, 11 x 14 Size"/>
        <s v="Canon imageCLASS 2200 Advanced Copier"/>
        <s v="Stanley Bostitch Contemporary Electric Pencil Sharpeners"/>
        <s v="Office Star - Contemporary Task Swivel Chair"/>
        <s v="Laser &amp; Ink Jet Business Envelopes"/>
        <s v="Ibico Plastic Spiral Binding Combs"/>
        <s v="Letter Size File"/>
        <s v="Bush Andora Conference Table, Maple/Graphite Gray Finish"/>
        <s v="Magna Visual Magnetic Picture Hangers"/>
        <s v="Zebra GK420t Direct Thermal/Thermal Transfer Printer"/>
        <s v="Avery Framed View Binder, EZD Ring (Locking), Navy, 1 1/2&quot;"/>
        <s v="Avery 511"/>
        <s v="Fellowes Econo/Stor Drawers"/>
        <s v="Luxo Professional Magnifying Clamp-On Fluorescent Lamps"/>
        <s v="Bush Westfield Collection Bookcases, Dark Cherry Finish, Fully Assembled"/>
        <s v="Global Manager's Adjustable Task Chair, Storm"/>
        <s v="Eldon 400 Class Desk Accessories, Black Carbon"/>
        <s v="Newell 309"/>
        <s v="Tenex Personal Filing Tote With Secure Closure Lid, Black/Frost"/>
        <s v="Newell 332"/>
        <s v="Global Deluxe High-Back Office Chair in Storm"/>
        <s v="Kensington K72356US Mouse-in-a-Box USB Desktop Mouse"/>
        <s v="Honeywell Enviracaire Portable HEPA Air Cleaner for 16' x 20' Room"/>
        <s v="Boston 16750 Black Compact Battery Pencil Sharpener"/>
        <s v="Holmes 99% HEPA Air Purifier"/>
        <s v="Xerox 1892"/>
        <s v="Fellowes Black Plastic Comb Bindings"/>
        <s v="Xerox 22"/>
        <s v="Multicolor Computer Printout Paper"/>
        <s v="Okidata B401 Printer"/>
        <s v="Bevis Steel Folding Chairs"/>
        <s v="OIC Colored Binder Clips, Assorted Sizes"/>
        <s v="Serrated Blade or Curved Handle Hand Letter Openers"/>
        <s v="Xerox 1887"/>
        <s v="Premier Electric Letter Opener"/>
        <s v="Okidata B400 Printer"/>
        <s v="Cardinal Holdit Data Disk Pockets"/>
        <s v="Anker Astro Mini 3000mAh Ultra-Compact Portable Charger"/>
        <s v="O'Sullivan Plantations 2-Door Library in Landvery Oak"/>
        <s v="Logitech Wireless Headset H600 Over-The-Head Design"/>
        <s v="Cherry 142-key Programmable Keyboard"/>
        <s v="Harbour Creations 67200 Series Stacking Chairs"/>
        <s v="Tenex Chairmat w/ Average Lip, 45&quot; x 53&quot;"/>
        <s v="Embossed Ink Jet Note Cards"/>
        <s v="Wilson Jones International Size A4 Ring Binders"/>
        <s v="Ibico Plastic and Wire Spiral Binding Combs"/>
        <s v="Xerox 23"/>
        <s v="Executive Impressions 14&quot; Contract Wall Clock with Quartz Movement"/>
        <s v="GBC VeloBinder Manual Binding System"/>
        <s v="Xerox 1996"/>
        <s v="Xerox 1924"/>
        <s v="3M Polarizing Light Filter Sleeves"/>
        <s v="Canvas Sectional Post Binders"/>
        <s v="Belkin F9S820V06 8 Outlet Surge"/>
        <s v="Newell 338"/>
        <s v="Eldon Expressions Wood and Plastic Desk Accessories, Oak"/>
        <s v="Sauder Facets Collection Library, Sky Alder Finish"/>
        <s v="Micropad Numeric Keypads"/>
        <s v="Sanyo 2.5 Cubic Foot Mid-Size Office Refrigerators"/>
        <s v="Boston School Pro Electric Pencil Sharpener, 1670"/>
        <s v="Magnifier Swing Arm Lamp"/>
        <s v="Balt Solid Wood Round Tables"/>
        <s v="Round Ring Binders"/>
        <s v="Tyvek  Top-Opening Peel &amp; Seel  Envelopes, Gray"/>
        <s v="Panasonic KX TS3282W Corded phone"/>
        <s v="Universal Premium White Copier/Laser Paper (20Lb. and 87 Bright)"/>
        <s v="Executive Impressions 14&quot;"/>
        <s v="Tenex Chairmats For Use With Carpeted Floors"/>
        <s v="Sauder Facets Collection Locker/File Cabinet, Sky Alder Finish"/>
        <s v="Eldon Regeneration Recycled Desk Accessories, Black"/>
        <s v="Deluxe Rollaway Locking File with Drawer"/>
        <s v="Sauder Camden County Collection Library"/>
        <s v="Hon 4060 Series Tables"/>
        <s v="Carina Media Storage Towers in Natural &amp; Black"/>
        <s v="Belkin OmniView SE Rackmount Kit"/>
        <s v="Xerox 1915"/>
        <s v="Fellowes PB200 Plastic Comb Binding Machine"/>
        <s v="O'Sullivan 5-Shelf Heavy-Duty Bookcases"/>
        <s v="#10 White Business Envelopes,4 1/8 x 9 1/2"/>
        <s v="Plantronics Calisto P620-M USB Wireless Speakerphone System"/>
        <s v="Google Nexus 5"/>
        <s v="Xerox 1880"/>
        <s v="Xerox 1977"/>
        <s v="Electrix Architect's Clamp-On Swing Arm Lamp, Black"/>
        <s v="Motorola HK250 Universal Bluetooth Headset"/>
        <s v="Newell 341"/>
        <s v="Hon 94000 Series Round Tables"/>
        <s v="SimpliFile Personal File, Black Granite, 15w x 6-15/16d x 11-1/4h"/>
        <s v="Newell 318"/>
        <s v="Avery 517"/>
        <s v="ARKON Windshield Dashboard Air Vent Car Mount Holder"/>
        <s v="Holmes HEPA Air Purifier"/>
        <s v="Harmony HEPA Quiet Air Purifiers"/>
        <s v="Xerox 221"/>
        <s v="Tennsco Regal Shelving Units"/>
        <s v="First Data FD10 PIN Pad"/>
        <s v="Black Avery Memo-Size 3-Ring Binder, 5 1/2&quot; x 8 1/2&quot;"/>
        <s v="Case Logic 2.4GHz Wireless Keyboard"/>
        <s v="Xerox 1907"/>
        <s v="Fiskars Home &amp; Office Scissors"/>
        <s v="Howard Miller 11-1/2&quot; Diameter Brentwood Wall Clock"/>
        <s v="Wilson Jones Easy Flow II Sheet Lifters"/>
        <s v="Avery 3 1/2&quot; Diskette Storage Pages, 10/Pack"/>
        <s v="Hoover Commercial SteamVac"/>
        <s v="Xerox 1905"/>
        <s v="GBC ProClick 150 Presentation Binding System"/>
        <s v="Tennsco Commercial Shelving"/>
        <s v="Acme Galleria Hot Forged Steel Scissors with Colored Handles"/>
        <s v="GBC Durable Plastic Covers"/>
        <s v="HP Officejet Pro 8600 e-All-In-One Printer, Copier, Scanner, Fax"/>
        <s v="Xerox 189"/>
        <s v="Sanyo Counter Height Refrigerator with Crisper, 3.6 Cubic Foot, Stainless Steel/Black"/>
        <s v="Acco Recycled 2&quot; Capacity Laser Printer Hanging Data Binders"/>
        <s v="Stacking Trays by OIC"/>
        <s v="Acco Pressboard Covers with Storage Hooks, 14 7/8&quot; x 11&quot;, Dark Blue"/>
        <s v="Logitech G13 Programmable Gameboard with LCD Display"/>
        <s v="Imation Bio 2GB USBÂ Flash Drive ImationÂ Corp"/>
        <s v="Avery 497"/>
        <s v="Avery 515"/>
        <s v="Kensington 7 Outlet MasterPiece HOMEOFFICE Power Control Center"/>
        <s v="Westinghouse Floor Lamp with Metal Mesh Shade, Black"/>
        <s v="Economy Binders"/>
        <s v="File Shuttle II and Handi-File, Black"/>
        <s v="Avery 4027 File Folder Labels for Dot Matrix Printers, 5000 Labels per Box, White"/>
        <s v="Belkin 8 Outlet SurgeMaster II Gold Surge Protector with Phone Protection"/>
        <s v="Avery Address/Shipping Labels for Typewriters, 4&quot; x 2&quot;"/>
        <s v="Newell 323"/>
        <s v="Howard Miller Distant Time Traveler Alarm Clock"/>
        <s v="MaxellÂ LTO Ultrium - 800 GB"/>
        <s v="GBC DocuBind TL200 Manual Binding Machine"/>
        <s v="Desktop 3-Pocket Hot File"/>
        <s v="Memorex Mini Travel Drive 16 GB USB 2.0 Flash Drive"/>
        <s v="Executive Impressions 16-1/2&quot; Circular Wall Clock"/>
        <s v="Avery 498"/>
        <s v="Cubify CubeX 3D Printer Double Head Print"/>
        <s v="Panasonic KX - TS880B Telephone"/>
        <s v="GBC Instant Index System for Binding Systems"/>
        <s v="Tenex Contemporary Contur Chairmats for Low and Medium Pile Carpet, Computer, 39&quot; x 49&quot;"/>
        <s v="Luxo Professional Combination Clamp-On Lamps"/>
        <s v="Color-Coded Legal Exhibit Labels"/>
        <s v="Computer Printout Paper with Letter-Trim Fine Perforations"/>
        <s v="Office Impressions Heavy Duty Welded Shelving &amp; Multimedia Storage Drawers"/>
        <s v="Avery 48"/>
        <s v="Tripp Lite Isotel 6 Outlet Surge Protector with Fax/Modem Protection"/>
        <s v="Dixon Ticonderoga Erasable Colored Pencil Set, 12-Color"/>
        <s v="Flexible Leather- Look Classic Collection Ring Binder"/>
        <s v="Pencil and Crayon Sharpener"/>
        <s v="Xerox 1948"/>
        <s v="Kleencut Forged Office Shears by Acme United Corporation"/>
        <s v="Fellowes Stor/Drawer Steel Plus Storage Drawers"/>
        <s v="Career Cubicle Clock, 8 1/4&quot;, Black"/>
        <s v="Motorola L804"/>
        <s v="Tenex Personal Self-Stacking Standard File Box, Black/Gray"/>
        <s v="Peel &amp; Seel Recycled Catalog Envelopes, Brown"/>
        <s v="SAFCO Optional Arm Kit for Workspace Cribbage Stacking Chair"/>
        <s v="Belkin Premiere Surge Master II 8-outlet surge protector"/>
        <s v="Blue Parrot B250XT Professional Grade Wireless BluetoothÂ HeadsetÂ with"/>
        <s v="Home/Office Personal File Carts"/>
        <s v="Ampad Phone Message Book, Recycled, 400 Message Capacity, 5 Â¾Â” x 11Â”"/>
        <s v="Newell 348"/>
        <s v="Xerox 1927"/>
        <s v="Panasonic KP-4ABK Battery-Operated Pencil Sharpener"/>
        <s v="TOPS Carbonless Receipt Book, Four 2-3/4 x 7-1/4 Money Receipts per Page"/>
        <s v="Newell 347"/>
        <s v="Hoover Commercial Soft Guard Upright Vacuum And Disposable Filtration Bags"/>
        <s v="DAX Cubicle Frames, 8-1/2 x 11"/>
        <s v="Maxell Pro 80 Minute CD-R, 10/Pack"/>
        <s v="Eureka Sanitaire  Multi-Pro Heavy-Duty Upright, Disposable Bags"/>
        <s v="Eldon 200 Class Desk Accessories, Burgundy"/>
        <s v="Plantronics Audio 995 Wireless Stereo Headset"/>
        <s v="Hewlett-Packard 300S Scientific Calculator"/>
        <s v="Innergie mMini Combo Duo USB Travel Charging Kit"/>
        <s v="Newell 346"/>
        <s v="Eldon 300 Class Desk Accessories, Black"/>
        <s v="Eureka Disposable Bags for Sanitaire Vibra Groomer I Upright Vac"/>
        <s v="Acme Tagit Stainless Steel Antibacterial Scissors"/>
        <s v="ClearOne Communications CHAT 70 OCÂ Speaker Phone"/>
        <s v="Memorex Micro Travel Drive 16 GB"/>
        <s v="GBC VeloBinder Electric Binding Machine"/>
        <s v="Adams Telephone Message Book W/Dividers/Space For Phone Numbers, 5 1/4&quot;X8 1/2&quot;, 200/Messages"/>
        <s v="iHome FM Clock Radio with Lightning Dock"/>
        <s v="Newell 351"/>
        <s v="REDIFORM Incoming/Outgoing Call Register, 11&quot; X 8 1/2&quot;, 100 Messages"/>
        <s v="24 Capacity Maxi Data Binder Racks, Pearl"/>
        <s v="Personal File Boxes with Fold-Down Carry Handle"/>
        <s v="Sanford EarthWrite Recycled Pencils, Medium Soft, #2"/>
        <s v="Global Leather Executive Chair"/>
        <s v="Fellowes Officeware Wire Shelving"/>
        <s v="Cisco Desktop Collaboration Experience DX650 IP Video Phone"/>
        <s v="O'Sullivan 3-Shelf Heavy-Duty Bookcases"/>
        <s v="TOPS Voice Message Log Book, Flash Format"/>
        <s v="Dana Swing-Arm Lamps"/>
        <s v="Xerox 203"/>
        <s v="Hewlett-Packard Deskjet 5550 Printer"/>
        <s v="Okidata MB491 Multifunction Printer"/>
        <s v="Square Credit Card Reader, 4 1/2&quot; x 4 1/2&quot; x 1&quot;, White"/>
        <s v="Wirebound Message Books, 5-1/2 x 4 Forms, 2 or 4 Forms per Page"/>
        <s v="Apple iPhone 5S"/>
        <s v="Plastic Stacking Crates &amp; Casters"/>
        <s v="Plantronics CS510 - Over-the-Head monaural Wireless Headset System"/>
        <s v="Binney &amp; Smith inkTank Erasable Desk Highlighter, Chisel Tip, Yellow, 12/Box"/>
        <s v="Avery 485"/>
        <s v="Tensor Track Tree Floor Lamp"/>
        <s v="Newell 325"/>
        <s v="Quartet Alpha White Chalk, 12/Pack"/>
        <s v="Eldon 200 Class Desk Accessories, Smoke"/>
        <s v="Fellowes 8 Outlet Superior Workstation Surge Protector w/o Phone/Fax/Modem Protection"/>
        <s v="Belkin iPhone and iPad Lightning Cable"/>
        <s v="Xerox 1998"/>
        <s v="O'Sullivan Elevations Bookcase, Cherry Finish"/>
        <s v="Fellowes Bases and Tops For Staxonsteel/High-Stak Systems"/>
        <s v="Letter/Legal File Tote with Clear Snap-On Lid, Black Granite"/>
        <s v="Hammermill CopyPlus Copy Paper (20Lb. and 84 Bright)"/>
        <s v="Tennsco Lockers, Sand"/>
        <s v="Quartet Omega Colored Chalk, 12/Pack"/>
        <s v="Avery Printable Repositionable Plastic Tabs"/>
        <s v="Safco Industrial Shelving"/>
        <s v="Polycom VoiceStation 500 ConferenceÂ phone"/>
        <s v="Mead 1st Gear 2&quot; Zipper Binder, Asst. Colors"/>
        <s v="Global Enterprise Series Seating Low-Back Swivel/Tilt Chairs"/>
        <s v="BIC Brite Liner Grip Highlighters"/>
        <s v="Hon 4700 Series Mobuis Mid-Back Task Chairs with Adjustable Arms"/>
        <s v="Xerox 1937"/>
        <s v="Perixx PERIBOARD-512B, Ergonomic Split Keyboard"/>
        <s v="Seth Thomas 12&quot; Clock w/ Goldtone Case"/>
        <s v="Avery Metallic Poly Binders"/>
        <s v="Polycom CX600 IP Phone VoIP phone"/>
        <s v="MaxellÂ iVDR EX 500GB Cartridge"/>
        <s v="Ooma Telo VoIP Home Phone System"/>
        <s v="Xerox 1890"/>
        <s v="Hon 2111 Invitation Series Straight Table"/>
        <s v="Kensington Expert Mouse Optical USB Trackball for PC or Mac"/>
        <s v="Office Star Flex Back Scooter Chair with Aluminum Finish Frame"/>
        <s v="&quot;While you Were Out&quot; Message Book, One Form per Page"/>
        <s v="Sanford Colorific Eraseable Coloring Pencils, 12 Count"/>
        <s v="Chromcraft Bull-Nose Wood Oval Conference Tables &amp; Bases"/>
        <s v="Bush Birmingham Collection Bookcase, Dark Cherry"/>
        <s v="Telephone Message Books with Fax/Mobile Section, 4 1/4&quot; x 6&quot;"/>
        <s v="QVS USB Car Charger 2-Port 2.1Amp for iPod/iPhone/iPad/iPad 2/iPad 3"/>
        <s v="Avery Trapezoid Extra Heavy Duty 4&quot; Binders"/>
        <s v="DAX Copper Panel Document Frame, 5 x 7 Size"/>
        <s v="Motorla HX550 Universal Bluetooth Headset"/>
        <s v="DAX Two-Tone Silver Metal Document Frame"/>
        <s v="Boston 1799 Powerhouse Electric Pencil Sharpener"/>
        <s v="ImationÂ SwivelÂ Flash DriveÂ USBÂ flash driveÂ - 8 GB"/>
        <s v="Memorex Froggy Flash Drive 8 GB"/>
        <s v="Samsung Galaxy Note 2"/>
        <s v="Xerox 1888"/>
        <s v="Unpadded Memo Slips"/>
        <s v="Newell 35"/>
        <s v="Microsoft Wireless Mobile Mouse 4000"/>
        <s v="Acco Data Flex Cable Posts For Top &amp; Bottom Load Binders, 6&quot; Capacity"/>
        <s v="Acco 6 Outlet Guardian Standard Surge Suppressor"/>
        <s v="Rediform S.O.S. 1-Up Phone Message Bk, 4-1/4x3-1/16 Bk, 1 Form/Pg, 40 Messages/Bk, 3/Pk"/>
        <s v="Wilson Jones Suede Grain Vinyl Binders"/>
        <s v="iOttie XL Car Mount"/>
        <s v="Design Ebony Sketching Pencil"/>
        <s v="Personal Creations Ink Jet Cards and Labels"/>
        <s v="Sony 32GB Class 10 Micro SDHC R40 Memory Card"/>
        <s v="Nu-Dell Leatherette Frames"/>
        <s v="Plantronics 81402"/>
        <s v="i.Sound Portable Power - 8000 mAh"/>
        <s v="Lock-Up Easel 'Spel-Binder'"/>
        <s v="Master Caster Door Stop, Gray"/>
        <s v="Ricoh - Ink Collector Unit for GX3000 Series Printers"/>
        <s v="Acco 6 Outlet Guardian Premium Plus Surge Suppressor"/>
        <s v="Hoover Portapower Portable Vacuum"/>
        <s v="3D Systems Cube Printer, 2nd Generation, Magenta"/>
        <s v="Hoover Replacement Belts For Soft Guard &amp; Commercial Ltweight Upright Vacs, 2/Pk"/>
        <s v="Logitech G430 Surround Sound Gaming Headset with Dolby 7.1 Technology"/>
        <s v="Xerox 217"/>
        <s v="Storex DuraTech Recycled Plastic Frosted Binders"/>
        <s v="TOPS 4 x 6 Fluorescent Color Memo Sheets, 500 Sheets per Pack"/>
        <s v="Hon Every-Day Chair Series Swivel Task Chairs"/>
        <s v="Wirebound Message Books, 2 7/8&quot; x 5&quot;, 3 Forms per Page"/>
        <s v="Xerox 1989"/>
        <s v="Maxell 4.7GB DVD-R 5/Pack"/>
        <s v="Global Adaptabilites Bookcase, Cherry/Storm Gray Finish"/>
        <s v="Clarity 53712"/>
        <s v="Document Clip Frames"/>
        <s v="Space Solutions Commercial Steel Shelving"/>
        <s v="Eldon Image Series Black Desk Accessories"/>
        <s v="Colored Envelopes"/>
        <s v="Global Deluxe Office Fabric Chairs"/>
        <s v="Xerox 1992"/>
        <s v="Strathmore Photo Mount Cards"/>
        <s v="Canon Image Class D660 Copier"/>
        <s v="Cubify CubeX 3D Printer Triple Head Print"/>
        <s v="Adams Telephone Message Books, 5 1/4Â” x 11Â”"/>
        <s v="Motorola Moto X"/>
        <s v="Decoflex Hanging Personal Folder File"/>
        <s v="Newell 339"/>
        <s v="Maxell CD-R Discs"/>
        <s v="Panasonic KP-310 Heavy-Duty Electric Pencil Sharpener"/>
        <s v="DYMO CardScan Personal V9 Business Card Scanner"/>
        <s v="Fellowes PB300 Plastic Comb Binding Machine"/>
        <s v="GBC Imprintable Covers"/>
        <s v="12 Colored Short Pencils"/>
        <s v="Eureka The Boss Lite 10-Amp Upright Vacuum, Blue"/>
        <s v="Verbatim 25 GB 6x Blu-ray Single Layer Recordable Disc, 10/Pack"/>
        <s v="Dixon Ticonderoga Maple Cedar Pencil, #2"/>
        <s v="Acco 3-Hole Punch"/>
        <s v="Xerox 1968"/>
        <s v="Xerox 1899"/>
        <s v="SAFCO Commercial Wire Shelving, Black"/>
        <s v="Jabra BIZ 2300 Duo QD Duo CordedÂ Headset"/>
        <s v="Quality Park Security Envelopes"/>
        <s v="Ultra Door Kickplate, 8&quot;H x 34&quot;W"/>
        <s v="Xerox 1940"/>
        <s v="Hon 4-Shelf Metal Bookcases"/>
        <s v="Seidio BD2-HK3IPH5-BK DILEX Case and Holster Combo for Apple iPhone 5/5s - Black"/>
        <s v="Macally Suction Cup Mount"/>
        <s v="AT&amp;T CL2909"/>
        <s v="Xerox 1956"/>
        <s v="First Data TMFD35 PIN Pad"/>
        <s v="Tensor &quot;Hersey Kiss&quot; Styled Floor Lamp"/>
        <s v="Seth Thomas 14&quot; Putty-Colored Wall Clock"/>
        <s v="Self-Adhesive Removable Labels"/>
        <s v="Ibico EPK-21 Electric Binding System"/>
        <s v="Wirebound Service Call Books, 5 1/2&quot; x 4&quot;"/>
        <s v="C-Line Cubicle Keepers Polyproplyene Holder w/Velcro Back, 8-1/2x11, 25/Bx"/>
        <s v="Safco Industrial Wire Shelving System"/>
        <s v="Tenex Traditional Chairmats for Hard Floors, Average Lip, 36&quot; x 48&quot;"/>
        <s v="Belkin 8-Outlet Premiere SurgeMaster II Surge Protectors"/>
        <s v="Standard Line Â“While You Were OutÂ” Hardbound Telephone Message Book"/>
        <s v="Recycled Interoffice Envelopes with String and Button Closure, 10 x 13"/>
        <s v="BIC Liqua Brite Liner"/>
        <s v="Harmony Air Purifier"/>
        <s v="Col-Erase Pencils with Erasers"/>
        <s v="Leather Task Chair, Black"/>
        <s v="Hoover Commercial Lightweight Upright Vacuum"/>
        <s v="Pastel Pink Envelopes"/>
      </sharedItems>
    </cacheField>
    <cacheField name="Sales" numFmtId="0">
      <sharedItems containsSemiMixedTypes="0" containsString="0" containsNumber="1" minValue="0.56000000000000005" maxValue="17499.95" count="2884">
        <n v="16.45"/>
        <n v="11.78"/>
        <n v="272.74"/>
        <n v="3.54"/>
        <n v="19.54"/>
        <n v="19.440000000000001"/>
        <n v="12.78"/>
        <n v="2573.8200000000002"/>
        <n v="609.98"/>
        <n v="5.48"/>
        <n v="391.98"/>
        <n v="755.96"/>
        <n v="31.12"/>
        <n v="6.54"/>
        <n v="76.73"/>
        <n v="10.43"/>
        <n v="9.34"/>
        <n v="31.2"/>
        <n v="2.89"/>
        <n v="51.94"/>
        <n v="9.94"/>
        <n v="468.9"/>
        <n v="12.35"/>
        <n v="18.34"/>
        <n v="180.96"/>
        <n v="83.84"/>
        <n v="13.27"/>
        <n v="82.9"/>
        <n v="34.24"/>
        <n v="17.25"/>
        <n v="15"/>
        <n v="161.61000000000001"/>
        <n v="144.94999999999999"/>
        <n v="8.9499999999999993"/>
        <n v="115.36"/>
        <n v="64.959999999999994"/>
        <n v="14.56"/>
        <n v="234.45"/>
        <n v="1256.22"/>
        <n v="17.46"/>
        <n v="60.89"/>
        <n v="14.94"/>
        <n v="9.64"/>
        <n v="332.94"/>
        <n v="51.9"/>
        <n v="129.57"/>
        <n v="457.57"/>
        <n v="5.94"/>
        <n v="634.12"/>
        <n v="17.47"/>
        <n v="18.84"/>
        <n v="362.25"/>
        <n v="63.55"/>
        <n v="129.55000000000001"/>
        <n v="137.35"/>
        <n v="376.51"/>
        <n v="11.36"/>
        <n v="36.4"/>
        <n v="3.42"/>
        <n v="151.19999999999999"/>
        <n v="19.46"/>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29.6"/>
        <n v="17.09"/>
        <n v="66.959999999999994"/>
        <n v="6.24"/>
        <n v="15.84"/>
        <n v="1049.93"/>
        <n v="154.9"/>
        <n v="26.72"/>
        <n v="33.49"/>
        <n v="177.68"/>
        <n v="11.16"/>
        <n v="62.31"/>
        <n v="159.97999999999999"/>
        <n v="18.899999999999999"/>
        <n v="5.47"/>
        <n v="79.36"/>
        <n v="7.18"/>
        <n v="232.55"/>
        <n v="99.98"/>
        <n v="12.96"/>
        <n v="55.48"/>
        <n v="22.96"/>
        <n v="28.99"/>
        <n v="4164.05"/>
        <n v="52.1"/>
        <n v="26.7"/>
        <n v="40.200000000000003"/>
        <n v="13.89"/>
        <n v="689.82"/>
        <n v="44.91"/>
        <n v="10.3"/>
        <n v="154.76"/>
        <n v="116.78"/>
        <n v="653.54999999999995"/>
        <n v="33.9"/>
        <n v="91.96"/>
        <n v="33.11"/>
        <n v="70.95"/>
        <n v="65.569999999999993"/>
        <n v="299.97000000000003"/>
        <n v="8.9600000000000009"/>
        <n v="629.95000000000005"/>
        <n v="122.97"/>
        <n v="58.32"/>
        <n v="200.97"/>
        <n v="2.37"/>
        <n v="19.010000000000002"/>
        <n v="1215.92"/>
        <n v="49.79"/>
        <n v="99.59"/>
        <n v="399.96"/>
        <n v="172.11"/>
        <n v="6.91"/>
        <n v="383.98"/>
        <n v="10.37"/>
        <n v="335.94"/>
        <n v="9.58"/>
        <n v="758.35"/>
        <n v="87.08"/>
        <n v="105.58"/>
        <n v="217.44"/>
        <n v="1075.0899999999999"/>
        <n v="438.37"/>
        <n v="18.09"/>
        <n v="308.5"/>
        <n v="32.4"/>
        <n v="39.68"/>
        <n v="26.14"/>
        <n v="479.98"/>
        <n v="21.56"/>
        <n v="40.18"/>
        <n v="10.9"/>
        <n v="46.8"/>
        <n v="27.46"/>
        <n v="37.840000000000003"/>
        <n v="12.18"/>
        <n v="57.68"/>
        <n v="9.42"/>
        <n v="6.56"/>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2001.86"/>
        <n v="166.72"/>
        <n v="47.88"/>
        <n v="1503.25"/>
        <n v="25.92"/>
        <n v="45.48"/>
        <n v="289.2"/>
        <n v="22.2"/>
        <n v="881.93"/>
        <n v="138.56"/>
        <n v="65.52"/>
        <n v="59.81"/>
        <n v="73.319999999999993"/>
        <n v="8.56"/>
        <n v="239.97"/>
        <n v="356.94"/>
        <n v="515.88"/>
        <n v="15.28"/>
        <n v="15.94"/>
        <n v="61.54"/>
        <n v="132.69999999999999"/>
        <n v="16.22"/>
        <n v="56.96"/>
        <n v="15.56"/>
        <n v="353.57"/>
        <n v="13.96"/>
        <n v="13.36"/>
        <n v="149.54"/>
        <n v="17.14"/>
        <n v="991.76"/>
        <n v="24.59"/>
        <n v="13.98"/>
        <n v="100.24"/>
        <n v="1.37"/>
        <n v="62.02"/>
        <n v="12.46"/>
        <n v="268.94"/>
        <n v="585.54999999999995"/>
        <n v="170.35"/>
        <n v="68.48"/>
        <n v="1676.88"/>
        <n v="48.86"/>
        <n v="7.28"/>
        <n v="907.15"/>
        <n v="18.5"/>
        <n v="114.9"/>
        <n v="1706.18"/>
        <n v="911.42"/>
        <n v="7.99"/>
        <n v="63.98"/>
        <n v="70.37"/>
        <n v="7.36"/>
        <n v="23.1"/>
        <n v="1441.3"/>
        <n v="18.059999999999999"/>
        <n v="79.14"/>
        <n v="37.4"/>
        <n v="491.55"/>
        <n v="19.920000000000002"/>
        <n v="575.91999999999996"/>
        <n v="5.18"/>
        <n v="73.98"/>
        <n v="5.58"/>
        <n v="177.54"/>
        <n v="32.43"/>
        <n v="21.84"/>
        <n v="15.6"/>
        <n v="14.62"/>
        <n v="220.78"/>
        <n v="281.42"/>
        <n v="4.37"/>
        <n v="19.52"/>
        <n v="9.81"/>
        <n v="213.22"/>
        <n v="559.99"/>
        <n v="478.48"/>
        <n v="172.19"/>
        <n v="69.010000000000005"/>
        <n v="63.88"/>
        <n v="502.49"/>
        <n v="196.7"/>
        <n v="14.35"/>
        <n v="2.88"/>
        <n v="41.9"/>
        <n v="23.92"/>
        <n v="14.3"/>
        <n v="119.83"/>
        <n v="5.56"/>
        <n v="177.2"/>
        <n v="197.97"/>
        <n v="854.94"/>
        <n v="124.11"/>
        <n v="14.4"/>
        <n v="575.97"/>
        <n v="49.12"/>
        <n v="18.28"/>
        <n v="164.85"/>
        <n v="7.71"/>
        <n v="698.35"/>
        <n v="249.75"/>
        <n v="255.94"/>
        <n v="123.14"/>
        <n v="11.26"/>
        <n v="35.86"/>
        <n v="23.84"/>
        <n v="512.36"/>
        <n v="3.49"/>
        <n v="22.29"/>
        <n v="16.03"/>
        <n v="17.54"/>
        <n v="44.13"/>
        <n v="62.92"/>
        <n v="78.3"/>
        <n v="19.75"/>
        <n v="5.68"/>
        <n v="21.2"/>
        <n v="838.38"/>
        <n v="218.75"/>
        <n v="2.6"/>
        <n v="102.3"/>
        <n v="21.36"/>
        <n v="93.02"/>
        <n v="1089.75"/>
        <n v="447.84"/>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20.88"/>
        <n v="1091.17"/>
        <n v="219.17"/>
        <n v="2060.7399999999998"/>
        <n v="5.98"/>
        <n v="4.46"/>
        <n v="9.35"/>
        <n v="40.97"/>
        <n v="375.34"/>
        <n v="196.21"/>
        <n v="806.34"/>
        <n v="85.44"/>
        <n v="31.1"/>
        <n v="47.96"/>
        <n v="158.93"/>
        <n v="211.25"/>
        <n v="5.55"/>
        <n v="2.95"/>
        <n v="14.04"/>
        <n v="272.61"/>
        <n v="53.94"/>
        <n v="3.65"/>
        <n v="23.74"/>
        <n v="357"/>
        <n v="19.899999999999999"/>
        <n v="70.709999999999994"/>
        <n v="21.24"/>
        <n v="57.75"/>
        <n v="239.98"/>
        <n v="559.71"/>
        <n v="1793.98"/>
        <n v="475.94"/>
        <n v="7.68"/>
        <n v="264.32"/>
        <n v="31.98"/>
        <n v="41.88"/>
        <n v="58.48"/>
        <n v="64.78"/>
        <n v="32.380000000000003"/>
        <n v="42.37"/>
        <n v="399.54"/>
        <n v="57.69"/>
        <n v="42.81"/>
        <n v="821.88"/>
        <n v="104.85"/>
        <n v="377.97"/>
        <n v="196.78"/>
        <n v="2.92"/>
        <n v="200.8"/>
        <n v="46.69"/>
        <n v="21.86"/>
        <n v="429.9"/>
        <n v="32.06"/>
        <n v="161.96"/>
        <n v="19.86"/>
        <n v="27.36"/>
        <n v="20.56"/>
        <n v="83.92"/>
        <n v="13.16"/>
        <n v="3.83"/>
        <n v="304.99"/>
        <n v="8159.95"/>
        <n v="275.93"/>
        <n v="1740.06"/>
        <n v="177.98"/>
        <n v="143.97999999999999"/>
        <n v="49.98"/>
        <n v="51.18"/>
        <n v="32.97"/>
        <n v="83.88"/>
        <n v="56.65"/>
        <n v="14.97"/>
        <n v="4.0199999999999996"/>
        <n v="45"/>
        <n v="209.97"/>
        <n v="16.78"/>
        <n v="5.88"/>
        <n v="975.92"/>
        <n v="303.83999999999997"/>
        <n v="485.88"/>
        <n v="17.899999999999999"/>
        <n v="966.7"/>
        <n v="182.11"/>
        <n v="172.76"/>
        <n v="3.52"/>
        <n v="8.61"/>
        <n v="103.6"/>
        <n v="166.44"/>
        <n v="785.88"/>
        <n v="26.2"/>
        <n v="1325.85"/>
        <n v="64.7"/>
        <n v="135.52000000000001"/>
        <n v="1299.99"/>
        <n v="60.67"/>
        <n v="30.82"/>
        <n v="21.73"/>
        <n v="1487.04"/>
        <n v="81.92"/>
        <n v="254.9"/>
        <n v="127.95"/>
        <n v="69.989999999999995"/>
        <n v="166.84"/>
        <n v="15.22"/>
        <n v="63.92"/>
        <n v="357.93"/>
        <n v="57.4"/>
        <n v="331.96"/>
        <n v="40.56"/>
        <n v="3785.29"/>
        <n v="4.71"/>
        <n v="9.41"/>
        <n v="4.67"/>
        <n v="318.39999999999998"/>
        <n v="12.77"/>
        <n v="15.36"/>
        <n v="230.38"/>
        <n v="7.16"/>
        <n v="258.27999999999997"/>
        <n v="143.43"/>
        <n v="122.35"/>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7.64"/>
        <n v="14.9"/>
        <n v="21.39"/>
        <n v="22.24"/>
        <n v="43.18"/>
        <n v="1983.97"/>
        <n v="443.92"/>
        <n v="155.97999999999999"/>
        <n v="7.52"/>
        <n v="10.27"/>
        <n v="47.81"/>
        <n v="978.84"/>
        <n v="15.7"/>
        <n v="69.52"/>
        <n v="5.64"/>
        <n v="44.4"/>
        <n v="21.4"/>
        <n v="533.94000000000005"/>
        <n v="167.94"/>
        <n v="31.68"/>
        <n v="68.7"/>
        <n v="3.13"/>
        <n v="22.43"/>
        <n v="34.86"/>
        <n v="89.34"/>
        <n v="88.78"/>
        <n v="539.96"/>
        <n v="50.23"/>
        <n v="19.239999999999998"/>
        <n v="799.92"/>
        <n v="46.38"/>
        <n v="362.92"/>
        <n v="41.94"/>
        <n v="52.79"/>
        <n v="286.33999999999997"/>
        <n v="783.96"/>
        <n v="48.9"/>
        <n v="7.86"/>
        <n v="11.64"/>
        <n v="143.86000000000001"/>
        <n v="25.98"/>
        <n v="945.04"/>
        <n v="410.35"/>
        <n v="5.76"/>
        <n v="89.97"/>
        <n v="6.72"/>
        <n v="135.88"/>
        <n v="3991.98"/>
        <n v="275.94"/>
        <n v="360"/>
        <n v="43.57"/>
        <n v="8.3800000000000008"/>
        <n v="58.24"/>
        <n v="35.340000000000003"/>
        <n v="666.34"/>
        <n v="573.73"/>
        <n v="21.94"/>
        <n v="447.97"/>
        <n v="52.06"/>
        <n v="2.94"/>
        <n v="20.04"/>
        <n v="47.79"/>
        <n v="273.57"/>
        <n v="13.19"/>
        <n v="1080.0999999999999"/>
        <n v="51.56"/>
        <n v="58.42"/>
        <n v="149.9"/>
        <n v="43.68"/>
        <n v="26.05"/>
        <n v="74.349999999999994"/>
        <n v="683.14"/>
        <n v="1.48"/>
        <n v="40.71"/>
        <n v="245.88"/>
        <n v="36.630000000000003"/>
        <n v="22.58"/>
        <n v="12.39"/>
        <n v="5.92"/>
        <n v="30.18"/>
        <n v="120.77"/>
        <n v="333.58"/>
        <n v="340.92"/>
        <n v="222.67"/>
        <n v="703.97"/>
        <n v="92.52"/>
        <n v="62.65"/>
        <n v="94.85"/>
        <n v="56.52"/>
        <n v="601.54"/>
        <n v="10.99"/>
        <n v="39.880000000000003"/>
        <n v="62.24"/>
        <n v="53.2"/>
        <n v="39.840000000000003"/>
        <n v="3.9"/>
        <n v="12.84"/>
        <n v="563.94000000000005"/>
        <n v="62.94"/>
        <n v="535.41"/>
        <n v="665.88"/>
        <n v="3.39"/>
        <n v="559.98"/>
        <n v="603.91999999999996"/>
        <n v="896.99"/>
        <n v="1.23"/>
        <n v="67.56"/>
        <n v="21.72"/>
        <n v="262.33999999999997"/>
        <n v="148.47999999999999"/>
        <n v="241.18"/>
        <n v="30.48"/>
        <n v="112.65"/>
        <n v="23.97"/>
        <n v="521.96"/>
        <n v="575.92999999999995"/>
        <n v="7.78"/>
        <n v="22.98"/>
        <n v="102.13"/>
        <n v="2033.58"/>
        <n v="10.98"/>
        <n v="797.94"/>
        <n v="46.35"/>
        <n v="223.92"/>
        <n v="7.3"/>
        <n v="11.96"/>
        <n v="629.05999999999995"/>
        <n v="7.87"/>
        <n v="2.67"/>
        <n v="16.66"/>
        <n v="79.510000000000005"/>
        <n v="36.29"/>
        <n v="67.989999999999995"/>
        <n v="25.13"/>
        <n v="127.98"/>
        <n v="2807.84"/>
        <n v="46.64"/>
        <n v="58.2"/>
        <n v="95.97"/>
        <n v="659.99"/>
        <n v="8.1300000000000008"/>
        <n v="909.72"/>
        <n v="674.06"/>
        <n v="271.89999999999998"/>
        <n v="45.84"/>
        <n v="9.82"/>
        <n v="119.96"/>
        <n v="883.92"/>
        <n v="46.72"/>
        <n v="58.36"/>
        <n v="16.46"/>
        <n v="119.8"/>
        <n v="2.39"/>
        <n v="60.72"/>
        <n v="146.82"/>
        <n v="239.84"/>
        <n v="15.66"/>
        <n v="5.95"/>
        <n v="15.24"/>
        <n v="479.96"/>
        <n v="129.97999999999999"/>
        <n v="1113.02"/>
        <n v="24.82"/>
        <n v="408.74"/>
        <n v="348.49"/>
        <n v="172.74"/>
        <n v="98.38"/>
        <n v="29.94"/>
        <n v="36.74"/>
        <n v="179.94"/>
        <n v="26.46"/>
        <n v="250.26"/>
        <n v="23.98"/>
        <n v="53.42"/>
        <n v="275.49"/>
        <n v="14.02"/>
        <n v="214.95"/>
        <n v="35.04"/>
        <n v="10.78"/>
        <n v="4.5999999999999996"/>
        <n v="35.17"/>
        <n v="1261.33"/>
        <n v="42.21"/>
        <n v="105.52"/>
        <n v="269.36"/>
        <n v="164.88"/>
        <n v="60.42"/>
        <n v="27.89"/>
        <n v="6.46"/>
        <n v="52.68"/>
        <n v="13.88"/>
        <n v="103.92"/>
        <n v="11.52"/>
        <n v="39.07"/>
        <n v="45.68"/>
        <n v="79.44"/>
        <n v="34.68"/>
        <n v="100.7"/>
        <n v="10.69"/>
        <n v="237.1"/>
        <n v="8.4499999999999993"/>
        <n v="20.39"/>
        <n v="30.67"/>
        <n v="1079.98"/>
        <n v="106.34"/>
        <n v="338.35"/>
        <n v="91.36"/>
        <n v="764.69"/>
        <n v="3610.85"/>
        <n v="254.97"/>
        <n v="43.31"/>
        <n v="210.39"/>
        <n v="12.54"/>
        <n v="8.94"/>
        <n v="9.24"/>
        <n v="23.68"/>
        <n v="452.45"/>
        <n v="62.98"/>
        <n v="1188"/>
        <n v="89.58"/>
        <n v="85.52"/>
        <n v="9.84"/>
        <n v="398.4"/>
        <n v="7.06"/>
        <n v="1352.4"/>
        <n v="32.340000000000003"/>
        <n v="39.9"/>
        <n v="192.22"/>
        <n v="61.58"/>
        <n v="17.48"/>
        <n v="13.17"/>
        <n v="87.36"/>
        <n v="56.16"/>
        <n v="1.94"/>
        <n v="106.32"/>
        <n v="163.44"/>
        <n v="42.76"/>
        <n v="51.55"/>
        <n v="1018.1"/>
        <n v="465.18"/>
        <n v="235.19"/>
        <n v="26.38"/>
        <n v="10.38"/>
        <n v="107.12"/>
        <n v="28.4"/>
        <n v="149.97"/>
        <n v="136.91999999999999"/>
        <n v="12.14"/>
        <n v="74.52"/>
        <n v="90.88"/>
        <n v="5.28"/>
        <n v="1268.82"/>
        <n v="283.92"/>
        <n v="2.93"/>
        <n v="18.53"/>
        <n v="670.75"/>
        <n v="146.72999999999999"/>
        <n v="29.9"/>
        <n v="311.14999999999998"/>
        <n v="107.98"/>
        <n v="9.5399999999999991"/>
        <n v="5.81"/>
        <n v="20.8"/>
        <n v="40.1"/>
        <n v="40.78"/>
        <n v="203.92"/>
        <n v="479.95"/>
        <n v="77.239999999999995"/>
        <n v="58.72"/>
        <n v="15.98"/>
        <n v="184.75"/>
        <n v="3.55"/>
        <n v="55.33"/>
        <n v="1228"/>
        <n v="95.84"/>
        <n v="787.53"/>
        <n v="10.16"/>
        <n v="101.88"/>
        <n v="29.34"/>
        <n v="383.61"/>
        <n v="563.4"/>
        <n v="60.69"/>
        <n v="466.16"/>
        <n v="10.31"/>
        <n v="2.56"/>
        <n v="99.37"/>
        <n v="33.57"/>
        <n v="7.1"/>
        <n v="11.21"/>
        <n v="180.98"/>
        <n v="435.26"/>
        <n v="1119.98"/>
        <n v="119.85"/>
        <n v="30.44"/>
        <n v="69.28"/>
        <n v="512.94000000000005"/>
        <n v="860.93"/>
        <n v="769.95"/>
        <n v="14.98"/>
        <n v="373.08"/>
        <n v="3.41"/>
        <n v="8.57"/>
        <n v="113.52"/>
        <n v="359.88"/>
        <n v="4.6100000000000003"/>
        <n v="1.1100000000000001"/>
        <n v="89.82"/>
        <n v="8.69"/>
        <n v="30.88"/>
        <n v="6.41"/>
        <n v="5.04"/>
        <n v="32.19"/>
        <n v="50.12"/>
        <n v="47.98"/>
        <n v="9.16"/>
        <n v="71.98"/>
        <n v="87.8"/>
        <n v="108.4"/>
        <n v="82.34"/>
        <n v="644.08000000000004"/>
        <n v="5.84"/>
        <n v="12.76"/>
        <n v="10.95"/>
        <n v="599.98"/>
        <n v="157.79"/>
        <n v="98.11"/>
        <n v="563.80999999999995"/>
        <n v="547.14"/>
        <n v="14.85"/>
        <n v="41.99"/>
        <n v="7.58"/>
        <n v="352.45"/>
        <n v="23.9"/>
        <n v="892.22"/>
        <n v="239.94"/>
        <n v="42.05"/>
        <n v="25.49"/>
        <n v="6.9"/>
        <n v="9.65"/>
        <n v="7.97"/>
        <n v="47.95"/>
        <n v="463.25"/>
        <n v="383.95"/>
        <n v="11.74"/>
        <n v="369.91"/>
        <n v="370.14"/>
        <n v="12.83"/>
        <n v="142.04"/>
        <n v="14.67"/>
        <n v="85.14"/>
        <n v="21.99"/>
        <n v="406.6"/>
        <n v="67.36"/>
        <n v="54.53"/>
        <n v="639.97"/>
        <n v="52.76"/>
        <n v="40.74"/>
        <n v="88.75"/>
        <n v="41.38"/>
        <n v="172.7"/>
        <n v="37.32"/>
        <n v="35.06"/>
        <n v="8.86"/>
        <n v="158.38"/>
        <n v="59.9"/>
        <n v="23.7"/>
        <n v="18.2"/>
        <n v="27.55"/>
        <n v="844.12"/>
        <n v="76.75"/>
        <n v="8.82"/>
        <n v="62.5"/>
        <n v="339.96"/>
        <n v="49.57"/>
        <n v="13.85"/>
        <n v="26.8"/>
        <n v="946.34"/>
        <n v="125.93"/>
        <n v="244.01"/>
        <n v="8.35"/>
        <n v="5.25"/>
        <n v="43.98"/>
        <n v="123.96"/>
        <n v="37.94"/>
        <n v="127.76"/>
        <n v="2799.94"/>
        <n v="48.81"/>
        <n v="70.97"/>
        <n v="36.78"/>
        <n v="191.97"/>
        <n v="25.68"/>
        <n v="201.58"/>
        <n v="14.59"/>
        <n v="21.97"/>
        <n v="619.15"/>
        <n v="127.9"/>
        <n v="5.73"/>
        <n v="42.24"/>
        <n v="403.68"/>
        <n v="28.91"/>
        <n v="11.76"/>
        <n v="7.38"/>
        <n v="9.26"/>
        <n v="35.28"/>
        <n v="119.98"/>
        <n v="989.97"/>
        <n v="1522.64"/>
        <n v="10.56"/>
        <n v="18.309999999999999"/>
        <n v="8.02"/>
        <n v="2.38"/>
        <n v="143.13"/>
        <n v="173.49"/>
        <n v="516.96"/>
        <n v="173.21"/>
        <n v="4.45"/>
        <n v="9"/>
        <n v="113.1"/>
        <n v="355.36"/>
        <n v="140.38"/>
        <n v="64.2"/>
        <n v="38.520000000000003"/>
        <n v="72.599999999999994"/>
        <n v="53.7"/>
        <n v="36.26"/>
        <n v="56.3"/>
        <n v="29.16"/>
        <n v="1123.92"/>
        <n v="249.58"/>
        <n v="48.67"/>
        <n v="60.77"/>
        <n v="78.599999999999994"/>
        <n v="3.77"/>
        <n v="1036.6199999999999"/>
        <n v="20.74"/>
        <n v="43.3"/>
        <n v="32.78"/>
        <n v="408.42"/>
        <n v="382.12"/>
        <n v="68.599999999999994"/>
        <n v="435.5"/>
        <n v="11.17"/>
        <n v="11.95"/>
        <n v="74.239999999999995"/>
        <n v="159.84"/>
        <n v="9.39"/>
        <n v="70.98"/>
        <n v="294.93"/>
        <n v="168.46"/>
        <n v="282.89"/>
        <n v="1099.96"/>
        <n v="15.48"/>
        <n v="22.85"/>
        <n v="7.23"/>
        <n v="19"/>
        <n v="34.799999999999997"/>
        <n v="38.979999999999997"/>
        <n v="155.82"/>
        <n v="124.95"/>
        <n v="601.65"/>
        <n v="301.95999999999998"/>
        <n v="11.12"/>
        <n v="21.12"/>
        <n v="6.58"/>
        <n v="122.94"/>
        <n v="5.16"/>
        <n v="15.8"/>
        <n v="464.97"/>
        <n v="181.96"/>
        <n v="84.09"/>
        <n v="153.36000000000001"/>
        <n v="98.21"/>
        <n v="269.98"/>
        <n v="48.63"/>
        <n v="3.37"/>
        <n v="39.92"/>
        <n v="289.8"/>
        <n v="2.5"/>
        <n v="6.48"/>
        <n v="341.49"/>
        <n v="25.34"/>
        <n v="29.97"/>
        <n v="98.35"/>
        <n v="199.84"/>
        <n v="716"/>
        <n v="221.06"/>
        <n v="537.54"/>
        <n v="1.93"/>
        <n v="7.76"/>
        <n v="659.17"/>
        <n v="307.17"/>
        <n v="1004.98"/>
        <n v="6.37"/>
        <n v="558.4"/>
        <n v="128.85"/>
        <n v="8.4"/>
        <n v="110.98"/>
        <n v="277.5"/>
        <n v="23.04"/>
        <n v="1.36"/>
        <n v="14.76"/>
        <n v="27.22"/>
        <n v="35.520000000000003"/>
        <n v="6.23"/>
        <n v="56.7"/>
        <n v="369.2"/>
        <n v="3.3"/>
        <n v="19.149999999999999"/>
        <n v="212.94"/>
        <n v="106.8"/>
        <n v="77.58"/>
        <n v="494.97"/>
        <n v="25.06"/>
        <n v="6.61"/>
        <n v="144.78"/>
        <n v="39.659999999999997"/>
        <n v="113.92"/>
        <n v="447.86"/>
        <n v="79.989999999999995"/>
        <n v="2.2000000000000002"/>
        <n v="622.45000000000005"/>
        <n v="21.98"/>
        <n v="307.98"/>
        <n v="382.81"/>
        <n v="41.96"/>
        <n v="1217.57"/>
        <n v="47.04"/>
        <n v="6.16"/>
        <n v="979.95"/>
        <n v="143.69999999999999"/>
        <n v="10.65"/>
        <n v="247.8"/>
        <n v="687.4"/>
        <n v="10.02"/>
        <n v="144.12"/>
        <n v="3.75"/>
        <n v="41.4"/>
        <n v="29.79"/>
        <n v="139.94"/>
        <n v="133.47"/>
        <n v="64.75"/>
        <n v="46.15"/>
        <n v="138"/>
        <n v="4.75"/>
        <n v="959.98"/>
        <n v="14.37"/>
        <n v="114.6"/>
        <n v="60.74"/>
        <n v="124.36"/>
        <n v="1088.76"/>
        <n v="200.98"/>
        <n v="36.340000000000003"/>
        <n v="666.25"/>
        <n v="52.51"/>
        <n v="31.44"/>
        <n v="129.44999999999999"/>
        <n v="137.62"/>
        <n v="100.49"/>
        <n v="120.33"/>
        <n v="238.15"/>
        <n v="7.5"/>
        <n v="279.89999999999998"/>
        <n v="619.95000000000005"/>
        <n v="4.3600000000000003"/>
        <n v="9.76"/>
        <n v="134.38"/>
        <n v="7.66"/>
        <n v="411.33"/>
        <n v="28.75"/>
        <n v="293.2"/>
        <n v="16.27"/>
        <n v="69.12"/>
        <n v="4.47"/>
        <n v="36.840000000000003"/>
        <n v="67.959999999999994"/>
        <n v="6.1"/>
        <n v="191.82"/>
        <n v="46.32"/>
        <n v="271.76"/>
        <n v="7.24"/>
        <n v="3.44"/>
        <n v="8.39"/>
        <n v="337.98"/>
        <n v="46.62"/>
        <n v="85.98"/>
        <n v="671.93"/>
        <n v="47.52"/>
        <n v="27.41"/>
        <n v="9.52"/>
        <n v="791.96"/>
        <n v="4.92"/>
        <n v="559.92999999999995"/>
        <n v="70.260000000000005"/>
        <n v="90"/>
        <n v="481.18"/>
        <n v="26.4"/>
        <n v="51.52"/>
        <n v="61.96"/>
        <n v="361.96"/>
        <n v="278.82"/>
        <n v="353.88"/>
        <n v="6.08"/>
        <n v="106.68"/>
        <n v="179.89"/>
        <n v="181.35"/>
        <n v="265.86"/>
        <n v="210.68"/>
        <n v="78.8"/>
        <n v="19.989999999999998"/>
        <n v="772.68"/>
        <n v="24.64"/>
        <n v="31.05"/>
        <n v="209.6"/>
        <n v="111.04"/>
        <n v="38.880000000000003"/>
        <n v="12.6"/>
        <n v="105.98"/>
        <n v="1.24"/>
        <n v="20.7"/>
        <n v="28.9"/>
        <n v="27.18"/>
        <n v="139.41999999999999"/>
        <n v="311.98"/>
        <n v="22.45"/>
        <n v="2.99"/>
        <n v="108.77"/>
        <n v="572.79999999999995"/>
        <n v="57.5"/>
        <n v="51.12"/>
        <n v="270.33999999999997"/>
        <n v="11.81"/>
        <n v="53.57"/>
        <n v="503.96"/>
        <n v="26.9"/>
        <n v="10.94"/>
        <n v="11.03"/>
        <n v="53.04"/>
        <n v="32.07"/>
        <n v="24"/>
        <n v="35.49"/>
        <n v="15.01"/>
        <n v="120.67"/>
        <n v="392.94"/>
        <n v="26.96"/>
        <n v="64.94"/>
        <n v="46.2"/>
        <n v="28.84"/>
        <n v="77.55"/>
        <n v="66.290000000000006"/>
        <n v="291.17"/>
        <n v="288"/>
        <n v="145.9"/>
        <n v="72.78"/>
        <n v="30.84"/>
        <n v="631.96"/>
        <n v="57.96"/>
        <n v="29.4"/>
        <n v="1.87"/>
        <n v="37.380000000000003"/>
        <n v="389.97"/>
        <n v="269.91000000000003"/>
        <n v="1801.63"/>
        <n v="362.14"/>
        <n v="957.58"/>
        <n v="22.37"/>
        <n v="31.95"/>
        <n v="899.14"/>
        <n v="71.760000000000005"/>
        <n v="51.84"/>
        <n v="209.67"/>
        <n v="135.72"/>
        <n v="12.56"/>
        <n v="263.95999999999998"/>
        <n v="81.96"/>
        <n v="35.36"/>
        <n v="3.17"/>
        <n v="4.95"/>
        <n v="13.52"/>
        <n v="259.7"/>
        <n v="42.95"/>
        <n v="1399.93"/>
        <n v="7.88"/>
        <n v="327.56"/>
        <n v="205.16"/>
        <n v="1038.8399999999999"/>
        <n v="447.93"/>
        <n v="109.76"/>
        <n v="96.96"/>
        <n v="117.49"/>
        <n v="512.5"/>
        <n v="2621.3200000000002"/>
        <n v="29.37"/>
        <n v="344.7"/>
        <n v="197.72"/>
        <n v="1212.8499999999999"/>
        <n v="42.6"/>
        <n v="1448.82"/>
        <n v="207"/>
        <n v="387.14"/>
        <n v="19.82"/>
        <n v="62.8"/>
        <n v="7.22"/>
        <n v="27.2"/>
        <n v="7.08"/>
        <n v="4.4000000000000004"/>
        <n v="190.72"/>
        <n v="26.18"/>
        <n v="24.4"/>
        <n v="715.2"/>
        <n v="16.149999999999999"/>
        <n v="1345.49"/>
        <n v="76.64"/>
        <n v="23.64"/>
        <n v="84.78"/>
        <n v="177.65"/>
        <n v="287.91000000000003"/>
        <n v="11.65"/>
        <n v="5"/>
        <n v="371.97"/>
        <n v="92.94"/>
        <n v="66.69"/>
        <n v="91.68"/>
        <n v="52.27"/>
        <n v="10.48"/>
        <n v="119.9"/>
        <n v="44.43"/>
        <n v="226.2"/>
        <n v="186.54"/>
        <n v="27.9"/>
        <n v="67.150000000000006"/>
        <n v="549.98"/>
        <n v="11.82"/>
        <n v="4643.8"/>
        <n v="577.76"/>
        <n v="31.5"/>
        <n v="4404.8999999999996"/>
        <n v="11.35"/>
        <n v="17.22"/>
        <n v="1024.3800000000001"/>
        <n v="26.22"/>
        <n v="17.34"/>
        <n v="2321.9"/>
        <n v="244.55"/>
        <n v="12.24"/>
        <n v="899.95"/>
        <n v="2.48"/>
        <n v="10.74"/>
        <n v="79.900000000000006"/>
        <n v="714.3"/>
        <n v="715.64"/>
        <n v="795.51"/>
        <n v="74.760000000000005"/>
        <n v="29.22"/>
        <n v="577.58000000000004"/>
        <n v="418.32"/>
        <n v="123.86"/>
        <n v="5.24"/>
        <n v="4.66"/>
        <n v="523.91999999999996"/>
        <n v="146.13999999999999"/>
        <n v="223.89"/>
        <n v="55.42"/>
        <n v="6.69"/>
        <n v="13.9"/>
        <n v="61.68"/>
        <n v="63.96"/>
        <n v="2003.92"/>
        <n v="1913.4"/>
        <n v="114.2"/>
        <n v="2676.67"/>
        <n v="3.64"/>
        <n v="18.54"/>
        <n v="482.34"/>
        <n v="2.96"/>
        <n v="10.75"/>
        <n v="590.35"/>
        <n v="359.5"/>
        <n v="77.95"/>
        <n v="184.66"/>
        <n v="8.23"/>
        <n v="28.44"/>
        <n v="364.41"/>
        <n v="361.76"/>
        <n v="384.17"/>
        <n v="1799.75"/>
        <n v="85.96"/>
        <n v="1598.06"/>
        <n v="36.96"/>
        <n v="271.44"/>
        <n v="110.35"/>
        <n v="16.899999999999999"/>
        <n v="25.08"/>
        <n v="44.46"/>
        <n v="26.06"/>
        <n v="152.80000000000001"/>
        <n v="45.04"/>
        <n v="232.4"/>
        <n v="164.65"/>
        <n v="22.68"/>
        <n v="39"/>
        <n v="97.42"/>
        <n v="12.22"/>
        <n v="120.15"/>
        <n v="219.18"/>
        <n v="2.77"/>
        <n v="206.11"/>
        <n v="198.27"/>
        <n v="247.1"/>
        <n v="86.3"/>
        <n v="485.94"/>
        <n v="70.69"/>
        <n v="32.75"/>
        <n v="41.86"/>
        <n v="1619.91"/>
        <n v="999.98"/>
        <n v="173.94"/>
        <n v="14.83"/>
        <n v="152.94"/>
        <n v="3.96"/>
        <n v="2.61"/>
        <n v="79.92"/>
        <n v="773.94"/>
        <n v="360.71"/>
        <n v="1718.4"/>
        <n v="221.96"/>
        <n v="236"/>
        <n v="34.020000000000003"/>
        <n v="801.96"/>
        <n v="191.96"/>
        <n v="1.78"/>
        <n v="101.94"/>
        <n v="799.98"/>
        <n v="41.28"/>
        <n v="44.75"/>
        <n v="134.99"/>
        <n v="542.94000000000005"/>
        <n v="53.09"/>
        <n v="196.62"/>
        <n v="46.34"/>
        <n v="13.12"/>
        <n v="69.58"/>
        <n v="4.22"/>
        <n v="58.08"/>
        <n v="52.42"/>
        <n v="54.92"/>
        <n v="364.95"/>
        <n v="85.06"/>
        <n v="27.7"/>
        <n v="10.33"/>
        <n v="110.53"/>
        <n v="175.23"/>
        <n v="125.99"/>
        <n v="23"/>
        <n v="348.93"/>
        <n v="24.45"/>
        <n v="8.2200000000000006"/>
        <n v="2.21"/>
        <n v="15.52"/>
        <n v="36.44"/>
        <n v="166.5"/>
        <n v="360.38"/>
        <n v="97.88"/>
        <n v="299.94"/>
        <n v="25.76"/>
        <n v="231.98"/>
        <n v="114.46"/>
        <n v="30.08"/>
        <n v="165.6"/>
        <n v="1592.85"/>
        <n v="959.97"/>
        <n v="191.47"/>
        <n v="59.18"/>
        <n v="34.58"/>
        <n v="23.08"/>
        <n v="1565.88"/>
        <n v="106.05"/>
        <n v="30.83"/>
        <n v="47.62"/>
        <n v="108.78"/>
        <n v="349.95"/>
        <n v="377.93"/>
        <n v="15.17"/>
        <n v="69.98"/>
        <n v="24.85"/>
        <n v="63.31"/>
        <n v="15.59"/>
        <n v="54.99"/>
        <n v="56.45"/>
        <n v="117.96"/>
        <n v="8749.9500000000007"/>
        <n v="18.690000000000001"/>
        <n v="73.78"/>
        <n v="866.4"/>
        <n v="90.48"/>
        <n v="80.98"/>
        <n v="348.84"/>
        <n v="167.96"/>
        <n v="484.83"/>
        <n v="154.44"/>
        <n v="342.37"/>
        <n v="14.73"/>
        <n v="557.73"/>
        <n v="159.97"/>
        <n v="132.22"/>
        <n v="100"/>
        <n v="7.83"/>
        <n v="30.35"/>
        <n v="623.96"/>
        <n v="1127.98"/>
        <n v="241.5"/>
        <n v="31.86"/>
        <n v="69.930000000000007"/>
        <n v="1350.12"/>
        <n v="15.92"/>
        <n v="836.59"/>
        <n v="4899.93"/>
        <n v="42.78"/>
        <n v="563.42999999999995"/>
        <n v="134.85"/>
        <n v="637.9"/>
        <n v="36.6"/>
        <n v="25.35"/>
        <n v="3930.07"/>
        <n v="2.2999999999999998"/>
        <n v="431.98"/>
        <n v="41.72"/>
        <n v="16.989999999999998"/>
        <n v="10.08"/>
        <n v="128.4"/>
        <n v="149.35"/>
        <n v="12.99"/>
        <n v="431.94"/>
        <n v="2.04"/>
        <n v="68.239999999999995"/>
        <n v="2.33"/>
        <n v="1.73"/>
        <n v="159.04"/>
        <n v="145.97999999999999"/>
        <n v="21.07"/>
        <n v="1363.96"/>
        <n v="102.36"/>
        <n v="9.6999999999999993"/>
        <n v="108.58"/>
        <n v="113.6"/>
        <n v="69.459999999999994"/>
        <n v="27.96"/>
        <n v="146.35"/>
        <n v="207.14"/>
        <n v="199.75"/>
        <n v="51.8"/>
        <n v="176.78"/>
        <n v="39.99"/>
        <n v="4158.91"/>
        <n v="26.85"/>
        <n v="3357.6"/>
        <n v="104.7"/>
        <n v="76.92"/>
        <n v="481.32"/>
        <n v="30.34"/>
        <n v="676.55"/>
        <n v="30.56"/>
        <n v="770.35"/>
        <n v="19.98"/>
        <n v="161.94"/>
        <n v="263.88"/>
        <n v="35.119999999999997"/>
        <n v="31.56"/>
        <n v="30.14"/>
        <n v="88.04"/>
        <n v="1317.49"/>
        <n v="63.84"/>
        <n v="3.59"/>
        <n v="7.04"/>
        <n v="1454.9"/>
        <n v="99.85"/>
        <n v="71.12"/>
        <n v="259.95999999999998"/>
        <n v="27.81"/>
        <n v="588.78"/>
        <n v="82.64"/>
        <n v="31.02"/>
        <n v="158.37"/>
        <n v="118.78"/>
        <n v="769.18"/>
        <n v="1294.75"/>
        <n v="658.75"/>
        <n v="33.53"/>
        <n v="388.7"/>
        <n v="8.26"/>
        <n v="17.04"/>
        <n v="34.4"/>
        <n v="431.93"/>
        <n v="1088.79"/>
        <n v="8.8699999999999992"/>
        <n v="121.1"/>
        <n v="24.7"/>
        <n v="17.920000000000002"/>
        <n v="30"/>
        <n v="159.91999999999999"/>
        <n v="35.35"/>
        <n v="517.9"/>
        <n v="556.66999999999996"/>
        <n v="8.9"/>
        <n v="23.2"/>
        <n v="113.76"/>
        <n v="579.51"/>
        <n v="150.66"/>
        <n v="48.03"/>
        <n v="13.57"/>
        <n v="343.92"/>
        <n v="40.99"/>
        <n v="63.9"/>
        <n v="638.29"/>
        <n v="13.21"/>
        <n v="194.35"/>
        <n v="36.619999999999997"/>
        <n v="51.98"/>
        <n v="3.98"/>
        <n v="370.62"/>
        <n v="2.74"/>
        <n v="109.92"/>
        <n v="86.35"/>
        <n v="44.94"/>
        <n v="45.58"/>
        <n v="187.06"/>
        <n v="18.940000000000001"/>
        <n v="12.67"/>
        <n v="366.74"/>
        <n v="13.08"/>
        <n v="214.7"/>
        <n v="2.1800000000000002"/>
        <n v="27.38"/>
        <n v="26.41"/>
        <n v="132.52000000000001"/>
        <n v="195.64"/>
        <n v="51.97"/>
        <n v="224.94"/>
        <n v="6"/>
        <n v="246.17"/>
        <n v="298.77999999999997"/>
        <n v="16.72"/>
        <n v="71.09"/>
        <n v="1685.88"/>
        <n v="93.25"/>
        <n v="177.48"/>
        <n v="54.71"/>
        <n v="3.21"/>
        <n v="54.48"/>
        <n v="41.6"/>
        <n v="85.23"/>
        <n v="442.76"/>
        <n v="3999.95"/>
        <n v="199.95"/>
        <n v="63.68"/>
        <n v="211.96"/>
        <n v="1006.06"/>
        <n v="25.12"/>
        <n v="93.98"/>
        <n v="8"/>
        <n v="32.04"/>
        <n v="19.14"/>
        <n v="27.86"/>
        <n v="856.66"/>
        <n v="48.78"/>
        <n v="743.99"/>
        <n v="7.07"/>
        <n v="10.96"/>
        <n v="82.37"/>
        <n v="54.9"/>
        <n v="120"/>
        <n v="8.67"/>
        <n v="51.65"/>
        <n v="11.23"/>
        <n v="75.88"/>
        <n v="419.68"/>
        <n v="11.69"/>
        <n v="177.23"/>
        <n v="4.04"/>
        <n v="7.41"/>
        <n v="1349.85"/>
        <n v="136.78"/>
        <n v="61.12"/>
        <n v="124.61"/>
        <n v="7.56"/>
        <n v="21.55"/>
        <n v="61.38"/>
        <n v="328.22"/>
        <n v="323.37"/>
        <n v="59.94"/>
        <n v="64.14"/>
        <n v="11.67"/>
        <n v="22.05"/>
        <n v="99.9"/>
        <n v="3023.93"/>
        <n v="477.6"/>
        <n v="466.32"/>
        <n v="4.78"/>
        <n v="4.7300000000000004"/>
        <n v="695.7"/>
        <n v="692.94"/>
        <n v="1335.68"/>
        <n v="23.62"/>
        <n v="1.34"/>
        <n v="8.27"/>
        <n v="53.98"/>
        <n v="902.71"/>
        <n v="208.16"/>
        <n v="16.739999999999998"/>
        <n v="226.56"/>
        <n v="115.02"/>
        <n v="68.040000000000006"/>
        <n v="1007.98"/>
        <n v="313.49"/>
        <n v="23.12"/>
        <n v="52.56"/>
        <n v="185.88"/>
        <n v="64.38"/>
        <n v="6.98"/>
        <n v="379.37"/>
        <n v="67.540000000000006"/>
        <n v="1.52"/>
        <n v="14.2"/>
        <n v="58.34"/>
        <n v="1499.95"/>
        <n v="30.53"/>
        <n v="75.06"/>
        <n v="195.18"/>
        <n v="7.7"/>
        <n v="528.42999999999995"/>
        <n v="41.47"/>
        <n v="706.86"/>
        <n v="25.4"/>
        <n v="43.96"/>
        <n v="1279.17"/>
        <n v="27.92"/>
        <n v="215.65"/>
        <n v="60.29"/>
        <n v="2.63"/>
        <n v="23.69"/>
        <n v="253.37"/>
        <n v="287.97000000000003"/>
        <n v="2799.96"/>
        <n v="48.94"/>
        <n v="59.99"/>
        <n v="5.72"/>
        <n v="863.64"/>
        <n v="19.97"/>
        <n v="8.74"/>
        <n v="662.88"/>
        <n v="19.3"/>
        <n v="823.96"/>
        <n v="408.01"/>
        <n v="165.28"/>
        <n v="16.77"/>
        <n v="338.04"/>
        <n v="154.24"/>
        <n v="44.86"/>
        <n v="341.99"/>
        <n v="95.76"/>
        <n v="19.649999999999999"/>
        <n v="1039.73"/>
        <n v="45.96"/>
        <n v="19.309999999999999"/>
        <n v="136.46"/>
        <n v="81.540000000000006"/>
        <n v="167.28"/>
        <n v="4.13"/>
        <n v="109.8"/>
        <n v="302.38"/>
        <n v="20.95"/>
        <n v="197.05"/>
        <n v="70.88"/>
        <n v="211.17"/>
        <n v="179.97"/>
        <n v="53.95"/>
        <n v="23.34"/>
        <n v="513.02"/>
        <n v="487.92"/>
        <n v="44.78"/>
        <n v="569.54"/>
        <n v="77.56"/>
        <n v="1399.94"/>
        <n v="145.76"/>
        <n v="562.29"/>
        <n v="209.15"/>
        <n v="1591.02"/>
        <n v="37.31"/>
        <n v="6.79"/>
        <n v="3.05"/>
        <n v="4355.17"/>
        <n v="21.88"/>
        <n v="23.99"/>
        <n v="16.690000000000001"/>
        <n v="72.48"/>
        <n v="24.1"/>
        <n v="8.7799999999999994"/>
        <n v="376.74"/>
        <n v="29.52"/>
        <n v="75.48"/>
        <n v="39.979999999999997"/>
        <n v="1.81"/>
        <n v="46.53"/>
        <n v="1362.9"/>
        <n v="84.27"/>
        <n v="22.91"/>
        <n v="309.45999999999998"/>
        <n v="472.52"/>
        <n v="1012.68"/>
        <n v="159.56"/>
        <n v="215.98"/>
        <n v="65.94"/>
        <n v="94.68"/>
        <n v="23.67"/>
        <n v="568.73"/>
        <n v="1141.47"/>
        <n v="280.77999999999997"/>
        <n v="83.95"/>
        <n v="8.81"/>
        <n v="48.16"/>
        <n v="54.5"/>
        <n v="87.28"/>
        <n v="344.94"/>
        <n v="198.74"/>
        <n v="30.96"/>
        <n v="3.91"/>
        <n v="62.38"/>
        <n v="63.94"/>
        <n v="60.6"/>
        <n v="22.72"/>
        <n v="12.19"/>
        <n v="87.17"/>
        <n v="31.74"/>
        <n v="113.94"/>
        <n v="16.559999999999999"/>
        <n v="279.95"/>
        <n v="239.5"/>
        <n v="24.27"/>
        <n v="82.8"/>
        <n v="194.94"/>
        <n v="278.39999999999998"/>
        <n v="347.8"/>
        <n v="116"/>
        <n v="9.56"/>
        <n v="86.06"/>
        <n v="62.79"/>
        <n v="96.08"/>
        <n v="11.68"/>
        <n v="15.81"/>
        <n v="192.16"/>
        <n v="93.46"/>
        <n v="1652.94"/>
        <n v="9.25"/>
        <n v="85.25"/>
        <n v="58.25"/>
        <n v="71.25"/>
        <n v="887.27"/>
        <n v="77.88"/>
        <n v="722.35"/>
        <n v="95.95"/>
        <n v="3.2"/>
        <n v="41.92"/>
        <n v="329.58"/>
        <n v="35.950000000000003"/>
        <n v="2396.27"/>
        <n v="131.13999999999999"/>
        <n v="57.58"/>
        <n v="33.020000000000003"/>
        <n v="67.14"/>
        <n v="14.14"/>
        <n v="601.47"/>
        <n v="207.48"/>
        <n v="59.96"/>
        <n v="146.04"/>
        <n v="43.13"/>
        <n v="30.87"/>
        <n v="14.88"/>
        <n v="261.74"/>
        <n v="55.36"/>
        <n v="59.48"/>
        <n v="300.93"/>
        <n v="719.96"/>
        <n v="519.67999999999995"/>
        <n v="14.26"/>
        <n v="81.98"/>
        <n v="39.619999999999997"/>
        <n v="276.77999999999997"/>
        <n v="7.61"/>
        <n v="3347.37"/>
        <n v="728.95"/>
        <n v="37.520000000000003"/>
        <n v="1599.92"/>
        <n v="11.09"/>
        <n v="39.869999999999997"/>
        <n v="224.75"/>
        <n v="1.91"/>
        <n v="2.91"/>
        <n v="9.57"/>
        <n v="99.57"/>
        <n v="15.14"/>
        <n v="466.77"/>
        <n v="15.23"/>
        <n v="6.26"/>
        <n v="10.47"/>
        <n v="11.07"/>
        <n v="11.34"/>
        <n v="67.900000000000006"/>
        <n v="1059.1199999999999"/>
        <n v="68.52"/>
        <n v="146.94999999999999"/>
        <n v="83.14"/>
        <n v="40.479999999999997"/>
        <n v="194.85"/>
        <n v="69.900000000000006"/>
        <n v="41.85"/>
        <n v="330.59"/>
        <n v="28.35"/>
        <n v="5.39"/>
        <n v="30.98"/>
        <n v="61.44"/>
        <n v="54.79"/>
        <n v="32.479999999999997"/>
        <n v="17499.95"/>
        <n v="735.98"/>
        <n v="34.369999999999997"/>
        <n v="33.96"/>
        <n v="15.65"/>
        <n v="599.29"/>
        <n v="38.08"/>
        <n v="915.14"/>
        <n v="59.75"/>
        <n v="30.4"/>
        <n v="5399.91"/>
        <n v="119.1"/>
        <n v="239.37"/>
        <n v="11.57"/>
        <n v="28.85"/>
        <n v="703.71"/>
        <n v="27.26"/>
        <n v="837.6"/>
        <n v="93.36"/>
        <n v="51.71"/>
        <n v="60.14"/>
        <n v="387.72"/>
        <n v="332.83"/>
        <n v="1.41"/>
        <n v="169.57"/>
        <n v="20.61"/>
        <n v="4.0999999999999996"/>
        <n v="120.78"/>
        <n v="14"/>
        <n v="16.39"/>
        <n v="5.34"/>
        <n v="27.72"/>
        <n v="21.8"/>
        <n v="251.79"/>
        <n v="111.67"/>
        <n v="68.11"/>
        <n v="75.959999999999994"/>
        <n v="27.24"/>
        <n v="217.58"/>
        <n v="82.95"/>
        <n v="87.71"/>
        <n v="1101.48"/>
        <n v="20"/>
        <n v="8.75"/>
        <n v="842.94"/>
        <n v="15.26"/>
        <n v="43.32"/>
        <n v="43.58"/>
        <n v="116.28"/>
        <n v="9.3000000000000007"/>
        <n v="314.55"/>
        <n v="4.16"/>
        <n v="179.99"/>
        <n v="72"/>
        <n v="470.16"/>
        <n v="209.88"/>
        <n v="38.29"/>
        <n v="192.8"/>
        <n v="17.579999999999998"/>
        <n v="104.78"/>
        <n v="650.35"/>
        <n v="629.17999999999995"/>
        <n v="15.18"/>
        <n v="50.5"/>
        <n v="4.18"/>
        <n v="876.3"/>
        <n v="185.38"/>
        <n v="686.4"/>
        <n v="11.38"/>
        <n v="29.12"/>
        <n v="863.13"/>
        <n v="3.56"/>
        <n v="956.66"/>
        <n v="12.59"/>
        <n v="171.96"/>
        <n v="104.9"/>
        <n v="51.75"/>
        <n v="53.25"/>
        <n v="11.84"/>
        <n v="479.72"/>
        <n v="113.89"/>
        <n v="273.95999999999998"/>
        <n v="756.8"/>
        <n v="81.42"/>
        <n v="238.56"/>
        <n v="207.98"/>
        <n v="36.11"/>
        <n v="35.57"/>
        <n v="84.84"/>
        <n v="27.68"/>
        <n v="37.44"/>
        <n v="26.98"/>
        <n v="14.82"/>
        <n v="14.96"/>
        <n v="12.9"/>
        <n v="1603.14"/>
        <n v="359.97"/>
        <n v="116.82"/>
        <n v="314.08999999999997"/>
        <n v="261.95999999999998"/>
        <n v="731.94"/>
        <n v="70.010000000000005"/>
        <n v="13.22"/>
        <n v="14.72"/>
        <n v="9.2200000000000006"/>
        <n v="89.57"/>
        <n v="22.25"/>
        <n v="334.88"/>
        <n v="148.29"/>
        <n v="4.62"/>
        <n v="178.92"/>
        <n v="69.89"/>
        <n v="279.94"/>
        <n v="37.299999999999997"/>
        <n v="20.37"/>
        <n v="49.85"/>
        <n v="67.709999999999994"/>
        <n v="467.46"/>
        <n v="61.4"/>
        <n v="720.76"/>
        <n v="14.7"/>
        <n v="9.98"/>
        <n v="29.74"/>
        <n v="221.98"/>
        <n v="341.96"/>
        <n v="59.97"/>
        <n v="83.36"/>
        <n v="47.99"/>
        <n v="257.98"/>
        <n v="6.96"/>
        <n v="9.89"/>
        <n v="671.54"/>
        <n v="28.14"/>
        <n v="36"/>
        <n v="245.65"/>
        <n v="55.01"/>
        <n v="35.229999999999997"/>
        <n v="451.15"/>
        <n v="2678.94"/>
        <n v="14.11"/>
        <n v="6.27"/>
        <n v="287.52"/>
        <n v="37.68"/>
        <n v="20.58"/>
        <n v="17.38"/>
        <n v="1474.8"/>
        <n v="110.1"/>
        <n v="16.75"/>
        <n v="1537.07"/>
        <n v="449.37"/>
        <n v="203.98"/>
        <n v="674.35"/>
        <n v="22.75"/>
        <n v="172.5"/>
        <n v="17.309999999999999"/>
        <n v="4.7"/>
        <n v="88.08"/>
        <n v="751.92"/>
        <n v="863.93"/>
        <n v="248.43"/>
        <n v="137.94"/>
        <n v="111.15"/>
        <n v="901.95"/>
        <n v="366.01"/>
        <n v="2104.5500000000002"/>
        <n v="40.700000000000003"/>
        <n v="31.96"/>
        <n v="47.9"/>
        <n v="1112.94"/>
        <n v="22.92"/>
        <n v="40.46"/>
        <n v="33.869999999999997"/>
        <n v="59.7"/>
        <n v="14.52"/>
        <n v="104.18"/>
        <n v="2079.4"/>
        <n v="72.42"/>
        <n v="415.18"/>
        <n v="54.96"/>
        <n v="115.84"/>
        <n v="781.86"/>
        <n v="182.72"/>
        <n v="400.03"/>
        <n v="33.630000000000003"/>
        <n v="542.65"/>
        <n v="6.3"/>
        <n v="394.82"/>
        <n v="18.190000000000001"/>
        <n v="1649.95"/>
        <n v="111.9"/>
        <n v="581.96"/>
        <n v="29.98"/>
        <n v="268.7"/>
        <n v="21.92"/>
        <n v="48.72"/>
        <n v="205.67"/>
        <n v="113.79"/>
        <n v="78.150000000000006"/>
        <n v="182.94"/>
        <n v="193.86"/>
        <n v="212.88"/>
        <n v="15.53"/>
        <n v="407.98"/>
        <n v="384.45"/>
        <n v="1951.84"/>
        <n v="171.55"/>
        <n v="81.94"/>
        <n v="33.92"/>
        <n v="699.98"/>
        <n v="584.82000000000005"/>
        <n v="13.4"/>
        <n v="4.9800000000000004"/>
        <n v="109.69"/>
        <n v="156.79"/>
        <n v="35.89"/>
        <n v="47.21"/>
        <n v="248.08"/>
        <n v="189.7"/>
        <n v="968.74"/>
        <n v="222.35"/>
        <n v="271.95999999999998"/>
        <n v="13.86"/>
        <n v="13.38"/>
        <n v="437.47"/>
        <n v="1097.54"/>
        <n v="190.92"/>
        <n v="114.95"/>
        <n v="1421.66"/>
        <n v="34.049999999999997"/>
        <n v="352.38"/>
        <n v="10.58"/>
        <n v="405.86"/>
        <n v="680.01"/>
        <n v="60.34"/>
        <n v="3.69"/>
        <n v="122.12"/>
        <n v="9.33"/>
        <n v="79.97"/>
        <n v="59.98"/>
        <n v="61.93"/>
        <n v="40.68"/>
        <n v="20.57"/>
        <n v="19.04"/>
        <n v="273.92"/>
        <n v="1056.8599999999999"/>
        <n v="321.57"/>
        <n v="80.58"/>
        <n v="361.92"/>
        <n v="153.55000000000001"/>
        <n v="65.34"/>
        <n v="35.1"/>
        <n v="1424.9"/>
        <n v="80.28"/>
        <n v="679.96"/>
        <n v="62.82"/>
        <n v="1029.95"/>
        <n v="243.38"/>
        <n v="300.77"/>
        <n v="14.8"/>
        <n v="316"/>
        <n v="85.22"/>
        <n v="6.67"/>
        <n v="458.43"/>
        <n v="328.59"/>
        <n v="403.92"/>
        <n v="23.32"/>
        <n v="363.92"/>
        <n v="35.81"/>
        <n v="122.69"/>
        <n v="892.14"/>
        <n v="50.22"/>
        <n v="83.42"/>
        <n v="5.87"/>
        <n v="73.540000000000006"/>
        <n v="657.93"/>
        <n v="33.479999999999997"/>
        <n v="26.86"/>
        <n v="249.95"/>
        <n v="383.64"/>
        <n v="60.35"/>
        <n v="11.2"/>
        <n v="474.43"/>
        <n v="3.6"/>
        <n v="454.56"/>
        <n v="141.41999999999999"/>
        <n v="310.74"/>
        <n v="12.74"/>
        <n v="6.47"/>
        <n v="13.75"/>
        <n v="5.43"/>
        <n v="913.43"/>
        <n v="372.14"/>
        <n v="16.59"/>
        <n v="2022.27"/>
        <n v="9.1199999999999992"/>
        <n v="33.74"/>
        <n v="3059.98"/>
        <n v="2.81"/>
        <n v="153.78"/>
        <n v="61.02"/>
        <n v="110.11"/>
        <n v="7.89"/>
        <n v="892.98"/>
        <n v="274.49"/>
        <n v="40.08"/>
        <n v="9.7799999999999994"/>
        <n v="760.98"/>
        <n v="21.46"/>
        <n v="86.26"/>
        <n v="139.04"/>
        <n v="210.58"/>
        <n v="5.23"/>
        <n v="285.55"/>
        <n v="3.88"/>
        <n v="115.3"/>
        <n v="65.58"/>
        <n v="419.4"/>
        <n v="32.67"/>
        <n v="243.99"/>
        <n v="7.12"/>
        <n v="1640.7"/>
        <n v="371.2"/>
        <n v="240.78"/>
        <n v="227.46"/>
        <n v="46.24"/>
        <n v="252.78"/>
        <n v="21.34"/>
        <n v="963.14"/>
        <n v="147.57"/>
        <n v="479.94"/>
        <n v="441.96"/>
        <n v="0.56000000000000005"/>
        <n v="72.8"/>
        <n v="26.88"/>
        <n v="1049.44"/>
        <n v="399.67"/>
        <n v="9.32"/>
        <n v="15.25"/>
        <n v="103.5"/>
        <n v="2.46"/>
        <n v="8.7200000000000006"/>
        <n v="7.9"/>
        <n v="221.16"/>
        <n v="127.96"/>
        <n v="42.68"/>
        <n v="262.24"/>
        <n v="234.36"/>
        <n v="71.97"/>
        <n v="67.78"/>
        <n v="23.88"/>
        <n v="286.93"/>
        <n v="206.38"/>
        <n v="63.49"/>
        <n v="49.08"/>
        <n v="91.59"/>
        <n v="647.84"/>
        <n v="171.2"/>
        <n v="3.36"/>
        <n v="6.7"/>
        <n v="43.87"/>
        <n v="13.09"/>
        <n v="111.96"/>
        <n v="933.41"/>
        <n v="895.92"/>
        <n v="776.85"/>
        <n v="12.29"/>
        <n v="43.28"/>
        <n v="40.409999999999997"/>
        <n v="94.2"/>
        <n v="121.68"/>
        <n v="482.66"/>
        <n v="4799.9799999999996"/>
        <n v="42.93"/>
        <n v="20.81"/>
        <n v="218.35"/>
        <n v="25.11"/>
        <n v="411.8"/>
        <n v="25.47"/>
        <n v="383.84"/>
        <n v="41.22"/>
        <n v="240.37"/>
        <n v="119.02"/>
        <n v="16.98"/>
        <n v="8.1"/>
        <n v="233.86"/>
        <n v="620.61"/>
        <n v="5.33"/>
        <n v="258.07"/>
        <n v="617.98"/>
        <n v="16.260000000000002"/>
        <n v="56.28"/>
        <n v="2690.97"/>
        <n v="2591.56"/>
        <n v="41.95"/>
        <n v="195.76"/>
        <n v="306.89999999999998"/>
        <n v="35.97"/>
        <n v="191.6"/>
        <n v="501.81"/>
        <n v="17.43"/>
        <n v="251.64"/>
        <n v="478.24"/>
        <n v="37.9"/>
        <n v="95.74"/>
        <n v="12.32"/>
        <n v="4.42"/>
        <n v="99.99"/>
        <n v="286.14999999999998"/>
        <n v="195.1"/>
        <n v="36.67"/>
        <n v="27.12"/>
        <n v="1.75"/>
        <n v="20.99"/>
        <n v="29.7"/>
        <n v="3.33"/>
        <n v="933.26"/>
        <n v="2803.92"/>
        <n v="314.35000000000002"/>
        <n v="129.93"/>
        <n v="763.44"/>
        <n v="32.450000000000003"/>
        <n v="26.39"/>
        <n v="373.47"/>
        <n v="183.96"/>
        <n v="17.61"/>
        <n v="300.89999999999998"/>
        <n v="9.11"/>
        <n v="571.44000000000005"/>
        <n v="16.91"/>
        <n v="2.31"/>
        <n v="9.4"/>
        <n v="243.16"/>
        <n v="23.16"/>
        <n v="9.5500000000000007"/>
        <n v="89.99"/>
        <n v="34.5"/>
        <n v="6.68"/>
        <n v="59.2"/>
        <n v="54.66"/>
        <n v="11.06"/>
        <n v="623.46"/>
        <n v="68.540000000000006"/>
        <n v="627.16999999999996"/>
        <n v="84.42"/>
        <n v="1458.65"/>
        <n v="26.64"/>
        <n v="476.8"/>
        <n v="87.44"/>
        <n v="419.94"/>
        <n v="3359.95"/>
        <n v="128.06"/>
        <n v="81.08"/>
        <n v="65.23"/>
        <n v="147.91999999999999"/>
        <n v="104.28"/>
        <n v="286.85000000000002"/>
        <n v="37.590000000000003"/>
        <n v="26.03"/>
        <n v="74.42"/>
        <n v="6.85"/>
        <n v="209.98"/>
        <n v="43.92"/>
        <n v="127.92"/>
        <n v="87.6"/>
        <n v="238.62"/>
        <n v="7.77"/>
        <n v="285.48"/>
        <n v="19.170000000000002"/>
        <n v="5.9"/>
        <n v="42.85"/>
        <n v="17"/>
        <n v="87.4"/>
        <n v="3.8"/>
        <n v="27.74"/>
        <n v="53.9"/>
        <n v="324.74"/>
        <n v="1925.88"/>
        <n v="2405.1999999999998"/>
        <n v="83.97"/>
        <n v="39.89"/>
        <n v="2.97"/>
        <n v="27.44"/>
        <n v="1099.5"/>
        <n v="4.55"/>
        <n v="5.2"/>
        <n v="205.99"/>
        <n v="24.47"/>
        <n v="241.57"/>
        <n v="110.4"/>
        <n v="384.77"/>
        <n v="78.66"/>
        <n v="136.26"/>
        <n v="12.48"/>
        <n v="108.08"/>
        <n v="470.38"/>
        <n v="1.62"/>
        <n v="23.76"/>
        <n v="381.58"/>
        <n v="10.36"/>
        <n v="1497.67"/>
        <n v="17.52"/>
        <n v="89.54"/>
        <n v="72.59"/>
        <n v="108.93"/>
        <n v="36.35"/>
        <n v="514.16999999999996"/>
        <n v="279.95999999999998"/>
        <n v="40.03"/>
        <n v="1347.52"/>
        <n v="11.56"/>
        <n v="15.58"/>
        <n v="14.13"/>
        <n v="280.79000000000002"/>
        <n v="68.45"/>
        <n v="15.87"/>
        <n v="215.59"/>
        <n v="3.76"/>
        <n v="18.29"/>
        <n v="385.8"/>
        <n v="102.96"/>
        <n v="174.42"/>
        <n v="4.57"/>
        <n v="91.2"/>
        <n v="452.94"/>
        <n v="13.13"/>
        <n v="858.24"/>
        <n v="169.99"/>
        <n v="163.96"/>
        <n v="273.89999999999998"/>
        <n v="597.13"/>
        <n v="545.85"/>
        <n v="32.9"/>
        <n v="215.15"/>
        <n v="2395.1999999999998"/>
        <n v="1687.8"/>
        <n v="258.89999999999998"/>
        <n v="129.38999999999999"/>
        <n v="87.92"/>
        <n v="332.03"/>
        <n v="11.39"/>
        <n v="6.32"/>
        <n v="79.959999999999994"/>
        <n v="16.059999999999999"/>
        <n v="239.24"/>
        <n v="122.14"/>
        <n v="252"/>
        <n v="87.21"/>
        <n v="683.99"/>
        <n v="13.39"/>
        <n v="527.91999999999996"/>
        <n v="198.46"/>
        <n v="786.48"/>
        <n v="23.17"/>
        <n v="50"/>
        <n v="75.180000000000007"/>
        <n v="86.38"/>
        <n v="18.239999999999998"/>
        <n v="141.9"/>
        <n v="174.95"/>
        <n v="1.08"/>
        <n v="8.84"/>
        <n v="58.46"/>
        <n v="228.92"/>
        <n v="526.45000000000005"/>
        <n v="274.8"/>
        <n v="119.04"/>
        <n v="298.45999999999998"/>
        <n v="41.91"/>
        <n v="132.6"/>
        <n v="30.32"/>
        <n v="1287.45"/>
        <n v="168.1"/>
        <n v="71.95"/>
        <n v="29.8"/>
        <n v="3.82"/>
        <n v="1439.98"/>
        <n v="183.37"/>
        <n v="99.87"/>
        <n v="39.82"/>
        <n v="16.52"/>
        <n v="3.32"/>
        <n v="13.76"/>
        <n v="151.06"/>
        <n v="125.88"/>
        <n v="79.78"/>
        <n v="133.19999999999999"/>
        <n v="145.74"/>
        <n v="15.4"/>
        <n v="824.95"/>
        <n v="227.88"/>
        <n v="70.12"/>
        <n v="104.8"/>
        <n v="159.96"/>
        <n v="119.45"/>
        <n v="118.16"/>
        <n v="707.88"/>
        <n v="31.13"/>
        <n v="55.76"/>
        <n v="207.18"/>
        <n v="1473.1"/>
        <n v="70.08"/>
        <n v="121.3"/>
        <n v="1454.49"/>
        <n v="29.66"/>
        <n v="9.18"/>
        <n v="153.58000000000001"/>
        <n v="12.86"/>
        <n v="477.51"/>
        <n v="1779.9"/>
        <n v="219.9"/>
        <n v="299.99"/>
        <n v="242.62"/>
        <n v="46.74"/>
        <n v="498.26"/>
        <n v="314.60000000000002"/>
        <n v="283.56"/>
        <n v="1199.8"/>
        <n v="1928.78"/>
        <n v="6.57"/>
        <n v="11.54"/>
        <n v="254.53"/>
        <n v="12.98"/>
        <n v="26.43"/>
        <n v="1282.4100000000001"/>
        <n v="238"/>
        <n v="17.12"/>
        <n v="74"/>
        <n v="16"/>
        <n v="5.59"/>
        <n v="235.92"/>
        <n v="18.72"/>
        <n v="236.53"/>
        <n v="1577.94"/>
        <n v="11.7"/>
        <n v="43.1"/>
        <n v="511.5"/>
        <n v="42.62"/>
        <n v="5.96"/>
        <n v="82.56"/>
        <n v="284.97000000000003"/>
        <n v="90.8"/>
        <n v="181.76"/>
        <n v="239.67"/>
        <n v="100.8"/>
        <n v="10.19"/>
        <n v="1322.35"/>
        <n v="825.17"/>
        <n v="17.760000000000002"/>
        <n v="25.56"/>
        <n v="487.98"/>
        <n v="217.85"/>
        <n v="54.32"/>
        <n v="13.34"/>
        <n v="1478.27"/>
        <n v="421.1"/>
        <n v="97.18"/>
        <n v="30.38"/>
        <n v="88.07"/>
        <n v="2.78"/>
        <n v="147.18"/>
        <n v="71.959999999999994"/>
        <n v="47.94"/>
        <n v="478.08"/>
        <n v="73.010000000000005"/>
        <n v="4.9000000000000004"/>
        <n v="13.48"/>
        <n v="25.16"/>
        <n v="126.56"/>
        <n v="19.760000000000002"/>
        <n v="135.30000000000001"/>
        <n v="161.57"/>
        <n v="81.569999999999993"/>
        <n v="80.959999999999994"/>
        <n v="455.71"/>
        <n v="765.63"/>
        <n v="258.52999999999997"/>
        <n v="9.1"/>
        <n v="116.83"/>
        <n v="85.2"/>
        <n v="319.98"/>
        <n v="45.92"/>
        <n v="21.18"/>
        <n v="213.43"/>
        <n v="65.12"/>
        <n v="141.37"/>
        <n v="3.04"/>
        <n v="4.5"/>
        <n v="95.88"/>
        <n v="17.02"/>
        <n v="258.7"/>
        <n v="1931.96"/>
        <n v="628.80999999999995"/>
        <n v="8.83"/>
        <n v="258.48"/>
        <n v="243.92"/>
        <n v="9.86"/>
        <n v="11.18"/>
        <n v="17.71"/>
        <n v="4.8600000000000003"/>
        <n v="147.16999999999999"/>
        <n v="362.35"/>
        <n v="16.2"/>
        <n v="33.99"/>
        <n v="296.85000000000002"/>
        <n v="112.8"/>
        <n v="13.71"/>
        <n v="24.9"/>
        <n v="286.29000000000002"/>
        <n v="24.18"/>
        <n v="762.59"/>
        <n v="18.760000000000002"/>
        <n v="37.06"/>
        <n v="259.89999999999998"/>
        <n v="22.18"/>
        <n v="2054.27"/>
        <n v="10.53"/>
        <n v="20.54"/>
        <n v="32.36"/>
        <n v="177.57"/>
        <n v="71.28"/>
        <n v="1471.96"/>
        <n v="512.19000000000005"/>
        <n v="1.56"/>
        <n v="143.94999999999999"/>
        <n v="195.68"/>
        <n v="8.36"/>
        <n v="90.86"/>
        <n v="45.78"/>
        <n v="91.84"/>
        <n v="81.09"/>
        <n v="1.44"/>
        <n v="61.78"/>
        <n v="241.96"/>
        <n v="108.61"/>
        <n v="1704.89"/>
        <n v="104.75"/>
        <n v="58.05"/>
        <n v="157.74"/>
        <n v="56.98"/>
        <n v="65.989999999999995"/>
        <n v="112.12"/>
        <n v="1575.14"/>
        <n v="9.66"/>
        <n v="2314.12"/>
        <n v="217.76"/>
        <n v="22.64"/>
        <n v="95.14"/>
        <n v="369.16"/>
        <n v="171.29"/>
        <n v="6.63"/>
        <n v="20.64"/>
        <n v="160.93"/>
        <n v="75.790000000000006"/>
        <n v="19.940000000000001"/>
        <n v="221.38"/>
        <n v="5199.96"/>
        <n v="63.82"/>
        <n v="435.17"/>
        <n v="72.900000000000006"/>
        <n v="206.35"/>
        <n v="227.84"/>
        <n v="319.95999999999998"/>
        <n v="344.91"/>
        <n v="290.33999999999997"/>
        <n v="307.67"/>
        <n v="1115.9100000000001"/>
        <n v="128.74"/>
        <n v="580.66999999999996"/>
        <n v="222.38"/>
        <n v="50.45"/>
        <n v="4.24"/>
        <n v="103.19"/>
        <n v="239.96"/>
        <n v="10.82"/>
        <n v="652.45000000000005"/>
        <n v="66.650000000000006"/>
        <n v="45.89"/>
        <n v="12.82"/>
        <n v="18.98"/>
        <n v="254.06"/>
        <n v="35.200000000000003"/>
        <n v="239.36"/>
        <n v="254.6"/>
        <n v="595"/>
        <n v="79.87"/>
        <n v="0.99"/>
        <n v="101.84"/>
        <n v="435.84"/>
        <n v="2154.9"/>
        <n v="369.54"/>
        <n v="791.88"/>
        <n v="673.34"/>
        <n v="9.9600000000000009"/>
        <n v="2665.62"/>
        <n v="23.85"/>
        <n v="27.78"/>
        <n v="76.58"/>
        <n v="8.8000000000000007"/>
        <n v="25.02"/>
        <n v="452.55"/>
        <n v="5.32"/>
        <n v="2249.91"/>
        <n v="59.92"/>
        <n v="3.31"/>
        <n v="20.14"/>
        <n v="859.2"/>
        <n v="384.59"/>
        <n v="54.34"/>
        <n v="83.9"/>
        <n v="155.37"/>
        <n v="139.86000000000001"/>
        <n v="307.14"/>
        <n v="41.37"/>
        <n v="52.4"/>
        <n v="43.5"/>
        <n v="35.880000000000003"/>
        <n v="361.38"/>
        <n v="1673.18"/>
        <n v="18.37"/>
        <n v="486.37"/>
        <n v="4.09"/>
        <n v="7999.98"/>
        <n v="167.44"/>
        <n v="523.76"/>
        <n v="1359.96"/>
        <n v="143.93"/>
        <n v="7.54"/>
        <n v="4.1399999999999997"/>
        <n v="52.75"/>
        <n v="70.72"/>
        <n v="4.3"/>
        <n v="159.99"/>
        <n v="390.75"/>
        <n v="492.77"/>
        <n v="164.69"/>
        <n v="11.42"/>
        <n v="128.12"/>
        <n v="101.4"/>
        <n v="4.41"/>
        <n v="46.26"/>
        <n v="8.73"/>
        <n v="499.58"/>
        <n v="28.27"/>
        <n v="259.14"/>
        <n v="127.37"/>
        <n v="16.95"/>
        <n v="318.95999999999998"/>
        <n v="2036.86"/>
        <n v="449.57"/>
        <n v="108.96"/>
        <n v="1.25"/>
        <n v="18.16"/>
        <n v="761.54"/>
        <n v="350.35"/>
        <n v="21.79"/>
        <n v="439.8"/>
        <n v="100.94"/>
        <n v="272.97000000000003"/>
        <n v="38.159999999999997"/>
        <n v="109.9"/>
        <n v="274.2"/>
        <n v="96.53"/>
        <n v="63.56"/>
        <n v="826.62"/>
        <n v="1633.14"/>
        <n v="544.38"/>
        <n v="47.12"/>
        <n v="523.39"/>
        <n v="191.98"/>
        <n v="499.17"/>
        <n v="38.39"/>
        <n v="95.99"/>
        <n v="239.95"/>
        <n v="931.18"/>
        <n v="430.88"/>
        <n v="26.35"/>
        <n v="7.8"/>
        <n v="400.8"/>
        <n v="28.79"/>
        <n v="111.79"/>
        <n v="241.42"/>
        <n v="10.44"/>
        <n v="10.89"/>
        <n v="121.6"/>
        <n v="181.86"/>
        <n v="35.479999999999997"/>
        <n v="1158.1199999999999"/>
        <n v="88.92"/>
        <n v="34.92"/>
        <n v="35.18"/>
        <n v="25.5"/>
        <n v="223.06"/>
        <n v="540.04999999999995"/>
        <n v="370.78"/>
        <n v="113.57"/>
        <n v="7.92"/>
        <n v="671.98"/>
        <n v="10.85"/>
        <n v="9.2100000000000009"/>
        <n v="27.93"/>
        <n v="62.35"/>
        <n v="221.02"/>
        <n v="131.97999999999999"/>
        <n v="52.29"/>
        <n v="91.99"/>
        <n v="221.55"/>
        <n v="31.15"/>
        <n v="6.78"/>
        <n v="406.37"/>
        <n v="104.68"/>
        <n v="62.96"/>
        <n v="219.8"/>
        <n v="317.06"/>
        <n v="10.130000000000001"/>
        <n v="37.39"/>
        <n v="79.12"/>
        <n v="897.15"/>
        <n v="141.96"/>
        <n v="70.680000000000007"/>
        <n v="541.24"/>
        <n v="629.64"/>
        <n v="398.97"/>
        <n v="559.62"/>
        <n v="34.65"/>
        <n v="294.62"/>
        <n v="9.02"/>
        <n v="10.86"/>
        <n v="45.66"/>
        <n v="631.17999999999995"/>
        <n v="2479.96"/>
        <n v="1159.06"/>
        <n v="179.9"/>
        <n v="701.96"/>
        <n v="12.16"/>
        <n v="114.29"/>
        <n v="242.35"/>
        <n v="49.62"/>
        <n v="508.7"/>
        <n v="57.36"/>
        <n v="906.68"/>
        <n v="67.86"/>
        <n v="19.73"/>
        <n v="151.19"/>
        <n v="286.86"/>
        <n v="136.99"/>
        <n v="3.15"/>
        <n v="45.22"/>
        <n v="28.78"/>
        <n v="13.59"/>
        <n v="102.34"/>
        <n v="10.32"/>
        <n v="47.32"/>
        <n v="23.38"/>
        <n v="16.190000000000001"/>
        <n v="5.35"/>
        <n v="188.55"/>
        <n v="54.77"/>
        <n v="255.97"/>
        <n v="142.80000000000001"/>
        <n v="399.95"/>
        <n v="649"/>
        <n v="182.22"/>
        <n v="302.94"/>
        <n v="38.9"/>
        <n v="99.39"/>
        <n v="205.03"/>
        <n v="58.68"/>
        <n v="199.9"/>
        <n v="31.18"/>
        <n v="172.75"/>
        <n v="21.6"/>
        <n v="10.68"/>
        <n v="374.38"/>
        <n v="82.38"/>
        <n v="1889.99"/>
        <n v="320.64"/>
        <n v="52"/>
        <n v="50.04"/>
        <n v="179.95"/>
        <n v="27.15"/>
        <n v="1004.02"/>
        <n v="9.68"/>
        <n v="1336.83"/>
        <n v="109.48"/>
        <n v="272.94"/>
        <n v="128.9"/>
        <n v="60.12"/>
        <n v="69.48"/>
        <n v="22.42"/>
        <n v="178.11"/>
        <n v="61.06"/>
        <n v="459.92"/>
        <n v="27.52"/>
        <n v="592.74"/>
        <n v="215.54"/>
        <n v="13.25"/>
        <n v="83.99"/>
        <n v="9.7100000000000009"/>
        <n v="444.77"/>
        <n v="37.21"/>
        <n v="872.94"/>
        <n v="41.54"/>
        <n v="33.450000000000003"/>
        <n v="10.4"/>
        <n v="2.62"/>
        <n v="104.88"/>
        <n v="34.700000000000003"/>
        <n v="33.72"/>
        <n v="896.33"/>
        <n v="189"/>
        <n v="13.01"/>
        <n v="148.26"/>
        <n v="29.36"/>
        <n v="214.9"/>
        <n v="146.44999999999999"/>
        <n v="1399.98"/>
        <n v="1669.6"/>
        <n v="310.88"/>
        <n v="426.79"/>
        <n v="19.100000000000001"/>
        <n v="324.89999999999998"/>
        <n v="599.97"/>
        <n v="38.97"/>
        <n v="3.27"/>
        <n v="23.36"/>
        <n v="63.69"/>
        <n v="77.72"/>
        <n v="520.46"/>
        <n v="116.31"/>
        <n v="14.95"/>
        <n v="116.98"/>
        <n v="1.39"/>
        <n v="721.88"/>
        <n v="73.569999999999993"/>
        <n v="13.58"/>
        <n v="5.4"/>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3839.99" maxValue="8399.98" count="2778">
        <n v="5.55"/>
        <n v="4.2699999999999996"/>
        <n v="-64.77"/>
        <n v="-5.49"/>
        <n v="4.88"/>
        <n v="9.33"/>
        <n v="5.24"/>
        <n v="746.41"/>
        <n v="274.49"/>
        <n v="1.48"/>
        <n v="113.67"/>
        <n v="204.11"/>
        <n v="0.31"/>
        <n v="3.01"/>
        <n v="-53.71"/>
        <n v="-18.25"/>
        <n v="1.17"/>
        <n v="9.75"/>
        <n v="1.36"/>
        <n v="21.3"/>
        <n v="3.08"/>
        <n v="206.32"/>
        <n v="5.8"/>
        <n v="-12.22"/>
        <n v="13.57"/>
        <n v="27.25"/>
        <n v="4.3099999999999996"/>
        <n v="29.01"/>
        <n v="16.09"/>
        <n v="6.04"/>
        <n v="7.2"/>
        <n v="42.02"/>
        <n v="42.04"/>
        <n v="-14.77"/>
        <n v="49.6"/>
        <n v="9.74"/>
        <n v="5.53"/>
        <n v="103.16"/>
        <n v="75.37"/>
        <n v="8.2100000000000009"/>
        <n v="15.22"/>
        <n v="6.87"/>
        <n v="4.43"/>
        <n v="53.27"/>
        <n v="24.39"/>
        <n v="2.6"/>
        <n v="-24.29"/>
        <n v="51.48"/>
        <n v="1.6"/>
        <n v="-172.12"/>
        <n v="5.68"/>
        <n v="-3.53"/>
        <n v="0"/>
        <n v="-34.950000000000003"/>
        <n v="-22.67"/>
        <n v="8.58"/>
        <n v="-43.03"/>
        <n v="5.34"/>
        <n v="17.47"/>
        <n v="1.07"/>
        <n v="32.130000000000003"/>
        <n v="3.4"/>
        <n v="4.5999999999999996"/>
        <n v="40.869999999999997"/>
        <n v="9.18"/>
        <n v="4.91"/>
        <n v="-199.62"/>
        <n v="-10.050000000000001"/>
        <n v="-459.61"/>
        <n v="-23.49"/>
        <n v="17.75"/>
        <n v="2.33"/>
        <n v="15.48"/>
        <n v="177.59"/>
        <n v="5.4"/>
        <n v="16.75"/>
        <n v="45.98"/>
        <n v="5.48"/>
        <n v="4.66"/>
        <n v="4.8600000000000003"/>
        <n v="33.64"/>
        <n v="9.5"/>
        <n v="21.84"/>
        <n v="54.18"/>
        <n v="10.74"/>
        <n v="-15.91"/>
        <n v="9.36"/>
        <n v="2.29"/>
        <n v="1.7"/>
        <n v="49.01"/>
        <n v="38.159999999999997"/>
        <n v="14.17"/>
        <n v="164.63"/>
        <n v="7.02"/>
        <n v="2.0699999999999998"/>
        <n v="14.8"/>
        <n v="2.68"/>
        <n v="3.06"/>
        <n v="7.13"/>
        <n v="293.98"/>
        <n v="40.270000000000003"/>
        <n v="9.35"/>
        <n v="10.47"/>
        <n v="46.2"/>
        <n v="5.58"/>
        <n v="22.43"/>
        <n v="57.59"/>
        <n v="9.07"/>
        <n v="2.35"/>
        <n v="23.81"/>
        <n v="2.25"/>
        <n v="9.3000000000000007"/>
        <n v="42.99"/>
        <n v="6.35"/>
        <n v="26.63"/>
        <n v="7.58"/>
        <n v="8.41"/>
        <n v="6.66"/>
        <n v="83.28"/>
        <n v="3.72"/>
        <n v="3.91"/>
        <n v="7.48"/>
        <n v="18.09"/>
        <n v="4.58"/>
        <n v="20.69"/>
        <n v="56.53"/>
        <n v="-35.93"/>
        <n v="-2.19"/>
        <n v="-36.11"/>
        <n v="21.9"/>
        <n v="111.1"/>
        <n v="2.0299999999999998"/>
        <n v="15.63"/>
        <n v="12.91"/>
        <n v="18.45"/>
        <n v="23.77"/>
        <n v="131.99"/>
        <n v="2.78"/>
        <n v="163.79"/>
        <n v="60.26"/>
        <n v="27.99"/>
        <n v="50.24"/>
        <n v="0.83"/>
        <n v="6.89"/>
        <n v="316.14"/>
        <n v="-11.83"/>
        <n v="2.4900000000000002"/>
        <n v="139.99"/>
        <n v="-94.66"/>
        <n v="81.59"/>
        <n v="3.63"/>
        <n v="41.99"/>
        <n v="3.35"/>
        <n v="265.42"/>
        <n v="24.38"/>
        <n v="9.24"/>
        <n v="91.32"/>
        <n v="94.07"/>
        <n v="38.36"/>
        <n v="6.56"/>
        <n v="-18.149999999999999"/>
        <n v="15.55"/>
        <n v="16.27"/>
        <n v="1.96"/>
        <n v="90"/>
        <n v="10.35"/>
        <n v="14.56"/>
        <n v="3.95"/>
        <n v="21.06"/>
        <n v="9.89"/>
        <n v="2.84"/>
        <n v="1.85"/>
        <n v="3.9"/>
        <n v="19.03"/>
        <n v="4.24"/>
        <n v="1.9"/>
        <n v="11.54"/>
        <n v="-9.1300000000000008"/>
        <n v="3.96"/>
        <n v="5.35"/>
        <n v="16.66"/>
        <n v="52.78"/>
        <n v="2.72"/>
        <n v="30.22"/>
        <n v="7.91"/>
        <n v="-38.85"/>
        <n v="2.5099999999999998"/>
        <n v="244.25"/>
        <n v="240"/>
        <n v="4.07"/>
        <n v="40.31"/>
        <n v="14.99"/>
        <n v="4.54"/>
        <n v="21.77"/>
        <n v="77.48"/>
        <n v="4.3600000000000003"/>
        <n v="-216.98"/>
        <n v="5.3"/>
        <n v="19.18"/>
        <n v="125.3"/>
        <n v="11.08"/>
        <n v="32.1"/>
        <n v="7.26"/>
        <n v="6.3"/>
        <n v="-84.29"/>
        <n v="7.62"/>
        <n v="9.6999999999999993"/>
        <n v="-69.31"/>
        <n v="-172.56"/>
        <n v="10.78"/>
        <n v="-130.01"/>
        <n v="580.54"/>
        <n v="41.68"/>
        <n v="23.94"/>
        <n v="496.07"/>
        <n v="12.44"/>
        <n v="20.92"/>
        <n v="83.87"/>
        <n v="9.1"/>
        <n v="229.3"/>
        <n v="66.510000000000005"/>
        <n v="12.38"/>
        <n v="19.440000000000001"/>
        <n v="22"/>
        <n v="2.65"/>
        <n v="67.19"/>
        <n v="107.08"/>
        <n v="113.49"/>
        <n v="7.49"/>
        <n v="5.18"/>
        <n v="-40"/>
        <n v="9.9499999999999993"/>
        <n v="5.88"/>
        <n v="21.08"/>
        <n v="4.05"/>
        <n v="-44.2"/>
        <n v="6.7"/>
        <n v="4.9400000000000004"/>
        <n v="50.47"/>
        <n v="4.46"/>
        <n v="-347.12"/>
        <n v="-38.11"/>
        <n v="4.72"/>
        <n v="33.83"/>
        <n v="-0.91"/>
        <n v="22.48"/>
        <n v="-20.56"/>
        <n v="-209.77"/>
        <n v="73.19"/>
        <n v="10.65"/>
        <n v="25.68"/>
        <n v="83.84"/>
        <n v="1.97"/>
        <n v="90.72"/>
        <n v="5.78"/>
        <n v="34.47"/>
        <n v="85.31"/>
        <n v="68.36"/>
        <n v="0.6"/>
        <n v="10.4"/>
        <n v="6.16"/>
        <n v="0.15"/>
        <n v="10.63"/>
        <n v="245.02"/>
        <n v="4.7"/>
        <n v="36.4"/>
        <n v="14.21"/>
        <n v="240.86"/>
        <n v="6.97"/>
        <n v="71.989999999999995"/>
        <n v="-3.63"/>
        <n v="19.97"/>
        <n v="2.1800000000000002"/>
        <n v="62.14"/>
        <n v="3.24"/>
        <n v="10.92"/>
        <n v="7.64"/>
        <n v="163.19"/>
        <n v="-44.16"/>
        <n v="-35.18"/>
        <n v="67.86"/>
        <n v="0.38"/>
        <n v="5.37"/>
        <n v="-6.87"/>
        <n v="15.99"/>
        <n v="175"/>
        <n v="47.85"/>
        <n v="-46.74"/>
        <n v="12.08"/>
        <n v="-87.94"/>
        <n v="68.849999999999994"/>
        <n v="4.49"/>
        <n v="1.41"/>
        <n v="14.14"/>
        <n v="4.6500000000000004"/>
        <n v="7.05"/>
        <n v="2.2200000000000002"/>
        <n v="57.41"/>
        <n v="213.74"/>
        <n v="52.13"/>
        <n v="7.06"/>
        <n v="43.2"/>
        <n v="23.09"/>
        <n v="6.4"/>
        <n v="47.81"/>
        <n v="2.8"/>
        <n v="-17.46"/>
        <n v="44.96"/>
        <n v="28.79"/>
        <n v="13.85"/>
        <n v="3.8"/>
        <n v="13"/>
        <n v="3.28"/>
        <n v="-14.64"/>
        <n v="0.56999999999999995"/>
        <n v="5.61"/>
        <n v="5.92"/>
        <n v="12.14"/>
        <n v="10.220000000000001"/>
        <n v="29.36"/>
        <n v="6.91"/>
        <n v="1.92"/>
        <n v="12.55"/>
        <n v="9.1199999999999992"/>
        <n v="226.36"/>
        <n v="-161.88"/>
        <n v="0.28999999999999998"/>
        <n v="18.78"/>
        <n v="26.6"/>
        <n v="5.77"/>
        <n v="33.72"/>
        <n v="305.13"/>
        <n v="219.44"/>
        <n v="4.26"/>
        <n v="35"/>
        <n v="7.95"/>
        <n v="4.78"/>
        <n v="27.53"/>
        <n v="124.68"/>
        <n v="104.72"/>
        <n v="9.84"/>
        <n v="53.26"/>
        <n v="21.26"/>
        <n v="1.64"/>
        <n v="0.63"/>
        <n v="12.87"/>
        <n v="22.25"/>
        <n v="2.0099999999999998"/>
        <n v="294.67"/>
        <n v="36.72"/>
        <n v="41.93"/>
        <n v="22.65"/>
        <n v="83.99"/>
        <n v="22.07"/>
        <n v="434.99"/>
        <n v="55.75"/>
        <n v="91.77"/>
        <n v="-3.03"/>
        <n v="-10.8"/>
        <n v="110.05"/>
        <n v="275"/>
        <n v="37.229999999999997"/>
        <n v="17.25"/>
        <n v="22.63"/>
        <n v="-7.77"/>
        <n v="22.3"/>
        <n v="5.44"/>
        <n v="9.6"/>
        <n v="68.2"/>
        <n v="-43.83"/>
        <n v="643.98"/>
        <n v="2.69"/>
        <n v="-0.95"/>
        <n v="-6.54"/>
        <n v="5.43"/>
        <n v="10.79"/>
        <n v="18.77"/>
        <n v="98.11"/>
        <n v="50.4"/>
        <n v="31.61"/>
        <n v="10.89"/>
        <n v="4.2"/>
        <n v="41.72"/>
        <n v="15.84"/>
        <n v="-1.04"/>
        <n v="1"/>
        <n v="6.74"/>
        <n v="98.14"/>
        <n v="15.64"/>
        <n v="-6.02"/>
        <n v="8.31"/>
        <n v="57.12"/>
        <n v="8.9600000000000009"/>
        <n v="4.95"/>
        <n v="8.07"/>
        <n v="16.170000000000002"/>
        <n v="53.99"/>
        <n v="-121.27"/>
        <n v="843.17"/>
        <n v="95.19"/>
        <n v="-11.52"/>
        <n v="19.82"/>
        <n v="2"/>
        <n v="12.15"/>
        <n v="27.49"/>
        <n v="-14.58"/>
        <n v="4.32"/>
        <n v="8.4700000000000006"/>
        <n v="-559.36"/>
        <n v="23.65"/>
        <n v="20.12"/>
        <n v="6.22"/>
        <n v="213.69"/>
        <n v="28.31"/>
        <n v="109.61"/>
        <n v="14.76"/>
        <n v="-4.82"/>
        <n v="-22.95"/>
        <n v="-2.92"/>
        <n v="3.55"/>
        <n v="111.77"/>
        <n v="15.39"/>
        <n v="45.35"/>
        <n v="5.76"/>
        <n v="7.39"/>
        <n v="9.66"/>
        <n v="31.47"/>
        <n v="4.1100000000000003"/>
        <n v="-6.51"/>
        <n v="-533.73"/>
        <n v="2.73"/>
        <n v="-1359.99"/>
        <n v="-58.63"/>
        <n v="-24.86"/>
        <n v="6.81"/>
        <n v="-453.85"/>
        <n v="9"/>
        <n v="8.5"/>
        <n v="-79.34"/>
        <n v="12.86"/>
        <n v="30.2"/>
        <n v="24.36"/>
        <n v="4.1900000000000004"/>
        <n v="21.6"/>
        <n v="90.29"/>
        <n v="121.99"/>
        <n v="91.15"/>
        <n v="6.27"/>
        <n v="-13.81"/>
        <n v="61.46"/>
        <n v="13.44"/>
        <n v="1.69"/>
        <n v="51.8"/>
        <n v="79.89"/>
        <n v="212.19"/>
        <n v="12.84"/>
        <n v="238.65"/>
        <n v="-4.8499999999999996"/>
        <n v="5.0199999999999996"/>
        <n v="-31.62"/>
        <n v="-572"/>
        <n v="12.89"/>
        <n v="2.7"/>
        <n v="3.41"/>
        <n v="7.6"/>
        <n v="148.69999999999999"/>
        <n v="22.12"/>
        <n v="76.47"/>
        <n v="21.75"/>
        <n v="30.1"/>
        <n v="2.2799999999999998"/>
        <n v="-8.0299999999999994"/>
        <n v="-46.88"/>
        <n v="7.16"/>
        <n v="10.91"/>
        <n v="149.38"/>
        <n v="12.98"/>
        <n v="420.59"/>
        <n v="1.46"/>
        <n v="107.46"/>
        <n v="4.63"/>
        <n v="-3.26"/>
        <n v="20.16"/>
        <n v="-0.09"/>
        <n v="-70.099999999999994"/>
        <n v="3.59"/>
        <n v="13.76"/>
        <n v="4.62"/>
        <n v="0.46"/>
        <n v="4.8899999999999997"/>
        <n v="-3.56"/>
        <n v="0.87"/>
        <n v="-19.07"/>
        <n v="1.72"/>
        <n v="-3.04"/>
        <n v="-3.77"/>
        <n v="6.79"/>
        <n v="31.09"/>
        <n v="13.74"/>
        <n v="-6.55"/>
        <n v="11.49"/>
        <n v="34.99"/>
        <n v="1.91"/>
        <n v="7.68"/>
        <n v="-13.64"/>
        <n v="54.09"/>
        <n v="21.11"/>
        <n v="4.99"/>
        <n v="55.76"/>
        <n v="31.07"/>
        <n v="-3"/>
        <n v="3.52"/>
        <n v="72"/>
        <n v="66.150000000000006"/>
        <n v="-19.170000000000002"/>
        <n v="-1.57"/>
        <n v="-71.400000000000006"/>
        <n v="-13.39"/>
        <n v="112.57"/>
        <n v="10.57"/>
        <n v="67.98"/>
        <n v="19.04"/>
        <n v="58.65"/>
        <n v="8.3000000000000007"/>
        <n v="-65.040000000000006"/>
        <n v="3.44"/>
        <n v="3.92"/>
        <n v="3.74"/>
        <n v="4.17"/>
        <n v="6.2"/>
        <n v="2.5"/>
        <n v="248"/>
        <n v="-94.33"/>
        <n v="54.59"/>
        <n v="0.9"/>
        <n v="15.54"/>
        <n v="110.12"/>
        <n v="5.0999999999999996"/>
        <n v="19.47"/>
        <n v="22.2"/>
        <n v="9.6300000000000008"/>
        <n v="154.84"/>
        <n v="82.29"/>
        <n v="9.82"/>
        <n v="16.32"/>
        <n v="-2.61"/>
        <n v="-17.940000000000001"/>
        <n v="16.04"/>
        <n v="24.12"/>
        <n v="7.77"/>
        <n v="-107.99"/>
        <n v="-13.47"/>
        <n v="239.98"/>
        <n v="5.22"/>
        <n v="105.25"/>
        <n v="15.1"/>
        <n v="-64.430000000000007"/>
        <n v="219.51"/>
        <n v="18.34"/>
        <n v="2.85"/>
        <n v="3.38"/>
        <n v="1.18"/>
        <n v="48.55"/>
        <n v="-1.62"/>
        <n v="-299.26"/>
        <n v="-10.49"/>
        <n v="-51.29"/>
        <n v="2.82"/>
        <n v="18.89"/>
        <n v="3.36"/>
        <n v="24.16"/>
        <n v="1995.99"/>
        <n v="80.02"/>
        <n v="129.6"/>
        <n v="13.07"/>
        <n v="13.43"/>
        <n v="66.63"/>
        <n v="-64.540000000000006"/>
        <n v="8.23"/>
        <n v="18.87"/>
        <n v="0.79"/>
        <n v="8.82"/>
        <n v="16.25"/>
        <n v="-34.200000000000003"/>
        <n v="-8.8000000000000007"/>
        <n v="-94.51"/>
        <n v="-6.45"/>
        <n v="16.79"/>
        <n v="40.47"/>
        <n v="20.97"/>
        <n v="-44.28"/>
        <n v="26.95"/>
        <n v="46.18"/>
        <n v="-2.21"/>
        <n v="3.56"/>
        <n v="5.87"/>
        <n v="5.82"/>
        <n v="13.88"/>
        <n v="9.06"/>
        <n v="25.02"/>
        <n v="10.48"/>
        <n v="88"/>
        <n v="24.98"/>
        <n v="28.82"/>
        <n v="45.53"/>
        <n v="21.48"/>
        <n v="60.15"/>
        <n v="4.29"/>
        <n v="11.17"/>
        <n v="28.01"/>
        <n v="14.9"/>
        <n v="18.329999999999998"/>
        <n v="1.52"/>
        <n v="112.79"/>
        <n v="11.96"/>
        <n v="160.62"/>
        <n v="13.32"/>
        <n v="0.81"/>
        <n v="56"/>
        <n v="75.489999999999995"/>
        <n v="-1480.03"/>
        <n v="-1.97"/>
        <n v="6.76"/>
        <n v="7.87"/>
        <n v="95.1"/>
        <n v="16.7"/>
        <n v="15.07"/>
        <n v="7.92"/>
        <n v="11.26"/>
        <n v="7.79"/>
        <n v="-250.54"/>
        <n v="2.02"/>
        <n v="15.32"/>
        <n v="762.59"/>
        <n v="-7.96"/>
        <n v="-57"/>
        <n v="21.78"/>
        <n v="109.72"/>
        <n v="2.19"/>
        <n v="4.96"/>
        <n v="5.86"/>
        <n v="31.45"/>
        <n v="0.89"/>
        <n v="0.33"/>
        <n v="-3.12"/>
        <n v="20.87"/>
        <n v="12.7"/>
        <n v="-13"/>
        <n v="-6.91"/>
        <n v="25.6"/>
        <n v="673.88"/>
        <n v="12.59"/>
        <n v="28.52"/>
        <n v="110"/>
        <n v="1.42"/>
        <n v="-51.98"/>
        <n v="-19.260000000000002"/>
        <n v="78.849999999999994"/>
        <n v="15.59"/>
        <n v="-110.49"/>
        <n v="15.77"/>
        <n v="-24.8"/>
        <n v="1.44"/>
        <n v="-23.98"/>
        <n v="29.95"/>
        <n v="-6.34"/>
        <n v="23.68"/>
        <n v="73.41"/>
        <n v="64.760000000000005"/>
        <n v="134.38999999999999"/>
        <n v="62.39"/>
        <n v="111.3"/>
        <n v="62.99"/>
        <n v="1.86"/>
        <n v="76.64"/>
        <n v="6.88"/>
        <n v="117.61"/>
        <n v="-30.23"/>
        <n v="35.659999999999997"/>
        <n v="-23.95"/>
        <n v="-9.18"/>
        <n v="-44.99"/>
        <n v="11.91"/>
        <n v="72.58"/>
        <n v="-14.39"/>
        <n v="4.67"/>
        <n v="-170.8"/>
        <n v="-31.54"/>
        <n v="-120.37"/>
        <n v="-7.01"/>
        <n v="-8.0500000000000007"/>
        <n v="-8.35"/>
        <n v="327.95"/>
        <n v="13.72"/>
        <n v="48.54"/>
        <n v="2.42"/>
        <n v="70.03"/>
        <n v="80.790000000000006"/>
        <n v="-4.5199999999999996"/>
        <n v="19.760000000000002"/>
        <n v="-2.6"/>
        <n v="-18.190000000000001"/>
        <n v="2.93"/>
        <n v="21.01"/>
        <n v="45.29"/>
        <n v="28.6"/>
        <n v="16.989999999999998"/>
        <n v="-1.26"/>
        <n v="20.75"/>
        <n v="2.96"/>
        <n v="-53.01"/>
        <n v="9.59"/>
        <n v="126"/>
        <n v="5.23"/>
        <n v="37.22"/>
        <n v="4.2300000000000004"/>
        <n v="42.03"/>
        <n v="95.59"/>
        <n v="135.41"/>
        <n v="12"/>
        <n v="4.33"/>
        <n v="-336.63"/>
        <n v="4.51"/>
        <n v="4.4400000000000004"/>
        <n v="7.63"/>
        <n v="8.8800000000000008"/>
        <n v="-244.32"/>
        <n v="-14.7"/>
        <n v="-950.4"/>
        <n v="4.4800000000000004"/>
        <n v="22.24"/>
        <n v="2.66"/>
        <n v="9.6199999999999992"/>
        <n v="84.66"/>
        <n v="-437.54"/>
        <n v="15.52"/>
        <n v="19.95"/>
        <n v="69.2"/>
        <n v="-6.93"/>
        <n v="8.2200000000000006"/>
        <n v="4.6100000000000003"/>
        <n v="23.59"/>
        <n v="17.55"/>
        <n v="9.25"/>
        <n v="-1.36"/>
        <n v="49.97"/>
        <n v="45.76"/>
        <n v="11.12"/>
        <n v="24.23"/>
        <n v="-373.3"/>
        <n v="120.95"/>
        <n v="1.56"/>
        <n v="-43.12"/>
        <n v="2.64"/>
        <n v="2.21"/>
        <n v="-21.42"/>
        <n v="50.99"/>
        <n v="41.08"/>
        <n v="4.0999999999999996"/>
        <n v="35.020000000000003"/>
        <n v="15.15"/>
        <n v="1.53"/>
        <n v="266.45"/>
        <n v="82.34"/>
        <n v="1.76"/>
        <n v="-4.99"/>
        <n v="4.4000000000000004"/>
        <n v="-125.77"/>
        <n v="13.46"/>
        <n v="146.24"/>
        <n v="-27"/>
        <n v="1.8"/>
        <n v="1.73"/>
        <n v="6.5"/>
        <n v="13.53"/>
        <n v="-30.59"/>
        <n v="22.94"/>
        <n v="89.99"/>
        <n v="7.72"/>
        <n v="27.01"/>
        <n v="1.2"/>
        <n v="-20.78"/>
        <n v="0.44"/>
        <n v="-36.119999999999997"/>
        <n v="34.74"/>
        <n v="165.38"/>
        <n v="50.94"/>
        <n v="14.67"/>
        <n v="63.93"/>
        <n v="67.61"/>
        <n v="16.39"/>
        <n v="-93.23"/>
        <n v="-1.29"/>
        <n v="-1.79"/>
        <n v="-7.1"/>
        <n v="-5.45"/>
        <n v="2.39"/>
        <n v="-16.82"/>
        <n v="-1.88"/>
        <n v="-470.55"/>
        <n v="95.76"/>
        <n v="377.99"/>
        <n v="52.73"/>
        <n v="14.92"/>
        <n v="33.25"/>
        <n v="170.51"/>
        <n v="97.46"/>
        <n v="189.4"/>
        <n v="223.29"/>
        <n v="82.08"/>
        <n v="-14.57"/>
        <n v="29.8"/>
        <n v="22.49"/>
        <n v="1.67"/>
        <n v="-1.89"/>
        <n v="25.15"/>
        <n v="3.86"/>
        <n v="-80.48"/>
        <n v="-0.63"/>
        <n v="-13.73"/>
        <n v="24.29"/>
        <n v="32.93"/>
        <n v="4.3499999999999996"/>
        <n v="22.76"/>
        <n v="27.79"/>
        <n v="3.29"/>
        <n v="107.35"/>
        <n v="2.63"/>
        <n v="209.99"/>
        <n v="-115.72"/>
        <n v="18.399999999999999"/>
        <n v="21.14"/>
        <n v="-6.95"/>
        <n v="-68.39"/>
        <n v="-3.22"/>
        <n v="-9.8000000000000007"/>
        <n v="2.37"/>
        <n v="-211.47"/>
        <n v="89.22"/>
        <n v="26.39"/>
        <n v="6.44"/>
        <n v="5.26"/>
        <n v="-12.08"/>
        <n v="-16.88"/>
        <n v="2.89"/>
        <n v="16.18"/>
        <n v="-1181.28"/>
        <n v="47.99"/>
        <n v="1.03"/>
        <n v="-13.87"/>
        <n v="3.05"/>
        <n v="144.35"/>
        <n v="38.35"/>
        <n v="6.01"/>
        <n v="34.909999999999997"/>
        <n v="10.56"/>
        <n v="113.85"/>
        <n v="10.1"/>
        <n v="14.31"/>
        <n v="215.99"/>
        <n v="24.27"/>
        <n v="0.41"/>
        <n v="11.09"/>
        <n v="14.3"/>
        <n v="4.41"/>
        <n v="10.45"/>
        <n v="10.52"/>
        <n v="2.99"/>
        <n v="13.86"/>
        <n v="106.54"/>
        <n v="14.23"/>
        <n v="6.52"/>
        <n v="2.0499999999999998"/>
        <n v="-0.34"/>
        <n v="-36.18"/>
        <n v="-9.59"/>
        <n v="2.56"/>
        <n v="21.87"/>
        <n v="122.39"/>
        <n v="17.350000000000001"/>
        <n v="5.19"/>
        <n v="-8.92"/>
        <n v="118.29"/>
        <n v="35.26"/>
        <n v="-31.37"/>
        <n v="5.38"/>
        <n v="1.25"/>
        <n v="0.59"/>
        <n v="21.99"/>
        <n v="105.83"/>
        <n v="11.16"/>
        <n v="18.21"/>
        <n v="30.19"/>
        <n v="21.29"/>
        <n v="1014.98"/>
        <n v="23.92"/>
        <n v="-191.62"/>
        <n v="3.68"/>
        <n v="16.8"/>
        <n v="11.56"/>
        <n v="4.92"/>
        <n v="-15.93"/>
        <n v="69.650000000000006"/>
        <n v="41.57"/>
        <n v="-9.16"/>
        <n v="13.2"/>
        <n v="181.66"/>
        <n v="11.73"/>
        <n v="13.3"/>
        <n v="3.47"/>
        <n v="35.99"/>
        <n v="395.99"/>
        <n v="169.18"/>
        <n v="4.75"/>
        <n v="-12.21"/>
        <n v="0.74"/>
        <n v="-393.6"/>
        <n v="54.22"/>
        <n v="-6.46"/>
        <n v="45.47"/>
        <n v="3.15"/>
        <n v="56.55"/>
        <n v="92.39"/>
        <n v="8.77"/>
        <n v="-42.8"/>
        <n v="-26.96"/>
        <n v="-8.17"/>
        <n v="10.199999999999999"/>
        <n v="16.68"/>
        <n v="15.76"/>
        <n v="-182.64"/>
        <n v="31.2"/>
        <n v="7.3"/>
        <n v="-62.88"/>
        <n v="-3.14"/>
        <n v="51.83"/>
        <n v="5.08"/>
        <n v="-85.24"/>
        <n v="-5.83"/>
        <n v="-92.8"/>
        <n v="6"/>
        <n v="48.99"/>
        <n v="3.77"/>
        <n v="4.03"/>
        <n v="5.64"/>
        <n v="8.35"/>
        <n v="45.95"/>
        <n v="-2.31"/>
        <n v="4.97"/>
        <n v="144.52000000000001"/>
        <n v="-29.48"/>
        <n v="2.44"/>
        <n v="56.58"/>
        <n v="285.99"/>
        <n v="7.43"/>
        <n v="-5.78"/>
        <n v="8.93"/>
        <n v="-2.44"/>
        <n v="63.89"/>
        <n v="156.43"/>
        <n v="60.39"/>
        <n v="-17.04"/>
        <n v="6.6"/>
        <n v="3.03"/>
        <n v="59.01"/>
        <n v="0.84"/>
        <n v="5.0599999999999996"/>
        <n v="209.24"/>
        <n v="20.02"/>
        <n v="5.7"/>
        <n v="42.05"/>
        <n v="32.54"/>
        <n v="70.55"/>
        <n v="21.4"/>
        <n v="28.48"/>
        <n v="40.5"/>
        <n v="-121.58"/>
        <n v="-2.2400000000000002"/>
        <n v="12.97"/>
        <n v="36.229999999999997"/>
        <n v="-2"/>
        <n v="-4.75"/>
        <n v="-73.180000000000007"/>
        <n v="3.48"/>
        <n v="13.49"/>
        <n v="34.42"/>
        <n v="-37.11"/>
        <n v="193.32"/>
        <n v="103.9"/>
        <n v="-5.48"/>
        <n v="53.75"/>
        <n v="-2.99"/>
        <n v="0.69"/>
        <n v="-2.13"/>
        <n v="49.44"/>
        <n v="30.72"/>
        <n v="-175.87"/>
        <n v="2.15"/>
        <n v="41.88"/>
        <n v="3.87"/>
        <n v="4.12"/>
        <n v="-188.7"/>
        <n v="-4.9000000000000004"/>
        <n v="-2.1800000000000002"/>
        <n v="-11.44"/>
        <n v="9.8699999999999992"/>
        <n v="-9.66"/>
        <n v="19.14"/>
        <n v="-114.02"/>
        <n v="1.1200000000000001"/>
        <n v="6.46"/>
        <n v="13.06"/>
        <n v="34.07"/>
        <n v="10.68"/>
        <n v="20.170000000000002"/>
        <n v="148.49"/>
        <n v="11.78"/>
        <n v="2.23"/>
        <n v="10.86"/>
        <n v="11.9"/>
        <n v="33.04"/>
        <n v="210.49"/>
        <n v="28.8"/>
        <n v="0.97"/>
        <n v="136.94"/>
        <n v="0.22"/>
        <n v="89.31"/>
        <n v="-153.12"/>
        <n v="2.94"/>
        <n v="456.59"/>
        <n v="18.350000000000001"/>
        <n v="274.39"/>
        <n v="68.98"/>
        <n v="5.01"/>
        <n v="34.69"/>
        <n v="48.12"/>
        <n v="69.180000000000007"/>
        <n v="19.87"/>
        <n v="12.51"/>
        <n v="-31.49"/>
        <n v="15.02"/>
        <n v="29.14"/>
        <n v="12.11"/>
        <n v="3.11"/>
        <n v="34.5"/>
        <n v="335.99"/>
        <n v="51.57"/>
        <n v="15.19"/>
        <n v="27.36"/>
        <n v="315.74"/>
        <n v="62.81"/>
        <n v="-7.27"/>
        <n v="-149.91"/>
        <n v="19.690000000000001"/>
        <n v="8.49"/>
        <n v="46.6"/>
        <n v="60.55"/>
        <n v="25.12"/>
        <n v="31.29"/>
        <n v="-12.96"/>
        <n v="3.6"/>
        <n v="137.15"/>
        <n v="111.59"/>
        <n v="-6.83"/>
        <n v="6.72"/>
        <n v="-6.12"/>
        <n v="-4.84"/>
        <n v="-20.7"/>
        <n v="-25.22"/>
        <n v="-14.69"/>
        <n v="-7.82"/>
        <n v="17.309999999999999"/>
        <n v="12.23"/>
        <n v="2.13"/>
        <n v="74.81"/>
        <n v="18.059999999999999"/>
        <n v="-2.5299999999999998"/>
        <n v="2.1"/>
        <n v="101.39"/>
        <n v="21.45"/>
        <n v="22.35"/>
        <n v="-2.04"/>
        <n v="0.28000000000000003"/>
        <n v="-14.16"/>
        <n v="-6.98"/>
        <n v="-131.99"/>
        <n v="-3.94"/>
        <n v="12.31"/>
        <n v="167.98"/>
        <n v="18.97"/>
        <n v="16.2"/>
        <n v="2.06"/>
        <n v="-120.29"/>
        <n v="11.88"/>
        <n v="8.1199999999999992"/>
        <n v="1.55"/>
        <n v="16.11"/>
        <n v="83.25"/>
        <n v="125.47"/>
        <n v="17.690000000000001"/>
        <n v="33.07"/>
        <n v="-2.57"/>
        <n v="48.96"/>
        <n v="79.760000000000005"/>
        <n v="50.56"/>
        <n v="1.58"/>
        <n v="6.8"/>
        <n v="108.18"/>
        <n v="4"/>
        <n v="96.42"/>
        <n v="29.98"/>
        <n v="18.66"/>
        <n v="60"/>
        <n v="6.05"/>
        <n v="0.57999999999999996"/>
        <n v="9.94"/>
        <n v="14.16"/>
        <n v="12.77"/>
        <n v="8.57"/>
        <n v="17.43"/>
        <n v="93.59"/>
        <n v="10.33"/>
        <n v="-4.49"/>
        <n v="50.12"/>
        <n v="20.13"/>
        <n v="23"/>
        <n v="32.4"/>
        <n v="75.7"/>
        <n v="-5.41"/>
        <n v="4.13"/>
        <n v="19.420000000000002"/>
        <n v="13.18"/>
        <n v="3.62"/>
        <n v="0.96"/>
        <n v="-4.6399999999999997"/>
        <n v="-22.45"/>
        <n v="-2.7"/>
        <n v="-15.62"/>
        <n v="1.5"/>
        <n v="43.22"/>
        <n v="7.01"/>
        <n v="6.49"/>
        <n v="12.94"/>
        <n v="9.52"/>
        <n v="21.71"/>
        <n v="-103.86"/>
        <n v="-14.56"/>
        <n v="57.6"/>
        <n v="62.74"/>
        <n v="0.56000000000000005"/>
        <n v="-70.959999999999994"/>
        <n v="8.33"/>
        <n v="303.33999999999997"/>
        <n v="10.76"/>
        <n v="8.4600000000000009"/>
        <n v="27.24"/>
        <n v="-1.31"/>
        <n v="-8.6"/>
        <n v="35.1"/>
        <n v="53.98"/>
        <n v="-337.81"/>
        <n v="-54.32"/>
        <n v="-383.03"/>
        <n v="2.52"/>
        <n v="2.2400000000000002"/>
        <n v="112.39"/>
        <n v="20.09"/>
        <n v="24.88"/>
        <n v="46.98"/>
        <n v="6.57"/>
        <n v="-13.98"/>
        <n v="35.29"/>
        <n v="5.65"/>
        <n v="71.27"/>
        <n v="-3.09"/>
        <n v="-0.71"/>
        <n v="1.34"/>
        <n v="106.48"/>
        <n v="1.29"/>
        <n v="601.97"/>
        <n v="125.99"/>
        <n v="1.77"/>
        <n v="13.68"/>
        <n v="51.94"/>
        <n v="49.27"/>
        <n v="8.5399999999999991"/>
        <n v="33.94"/>
        <n v="41.12"/>
        <n v="4.18"/>
        <n v="-30.15"/>
        <n v="553.39"/>
        <n v="-47"/>
        <n v="38.78"/>
        <n v="55.36"/>
        <n v="106.12"/>
        <n v="37.79"/>
        <n v="16.61"/>
        <n v="209.27"/>
        <n v="25.88"/>
        <n v="24.2"/>
        <n v="8.8699999999999992"/>
        <n v="15.7"/>
        <n v="35.65"/>
        <n v="-5.53"/>
        <n v="2.04"/>
        <n v="2.48"/>
        <n v="-3.52"/>
        <n v="11.92"/>
        <n v="0.52"/>
        <n v="3.43"/>
        <n v="7.93"/>
        <n v="178.8"/>
        <n v="-12.92"/>
        <n v="-1031.54"/>
        <n v="26.82"/>
        <n v="5.32"/>
        <n v="-16.96"/>
        <n v="-84.45"/>
        <n v="-51.3"/>
        <n v="-28.87"/>
        <n v="33.590000000000003"/>
        <n v="2.4"/>
        <n v="66.95"/>
        <n v="0.2"/>
        <n v="41.82"/>
        <n v="22.01"/>
        <n v="28.65"/>
        <n v="17.64"/>
        <n v="-17.29"/>
        <n v="43.16"/>
        <n v="58.81"/>
        <n v="41.04"/>
        <n v="6.98"/>
        <n v="76.55"/>
        <n v="142.99"/>
        <n v="4.7300000000000004"/>
        <n v="2229.02"/>
        <n v="115.55"/>
        <n v="11.81"/>
        <n v="-29.24"/>
        <n v="1013.13"/>
        <n v="215.12"/>
        <n v="12.32"/>
        <n v="1114.51"/>
        <n v="5.75"/>
        <n v="54"/>
        <n v="5.16"/>
        <n v="35.159999999999997"/>
        <n v="207.15"/>
        <n v="178.91"/>
        <n v="143.19"/>
        <n v="34.39"/>
        <n v="43.32"/>
        <n v="117.13"/>
        <n v="46.79"/>
        <n v="7.07"/>
        <n v="1.32"/>
        <n v="-4.0199999999999996"/>
        <n v="-3.73"/>
        <n v="-72.040000000000006"/>
        <n v="10.08"/>
        <n v="16.440000000000001"/>
        <n v="69.97"/>
        <n v="7.31"/>
        <n v="19.399999999999999"/>
        <n v="-4.01"/>
        <n v="5.56"/>
        <n v="16.649999999999999"/>
        <n v="30.7"/>
        <n v="125.25"/>
        <n v="401.81"/>
        <n v="52.53"/>
        <n v="267.67"/>
        <n v="1.02"/>
        <n v="8.7100000000000009"/>
        <n v="-337.64"/>
        <n v="0.78"/>
        <n v="10.58"/>
        <n v="206.62"/>
        <n v="-29.61"/>
        <n v="12.67"/>
        <n v="-73.58"/>
        <n v="84.94"/>
        <n v="-6.03"/>
        <n v="11.38"/>
        <n v="8.1"/>
        <n v="10.39"/>
        <n v="68.33"/>
        <n v="8.7899999999999991"/>
        <n v="29.88"/>
        <n v="539.92999999999995"/>
        <n v="40.4"/>
        <n v="-1065.3699999999999"/>
        <n v="12.01"/>
        <n v="122.15"/>
        <n v="8.2799999999999994"/>
        <n v="13.83"/>
        <n v="6.25"/>
        <n v="9.0299999999999994"/>
        <n v="-19.98"/>
        <n v="76.400000000000006"/>
        <n v="4.5"/>
        <n v="78.44"/>
        <n v="12.81"/>
        <n v="11.11"/>
        <n v="10.96"/>
        <n v="48.95"/>
        <n v="61.96"/>
        <n v="-58.69"/>
        <n v="9.7100000000000009"/>
        <n v="-89.09"/>
        <n v="-24.24"/>
        <n v="20.51"/>
        <n v="97.19"/>
        <n v="42.15"/>
        <n v="449.99"/>
        <n v="50.44"/>
        <n v="-10.38"/>
        <n v="4.3899999999999997"/>
        <n v="41.29"/>
        <n v="70.98"/>
        <n v="28.77"/>
        <n v="7.21"/>
        <n v="2.34"/>
        <n v="224.44"/>
        <n v="130.76"/>
        <n v="150.36000000000001"/>
        <n v="40.119999999999997"/>
        <n v="16.670000000000002"/>
        <n v="200.49"/>
        <n v="32.630000000000003"/>
        <n v="0.5"/>
        <n v="21.41"/>
        <n v="250"/>
        <n v="18.989999999999998"/>
        <n v="20.59"/>
        <n v="36.450000000000003"/>
        <n v="141.16"/>
        <n v="-108.83"/>
        <n v="96.34"/>
        <n v="36"/>
        <n v="-8.98"/>
        <n v="1.1499999999999999"/>
        <n v="-143.79"/>
        <n v="0.48"/>
        <n v="-6.53"/>
        <n v="10.98"/>
        <n v="-248.17"/>
        <n v="28.71"/>
        <n v="9.69"/>
        <n v="-7.58"/>
        <n v="38.68"/>
        <n v="61.33"/>
        <n v="31.5"/>
        <n v="34.89"/>
        <n v="8.86"/>
        <n v="6.43"/>
        <n v="7.45"/>
        <n v="16.399999999999999"/>
        <n v="21.65"/>
        <n v="93.7"/>
        <n v="15.88"/>
        <n v="48.94"/>
        <n v="128.97"/>
        <n v="38.270000000000003"/>
        <n v="67.27"/>
        <n v="28.62"/>
        <n v="-5.26"/>
        <n v="-6.21"/>
        <n v="350.43"/>
        <n v="120"/>
        <n v="-80.180000000000007"/>
        <n v="40.69"/>
        <n v="10.029999999999999"/>
        <n v="-10.96"/>
        <n v="407.13"/>
        <n v="49.84"/>
        <n v="-24.66"/>
        <n v="5.95"/>
        <n v="10.88"/>
        <n v="118.98"/>
        <n v="141.72"/>
        <n v="3.79"/>
        <n v="34.369999999999997"/>
        <n v="7.7"/>
        <n v="20.58"/>
        <n v="-9.8699999999999992"/>
        <n v="8.94"/>
        <n v="14.68"/>
        <n v="5.9"/>
        <n v="2799.98"/>
        <n v="18.2"/>
        <n v="7.1"/>
        <n v="-77.47"/>
        <n v="225.26"/>
        <n v="23.52"/>
        <n v="1.62"/>
        <n v="170.93"/>
        <n v="0.19"/>
        <n v="52.8"/>
        <n v="78.94"/>
        <n v="126.06"/>
        <n v="1.54"/>
        <n v="160.91"/>
        <n v="7.22"/>
        <n v="50.37"/>
        <n v="-31.99"/>
        <n v="-18.18"/>
        <n v="21"/>
        <n v="10.62"/>
        <n v="39"/>
        <n v="126.9"/>
        <n v="39.590000000000003"/>
        <n v="11.15"/>
        <n v="0.7"/>
        <n v="175.52"/>
        <n v="-264.92"/>
        <n v="12.13"/>
        <n v="2400.9699999999998"/>
        <n v="14"/>
        <n v="219.45"/>
        <n v="129.59"/>
        <n v="15.51"/>
        <n v="-56.34"/>
        <n v="37.76"/>
        <n v="-127.58"/>
        <n v="7.61"/>
        <n v="-786.01"/>
        <n v="5.74"/>
        <n v="4.93"/>
        <n v="3.53"/>
        <n v="64.2"/>
        <n v="50.41"/>
        <n v="-0.81"/>
        <n v="-71.989999999999995"/>
        <n v="-1.5"/>
        <n v="-12.51"/>
        <n v="-6.3"/>
        <n v="-2.76"/>
        <n v="-194.82"/>
        <n v="-99.27"/>
        <n v="85.25"/>
        <n v="-3.84"/>
        <n v="-7.11"/>
        <n v="-25.33"/>
        <n v="-1.35"/>
        <n v="44.3"/>
        <n v="22.57"/>
        <n v="-14.17"/>
        <n v="8.39"/>
        <n v="49.39"/>
        <n v="48.33"/>
        <n v="3.75"/>
        <n v="87.89"/>
        <n v="88.73"/>
        <n v="23.31"/>
        <n v="-22.1"/>
        <n v="7.5"/>
        <n v="7.15"/>
        <n v="363.9"/>
        <n v="377.73"/>
        <n v="6.54"/>
        <n v="19.77"/>
        <n v="31.54"/>
        <n v="125.14"/>
        <n v="9.48"/>
        <n v="13.5"/>
        <n v="6.77"/>
        <n v="14.97"/>
        <n v="77.040000000000006"/>
        <n v="8.99"/>
        <n v="9.7200000000000006"/>
        <n v="71.25"/>
        <n v="9.1300000000000008"/>
        <n v="9.86"/>
        <n v="22.89"/>
        <n v="292.77999999999997"/>
        <n v="18.510000000000002"/>
        <n v="3.1"/>
        <n v="0.26"/>
        <n v="378.27"/>
        <n v="-83.21"/>
        <n v="22.05"/>
        <n v="124.78"/>
        <n v="3.21"/>
        <n v="184"/>
        <n v="7.44"/>
        <n v="-27.72"/>
        <n v="-163.44999999999999"/>
        <n v="336.64"/>
        <n v="374.99"/>
        <n v="146.38999999999999"/>
        <n v="0.98"/>
        <n v="3.67"/>
        <n v="-4.8600000000000003"/>
        <n v="6.99"/>
        <n v="15.82"/>
        <n v="64.790000000000006"/>
        <n v="-4.1100000000000003"/>
        <n v="-1850.95"/>
        <n v="3.22"/>
        <n v="-100.92"/>
        <n v="10.37"/>
        <n v="8.6"/>
        <n v="14.4"/>
        <n v="31.98"/>
        <n v="12.82"/>
        <n v="134.65"/>
        <n v="2.4300000000000002"/>
        <n v="6.55"/>
        <n v="44.37"/>
        <n v="81.13"/>
        <n v="6.03"/>
        <n v="15.61"/>
        <n v="75.66"/>
        <n v="28.76"/>
        <n v="-31.91"/>
        <n v="-36.44"/>
        <n v="13.73"/>
        <n v="-5.2"/>
        <n v="-142.07"/>
        <n v="-2.0099999999999998"/>
        <n v="53.86"/>
        <n v="12.58"/>
        <n v="15.95"/>
        <n v="11.69"/>
        <n v="-3.79"/>
        <n v="-3.17"/>
        <n v="-110.02"/>
        <n v="4.0199999999999996"/>
        <n v="33.93"/>
        <n v="6.02"/>
        <n v="83.73"/>
        <n v="-3.6"/>
        <n v="2.74"/>
        <n v="-71.3"/>
        <n v="34.79"/>
        <n v="-44.02"/>
        <n v="-75.599999999999994"/>
        <n v="-164.95"/>
        <n v="5.2"/>
        <n v="21.54"/>
        <n v="7.47"/>
        <n v="3.34"/>
        <n v="-1.78"/>
        <n v="320.32"/>
        <n v="1.71"/>
        <n v="15.49"/>
        <n v="11.63"/>
        <n v="-5.29"/>
        <n v="-3.27"/>
        <n v="15.25"/>
        <n v="30.9"/>
        <n v="59.04"/>
        <n v="1159.99"/>
        <n v="28.02"/>
        <n v="42.39"/>
        <n v="88.03"/>
        <n v="1.57"/>
        <n v="13.16"/>
        <n v="3.5"/>
        <n v="9.92"/>
        <n v="14.42"/>
        <n v="9.19"/>
        <n v="-20.440000000000001"/>
        <n v="-131.72"/>
        <n v="-27.79"/>
        <n v="-124"/>
        <n v="-19.559999999999999"/>
        <n v="26.9"/>
        <n v="46.8"/>
        <n v="18.72"/>
        <n v="3.93"/>
        <n v="9.4"/>
        <n v="-356.73"/>
        <n v="-4.68"/>
        <n v="11.19"/>
        <n v="-120.51"/>
        <n v="-2.83"/>
        <n v="364.46"/>
        <n v="5.13"/>
        <n v="20.78"/>
        <n v="-23.36"/>
        <n v="2.79"/>
        <n v="7"/>
        <n v="15.72"/>
        <n v="15.96"/>
        <n v="28.72"/>
        <n v="75.569999999999993"/>
        <n v="129.35"/>
        <n v="28.17"/>
        <n v="30.79"/>
        <n v="5.6"/>
        <n v="46.95"/>
        <n v="226.79"/>
        <n v="161.19"/>
        <n v="34.97"/>
        <n v="2.3199999999999998"/>
        <n v="-27.83"/>
        <n v="173.24"/>
        <n v="-217.05"/>
        <n v="7.97"/>
        <n v="-2.15"/>
        <n v="-13.65"/>
        <n v="-9.09"/>
        <n v="17.54"/>
        <n v="132.59"/>
        <n v="33.85"/>
        <n v="56.2"/>
        <n v="8.0399999999999991"/>
        <n v="63.44"/>
        <n v="51.76"/>
        <n v="19.73"/>
        <n v="113.64"/>
        <n v="8.3800000000000008"/>
        <n v="83.65"/>
        <n v="-160.96"/>
        <n v="-4.54"/>
        <n v="3.94"/>
        <n v="-119.23"/>
        <n v="6.75"/>
        <n v="-2.67"/>
        <n v="6.53"/>
        <n v="28"/>
        <n v="14.04"/>
        <n v="6.17"/>
        <n v="33.78"/>
        <n v="19.52"/>
        <n v="3.16"/>
        <n v="14.52"/>
        <n v="0.08"/>
        <n v="197.92"/>
        <n v="38.729999999999997"/>
        <n v="8.64"/>
        <n v="20.66"/>
        <n v="225.74"/>
        <n v="73.319999999999993"/>
        <n v="-27.13"/>
        <n v="0.82"/>
        <n v="-14.48"/>
        <n v="944.99"/>
        <n v="24.47"/>
        <n v="-4.76"/>
        <n v="-7.85"/>
        <n v="107.96"/>
        <n v="3.57"/>
        <n v="-13.31"/>
        <n v="74.569999999999993"/>
        <n v="9.4499999999999993"/>
        <n v="51.5"/>
        <n v="5"/>
        <n v="72.53"/>
        <n v="14.88"/>
        <n v="1.47"/>
        <n v="-33.799999999999997"/>
        <n v="-35.880000000000003"/>
        <n v="-319.19"/>
        <n v="7.18"/>
        <n v="6.63"/>
        <n v="90.98"/>
        <n v="13.79"/>
        <n v="3.14"/>
        <n v="15.35"/>
        <n v="33.36"/>
        <n v="38.32"/>
        <n v="23.42"/>
        <n v="46.12"/>
        <n v="4.8099999999999996"/>
        <n v="-6.57"/>
        <n v="30.24"/>
        <n v="3.98"/>
        <n v="59.12"/>
        <n v="33.31"/>
        <n v="18.48"/>
        <n v="86.39"/>
        <n v="17.53"/>
        <n v="0.23"/>
        <n v="12.83"/>
        <n v="136.62"/>
        <n v="5.33"/>
        <n v="64.069999999999993"/>
        <n v="-7.92"/>
        <n v="19.260000000000002"/>
        <n v="35.68"/>
        <n v="52.5"/>
        <n v="-8.1"/>
        <n v="-255.59"/>
        <n v="-66.23"/>
        <n v="286.38"/>
        <n v="2.31"/>
        <n v="1415.43"/>
        <n v="10.94"/>
        <n v="9.91"/>
        <n v="-4.8"/>
        <n v="5.42"/>
        <n v="30.44"/>
        <n v="61.38"/>
        <n v="71.16"/>
        <n v="14.46"/>
        <n v="19.62"/>
        <n v="10"/>
        <n v="0.65"/>
        <n v="3.88"/>
        <n v="12.1"/>
        <n v="-19.47"/>
        <n v="-75.84"/>
        <n v="-17.57"/>
        <n v="34.81"/>
        <n v="-149.63"/>
        <n v="303.8"/>
        <n v="-12.63"/>
        <n v="-13.34"/>
        <n v="33.909999999999997"/>
        <n v="30.99"/>
        <n v="31.24"/>
        <n v="0.95"/>
        <n v="28.44"/>
        <n v="-760.98"/>
        <n v="-46.8"/>
        <n v="-90.25"/>
        <n v="-14.97"/>
        <n v="22.15"/>
        <n v="41.02"/>
        <n v="31.04"/>
        <n v="4.28"/>
        <n v="11.22"/>
        <n v="24.94"/>
        <n v="20.45"/>
        <n v="6.59"/>
        <n v="8.7200000000000006"/>
        <n v="54.69"/>
        <n v="2.5299999999999998"/>
        <n v="7.78"/>
        <n v="114.96"/>
        <n v="8.74"/>
        <n v="23.39"/>
        <n v="29.15"/>
        <n v="80.739999999999995"/>
        <n v="26.99"/>
        <n v="-24.84"/>
        <n v="29"/>
        <n v="-7.33"/>
        <n v="-63.11"/>
        <n v="-166.39"/>
        <n v="1.79"/>
        <n v="3.76"/>
        <n v="92.24"/>
        <n v="-17.52"/>
        <n v="314.06"/>
        <n v="-7.46"/>
        <n v="-6.49"/>
        <n v="-1.22"/>
        <n v="-11.66"/>
        <n v="11.65"/>
        <n v="-19.34"/>
        <n v="-63.38"/>
        <n v="12.21"/>
        <n v="22.59"/>
        <n v="29.99"/>
        <n v="-2.46"/>
        <n v="15.2"/>
        <n v="37.08"/>
        <n v="-317.14999999999998"/>
        <n v="-32.78"/>
        <n v="0.72"/>
        <n v="23.5"/>
        <n v="13.92"/>
        <n v="6.94"/>
        <n v="-300.74"/>
        <n v="62.24"/>
        <n v="21.74"/>
        <n v="23.46"/>
        <n v="-12.78"/>
        <n v="14.66"/>
        <n v="14.2"/>
        <n v="15.41"/>
        <n v="65.44"/>
        <n v="18.68"/>
        <n v="-12.01"/>
        <n v="8.92"/>
        <n v="8.4499999999999993"/>
        <n v="-34.39"/>
        <n v="58.46"/>
        <n v="40.17"/>
        <n v="13.87"/>
        <n v="89.95"/>
        <n v="3.58"/>
        <n v="636"/>
        <n v="-157.94"/>
        <n v="751.96"/>
        <n v="12.96"/>
        <n v="62.93"/>
        <n v="-3.24"/>
        <n v="0.91"/>
        <n v="33.6"/>
        <n v="52.51"/>
        <n v="4.82"/>
        <n v="7.76"/>
        <n v="1.66"/>
        <n v="0.68"/>
        <n v="307.14"/>
        <n v="31.52"/>
        <n v="14.57"/>
        <n v="12.18"/>
        <n v="-115.71"/>
        <n v="9.57"/>
        <n v="5.03"/>
        <n v="16.59"/>
        <n v="-40.18"/>
        <n v="4.87"/>
        <n v="8399.98"/>
        <n v="331.19"/>
        <n v="16.84"/>
        <n v="9.51"/>
        <n v="5.09"/>
        <n v="93.22"/>
        <n v="-29.51"/>
        <n v="102.95"/>
        <n v="3.85"/>
        <n v="13.98"/>
        <n v="2591.96"/>
        <n v="34.54"/>
        <n v="-23.94"/>
        <n v="14.43"/>
        <n v="-938.28"/>
        <n v="-14.92"/>
        <n v="0.85"/>
        <n v="62.82"/>
        <n v="5.07"/>
        <n v="0.93"/>
        <n v="-32.32"/>
        <n v="27.88"/>
        <n v="20.3"/>
        <n v="-67.849999999999994"/>
        <n v="-15.58"/>
        <n v="5.98"/>
        <n v="-24.96"/>
        <n v="0.16"/>
        <n v="-4.38"/>
        <n v="-2.73"/>
        <n v="-190.85"/>
        <n v="13.59"/>
        <n v="-26.23"/>
        <n v="0.67"/>
        <n v="6.1"/>
        <n v="118.34"/>
        <n v="17.88"/>
        <n v="22.79"/>
        <n v="13.35"/>
        <n v="2.38"/>
        <n v="-29.92"/>
        <n v="29.03"/>
        <n v="41.22"/>
        <n v="429.58"/>
        <n v="9.16"/>
        <n v="160.16"/>
        <n v="5.04"/>
        <n v="15.8"/>
        <n v="56.98"/>
        <n v="3.02"/>
        <n v="150.97999999999999"/>
        <n v="-3.47"/>
        <n v="-251.99"/>
        <n v="-13.43"/>
        <n v="16.46"/>
        <n v="55.91"/>
        <n v="-4.18"/>
        <n v="-14.41"/>
        <n v="16.78"/>
        <n v="-97.55"/>
        <n v="228.08"/>
        <n v="5.31"/>
        <n v="1.31"/>
        <n v="-292.10000000000002"/>
        <n v="-34.76"/>
        <n v="77.22"/>
        <n v="-5.69"/>
        <n v="9.83"/>
        <n v="-15.99"/>
        <n v="-160.30000000000001"/>
        <n v="-6.24"/>
        <n v="-225.1"/>
        <n v="-20.14"/>
        <n v="45.14"/>
        <n v="50.35"/>
        <n v="24.84"/>
        <n v="52.77"/>
        <n v="9.9700000000000006"/>
        <n v="71.23"/>
        <n v="75.680000000000007"/>
        <n v="26.24"/>
        <n v="-28.6"/>
        <n v="12.64"/>
        <n v="22.91"/>
        <n v="11.7"/>
        <n v="22.5"/>
        <n v="0.3"/>
        <n v="6.32"/>
        <n v="100.2"/>
        <n v="100.79"/>
        <n v="5.84"/>
        <n v="-17.78"/>
        <n v="19.63"/>
        <n v="20.149999999999999"/>
        <n v="41.91"/>
        <n v="219.58"/>
        <n v="42.07"/>
        <n v="24.5"/>
        <n v="-3.31"/>
        <n v="-9.7899999999999991"/>
        <n v="32.47"/>
        <n v="7.51"/>
        <n v="29.3"/>
        <n v="29.66"/>
        <n v="1.68"/>
        <n v="-29.07"/>
        <n v="-46.59"/>
        <n v="17.16"/>
        <n v="39.340000000000003"/>
        <n v="7.38"/>
        <n v="16.82"/>
        <n v="32.5"/>
        <n v="38.979999999999997"/>
        <n v="191.66"/>
        <n v="28.86"/>
        <n v="187.4"/>
        <n v="1.81"/>
        <n v="3.97"/>
        <n v="62.15"/>
        <n v="54.71"/>
        <n v="1.37"/>
        <n v="220.48"/>
        <n v="20.84"/>
        <n v="-2.06"/>
        <n v="-6.92"/>
        <n v="7.88"/>
        <n v="6.48"/>
        <n v="25.09"/>
        <n v="8.19"/>
        <n v="17.190000000000001"/>
        <n v="11.45"/>
        <n v="11.03"/>
        <n v="241.1"/>
        <n v="1.23"/>
        <n v="-4.5999999999999996"/>
        <n v="-3.35"/>
        <n v="129.38"/>
        <n v="10.55"/>
        <n v="8.69"/>
        <n v="-21.07"/>
        <n v="33.03"/>
        <n v="-12.84"/>
        <n v="25.5"/>
        <n v="-8.43"/>
        <n v="-8.5299999999999994"/>
        <n v="11.72"/>
        <n v="51.75"/>
        <n v="44.99"/>
        <n v="40.520000000000003"/>
        <n v="150.38"/>
        <n v="-17.75"/>
        <n v="-30.87"/>
        <n v="35.86"/>
        <n v="48.91"/>
        <n v="297.64"/>
        <n v="-47.06"/>
        <n v="694.5"/>
        <n v="11.8"/>
        <n v="22.99"/>
        <n v="222.59"/>
        <n v="11.23"/>
        <n v="19.829999999999998"/>
        <n v="8.81"/>
        <n v="9.26"/>
        <n v="26.87"/>
        <n v="5.66"/>
        <n v="33.86"/>
        <n v="582.23"/>
        <n v="176.39"/>
        <n v="23.9"/>
        <n v="134.93"/>
        <n v="26.93"/>
        <n v="54.44"/>
        <n v="-137.97999999999999"/>
        <n v="84.05"/>
        <n v="-153.35"/>
        <n v="10.09"/>
        <n v="102.5"/>
        <n v="93.77"/>
        <n v="-14.55"/>
        <n v="659.98"/>
        <n v="51.47"/>
        <n v="104.75"/>
        <n v="8.09"/>
        <n v="-12.1"/>
        <n v="20.48"/>
        <n v="3.66"/>
        <n v="50.33"/>
        <n v="103.8"/>
        <n v="585.54999999999995"/>
        <n v="80.63"/>
        <n v="20.49"/>
        <n v="13.23"/>
        <n v="195.99"/>
        <n v="70.180000000000007"/>
        <n v="51.55"/>
        <n v="27"/>
        <n v="16.149999999999999"/>
        <n v="15.34"/>
        <n v="116.6"/>
        <n v="89.16"/>
        <n v="314.83999999999997"/>
        <n v="77.819999999999993"/>
        <n v="27.2"/>
        <n v="6.41"/>
        <n v="4.68"/>
        <n v="153.12"/>
        <n v="123.47"/>
        <n v="-147.96"/>
        <n v="2.2999999999999998"/>
        <n v="-9.5"/>
        <n v="-195.48"/>
        <n v="9.5299999999999994"/>
        <n v="81.05"/>
        <n v="-2.48"/>
        <n v="176.8"/>
        <n v="15.69"/>
        <n v="56.18"/>
        <n v="-29.32"/>
        <n v="25.19"/>
        <n v="23.4"/>
        <n v="-9.15"/>
        <n v="-11.76"/>
        <n v="-1.43"/>
        <n v="99.3"/>
        <n v="158.53"/>
        <n v="28.14"/>
        <n v="22.56"/>
        <n v="162.86000000000001"/>
        <n v="51.82"/>
        <n v="22.87"/>
        <n v="12.29"/>
        <n v="356.23"/>
        <n v="36.93"/>
        <n v="220.99"/>
        <n v="29.53"/>
        <n v="6.26"/>
        <n v="298.69"/>
        <n v="-51.72"/>
        <n v="30.08"/>
        <n v="6.07"/>
        <n v="22.68"/>
        <n v="31.6"/>
        <n v="7.46"/>
        <n v="-4.0599999999999996"/>
        <n v="-137.53"/>
        <n v="-147.87"/>
        <n v="25.25"/>
        <n v="68.12"/>
        <n v="6.06"/>
        <n v="13.94"/>
        <n v="-31.84"/>
        <n v="39.869999999999997"/>
        <n v="111.52"/>
        <n v="24.19"/>
        <n v="-14.33"/>
        <n v="76.790000000000006"/>
        <n v="184.22"/>
        <n v="8.6999999999999993"/>
        <n v="3.61"/>
        <n v="20"/>
        <n v="122.76"/>
        <n v="15.83"/>
        <n v="19.920000000000002"/>
        <n v="8.56"/>
        <n v="199.26"/>
        <n v="-107.96"/>
        <n v="-187.38"/>
        <n v="-26.64"/>
        <n v="-9.7100000000000009"/>
        <n v="-22.68"/>
        <n v="-38.82"/>
        <n v="-12.53"/>
        <n v="-21.16"/>
        <n v="-13.58"/>
        <n v="-169.64"/>
        <n v="27.91"/>
        <n v="5.81"/>
        <n v="682.52"/>
        <n v="680"/>
        <n v="44.6"/>
        <n v="0.61"/>
        <n v="31.93"/>
        <n v="80.37"/>
        <n v="-228.74"/>
        <n v="19.239999999999998"/>
        <n v="-1141.47"/>
        <n v="-11.99"/>
        <n v="29.33"/>
        <n v="38.93"/>
        <n v="16.38"/>
        <n v="12.63"/>
        <n v="10.06"/>
        <n v="35.69"/>
        <n v="-2.59"/>
        <n v="40.35"/>
        <n v="-26.09"/>
        <n v="146.79"/>
        <n v="-426.99"/>
        <n v="0.71"/>
        <n v="459.4"/>
        <n v="41.76"/>
        <n v="79.19"/>
        <n v="65.959999999999994"/>
        <n v="-417.09"/>
        <n v="16"/>
        <n v="-2.69"/>
        <n v="-32.479999999999997"/>
        <n v="11.33"/>
        <n v="7.73"/>
        <n v="108.35"/>
        <n v="-3.69"/>
        <n v="-1.4"/>
        <n v="-20.170000000000002"/>
        <n v="52.79"/>
        <n v="101.65"/>
        <n v="33.340000000000003"/>
        <n v="-12.35"/>
        <n v="19.66"/>
        <n v="47.05"/>
        <n v="440.76"/>
        <n v="-14.99"/>
        <n v="-77.63"/>
        <n v="0.86"/>
        <n v="57.5"/>
        <n v="62.7"/>
        <n v="78.67"/>
        <n v="112.49"/>
        <n v="16.55"/>
        <n v="16.95"/>
        <n v="140.6"/>
        <n v="23.22"/>
        <n v="4.76"/>
        <n v="42.13"/>
        <n v="168.44"/>
        <n v="69.989999999999995"/>
        <n v="9.64"/>
        <n v="-8.3800000000000008"/>
        <n v="11.52"/>
        <n v="-10.039999999999999"/>
        <n v="21.27"/>
        <n v="-173.35"/>
        <n v="421.08"/>
        <n v="-181.27"/>
        <n v="-8.61"/>
        <n v="-46.43"/>
        <n v="3.25"/>
        <n v="24.91"/>
        <n v="11.76"/>
        <n v="32.17"/>
        <n v="18.59"/>
        <n v="23.55"/>
        <n v="38.03"/>
        <n v="85.18"/>
        <n v="360"/>
        <n v="19.32"/>
        <n v="1.82"/>
        <n v="-19.11"/>
        <n v="70.010000000000005"/>
        <n v="47.98"/>
        <n v="11.13"/>
        <n v="33.33"/>
        <n v="-5.94"/>
        <n v="-102.05"/>
        <n v="-248.25"/>
        <n v="-3.55"/>
        <n v="-7.72"/>
        <n v="1.22"/>
        <n v="1264.76"/>
        <n v="621.97"/>
        <n v="10.49"/>
        <n v="114.94"/>
        <n v="97.88"/>
        <n v="79.790000000000006"/>
        <n v="91.97"/>
        <n v="-13.36"/>
        <n v="88.07"/>
        <n v="219.99"/>
        <n v="-29.05"/>
        <n v="20.34"/>
        <n v="42"/>
        <n v="71.540000000000006"/>
        <n v="21.95"/>
        <n v="6.42"/>
        <n v="-17.05"/>
        <n v="2.36"/>
        <n v="13.37"/>
        <n v="17.98"/>
        <n v="0.42"/>
        <n v="-458.15"/>
        <n v="-15.72"/>
        <n v="12.99"/>
        <n v="45.81"/>
        <n v="-17.59"/>
        <n v="-112.04"/>
        <n v="-44.94"/>
        <n v="20.7"/>
        <n v="11.28"/>
        <n v="165.72"/>
        <n v="4.57"/>
        <n v="-1.93"/>
        <n v="-1.54"/>
        <n v="-7.52"/>
        <n v="72.95"/>
        <n v="11.58"/>
        <n v="-7.32"/>
        <n v="-152.97999999999999"/>
        <n v="15.53"/>
        <n v="0.64"/>
        <n v="29.6"/>
        <n v="18.04"/>
        <n v="-18.8"/>
        <n v="-119.19"/>
        <n v="-57.95"/>
        <n v="-52.55"/>
        <n v="70.56"/>
        <n v="39.69"/>
        <n v="27.44"/>
        <n v="423.01"/>
        <n v="119.2"/>
        <n v="18.46"/>
        <n v="52.49"/>
        <n v="1049.99"/>
        <n v="-23.78"/>
        <n v="22.7"/>
        <n v="22.02"/>
        <n v="46.23"/>
        <n v="26.07"/>
        <n v="63.11"/>
        <n v="87.99"/>
        <n v="16.850000000000001"/>
        <n v="17.670000000000002"/>
        <n v="9.44"/>
        <n v="-14.88"/>
        <n v="2.14"/>
        <n v="-7"/>
        <n v="-356.96"/>
        <n v="12.74"/>
        <n v="-53.07"/>
        <n v="1.1599999999999999"/>
        <n v="4.7699999999999996"/>
        <n v="-10.71"/>
        <n v="6.47"/>
        <n v="1.99"/>
        <n v="15.43"/>
        <n v="4.42"/>
        <n v="34.96"/>
        <n v="-2.66"/>
        <n v="-34.31"/>
        <n v="25.87"/>
        <n v="-77.13"/>
        <n v="539.25"/>
        <n v="793.72"/>
        <n v="-0.64"/>
        <n v="15.92"/>
        <n v="9.67"/>
        <n v="362.84"/>
        <n v="1.27"/>
        <n v="-3.49"/>
        <n v="1.84"/>
        <n v="-4.1399999999999997"/>
        <n v="-115.43"/>
        <n v="36.18"/>
        <n v="22.23"/>
        <n v="5.45"/>
        <n v="5.62"/>
        <n v="-9.56"/>
        <n v="54.04"/>
        <n v="-17.440000000000001"/>
        <n v="52.92"/>
        <n v="-4.47"/>
        <n v="2.08"/>
        <n v="-18.87"/>
        <n v="140.96"/>
        <n v="-3.5"/>
        <n v="-48.39"/>
        <n v="-71.89"/>
        <n v="11.36"/>
        <n v="54.06"/>
        <n v="-30.25"/>
        <n v="17.5"/>
        <n v="54.33"/>
        <n v="15.01"/>
        <n v="84.22"/>
        <n v="1.98"/>
        <n v="-48.51"/>
        <n v="1.0900000000000001"/>
        <n v="130.21"/>
        <n v="41.86"/>
        <n v="-3.81"/>
        <n v="41.95"/>
        <n v="67.94"/>
        <n v="143.04"/>
        <n v="-6.86"/>
        <n v="78.2"/>
        <n v="59.44"/>
        <n v="-8.11"/>
        <n v="5.52"/>
        <n v="77.75"/>
        <n v="92.44"/>
        <n v="49.76"/>
        <n v="114.63"/>
        <n v="11.1"/>
        <n v="-103.99"/>
        <n v="209.58"/>
        <n v="742.63"/>
        <n v="93.2"/>
        <n v="54.34"/>
        <n v="0.88"/>
        <n v="-348.63"/>
        <n v="-17.66"/>
        <n v="-10.42"/>
        <n v="22.39"/>
        <n v="-2.2599999999999998"/>
        <n v="-13.74"/>
        <n v="6.33"/>
        <n v="93.24"/>
        <n v="-45.35"/>
        <n v="-114"/>
        <n v="85.79"/>
        <n v="0.12"/>
        <n v="4.1500000000000004"/>
        <n v="99.23"/>
        <n v="385.38"/>
        <n v="7.82"/>
        <n v="10.5"/>
        <n v="35.33"/>
        <n v="30.23"/>
        <n v="58.18"/>
        <n v="9.1999999999999993"/>
        <n v="8.67"/>
        <n v="45.49"/>
        <n v="-0.79"/>
        <n v="2.98"/>
        <n v="-146.16"/>
        <n v="31.59"/>
        <n v="48.81"/>
        <n v="26.12"/>
        <n v="10.9"/>
        <n v="17.239999999999998"/>
        <n v="11.82"/>
        <n v="244.62"/>
        <n v="43.71"/>
        <n v="9.31"/>
        <n v="1.19"/>
        <n v="17"/>
        <n v="-264"/>
        <n v="18.53"/>
        <n v="-36.67"/>
        <n v="23.97"/>
        <n v="3.18"/>
        <n v="-5.64"/>
        <n v="7.55"/>
        <n v="60.42"/>
        <n v="29.52"/>
        <n v="66.599999999999994"/>
        <n v="23.32"/>
        <n v="247.49"/>
        <n v="11.83"/>
        <n v="21.04"/>
        <n v="5.49"/>
        <n v="26.2"/>
        <n v="18"/>
        <n v="4.6399999999999997"/>
        <n v="-13.44"/>
        <n v="-25.11"/>
        <n v="44.24"/>
        <n v="11.67"/>
        <n v="7.81"/>
        <n v="25.9"/>
        <n v="412.47"/>
        <n v="35.04"/>
        <n v="25.47"/>
        <n v="378.17"/>
        <n v="10.01"/>
        <n v="2.87"/>
        <n v="-22.51"/>
        <n v="219.65"/>
        <n v="152.02000000000001"/>
        <n v="373.78"/>
        <n v="59.37"/>
        <n v="27.3"/>
        <n v="12.25"/>
        <n v="39.07"/>
        <n v="8.02"/>
        <n v="134.53"/>
        <n v="103.82"/>
        <n v="45.37"/>
        <n v="4.1399999999999997"/>
        <n v="323.95"/>
        <n v="829.38"/>
        <n v="3.46"/>
        <n v="-93.33"/>
        <n v="38.08"/>
        <n v="37"/>
        <n v="12.6"/>
        <n v="2.83"/>
        <n v="37.56"/>
        <n v="-15.09"/>
        <n v="-44.24"/>
        <n v="-7.12"/>
        <n v="-2.96"/>
        <n v="757.41"/>
        <n v="11.21"/>
        <n v="132.99"/>
        <n v="-68.19"/>
        <n v="28.9"/>
        <n v="85.49"/>
        <n v="201.31"/>
        <n v="14.12"/>
        <n v="-8.08"/>
        <n v="14.1"/>
        <n v="-105.69"/>
        <n v="21.42"/>
        <n v="3.19"/>
        <n v="-0.21"/>
        <n v="39.54"/>
        <n v="-99.18"/>
        <n v="15.11"/>
        <n v="-117.88"/>
        <n v="0.62"/>
        <n v="-20.45"/>
        <n v="-3.06"/>
        <n v="152.5"/>
        <n v="1.74"/>
        <n v="65.36"/>
        <n v="0.54"/>
        <n v="4.34"/>
        <n v="105.28"/>
        <n v="-58.72"/>
        <n v="-29.44"/>
        <n v="-1.1200000000000001"/>
        <n v="80.48"/>
        <n v="133.86000000000001"/>
        <n v="26.47"/>
        <n v="1.65"/>
        <n v="1.89"/>
        <n v="47.46"/>
        <n v="46.54"/>
        <n v="37.880000000000003"/>
        <n v="-28.27"/>
        <n v="7.14"/>
        <n v="34.18"/>
        <n v="7.27"/>
        <n v="-566.55999999999995"/>
        <n v="-47.4"/>
        <n v="20.239999999999998"/>
        <n v="107.99"/>
        <n v="15.5"/>
        <n v="-11.65"/>
        <n v="-39.64"/>
        <n v="16.93"/>
        <n v="-48.47"/>
        <n v="-2.33"/>
        <n v="64.67"/>
        <n v="-386.39"/>
        <n v="-1.99"/>
        <n v="-3.23"/>
        <n v="-15.25"/>
        <n v="22.81"/>
        <n v="3.45"/>
        <n v="3.89"/>
        <n v="51.19"/>
        <n v="-5.22"/>
        <n v="16.559999999999999"/>
        <n v="27.18"/>
        <n v="14.62"/>
        <n v="53.43"/>
        <n v="6.58"/>
        <n v="17.18"/>
        <n v="7.25"/>
        <n v="-1143.8900000000001"/>
        <n v="8.8000000000000007"/>
        <n v="-56.31"/>
        <n v="10.87"/>
        <n v="256.77999999999997"/>
        <n v="34.21"/>
        <n v="459.99"/>
        <n v="-17.989999999999998"/>
        <n v="-65.849999999999994"/>
        <n v="-4.2"/>
        <n v="17.989999999999998"/>
        <n v="20.37"/>
        <n v="50.88"/>
        <n v="6.67"/>
        <n v="26.35"/>
        <n v="45"/>
        <n v="27.37"/>
        <n v="20.85"/>
        <n v="60.49"/>
        <n v="767.2"/>
        <n v="26.7"/>
        <n v="56.79"/>
        <n v="204.77"/>
        <n v="1.33"/>
        <n v="-21.89"/>
        <n v="-1002.78"/>
        <n v="-26.25"/>
        <n v="5.93"/>
        <n v="-384.72"/>
        <n v="-16.600000000000001"/>
        <n v="10.7"/>
        <n v="5.94"/>
        <n v="32.299999999999997"/>
        <n v="-56.06"/>
        <n v="-6.42"/>
        <n v="21.82"/>
        <n v="3.12"/>
        <n v="8.59"/>
        <n v="25.58"/>
        <n v="13.47"/>
        <n v="7.23"/>
        <n v="43.9"/>
        <n v="2.46"/>
        <n v="1351.99"/>
        <n v="13.56"/>
        <n v="-59.84"/>
        <n v="6.85"/>
        <n v="26.97"/>
        <n v="66.069999999999993"/>
        <n v="115.19"/>
        <n v="7.67"/>
        <n v="32.659999999999997"/>
        <n v="1.87"/>
        <n v="200.86"/>
        <n v="-28.97"/>
        <n v="65.33"/>
        <n v="-33.64"/>
        <n v="-6.36"/>
        <n v="11.61"/>
        <n v="115.18"/>
        <n v="-430.62"/>
        <n v="-42.65"/>
        <n v="-32.659999999999997"/>
        <n v="16.54"/>
        <n v="-47.87"/>
        <n v="95.2"/>
        <n v="36.92"/>
        <n v="130.75"/>
        <n v="1.59"/>
        <n v="17.41"/>
        <n v="129.29"/>
        <n v="27.72"/>
        <n v="128.68"/>
        <n v="-76.95"/>
        <n v="7.85"/>
        <n v="239.91"/>
        <n v="91.06"/>
        <n v="10.73"/>
        <n v="9.17"/>
        <n v="38.29"/>
        <n v="4.22"/>
        <n v="0.17"/>
        <n v="10.51"/>
        <n v="2.61"/>
        <n v="517.48"/>
        <n v="0.66"/>
        <n v="1.26"/>
        <n v="2.88"/>
        <n v="-186.16"/>
        <n v="-81.73"/>
        <n v="20.98"/>
        <n v="-35.51"/>
        <n v="1.45"/>
        <n v="65.73"/>
        <n v="17.38"/>
        <n v="14.15"/>
        <n v="-7.78"/>
        <n v="17.579999999999998"/>
        <n v="27.1"/>
        <n v="0.51"/>
        <n v="20.91"/>
        <n v="5.29"/>
        <n v="5.97"/>
        <n v="36.479999999999997"/>
        <n v="311.99"/>
        <n v="-3839.99"/>
        <n v="14.65"/>
        <n v="3.26"/>
        <n v="-192.05"/>
        <n v="119"/>
        <n v="15.6"/>
        <n v="-32.380000000000003"/>
        <n v="-2.97"/>
        <n v="-13.19"/>
        <n v="-2.3199999999999998"/>
        <n v="-6.19"/>
        <n v="-43.73"/>
        <n v="-1.83"/>
        <n v="30.5"/>
        <n v="54.4"/>
        <n v="171.93"/>
        <n v="-25.65"/>
        <n v="55.44"/>
        <n v="55.58"/>
        <n v="-66.599999999999994"/>
        <n v="3.71"/>
        <n v="38.53"/>
        <n v="31.19"/>
        <n v="12.03"/>
        <n v="2.97"/>
        <n v="-10.62"/>
        <n v="6.36"/>
        <n v="-51.83"/>
        <n v="-30.93"/>
        <n v="149.91"/>
        <n v="366.63"/>
        <n v="-73.05"/>
        <n v="32.69"/>
        <n v="-19.86"/>
        <n v="66.64"/>
        <n v="-140.13999999999999"/>
        <n v="145.13"/>
        <n v="43.68"/>
        <n v="19.079999999999998"/>
        <n v="32.97"/>
        <n v="112.42"/>
        <n v="40.54"/>
        <n v="44"/>
        <n v="355.45"/>
        <n v="473.61"/>
        <n v="157.87"/>
        <n v="20.73"/>
        <n v="52.34"/>
        <n v="38.4"/>
        <n v="-25.59"/>
        <n v="-64"/>
        <n v="-35.99"/>
        <n v="15.12"/>
        <n v="-146.11000000000001"/>
        <n v="314.27"/>
        <n v="124.96"/>
        <n v="-427.45"/>
        <n v="9.5500000000000007"/>
        <n v="-7.68"/>
        <n v="2.11"/>
        <n v="112.22"/>
        <n v="43.6"/>
        <n v="-36.21"/>
        <n v="3.39"/>
        <n v="-32.090000000000003"/>
        <n v="39.520000000000003"/>
        <n v="50.92"/>
        <n v="21.58"/>
        <n v="130.29"/>
        <n v="14.45"/>
        <n v="11.87"/>
        <n v="69.709999999999994"/>
        <n v="-47.25"/>
        <n v="-92.7"/>
        <n v="-5.68"/>
        <n v="-45.84"/>
        <n v="-15.59"/>
        <n v="-0.56000000000000005"/>
        <n v="-17.71"/>
        <n v="-10.91"/>
        <n v="-55.26"/>
        <n v="35.630000000000003"/>
        <n v="16.21"/>
        <n v="6.93"/>
        <n v="6.65"/>
        <n v="6.13"/>
        <n v="30.48"/>
        <n v="24.73"/>
        <n v="-18.12"/>
        <n v="251.2"/>
        <n v="18.84"/>
        <n v="41.17"/>
        <n v="31.1"/>
        <n v="5.41"/>
        <n v="107.04"/>
        <n v="-5.6"/>
        <n v="-28.5"/>
        <n v="151.1"/>
        <n v="-766.01"/>
        <n v="-3.72"/>
        <n v="-33.479999999999997"/>
        <n v="-462.86"/>
        <n v="743.99"/>
        <n v="-8"/>
        <n v="43.46"/>
        <n v="44.98"/>
        <n v="168.47"/>
        <n v="-24.42"/>
        <n v="-363.53"/>
        <n v="-14.34"/>
        <n v="68"/>
        <n v="-45.24"/>
        <n v="-25.2"/>
        <n v="80.319999999999993"/>
        <n v="284.19"/>
        <n v="29.37"/>
        <n v="5.12"/>
        <n v="36.99"/>
        <n v="1.51"/>
        <n v="4.5199999999999996"/>
        <n v="-21.11"/>
        <n v="-14.27"/>
        <n v="14.07"/>
        <n v="-4.46"/>
        <n v="-10.28"/>
        <n v="-28.8"/>
        <n v="2.5499999999999998"/>
        <n v="143.97999999999999"/>
        <n v="-272.58"/>
        <n v="23.24"/>
        <n v="45.56"/>
        <n v="18.18"/>
        <n v="17.510000000000002"/>
        <n v="40.75"/>
        <n v="67.66"/>
        <n v="18.190000000000001"/>
        <n v="68.819999999999993"/>
        <n v="39.979999999999997"/>
        <n v="60.46"/>
        <n v="1.24"/>
        <n v="25.54"/>
        <n v="-2929.48"/>
        <n v="89.78"/>
        <n v="-112.95"/>
        <n v="13.61"/>
        <n v="27.43"/>
        <n v="-18.45"/>
        <n v="15.47"/>
        <n v="40.44"/>
        <n v="32.06"/>
        <n v="28.09"/>
        <n v="41.39"/>
        <n v="12.66"/>
        <n v="160.04"/>
        <n v="-58.5"/>
        <n v="3.64"/>
        <n v="-21"/>
        <n v="-5.82"/>
        <n v="44.48"/>
        <n v="-7.44"/>
        <n v="21.59"/>
        <n v="226.96"/>
        <n v="0.43"/>
        <n v="12.49"/>
        <n v="22.41"/>
        <n v="68.040000000000006"/>
        <n v="-9.9700000000000006"/>
        <n v="13.51"/>
        <n v="62.32"/>
        <n v="629.99"/>
        <n v="-8.1300000000000008"/>
        <n v="22.95"/>
        <n v="3.37"/>
        <n v="116.87"/>
        <n v="123.77"/>
        <n v="5.73"/>
        <n v="38.99"/>
        <n v="257.99"/>
        <n v="-2.5099999999999998"/>
        <n v="-9.1"/>
        <n v="-66.06"/>
        <n v="-14.87"/>
        <n v="23.26"/>
        <n v="5.05"/>
        <n v="29.25"/>
        <n v="-3.76"/>
        <n v="-420"/>
        <n v="-16.55"/>
        <n v="-12.15"/>
        <n v="3.49"/>
        <n v="2.59"/>
        <n v="2.16"/>
      </sharedItems>
    </cacheField>
  </cacheFields>
  <extLst>
    <ext xmlns:x14="http://schemas.microsoft.com/office/spreadsheetml/2009/9/main" uri="{725AE2AE-9491-48be-B2B4-4EB974FC3084}">
      <x14:pivotCacheDefinition pivotCacheId="1890899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3">
  <r>
    <d v="2014-03-01T00:00:00"/>
    <x v="0"/>
    <x v="0"/>
    <x v="0"/>
    <x v="0"/>
    <x v="0"/>
    <n v="16.45"/>
    <n v="2"/>
    <n v="5.55"/>
  </r>
  <r>
    <d v="2014-04-01T00:00:00"/>
    <x v="1"/>
    <x v="1"/>
    <x v="0"/>
    <x v="1"/>
    <x v="1"/>
    <n v="11.78"/>
    <n v="3"/>
    <n v="4.2699999999999996"/>
  </r>
  <r>
    <d v="2014-04-01T00:00:00"/>
    <x v="1"/>
    <x v="1"/>
    <x v="0"/>
    <x v="2"/>
    <x v="2"/>
    <n v="272.74"/>
    <n v="3"/>
    <n v="-64.77"/>
  </r>
  <r>
    <d v="2014-04-01T00:00:00"/>
    <x v="1"/>
    <x v="1"/>
    <x v="0"/>
    <x v="3"/>
    <x v="3"/>
    <n v="3.54"/>
    <n v="2"/>
    <n v="-5.49"/>
  </r>
  <r>
    <d v="2014-05-01T00:00:00"/>
    <x v="2"/>
    <x v="2"/>
    <x v="0"/>
    <x v="4"/>
    <x v="4"/>
    <n v="19.54"/>
    <n v="3"/>
    <n v="4.88"/>
  </r>
  <r>
    <d v="2014-06-01T00:00:00"/>
    <x v="3"/>
    <x v="3"/>
    <x v="0"/>
    <x v="0"/>
    <x v="5"/>
    <n v="19.440000000000001"/>
    <n v="3"/>
    <n v="9.33"/>
  </r>
  <r>
    <d v="2014-06-01T00:00:00"/>
    <x v="4"/>
    <x v="4"/>
    <x v="0"/>
    <x v="4"/>
    <x v="6"/>
    <n v="12.78"/>
    <n v="3"/>
    <n v="5.24"/>
  </r>
  <r>
    <d v="2014-06-01T00:00:00"/>
    <x v="5"/>
    <x v="5"/>
    <x v="1"/>
    <x v="5"/>
    <x v="7"/>
    <n v="2573.8200000000002"/>
    <n v="9"/>
    <n v="746.41"/>
  </r>
  <r>
    <d v="2014-06-01T00:00:00"/>
    <x v="5"/>
    <x v="5"/>
    <x v="0"/>
    <x v="3"/>
    <x v="8"/>
    <n v="609.98"/>
    <n v="2"/>
    <n v="274.49"/>
  </r>
  <r>
    <d v="2014-06-01T00:00:00"/>
    <x v="5"/>
    <x v="5"/>
    <x v="0"/>
    <x v="4"/>
    <x v="9"/>
    <n v="5.48"/>
    <n v="2"/>
    <n v="1.48"/>
  </r>
  <r>
    <d v="2014-06-01T00:00:00"/>
    <x v="5"/>
    <x v="5"/>
    <x v="2"/>
    <x v="6"/>
    <x v="10"/>
    <n v="391.98"/>
    <n v="2"/>
    <n v="113.67"/>
  </r>
  <r>
    <d v="2014-06-01T00:00:00"/>
    <x v="5"/>
    <x v="5"/>
    <x v="2"/>
    <x v="6"/>
    <x v="11"/>
    <n v="755.96"/>
    <n v="4"/>
    <n v="204.11"/>
  </r>
  <r>
    <d v="2014-06-01T00:00:00"/>
    <x v="5"/>
    <x v="5"/>
    <x v="0"/>
    <x v="7"/>
    <x v="12"/>
    <n v="31.12"/>
    <n v="4"/>
    <n v="0.31"/>
  </r>
  <r>
    <d v="2014-06-01T00:00:00"/>
    <x v="5"/>
    <x v="5"/>
    <x v="0"/>
    <x v="0"/>
    <x v="13"/>
    <n v="6.54"/>
    <n v="1"/>
    <n v="3.01"/>
  </r>
  <r>
    <d v="2014-07-01T00:00:00"/>
    <x v="6"/>
    <x v="0"/>
    <x v="1"/>
    <x v="8"/>
    <x v="14"/>
    <n v="76.73"/>
    <n v="3"/>
    <n v="-53.71"/>
  </r>
  <r>
    <d v="2014-07-01T00:00:00"/>
    <x v="6"/>
    <x v="0"/>
    <x v="0"/>
    <x v="3"/>
    <x v="15"/>
    <n v="10.43"/>
    <n v="7"/>
    <n v="-18.25"/>
  </r>
  <r>
    <d v="2014-09-01T00:00:00"/>
    <x v="7"/>
    <x v="0"/>
    <x v="0"/>
    <x v="4"/>
    <x v="16"/>
    <n v="9.34"/>
    <n v="2"/>
    <n v="1.17"/>
  </r>
  <r>
    <d v="2014-09-01T00:00:00"/>
    <x v="7"/>
    <x v="0"/>
    <x v="2"/>
    <x v="9"/>
    <x v="17"/>
    <n v="31.2"/>
    <n v="3"/>
    <n v="9.75"/>
  </r>
  <r>
    <d v="2014-10-01T00:00:00"/>
    <x v="8"/>
    <x v="6"/>
    <x v="0"/>
    <x v="1"/>
    <x v="18"/>
    <n v="2.89"/>
    <n v="1"/>
    <n v="1.36"/>
  </r>
  <r>
    <d v="2014-10-01T00:00:00"/>
    <x v="8"/>
    <x v="6"/>
    <x v="1"/>
    <x v="8"/>
    <x v="19"/>
    <n v="51.94"/>
    <n v="1"/>
    <n v="21.3"/>
  </r>
  <r>
    <d v="2014-11-01T00:00:00"/>
    <x v="9"/>
    <x v="7"/>
    <x v="1"/>
    <x v="8"/>
    <x v="20"/>
    <n v="9.94"/>
    <n v="2"/>
    <n v="3.08"/>
  </r>
  <r>
    <d v="2014-01-02T00:00:00"/>
    <x v="10"/>
    <x v="8"/>
    <x v="2"/>
    <x v="9"/>
    <x v="21"/>
    <n v="468.9"/>
    <n v="6"/>
    <n v="206.32"/>
  </r>
  <r>
    <d v="2014-02-02T00:00:00"/>
    <x v="11"/>
    <x v="3"/>
    <x v="0"/>
    <x v="7"/>
    <x v="22"/>
    <n v="12.35"/>
    <n v="5"/>
    <n v="5.8"/>
  </r>
  <r>
    <d v="2014-02-02T00:00:00"/>
    <x v="12"/>
    <x v="9"/>
    <x v="0"/>
    <x v="3"/>
    <x v="23"/>
    <n v="18.34"/>
    <n v="2"/>
    <n v="-12.22"/>
  </r>
  <r>
    <d v="2014-02-02T00:00:00"/>
    <x v="12"/>
    <x v="9"/>
    <x v="2"/>
    <x v="6"/>
    <x v="24"/>
    <n v="180.96"/>
    <n v="5"/>
    <n v="13.57"/>
  </r>
  <r>
    <d v="2014-03-02T00:00:00"/>
    <x v="13"/>
    <x v="10"/>
    <x v="0"/>
    <x v="3"/>
    <x v="25"/>
    <n v="83.84"/>
    <n v="2"/>
    <n v="27.25"/>
  </r>
  <r>
    <d v="2014-03-02T00:00:00"/>
    <x v="13"/>
    <x v="10"/>
    <x v="0"/>
    <x v="3"/>
    <x v="26"/>
    <n v="13.27"/>
    <n v="3"/>
    <n v="4.3099999999999996"/>
  </r>
  <r>
    <d v="2014-04-02T00:00:00"/>
    <x v="14"/>
    <x v="3"/>
    <x v="0"/>
    <x v="3"/>
    <x v="27"/>
    <n v="82.9"/>
    <n v="3"/>
    <n v="29.01"/>
  </r>
  <r>
    <d v="2014-04-02T00:00:00"/>
    <x v="14"/>
    <x v="3"/>
    <x v="0"/>
    <x v="0"/>
    <x v="28"/>
    <n v="34.24"/>
    <n v="4"/>
    <n v="16.09"/>
  </r>
  <r>
    <d v="2014-04-02T00:00:00"/>
    <x v="15"/>
    <x v="3"/>
    <x v="0"/>
    <x v="3"/>
    <x v="29"/>
    <n v="17.25"/>
    <n v="2"/>
    <n v="6.04"/>
  </r>
  <r>
    <d v="2014-06-02T00:00:00"/>
    <x v="16"/>
    <x v="6"/>
    <x v="0"/>
    <x v="1"/>
    <x v="30"/>
    <n v="15"/>
    <n v="4"/>
    <n v="7.2"/>
  </r>
  <r>
    <d v="2014-06-02T00:00:00"/>
    <x v="16"/>
    <x v="6"/>
    <x v="2"/>
    <x v="6"/>
    <x v="31"/>
    <n v="161.61000000000001"/>
    <n v="1"/>
    <n v="42.02"/>
  </r>
  <r>
    <d v="2014-06-02T00:00:00"/>
    <x v="16"/>
    <x v="6"/>
    <x v="2"/>
    <x v="6"/>
    <x v="32"/>
    <n v="144.94999999999999"/>
    <n v="5"/>
    <n v="42.04"/>
  </r>
  <r>
    <d v="2014-06-02T00:00:00"/>
    <x v="17"/>
    <x v="1"/>
    <x v="0"/>
    <x v="3"/>
    <x v="33"/>
    <n v="8.9499999999999993"/>
    <n v="2"/>
    <n v="-14.77"/>
  </r>
  <r>
    <d v="2014-07-02T00:00:00"/>
    <x v="18"/>
    <x v="11"/>
    <x v="2"/>
    <x v="9"/>
    <x v="34"/>
    <n v="115.36"/>
    <n v="7"/>
    <n v="49.6"/>
  </r>
  <r>
    <d v="2014-07-02T00:00:00"/>
    <x v="19"/>
    <x v="12"/>
    <x v="0"/>
    <x v="2"/>
    <x v="35"/>
    <n v="64.959999999999994"/>
    <n v="4"/>
    <n v="9.74"/>
  </r>
  <r>
    <d v="2014-08-02T00:00:00"/>
    <x v="20"/>
    <x v="13"/>
    <x v="1"/>
    <x v="8"/>
    <x v="36"/>
    <n v="14.56"/>
    <n v="2"/>
    <n v="5.53"/>
  </r>
  <r>
    <d v="2014-11-02T00:00:00"/>
    <x v="21"/>
    <x v="6"/>
    <x v="2"/>
    <x v="9"/>
    <x v="21"/>
    <n v="234.45"/>
    <n v="3"/>
    <n v="103.16"/>
  </r>
  <r>
    <d v="2014-11-02T00:00:00"/>
    <x v="21"/>
    <x v="6"/>
    <x v="1"/>
    <x v="10"/>
    <x v="37"/>
    <n v="1256.22"/>
    <n v="6"/>
    <n v="75.37"/>
  </r>
  <r>
    <d v="2014-11-02T00:00:00"/>
    <x v="21"/>
    <x v="6"/>
    <x v="0"/>
    <x v="3"/>
    <x v="38"/>
    <n v="17.46"/>
    <n v="2"/>
    <n v="8.2100000000000009"/>
  </r>
  <r>
    <d v="2014-11-02T00:00:00"/>
    <x v="22"/>
    <x v="14"/>
    <x v="1"/>
    <x v="5"/>
    <x v="39"/>
    <n v="60.89"/>
    <n v="1"/>
    <n v="15.22"/>
  </r>
  <r>
    <d v="2014-11-02T00:00:00"/>
    <x v="22"/>
    <x v="14"/>
    <x v="0"/>
    <x v="1"/>
    <x v="40"/>
    <n v="14.94"/>
    <n v="3"/>
    <n v="6.87"/>
  </r>
  <r>
    <d v="2014-11-02T00:00:00"/>
    <x v="22"/>
    <x v="14"/>
    <x v="0"/>
    <x v="3"/>
    <x v="41"/>
    <n v="9.64"/>
    <n v="2"/>
    <n v="4.43"/>
  </r>
  <r>
    <d v="2014-11-02T00:00:00"/>
    <x v="22"/>
    <x v="14"/>
    <x v="1"/>
    <x v="8"/>
    <x v="42"/>
    <n v="332.94"/>
    <n v="3"/>
    <n v="53.27"/>
  </r>
  <r>
    <d v="2014-11-02T00:00:00"/>
    <x v="22"/>
    <x v="14"/>
    <x v="0"/>
    <x v="3"/>
    <x v="43"/>
    <n v="51.9"/>
    <n v="3"/>
    <n v="24.39"/>
  </r>
  <r>
    <d v="2014-11-02T00:00:00"/>
    <x v="22"/>
    <x v="14"/>
    <x v="0"/>
    <x v="2"/>
    <x v="44"/>
    <n v="64.959999999999994"/>
    <n v="2"/>
    <n v="2.6"/>
  </r>
  <r>
    <d v="2014-12-02T00:00:00"/>
    <x v="23"/>
    <x v="3"/>
    <x v="1"/>
    <x v="5"/>
    <x v="45"/>
    <n v="129.57"/>
    <n v="2"/>
    <n v="-24.29"/>
  </r>
  <r>
    <d v="2014-01-03T00:00:00"/>
    <x v="24"/>
    <x v="10"/>
    <x v="1"/>
    <x v="5"/>
    <x v="7"/>
    <n v="457.57"/>
    <n v="2"/>
    <n v="51.48"/>
  </r>
  <r>
    <d v="2014-01-03T00:00:00"/>
    <x v="25"/>
    <x v="12"/>
    <x v="2"/>
    <x v="6"/>
    <x v="46"/>
    <n v="5.94"/>
    <n v="3"/>
    <n v="1.6"/>
  </r>
  <r>
    <d v="2014-01-03T00:00:00"/>
    <x v="26"/>
    <x v="1"/>
    <x v="1"/>
    <x v="5"/>
    <x v="47"/>
    <n v="634.12"/>
    <n v="6"/>
    <n v="-172.12"/>
  </r>
  <r>
    <d v="2014-01-03T00:00:00"/>
    <x v="26"/>
    <x v="1"/>
    <x v="0"/>
    <x v="0"/>
    <x v="48"/>
    <n v="17.47"/>
    <n v="3"/>
    <n v="5.68"/>
  </r>
  <r>
    <d v="2014-01-03T00:00:00"/>
    <x v="27"/>
    <x v="0"/>
    <x v="0"/>
    <x v="7"/>
    <x v="49"/>
    <n v="18.84"/>
    <n v="5"/>
    <n v="-3.53"/>
  </r>
  <r>
    <d v="2014-01-03T00:00:00"/>
    <x v="27"/>
    <x v="0"/>
    <x v="1"/>
    <x v="5"/>
    <x v="50"/>
    <n v="362.25"/>
    <n v="6"/>
    <n v="0"/>
  </r>
  <r>
    <d v="2014-01-03T00:00:00"/>
    <x v="27"/>
    <x v="0"/>
    <x v="1"/>
    <x v="8"/>
    <x v="51"/>
    <n v="63.55"/>
    <n v="6"/>
    <n v="-34.950000000000003"/>
  </r>
  <r>
    <d v="2014-01-03T00:00:00"/>
    <x v="27"/>
    <x v="0"/>
    <x v="0"/>
    <x v="2"/>
    <x v="52"/>
    <n v="129.55000000000001"/>
    <n v="3"/>
    <n v="-22.67"/>
  </r>
  <r>
    <d v="2014-01-03T00:00:00"/>
    <x v="28"/>
    <x v="0"/>
    <x v="0"/>
    <x v="2"/>
    <x v="53"/>
    <n v="137.35"/>
    <n v="3"/>
    <n v="8.58"/>
  </r>
  <r>
    <d v="2014-01-03T00:00:00"/>
    <x v="28"/>
    <x v="0"/>
    <x v="1"/>
    <x v="10"/>
    <x v="54"/>
    <n v="376.51"/>
    <n v="3"/>
    <n v="-43.03"/>
  </r>
  <r>
    <d v="2014-02-03T00:00:00"/>
    <x v="29"/>
    <x v="12"/>
    <x v="0"/>
    <x v="11"/>
    <x v="55"/>
    <n v="11.36"/>
    <n v="2"/>
    <n v="5.34"/>
  </r>
  <r>
    <d v="2014-02-03T00:00:00"/>
    <x v="29"/>
    <x v="12"/>
    <x v="0"/>
    <x v="0"/>
    <x v="56"/>
    <n v="36.4"/>
    <n v="5"/>
    <n v="17.47"/>
  </r>
  <r>
    <d v="2014-02-03T00:00:00"/>
    <x v="30"/>
    <x v="2"/>
    <x v="0"/>
    <x v="0"/>
    <x v="57"/>
    <n v="3.42"/>
    <n v="1"/>
    <n v="1.07"/>
  </r>
  <r>
    <d v="2014-02-03T00:00:00"/>
    <x v="30"/>
    <x v="2"/>
    <x v="2"/>
    <x v="9"/>
    <x v="58"/>
    <n v="151.19999999999999"/>
    <n v="3"/>
    <n v="32.130000000000003"/>
  </r>
  <r>
    <d v="2014-03-03T00:00:00"/>
    <x v="31"/>
    <x v="15"/>
    <x v="0"/>
    <x v="4"/>
    <x v="59"/>
    <n v="19.46"/>
    <n v="4"/>
    <n v="3.4"/>
  </r>
  <r>
    <d v="2014-03-03T00:00:00"/>
    <x v="32"/>
    <x v="12"/>
    <x v="2"/>
    <x v="6"/>
    <x v="60"/>
    <n v="9.99"/>
    <n v="1"/>
    <n v="4.5999999999999996"/>
  </r>
  <r>
    <d v="2014-03-03T00:00:00"/>
    <x v="32"/>
    <x v="12"/>
    <x v="0"/>
    <x v="3"/>
    <x v="25"/>
    <n v="125.76"/>
    <n v="3"/>
    <n v="40.869999999999997"/>
  </r>
  <r>
    <d v="2014-03-03T00:00:00"/>
    <x v="32"/>
    <x v="12"/>
    <x v="0"/>
    <x v="3"/>
    <x v="61"/>
    <n v="25.32"/>
    <n v="5"/>
    <n v="9.18"/>
  </r>
  <r>
    <d v="2014-03-03T00:00:00"/>
    <x v="33"/>
    <x v="16"/>
    <x v="0"/>
    <x v="1"/>
    <x v="62"/>
    <n v="15.12"/>
    <n v="3"/>
    <n v="4.91"/>
  </r>
  <r>
    <d v="2014-03-03T00:00:00"/>
    <x v="33"/>
    <x v="16"/>
    <x v="1"/>
    <x v="12"/>
    <x v="63"/>
    <n v="302.45"/>
    <n v="5"/>
    <n v="-199.62"/>
  </r>
  <r>
    <d v="2014-03-03T00:00:00"/>
    <x v="33"/>
    <x v="16"/>
    <x v="0"/>
    <x v="2"/>
    <x v="64"/>
    <n v="44.67"/>
    <n v="8"/>
    <n v="-10.050000000000001"/>
  </r>
  <r>
    <d v="2014-03-03T00:00:00"/>
    <x v="34"/>
    <x v="0"/>
    <x v="0"/>
    <x v="13"/>
    <x v="65"/>
    <n v="176.77"/>
    <n v="3"/>
    <n v="-459.61"/>
  </r>
  <r>
    <d v="2014-03-03T00:00:00"/>
    <x v="35"/>
    <x v="3"/>
    <x v="1"/>
    <x v="10"/>
    <x v="66"/>
    <n v="626.35"/>
    <n v="3"/>
    <n v="-23.49"/>
  </r>
  <r>
    <d v="2014-04-03T00:00:00"/>
    <x v="36"/>
    <x v="17"/>
    <x v="0"/>
    <x v="2"/>
    <x v="67"/>
    <n v="354.9"/>
    <n v="5"/>
    <n v="17.75"/>
  </r>
  <r>
    <d v="2014-04-03T00:00:00"/>
    <x v="23"/>
    <x v="9"/>
    <x v="0"/>
    <x v="4"/>
    <x v="68"/>
    <n v="15.55"/>
    <n v="3"/>
    <n v="2.33"/>
  </r>
  <r>
    <d v="2014-05-03T00:00:00"/>
    <x v="37"/>
    <x v="12"/>
    <x v="0"/>
    <x v="4"/>
    <x v="69"/>
    <n v="59.52"/>
    <n v="3"/>
    <n v="15.48"/>
  </r>
  <r>
    <d v="2014-05-03T00:00:00"/>
    <x v="37"/>
    <x v="12"/>
    <x v="2"/>
    <x v="9"/>
    <x v="70"/>
    <n v="479.97"/>
    <n v="3"/>
    <n v="177.59"/>
  </r>
  <r>
    <d v="2014-05-03T00:00:00"/>
    <x v="37"/>
    <x v="12"/>
    <x v="0"/>
    <x v="14"/>
    <x v="71"/>
    <n v="18.62"/>
    <n v="2"/>
    <n v="5.4"/>
  </r>
  <r>
    <d v="2014-05-03T00:00:00"/>
    <x v="37"/>
    <x v="12"/>
    <x v="0"/>
    <x v="3"/>
    <x v="72"/>
    <n v="49.63"/>
    <n v="6"/>
    <n v="16.75"/>
  </r>
  <r>
    <d v="2014-05-03T00:00:00"/>
    <x v="37"/>
    <x v="12"/>
    <x v="0"/>
    <x v="0"/>
    <x v="73"/>
    <n v="97.82"/>
    <n v="2"/>
    <n v="45.98"/>
  </r>
  <r>
    <d v="2014-07-03T00:00:00"/>
    <x v="38"/>
    <x v="10"/>
    <x v="1"/>
    <x v="5"/>
    <x v="74"/>
    <n v="48.71"/>
    <n v="1"/>
    <n v="5.48"/>
  </r>
  <r>
    <d v="2014-07-03T00:00:00"/>
    <x v="38"/>
    <x v="10"/>
    <x v="0"/>
    <x v="4"/>
    <x v="75"/>
    <n v="17.940000000000001"/>
    <n v="3"/>
    <n v="4.66"/>
  </r>
  <r>
    <d v="2014-07-03T00:00:00"/>
    <x v="38"/>
    <x v="10"/>
    <x v="0"/>
    <x v="2"/>
    <x v="76"/>
    <n v="242.94"/>
    <n v="3"/>
    <n v="4.8600000000000003"/>
  </r>
  <r>
    <d v="2014-07-03T00:00:00"/>
    <x v="39"/>
    <x v="10"/>
    <x v="0"/>
    <x v="3"/>
    <x v="77"/>
    <n v="107.65"/>
    <n v="2"/>
    <n v="33.64"/>
  </r>
  <r>
    <d v="2014-07-03T00:00:00"/>
    <x v="40"/>
    <x v="10"/>
    <x v="0"/>
    <x v="4"/>
    <x v="78"/>
    <n v="20.65"/>
    <n v="5"/>
    <n v="9.5"/>
  </r>
  <r>
    <d v="2014-07-03T00:00:00"/>
    <x v="40"/>
    <x v="10"/>
    <x v="0"/>
    <x v="2"/>
    <x v="79"/>
    <n v="204.9"/>
    <n v="5"/>
    <n v="0"/>
  </r>
  <r>
    <d v="2014-07-03T00:00:00"/>
    <x v="40"/>
    <x v="10"/>
    <x v="1"/>
    <x v="5"/>
    <x v="80"/>
    <n v="436.7"/>
    <n v="6"/>
    <n v="21.84"/>
  </r>
  <r>
    <d v="2014-07-03T00:00:00"/>
    <x v="40"/>
    <x v="10"/>
    <x v="1"/>
    <x v="5"/>
    <x v="81"/>
    <n v="481.57"/>
    <n v="2"/>
    <n v="54.18"/>
  </r>
  <r>
    <d v="2014-10-03T00:00:00"/>
    <x v="41"/>
    <x v="18"/>
    <x v="0"/>
    <x v="0"/>
    <x v="82"/>
    <n v="22.38"/>
    <n v="2"/>
    <n v="10.74"/>
  </r>
  <r>
    <d v="2014-10-03T00:00:00"/>
    <x v="42"/>
    <x v="19"/>
    <x v="0"/>
    <x v="2"/>
    <x v="83"/>
    <n v="636.41"/>
    <n v="3"/>
    <n v="-15.91"/>
  </r>
  <r>
    <d v="2014-10-03T00:00:00"/>
    <x v="42"/>
    <x v="19"/>
    <x v="0"/>
    <x v="4"/>
    <x v="84"/>
    <n v="83.17"/>
    <n v="4"/>
    <n v="9.36"/>
  </r>
  <r>
    <d v="2014-11-03T00:00:00"/>
    <x v="43"/>
    <x v="16"/>
    <x v="1"/>
    <x v="8"/>
    <x v="85"/>
    <n v="8.32"/>
    <n v="5"/>
    <n v="2.29"/>
  </r>
  <r>
    <d v="2014-11-03T00:00:00"/>
    <x v="43"/>
    <x v="16"/>
    <x v="0"/>
    <x v="7"/>
    <x v="86"/>
    <n v="10.46"/>
    <n v="6"/>
    <n v="1.7"/>
  </r>
  <r>
    <d v="2014-11-03T00:00:00"/>
    <x v="44"/>
    <x v="12"/>
    <x v="0"/>
    <x v="0"/>
    <x v="87"/>
    <n v="108.92"/>
    <n v="14"/>
    <n v="49.01"/>
  </r>
  <r>
    <d v="2014-11-03T00:00:00"/>
    <x v="45"/>
    <x v="5"/>
    <x v="0"/>
    <x v="13"/>
    <x v="88"/>
    <n v="146.76"/>
    <n v="3"/>
    <n v="38.159999999999997"/>
  </r>
  <r>
    <d v="2014-11-03T00:00:00"/>
    <x v="45"/>
    <x v="5"/>
    <x v="2"/>
    <x v="9"/>
    <x v="34"/>
    <n v="32.96"/>
    <n v="2"/>
    <n v="14.17"/>
  </r>
  <r>
    <d v="2014-11-03T00:00:00"/>
    <x v="45"/>
    <x v="5"/>
    <x v="2"/>
    <x v="6"/>
    <x v="89"/>
    <n v="587.97"/>
    <n v="3"/>
    <n v="164.63"/>
  </r>
  <r>
    <d v="2014-11-03T00:00:00"/>
    <x v="45"/>
    <x v="5"/>
    <x v="0"/>
    <x v="0"/>
    <x v="90"/>
    <n v="14.94"/>
    <n v="3"/>
    <n v="7.02"/>
  </r>
  <r>
    <d v="2014-11-03T00:00:00"/>
    <x v="46"/>
    <x v="3"/>
    <x v="0"/>
    <x v="4"/>
    <x v="91"/>
    <n v="7.98"/>
    <n v="3"/>
    <n v="2.0699999999999998"/>
  </r>
  <r>
    <d v="2014-01-04T00:00:00"/>
    <x v="47"/>
    <x v="3"/>
    <x v="0"/>
    <x v="1"/>
    <x v="92"/>
    <n v="29.6"/>
    <n v="2"/>
    <n v="14.8"/>
  </r>
  <r>
    <d v="2014-01-04T00:00:00"/>
    <x v="47"/>
    <x v="3"/>
    <x v="0"/>
    <x v="3"/>
    <x v="93"/>
    <n v="17.09"/>
    <n v="4"/>
    <n v="5.55"/>
  </r>
  <r>
    <d v="2014-01-04T00:00:00"/>
    <x v="48"/>
    <x v="20"/>
    <x v="0"/>
    <x v="2"/>
    <x v="94"/>
    <n v="66.959999999999994"/>
    <n v="4"/>
    <n v="2.68"/>
  </r>
  <r>
    <d v="2014-01-04T00:00:00"/>
    <x v="48"/>
    <x v="20"/>
    <x v="0"/>
    <x v="3"/>
    <x v="95"/>
    <n v="6.24"/>
    <n v="2"/>
    <n v="3.06"/>
  </r>
  <r>
    <d v="2014-02-04T00:00:00"/>
    <x v="49"/>
    <x v="4"/>
    <x v="0"/>
    <x v="0"/>
    <x v="96"/>
    <n v="15.84"/>
    <n v="3"/>
    <n v="7.13"/>
  </r>
  <r>
    <d v="2014-02-04T00:00:00"/>
    <x v="49"/>
    <x v="4"/>
    <x v="2"/>
    <x v="6"/>
    <x v="97"/>
    <n v="1049.93"/>
    <n v="7"/>
    <n v="293.98"/>
  </r>
  <r>
    <d v="2014-02-04T00:00:00"/>
    <x v="49"/>
    <x v="4"/>
    <x v="0"/>
    <x v="13"/>
    <x v="98"/>
    <n v="154.9"/>
    <n v="5"/>
    <n v="40.270000000000003"/>
  </r>
  <r>
    <d v="2014-02-04T00:00:00"/>
    <x v="34"/>
    <x v="0"/>
    <x v="0"/>
    <x v="0"/>
    <x v="99"/>
    <n v="26.72"/>
    <n v="5"/>
    <n v="9.35"/>
  </r>
  <r>
    <d v="2014-02-04T00:00:00"/>
    <x v="34"/>
    <x v="0"/>
    <x v="0"/>
    <x v="0"/>
    <x v="100"/>
    <n v="33.49"/>
    <n v="7"/>
    <n v="10.47"/>
  </r>
  <r>
    <d v="2014-02-04T00:00:00"/>
    <x v="50"/>
    <x v="6"/>
    <x v="1"/>
    <x v="8"/>
    <x v="101"/>
    <n v="177.68"/>
    <n v="2"/>
    <n v="46.2"/>
  </r>
  <r>
    <d v="2014-03-04T00:00:00"/>
    <x v="51"/>
    <x v="3"/>
    <x v="0"/>
    <x v="11"/>
    <x v="55"/>
    <n v="11.16"/>
    <n v="2"/>
    <n v="5.58"/>
  </r>
  <r>
    <d v="2014-03-04T00:00:00"/>
    <x v="51"/>
    <x v="3"/>
    <x v="2"/>
    <x v="9"/>
    <x v="102"/>
    <n v="62.31"/>
    <n v="3"/>
    <n v="22.43"/>
  </r>
  <r>
    <d v="2014-03-04T00:00:00"/>
    <x v="51"/>
    <x v="3"/>
    <x v="2"/>
    <x v="9"/>
    <x v="103"/>
    <n v="159.97999999999999"/>
    <n v="2"/>
    <n v="57.59"/>
  </r>
  <r>
    <d v="2014-04-04T00:00:00"/>
    <x v="52"/>
    <x v="3"/>
    <x v="0"/>
    <x v="1"/>
    <x v="104"/>
    <n v="18.899999999999999"/>
    <n v="6"/>
    <n v="9.07"/>
  </r>
  <r>
    <d v="2014-04-04T00:00:00"/>
    <x v="53"/>
    <x v="18"/>
    <x v="1"/>
    <x v="8"/>
    <x v="105"/>
    <n v="5.47"/>
    <n v="1"/>
    <n v="2.35"/>
  </r>
  <r>
    <d v="2014-04-04T00:00:00"/>
    <x v="53"/>
    <x v="18"/>
    <x v="0"/>
    <x v="4"/>
    <x v="106"/>
    <n v="79.36"/>
    <n v="4"/>
    <n v="23.81"/>
  </r>
  <r>
    <d v="2014-04-04T00:00:00"/>
    <x v="54"/>
    <x v="3"/>
    <x v="0"/>
    <x v="3"/>
    <x v="107"/>
    <n v="7.18"/>
    <n v="2"/>
    <n v="2.25"/>
  </r>
  <r>
    <d v="2014-04-04T00:00:00"/>
    <x v="55"/>
    <x v="21"/>
    <x v="0"/>
    <x v="2"/>
    <x v="108"/>
    <n v="232.55"/>
    <n v="5"/>
    <n v="9.3000000000000007"/>
  </r>
  <r>
    <d v="2014-04-04T00:00:00"/>
    <x v="55"/>
    <x v="21"/>
    <x v="2"/>
    <x v="9"/>
    <x v="109"/>
    <n v="99.98"/>
    <n v="2"/>
    <n v="42.99"/>
  </r>
  <r>
    <d v="2014-04-04T00:00:00"/>
    <x v="55"/>
    <x v="21"/>
    <x v="0"/>
    <x v="0"/>
    <x v="110"/>
    <n v="19.440000000000001"/>
    <n v="3"/>
    <n v="9.33"/>
  </r>
  <r>
    <d v="2014-04-04T00:00:00"/>
    <x v="55"/>
    <x v="21"/>
    <x v="0"/>
    <x v="0"/>
    <x v="111"/>
    <n v="12.96"/>
    <n v="2"/>
    <n v="6.35"/>
  </r>
  <r>
    <d v="2014-05-04T00:00:00"/>
    <x v="56"/>
    <x v="12"/>
    <x v="0"/>
    <x v="0"/>
    <x v="112"/>
    <n v="55.48"/>
    <n v="1"/>
    <n v="26.63"/>
  </r>
  <r>
    <d v="2014-05-04T00:00:00"/>
    <x v="57"/>
    <x v="6"/>
    <x v="0"/>
    <x v="4"/>
    <x v="113"/>
    <n v="22.96"/>
    <n v="7"/>
    <n v="7.58"/>
  </r>
  <r>
    <d v="2014-05-04T00:00:00"/>
    <x v="57"/>
    <x v="6"/>
    <x v="2"/>
    <x v="6"/>
    <x v="32"/>
    <n v="28.99"/>
    <n v="1"/>
    <n v="8.41"/>
  </r>
  <r>
    <d v="2014-05-04T00:00:00"/>
    <x v="57"/>
    <x v="6"/>
    <x v="0"/>
    <x v="0"/>
    <x v="114"/>
    <n v="12.96"/>
    <n v="2"/>
    <n v="6.35"/>
  </r>
  <r>
    <d v="2014-05-04T00:00:00"/>
    <x v="57"/>
    <x v="6"/>
    <x v="0"/>
    <x v="4"/>
    <x v="115"/>
    <n v="22.96"/>
    <n v="7"/>
    <n v="6.66"/>
  </r>
  <r>
    <d v="2014-05-04T00:00:00"/>
    <x v="57"/>
    <x v="6"/>
    <x v="0"/>
    <x v="14"/>
    <x v="116"/>
    <n v="4164.05"/>
    <n v="5"/>
    <n v="83.28"/>
  </r>
  <r>
    <d v="2014-05-04T00:00:00"/>
    <x v="58"/>
    <x v="1"/>
    <x v="0"/>
    <x v="2"/>
    <x v="117"/>
    <n v="49.63"/>
    <n v="4"/>
    <n v="3.72"/>
  </r>
  <r>
    <d v="2014-05-04T00:00:00"/>
    <x v="58"/>
    <x v="1"/>
    <x v="0"/>
    <x v="2"/>
    <x v="118"/>
    <n v="52.1"/>
    <n v="4"/>
    <n v="3.91"/>
  </r>
  <r>
    <d v="2014-05-04T00:00:00"/>
    <x v="59"/>
    <x v="18"/>
    <x v="0"/>
    <x v="4"/>
    <x v="119"/>
    <n v="26.7"/>
    <n v="2"/>
    <n v="7.48"/>
  </r>
  <r>
    <d v="2014-05-04T00:00:00"/>
    <x v="59"/>
    <x v="18"/>
    <x v="0"/>
    <x v="3"/>
    <x v="120"/>
    <n v="40.200000000000003"/>
    <n v="5"/>
    <n v="18.09"/>
  </r>
  <r>
    <d v="2014-05-04T00:00:00"/>
    <x v="59"/>
    <x v="18"/>
    <x v="0"/>
    <x v="4"/>
    <x v="121"/>
    <n v="13.89"/>
    <n v="3"/>
    <n v="4.58"/>
  </r>
  <r>
    <d v="2014-05-04T00:00:00"/>
    <x v="59"/>
    <x v="18"/>
    <x v="0"/>
    <x v="2"/>
    <x v="122"/>
    <n v="689.82"/>
    <n v="6"/>
    <n v="20.69"/>
  </r>
  <r>
    <d v="2014-05-04T00:00:00"/>
    <x v="60"/>
    <x v="5"/>
    <x v="0"/>
    <x v="3"/>
    <x v="123"/>
    <n v="115.36"/>
    <n v="7"/>
    <n v="56.53"/>
  </r>
  <r>
    <d v="2014-06-04T00:00:00"/>
    <x v="61"/>
    <x v="2"/>
    <x v="0"/>
    <x v="3"/>
    <x v="124"/>
    <n v="44.91"/>
    <n v="6"/>
    <n v="-35.93"/>
  </r>
  <r>
    <d v="2014-06-04T00:00:00"/>
    <x v="62"/>
    <x v="2"/>
    <x v="0"/>
    <x v="14"/>
    <x v="125"/>
    <n v="10.3"/>
    <n v="1"/>
    <n v="-2.19"/>
  </r>
  <r>
    <d v="2014-06-04T00:00:00"/>
    <x v="62"/>
    <x v="2"/>
    <x v="1"/>
    <x v="10"/>
    <x v="126"/>
    <n v="154.76"/>
    <n v="3"/>
    <n v="-36.11"/>
  </r>
  <r>
    <d v="2014-06-04T00:00:00"/>
    <x v="62"/>
    <x v="2"/>
    <x v="2"/>
    <x v="9"/>
    <x v="127"/>
    <n v="116.78"/>
    <n v="2"/>
    <n v="21.9"/>
  </r>
  <r>
    <d v="2014-06-04T00:00:00"/>
    <x v="63"/>
    <x v="10"/>
    <x v="1"/>
    <x v="10"/>
    <x v="128"/>
    <n v="653.54999999999995"/>
    <n v="3"/>
    <n v="111.1"/>
  </r>
  <r>
    <d v="2014-06-04T00:00:00"/>
    <x v="63"/>
    <x v="10"/>
    <x v="2"/>
    <x v="9"/>
    <x v="129"/>
    <n v="33.9"/>
    <n v="2"/>
    <n v="2.0299999999999998"/>
  </r>
  <r>
    <d v="2014-06-04T00:00:00"/>
    <x v="64"/>
    <x v="3"/>
    <x v="1"/>
    <x v="8"/>
    <x v="130"/>
    <n v="91.96"/>
    <n v="2"/>
    <n v="15.63"/>
  </r>
  <r>
    <d v="2014-06-04T00:00:00"/>
    <x v="64"/>
    <x v="3"/>
    <x v="1"/>
    <x v="8"/>
    <x v="131"/>
    <n v="33.11"/>
    <n v="7"/>
    <n v="12.91"/>
  </r>
  <r>
    <d v="2014-06-04T00:00:00"/>
    <x v="64"/>
    <x v="3"/>
    <x v="0"/>
    <x v="0"/>
    <x v="132"/>
    <n v="19.440000000000001"/>
    <n v="3"/>
    <n v="9.33"/>
  </r>
  <r>
    <d v="2014-06-04T00:00:00"/>
    <x v="64"/>
    <x v="3"/>
    <x v="0"/>
    <x v="0"/>
    <x v="133"/>
    <n v="55.48"/>
    <n v="1"/>
    <n v="26.63"/>
  </r>
  <r>
    <d v="2014-06-04T00:00:00"/>
    <x v="65"/>
    <x v="3"/>
    <x v="0"/>
    <x v="4"/>
    <x v="134"/>
    <n v="70.95"/>
    <n v="3"/>
    <n v="18.45"/>
  </r>
  <r>
    <d v="2014-06-04T00:00:00"/>
    <x v="65"/>
    <x v="3"/>
    <x v="0"/>
    <x v="3"/>
    <x v="135"/>
    <n v="65.569999999999993"/>
    <n v="2"/>
    <n v="23.77"/>
  </r>
  <r>
    <d v="2014-06-04T00:00:00"/>
    <x v="65"/>
    <x v="3"/>
    <x v="2"/>
    <x v="9"/>
    <x v="136"/>
    <n v="299.97000000000003"/>
    <n v="3"/>
    <n v="131.99"/>
  </r>
  <r>
    <d v="2014-07-04T00:00:00"/>
    <x v="66"/>
    <x v="22"/>
    <x v="1"/>
    <x v="8"/>
    <x v="137"/>
    <n v="8.9600000000000009"/>
    <n v="2"/>
    <n v="2.78"/>
  </r>
  <r>
    <d v="2014-07-04T00:00:00"/>
    <x v="67"/>
    <x v="17"/>
    <x v="2"/>
    <x v="6"/>
    <x v="138"/>
    <n v="629.95000000000005"/>
    <n v="5"/>
    <n v="163.79"/>
  </r>
  <r>
    <d v="2014-07-04T00:00:00"/>
    <x v="67"/>
    <x v="17"/>
    <x v="0"/>
    <x v="0"/>
    <x v="139"/>
    <n v="122.97"/>
    <n v="3"/>
    <n v="60.26"/>
  </r>
  <r>
    <d v="2014-07-04T00:00:00"/>
    <x v="68"/>
    <x v="4"/>
    <x v="0"/>
    <x v="0"/>
    <x v="140"/>
    <n v="58.32"/>
    <n v="9"/>
    <n v="27.99"/>
  </r>
  <r>
    <d v="2014-07-04T00:00:00"/>
    <x v="68"/>
    <x v="4"/>
    <x v="2"/>
    <x v="6"/>
    <x v="141"/>
    <n v="200.97"/>
    <n v="3"/>
    <n v="50.24"/>
  </r>
  <r>
    <d v="2014-08-04T00:00:00"/>
    <x v="69"/>
    <x v="23"/>
    <x v="0"/>
    <x v="7"/>
    <x v="142"/>
    <n v="2.37"/>
    <n v="2"/>
    <n v="0.83"/>
  </r>
  <r>
    <d v="2014-08-04T00:00:00"/>
    <x v="69"/>
    <x v="23"/>
    <x v="0"/>
    <x v="0"/>
    <x v="143"/>
    <n v="19.010000000000002"/>
    <n v="3"/>
    <n v="6.89"/>
  </r>
  <r>
    <d v="2014-08-04T00:00:00"/>
    <x v="70"/>
    <x v="22"/>
    <x v="1"/>
    <x v="10"/>
    <x v="144"/>
    <n v="1215.92"/>
    <n v="8"/>
    <n v="316.14"/>
  </r>
  <r>
    <d v="2014-08-04T00:00:00"/>
    <x v="71"/>
    <x v="23"/>
    <x v="0"/>
    <x v="7"/>
    <x v="12"/>
    <n v="49.79"/>
    <n v="8"/>
    <n v="-11.83"/>
  </r>
  <r>
    <d v="2014-08-04T00:00:00"/>
    <x v="20"/>
    <x v="3"/>
    <x v="1"/>
    <x v="10"/>
    <x v="145"/>
    <n v="99.59"/>
    <n v="1"/>
    <n v="2.4900000000000002"/>
  </r>
  <r>
    <d v="2014-08-04T00:00:00"/>
    <x v="20"/>
    <x v="3"/>
    <x v="2"/>
    <x v="9"/>
    <x v="146"/>
    <n v="399.96"/>
    <n v="4"/>
    <n v="139.99"/>
  </r>
  <r>
    <d v="2014-08-04T00:00:00"/>
    <x v="72"/>
    <x v="16"/>
    <x v="1"/>
    <x v="10"/>
    <x v="147"/>
    <n v="172.11"/>
    <n v="1"/>
    <n v="-94.66"/>
  </r>
  <r>
    <d v="2014-11-04T00:00:00"/>
    <x v="73"/>
    <x v="9"/>
    <x v="0"/>
    <x v="7"/>
    <x v="148"/>
    <n v="6.91"/>
    <n v="3"/>
    <n v="2.33"/>
  </r>
  <r>
    <d v="2014-11-04T00:00:00"/>
    <x v="73"/>
    <x v="9"/>
    <x v="2"/>
    <x v="9"/>
    <x v="70"/>
    <n v="383.98"/>
    <n v="3"/>
    <n v="81.59"/>
  </r>
  <r>
    <d v="2014-11-04T00:00:00"/>
    <x v="73"/>
    <x v="9"/>
    <x v="0"/>
    <x v="0"/>
    <x v="149"/>
    <n v="10.37"/>
    <n v="2"/>
    <n v="3.63"/>
  </r>
  <r>
    <d v="2014-11-04T00:00:00"/>
    <x v="73"/>
    <x v="9"/>
    <x v="2"/>
    <x v="9"/>
    <x v="150"/>
    <n v="335.94"/>
    <n v="7"/>
    <n v="41.99"/>
  </r>
  <r>
    <d v="2014-11-04T00:00:00"/>
    <x v="74"/>
    <x v="24"/>
    <x v="0"/>
    <x v="3"/>
    <x v="151"/>
    <n v="9.58"/>
    <n v="1"/>
    <n v="3.35"/>
  </r>
  <r>
    <d v="2014-11-04T00:00:00"/>
    <x v="75"/>
    <x v="0"/>
    <x v="2"/>
    <x v="6"/>
    <x v="152"/>
    <n v="758.35"/>
    <n v="6"/>
    <n v="265.42"/>
  </r>
  <r>
    <d v="2014-11-04T00:00:00"/>
    <x v="76"/>
    <x v="25"/>
    <x v="0"/>
    <x v="2"/>
    <x v="153"/>
    <n v="87.08"/>
    <n v="7"/>
    <n v="24.38"/>
  </r>
  <r>
    <d v="2014-11-04T00:00:00"/>
    <x v="76"/>
    <x v="25"/>
    <x v="2"/>
    <x v="6"/>
    <x v="154"/>
    <n v="105.58"/>
    <n v="2"/>
    <n v="9.24"/>
  </r>
  <r>
    <d v="2014-11-04T00:00:00"/>
    <x v="76"/>
    <x v="25"/>
    <x v="2"/>
    <x v="9"/>
    <x v="155"/>
    <n v="217.44"/>
    <n v="6"/>
    <n v="91.32"/>
  </r>
  <r>
    <d v="2014-12-04T00:00:00"/>
    <x v="77"/>
    <x v="3"/>
    <x v="2"/>
    <x v="6"/>
    <x v="156"/>
    <n v="1075.0899999999999"/>
    <n v="14"/>
    <n v="94.07"/>
  </r>
  <r>
    <d v="2014-12-04T00:00:00"/>
    <x v="77"/>
    <x v="3"/>
    <x v="2"/>
    <x v="6"/>
    <x v="157"/>
    <n v="438.37"/>
    <n v="4"/>
    <n v="38.36"/>
  </r>
  <r>
    <d v="2014-12-04T00:00:00"/>
    <x v="77"/>
    <x v="3"/>
    <x v="0"/>
    <x v="3"/>
    <x v="158"/>
    <n v="18.09"/>
    <n v="7"/>
    <n v="6.56"/>
  </r>
  <r>
    <d v="2014-12-04T00:00:00"/>
    <x v="77"/>
    <x v="3"/>
    <x v="1"/>
    <x v="12"/>
    <x v="159"/>
    <n v="308.5"/>
    <n v="3"/>
    <n v="-18.149999999999999"/>
  </r>
  <r>
    <d v="2014-12-04T00:00:00"/>
    <x v="78"/>
    <x v="26"/>
    <x v="0"/>
    <x v="0"/>
    <x v="160"/>
    <n v="32.4"/>
    <n v="5"/>
    <n v="15.55"/>
  </r>
  <r>
    <d v="2014-12-04T00:00:00"/>
    <x v="79"/>
    <x v="3"/>
    <x v="0"/>
    <x v="4"/>
    <x v="161"/>
    <n v="39.68"/>
    <n v="2"/>
    <n v="16.27"/>
  </r>
  <r>
    <d v="2014-02-05T00:00:00"/>
    <x v="80"/>
    <x v="16"/>
    <x v="0"/>
    <x v="13"/>
    <x v="162"/>
    <n v="26.14"/>
    <n v="3"/>
    <n v="1.96"/>
  </r>
  <r>
    <d v="2014-02-05T00:00:00"/>
    <x v="81"/>
    <x v="9"/>
    <x v="2"/>
    <x v="15"/>
    <x v="163"/>
    <n v="479.98"/>
    <n v="2"/>
    <n v="90"/>
  </r>
  <r>
    <d v="2014-03-05T00:00:00"/>
    <x v="82"/>
    <x v="8"/>
    <x v="0"/>
    <x v="1"/>
    <x v="164"/>
    <n v="21.56"/>
    <n v="7"/>
    <n v="10.35"/>
  </r>
  <r>
    <d v="2014-03-05T00:00:00"/>
    <x v="83"/>
    <x v="12"/>
    <x v="0"/>
    <x v="3"/>
    <x v="165"/>
    <n v="40.18"/>
    <n v="3"/>
    <n v="14.56"/>
  </r>
  <r>
    <d v="2014-03-05T00:00:00"/>
    <x v="83"/>
    <x v="12"/>
    <x v="0"/>
    <x v="3"/>
    <x v="166"/>
    <n v="10.9"/>
    <n v="3"/>
    <n v="3.95"/>
  </r>
  <r>
    <d v="2014-04-05T00:00:00"/>
    <x v="84"/>
    <x v="18"/>
    <x v="0"/>
    <x v="3"/>
    <x v="167"/>
    <n v="46.8"/>
    <n v="4"/>
    <n v="21.06"/>
  </r>
  <r>
    <d v="2014-04-05T00:00:00"/>
    <x v="85"/>
    <x v="27"/>
    <x v="1"/>
    <x v="8"/>
    <x v="168"/>
    <n v="27.46"/>
    <n v="2"/>
    <n v="9.89"/>
  </r>
  <r>
    <d v="2014-04-05T00:00:00"/>
    <x v="86"/>
    <x v="0"/>
    <x v="0"/>
    <x v="4"/>
    <x v="134"/>
    <n v="37.840000000000003"/>
    <n v="2"/>
    <n v="2.84"/>
  </r>
  <r>
    <d v="2014-04-05T00:00:00"/>
    <x v="86"/>
    <x v="0"/>
    <x v="0"/>
    <x v="7"/>
    <x v="169"/>
    <n v="5.47"/>
    <n v="6"/>
    <n v="1.85"/>
  </r>
  <r>
    <d v="2014-04-05T00:00:00"/>
    <x v="87"/>
    <x v="10"/>
    <x v="1"/>
    <x v="8"/>
    <x v="170"/>
    <n v="12.18"/>
    <n v="7"/>
    <n v="3.9"/>
  </r>
  <r>
    <d v="2014-04-05T00:00:00"/>
    <x v="87"/>
    <x v="10"/>
    <x v="0"/>
    <x v="13"/>
    <x v="171"/>
    <n v="57.68"/>
    <n v="4"/>
    <n v="19.03"/>
  </r>
  <r>
    <d v="2014-05-05T00:00:00"/>
    <x v="88"/>
    <x v="5"/>
    <x v="0"/>
    <x v="0"/>
    <x v="172"/>
    <n v="9.42"/>
    <n v="3"/>
    <n v="4.24"/>
  </r>
  <r>
    <d v="2014-05-05T00:00:00"/>
    <x v="88"/>
    <x v="5"/>
    <x v="0"/>
    <x v="4"/>
    <x v="173"/>
    <n v="6.56"/>
    <n v="2"/>
    <n v="1.9"/>
  </r>
  <r>
    <d v="2014-05-05T00:00:00"/>
    <x v="88"/>
    <x v="5"/>
    <x v="0"/>
    <x v="0"/>
    <x v="174"/>
    <n v="24.56"/>
    <n v="2"/>
    <n v="11.54"/>
  </r>
  <r>
    <d v="2014-05-05T00:00:00"/>
    <x v="89"/>
    <x v="0"/>
    <x v="1"/>
    <x v="5"/>
    <x v="39"/>
    <n v="127.87"/>
    <n v="3"/>
    <n v="-9.1300000000000008"/>
  </r>
  <r>
    <d v="2014-05-05T00:00:00"/>
    <x v="48"/>
    <x v="1"/>
    <x v="0"/>
    <x v="2"/>
    <x v="175"/>
    <n v="45.25"/>
    <n v="2"/>
    <n v="3.96"/>
  </r>
  <r>
    <d v="2014-05-05T00:00:00"/>
    <x v="90"/>
    <x v="6"/>
    <x v="0"/>
    <x v="3"/>
    <x v="176"/>
    <n v="11.88"/>
    <n v="2"/>
    <n v="5.35"/>
  </r>
  <r>
    <d v="2014-05-05T00:00:00"/>
    <x v="90"/>
    <x v="6"/>
    <x v="0"/>
    <x v="0"/>
    <x v="177"/>
    <n v="35.44"/>
    <n v="1"/>
    <n v="16.66"/>
  </r>
  <r>
    <d v="2014-06-05T00:00:00"/>
    <x v="91"/>
    <x v="3"/>
    <x v="0"/>
    <x v="3"/>
    <x v="178"/>
    <n v="140.74"/>
    <n v="8"/>
    <n v="52.78"/>
  </r>
  <r>
    <d v="2014-06-05T00:00:00"/>
    <x v="92"/>
    <x v="3"/>
    <x v="0"/>
    <x v="1"/>
    <x v="179"/>
    <n v="5.78"/>
    <n v="2"/>
    <n v="2.72"/>
  </r>
  <r>
    <d v="2014-06-05T00:00:00"/>
    <x v="92"/>
    <x v="3"/>
    <x v="0"/>
    <x v="4"/>
    <x v="180"/>
    <n v="107.94"/>
    <n v="6"/>
    <n v="30.22"/>
  </r>
  <r>
    <d v="2014-07-05T00:00:00"/>
    <x v="93"/>
    <x v="20"/>
    <x v="0"/>
    <x v="3"/>
    <x v="181"/>
    <n v="16.14"/>
    <n v="3"/>
    <n v="7.91"/>
  </r>
  <r>
    <d v="2014-07-05T00:00:00"/>
    <x v="93"/>
    <x v="20"/>
    <x v="1"/>
    <x v="10"/>
    <x v="182"/>
    <n v="194.25"/>
    <n v="2"/>
    <n v="-38.85"/>
  </r>
  <r>
    <d v="2014-07-05T00:00:00"/>
    <x v="93"/>
    <x v="20"/>
    <x v="0"/>
    <x v="4"/>
    <x v="183"/>
    <n v="8.64"/>
    <n v="3"/>
    <n v="2.5099999999999998"/>
  </r>
  <r>
    <d v="2014-07-05T00:00:00"/>
    <x v="93"/>
    <x v="20"/>
    <x v="1"/>
    <x v="5"/>
    <x v="184"/>
    <n v="872.32"/>
    <n v="4"/>
    <n v="244.25"/>
  </r>
  <r>
    <d v="2014-08-05T00:00:00"/>
    <x v="42"/>
    <x v="2"/>
    <x v="2"/>
    <x v="15"/>
    <x v="185"/>
    <n v="1799.97"/>
    <n v="5"/>
    <n v="240"/>
  </r>
  <r>
    <d v="2014-09-05T00:00:00"/>
    <x v="94"/>
    <x v="3"/>
    <x v="2"/>
    <x v="9"/>
    <x v="129"/>
    <n v="67.8"/>
    <n v="4"/>
    <n v="4.07"/>
  </r>
  <r>
    <d v="2014-09-05T00:00:00"/>
    <x v="94"/>
    <x v="3"/>
    <x v="2"/>
    <x v="9"/>
    <x v="186"/>
    <n v="167.97"/>
    <n v="3"/>
    <n v="40.31"/>
  </r>
  <r>
    <d v="2014-09-05T00:00:00"/>
    <x v="95"/>
    <x v="5"/>
    <x v="0"/>
    <x v="2"/>
    <x v="187"/>
    <n v="83.25"/>
    <n v="3"/>
    <n v="14.99"/>
  </r>
  <r>
    <d v="2014-09-05T00:00:00"/>
    <x v="95"/>
    <x v="5"/>
    <x v="0"/>
    <x v="1"/>
    <x v="104"/>
    <n v="9.4499999999999993"/>
    <n v="3"/>
    <n v="4.54"/>
  </r>
  <r>
    <d v="2014-09-05T00:00:00"/>
    <x v="95"/>
    <x v="5"/>
    <x v="0"/>
    <x v="1"/>
    <x v="188"/>
    <n v="20.65"/>
    <n v="5"/>
    <n v="9.5"/>
  </r>
  <r>
    <d v="2014-09-05T00:00:00"/>
    <x v="95"/>
    <x v="5"/>
    <x v="0"/>
    <x v="0"/>
    <x v="189"/>
    <n v="45.36"/>
    <n v="7"/>
    <n v="21.77"/>
  </r>
  <r>
    <d v="2014-10-05T00:00:00"/>
    <x v="96"/>
    <x v="10"/>
    <x v="0"/>
    <x v="11"/>
    <x v="190"/>
    <n v="158.13"/>
    <n v="3"/>
    <n v="77.48"/>
  </r>
  <r>
    <d v="2014-10-05T00:00:00"/>
    <x v="96"/>
    <x v="10"/>
    <x v="2"/>
    <x v="6"/>
    <x v="191"/>
    <n v="43.6"/>
    <n v="5"/>
    <n v="4.3600000000000003"/>
  </r>
  <r>
    <d v="2014-10-05T00:00:00"/>
    <x v="97"/>
    <x v="2"/>
    <x v="1"/>
    <x v="12"/>
    <x v="192"/>
    <n v="349.97"/>
    <n v="7"/>
    <n v="-216.98"/>
  </r>
  <r>
    <d v="2014-10-05T00:00:00"/>
    <x v="97"/>
    <x v="2"/>
    <x v="0"/>
    <x v="4"/>
    <x v="193"/>
    <n v="22.32"/>
    <n v="5"/>
    <n v="5.3"/>
  </r>
  <r>
    <d v="2014-10-05T00:00:00"/>
    <x v="98"/>
    <x v="3"/>
    <x v="0"/>
    <x v="0"/>
    <x v="194"/>
    <n v="39.96"/>
    <n v="2"/>
    <n v="19.18"/>
  </r>
  <r>
    <d v="2014-10-05T00:00:00"/>
    <x v="98"/>
    <x v="3"/>
    <x v="2"/>
    <x v="6"/>
    <x v="195"/>
    <n v="1432"/>
    <n v="5"/>
    <n v="125.3"/>
  </r>
  <r>
    <d v="2014-10-05T00:00:00"/>
    <x v="98"/>
    <x v="3"/>
    <x v="0"/>
    <x v="14"/>
    <x v="196"/>
    <n v="41.04"/>
    <n v="6"/>
    <n v="11.08"/>
  </r>
  <r>
    <d v="2014-10-05T00:00:00"/>
    <x v="98"/>
    <x v="3"/>
    <x v="1"/>
    <x v="5"/>
    <x v="197"/>
    <n v="256.77999999999997"/>
    <n v="1"/>
    <n v="32.1"/>
  </r>
  <r>
    <d v="2014-11-05T00:00:00"/>
    <x v="99"/>
    <x v="0"/>
    <x v="2"/>
    <x v="9"/>
    <x v="198"/>
    <n v="58.11"/>
    <n v="2"/>
    <n v="7.26"/>
  </r>
  <r>
    <d v="2014-11-05T00:00:00"/>
    <x v="99"/>
    <x v="0"/>
    <x v="2"/>
    <x v="6"/>
    <x v="199"/>
    <n v="100.79"/>
    <n v="1"/>
    <n v="6.3"/>
  </r>
  <r>
    <d v="2014-11-05T00:00:00"/>
    <x v="99"/>
    <x v="0"/>
    <x v="1"/>
    <x v="8"/>
    <x v="200"/>
    <n v="66.11"/>
    <n v="4"/>
    <n v="-84.29"/>
  </r>
  <r>
    <d v="2014-11-05T00:00:00"/>
    <x v="100"/>
    <x v="0"/>
    <x v="2"/>
    <x v="9"/>
    <x v="201"/>
    <n v="46.86"/>
    <n v="2"/>
    <n v="7.62"/>
  </r>
  <r>
    <d v="2014-11-05T00:00:00"/>
    <x v="101"/>
    <x v="12"/>
    <x v="0"/>
    <x v="13"/>
    <x v="202"/>
    <n v="35.909999999999997"/>
    <n v="3"/>
    <n v="9.6999999999999993"/>
  </r>
  <r>
    <d v="2014-11-05T00:00:00"/>
    <x v="102"/>
    <x v="0"/>
    <x v="1"/>
    <x v="5"/>
    <x v="203"/>
    <n v="1212.96"/>
    <n v="8"/>
    <n v="-69.31"/>
  </r>
  <r>
    <d v="2014-11-05T00:00:00"/>
    <x v="103"/>
    <x v="1"/>
    <x v="0"/>
    <x v="0"/>
    <x v="48"/>
    <n v="17.47"/>
    <n v="3"/>
    <n v="5.68"/>
  </r>
  <r>
    <d v="2014-11-05T00:00:00"/>
    <x v="103"/>
    <x v="1"/>
    <x v="0"/>
    <x v="3"/>
    <x v="204"/>
    <n v="104.58"/>
    <n v="9"/>
    <n v="-172.56"/>
  </r>
  <r>
    <d v="2014-12-05T00:00:00"/>
    <x v="104"/>
    <x v="8"/>
    <x v="1"/>
    <x v="8"/>
    <x v="20"/>
    <n v="34.79"/>
    <n v="7"/>
    <n v="10.78"/>
  </r>
  <r>
    <d v="2014-12-05T00:00:00"/>
    <x v="42"/>
    <x v="20"/>
    <x v="1"/>
    <x v="10"/>
    <x v="205"/>
    <n v="700.06"/>
    <n v="3"/>
    <n v="-130.01"/>
  </r>
  <r>
    <d v="2014-01-06T00:00:00"/>
    <x v="105"/>
    <x v="28"/>
    <x v="1"/>
    <x v="5"/>
    <x v="7"/>
    <n v="2001.86"/>
    <n v="7"/>
    <n v="580.54"/>
  </r>
  <r>
    <d v="2014-01-06T00:00:00"/>
    <x v="105"/>
    <x v="28"/>
    <x v="0"/>
    <x v="2"/>
    <x v="206"/>
    <n v="166.72"/>
    <n v="2"/>
    <n v="41.68"/>
  </r>
  <r>
    <d v="2014-01-06T00:00:00"/>
    <x v="105"/>
    <x v="28"/>
    <x v="0"/>
    <x v="0"/>
    <x v="207"/>
    <n v="47.88"/>
    <n v="6"/>
    <n v="23.94"/>
  </r>
  <r>
    <d v="2014-01-06T00:00:00"/>
    <x v="105"/>
    <x v="28"/>
    <x v="0"/>
    <x v="13"/>
    <x v="208"/>
    <n v="1503.25"/>
    <n v="5"/>
    <n v="496.07"/>
  </r>
  <r>
    <d v="2014-01-06T00:00:00"/>
    <x v="105"/>
    <x v="28"/>
    <x v="0"/>
    <x v="0"/>
    <x v="209"/>
    <n v="25.92"/>
    <n v="4"/>
    <n v="12.44"/>
  </r>
  <r>
    <d v="2014-01-06T00:00:00"/>
    <x v="106"/>
    <x v="11"/>
    <x v="0"/>
    <x v="3"/>
    <x v="210"/>
    <n v="45.48"/>
    <n v="3"/>
    <n v="20.92"/>
  </r>
  <r>
    <d v="2014-01-06T00:00:00"/>
    <x v="106"/>
    <x v="11"/>
    <x v="0"/>
    <x v="4"/>
    <x v="211"/>
    <n v="289.2"/>
    <n v="6"/>
    <n v="83.87"/>
  </r>
  <r>
    <d v="2014-01-06T00:00:00"/>
    <x v="107"/>
    <x v="29"/>
    <x v="1"/>
    <x v="8"/>
    <x v="212"/>
    <n v="22.2"/>
    <n v="6"/>
    <n v="9.1"/>
  </r>
  <r>
    <d v="2014-01-06T00:00:00"/>
    <x v="107"/>
    <x v="29"/>
    <x v="2"/>
    <x v="6"/>
    <x v="213"/>
    <n v="881.93"/>
    <n v="7"/>
    <n v="229.3"/>
  </r>
  <r>
    <d v="2014-01-06T00:00:00"/>
    <x v="108"/>
    <x v="18"/>
    <x v="0"/>
    <x v="3"/>
    <x v="214"/>
    <n v="138.56"/>
    <n v="4"/>
    <n v="66.510000000000005"/>
  </r>
  <r>
    <d v="2014-01-06T00:00:00"/>
    <x v="108"/>
    <x v="18"/>
    <x v="0"/>
    <x v="13"/>
    <x v="215"/>
    <n v="65.52"/>
    <n v="5"/>
    <n v="12.38"/>
  </r>
  <r>
    <d v="2014-02-06T00:00:00"/>
    <x v="109"/>
    <x v="30"/>
    <x v="0"/>
    <x v="3"/>
    <x v="216"/>
    <n v="59.81"/>
    <n v="3"/>
    <n v="19.440000000000001"/>
  </r>
  <r>
    <d v="2014-02-06T00:00:00"/>
    <x v="109"/>
    <x v="30"/>
    <x v="1"/>
    <x v="8"/>
    <x v="217"/>
    <n v="73.319999999999993"/>
    <n v="6"/>
    <n v="22"/>
  </r>
  <r>
    <d v="2014-02-06T00:00:00"/>
    <x v="78"/>
    <x v="4"/>
    <x v="0"/>
    <x v="4"/>
    <x v="218"/>
    <n v="8.56"/>
    <n v="2"/>
    <n v="2.65"/>
  </r>
  <r>
    <d v="2014-02-06T00:00:00"/>
    <x v="78"/>
    <x v="4"/>
    <x v="2"/>
    <x v="6"/>
    <x v="219"/>
    <n v="239.97"/>
    <n v="3"/>
    <n v="67.19"/>
  </r>
  <r>
    <d v="2014-02-06T00:00:00"/>
    <x v="78"/>
    <x v="4"/>
    <x v="0"/>
    <x v="2"/>
    <x v="220"/>
    <n v="356.94"/>
    <n v="2"/>
    <n v="107.08"/>
  </r>
  <r>
    <d v="2014-03-06T00:00:00"/>
    <x v="110"/>
    <x v="10"/>
    <x v="1"/>
    <x v="10"/>
    <x v="126"/>
    <n v="515.88"/>
    <n v="6"/>
    <n v="113.49"/>
  </r>
  <r>
    <d v="2014-03-06T00:00:00"/>
    <x v="111"/>
    <x v="18"/>
    <x v="0"/>
    <x v="11"/>
    <x v="221"/>
    <n v="15.28"/>
    <n v="2"/>
    <n v="7.49"/>
  </r>
  <r>
    <d v="2014-03-06T00:00:00"/>
    <x v="112"/>
    <x v="1"/>
    <x v="0"/>
    <x v="1"/>
    <x v="222"/>
    <n v="15.94"/>
    <n v="4"/>
    <n v="5.18"/>
  </r>
  <r>
    <d v="2014-03-06T00:00:00"/>
    <x v="112"/>
    <x v="1"/>
    <x v="1"/>
    <x v="8"/>
    <x v="223"/>
    <n v="61.54"/>
    <n v="7"/>
    <n v="-40"/>
  </r>
  <r>
    <d v="2014-03-06T00:00:00"/>
    <x v="112"/>
    <x v="1"/>
    <x v="0"/>
    <x v="2"/>
    <x v="224"/>
    <n v="132.69999999999999"/>
    <n v="3"/>
    <n v="9.9499999999999993"/>
  </r>
  <r>
    <d v="2014-04-06T00:00:00"/>
    <x v="113"/>
    <x v="16"/>
    <x v="0"/>
    <x v="0"/>
    <x v="177"/>
    <n v="16.22"/>
    <n v="2"/>
    <n v="5.88"/>
  </r>
  <r>
    <d v="2014-04-06T00:00:00"/>
    <x v="114"/>
    <x v="12"/>
    <x v="1"/>
    <x v="8"/>
    <x v="225"/>
    <n v="56.96"/>
    <n v="2"/>
    <n v="21.08"/>
  </r>
  <r>
    <d v="2014-04-06T00:00:00"/>
    <x v="114"/>
    <x v="12"/>
    <x v="0"/>
    <x v="13"/>
    <x v="226"/>
    <n v="15.56"/>
    <n v="4"/>
    <n v="4.05"/>
  </r>
  <r>
    <d v="2014-04-06T00:00:00"/>
    <x v="114"/>
    <x v="12"/>
    <x v="1"/>
    <x v="12"/>
    <x v="227"/>
    <n v="353.57"/>
    <n v="2"/>
    <n v="-44.2"/>
  </r>
  <r>
    <d v="2014-04-06T00:00:00"/>
    <x v="114"/>
    <x v="12"/>
    <x v="1"/>
    <x v="8"/>
    <x v="228"/>
    <n v="13.96"/>
    <n v="2"/>
    <n v="6.7"/>
  </r>
  <r>
    <d v="2014-06-06T00:00:00"/>
    <x v="115"/>
    <x v="12"/>
    <x v="0"/>
    <x v="4"/>
    <x v="229"/>
    <n v="13.36"/>
    <n v="2"/>
    <n v="4.9400000000000004"/>
  </r>
  <r>
    <d v="2014-06-06T00:00:00"/>
    <x v="116"/>
    <x v="12"/>
    <x v="0"/>
    <x v="3"/>
    <x v="230"/>
    <n v="149.54"/>
    <n v="9"/>
    <n v="50.47"/>
  </r>
  <r>
    <d v="2014-06-06T00:00:00"/>
    <x v="116"/>
    <x v="12"/>
    <x v="0"/>
    <x v="14"/>
    <x v="231"/>
    <n v="17.14"/>
    <n v="2"/>
    <n v="4.46"/>
  </r>
  <r>
    <d v="2014-06-06T00:00:00"/>
    <x v="116"/>
    <x v="12"/>
    <x v="1"/>
    <x v="10"/>
    <x v="232"/>
    <n v="991.76"/>
    <n v="3"/>
    <n v="-347.12"/>
  </r>
  <r>
    <d v="2014-06-06T00:00:00"/>
    <x v="117"/>
    <x v="1"/>
    <x v="0"/>
    <x v="3"/>
    <x v="135"/>
    <n v="24.59"/>
    <n v="3"/>
    <n v="-38.11"/>
  </r>
  <r>
    <d v="2014-06-06T00:00:00"/>
    <x v="117"/>
    <x v="1"/>
    <x v="0"/>
    <x v="11"/>
    <x v="233"/>
    <n v="13.98"/>
    <n v="2"/>
    <n v="4.72"/>
  </r>
  <r>
    <d v="2014-06-06T00:00:00"/>
    <x v="118"/>
    <x v="0"/>
    <x v="0"/>
    <x v="1"/>
    <x v="234"/>
    <n v="100.24"/>
    <n v="10"/>
    <n v="33.83"/>
  </r>
  <r>
    <d v="2014-06-06T00:00:00"/>
    <x v="78"/>
    <x v="9"/>
    <x v="0"/>
    <x v="3"/>
    <x v="235"/>
    <n v="1.37"/>
    <n v="1"/>
    <n v="-0.91"/>
  </r>
  <r>
    <d v="2014-06-06T00:00:00"/>
    <x v="78"/>
    <x v="9"/>
    <x v="0"/>
    <x v="0"/>
    <x v="236"/>
    <n v="62.02"/>
    <n v="2"/>
    <n v="22.48"/>
  </r>
  <r>
    <d v="2014-07-06T00:00:00"/>
    <x v="119"/>
    <x v="1"/>
    <x v="0"/>
    <x v="3"/>
    <x v="230"/>
    <n v="12.46"/>
    <n v="3"/>
    <n v="-20.56"/>
  </r>
  <r>
    <d v="2014-07-06T00:00:00"/>
    <x v="120"/>
    <x v="1"/>
    <x v="1"/>
    <x v="10"/>
    <x v="237"/>
    <n v="268.94"/>
    <n v="3"/>
    <n v="-209.77"/>
  </r>
  <r>
    <d v="2014-08-06T00:00:00"/>
    <x v="121"/>
    <x v="10"/>
    <x v="1"/>
    <x v="5"/>
    <x v="238"/>
    <n v="585.54999999999995"/>
    <n v="3"/>
    <n v="73.19"/>
  </r>
  <r>
    <d v="2014-08-06T00:00:00"/>
    <x v="51"/>
    <x v="31"/>
    <x v="1"/>
    <x v="5"/>
    <x v="239"/>
    <n v="170.35"/>
    <n v="3"/>
    <n v="10.65"/>
  </r>
  <r>
    <d v="2014-08-06T00:00:00"/>
    <x v="122"/>
    <x v="12"/>
    <x v="0"/>
    <x v="3"/>
    <x v="240"/>
    <n v="68.48"/>
    <n v="2"/>
    <n v="25.68"/>
  </r>
  <r>
    <d v="2014-08-06T00:00:00"/>
    <x v="122"/>
    <x v="12"/>
    <x v="0"/>
    <x v="2"/>
    <x v="241"/>
    <n v="1676.88"/>
    <n v="6"/>
    <n v="83.84"/>
  </r>
  <r>
    <d v="2014-09-06T00:00:00"/>
    <x v="123"/>
    <x v="3"/>
    <x v="1"/>
    <x v="8"/>
    <x v="242"/>
    <n v="48.86"/>
    <n v="7"/>
    <n v="14.17"/>
  </r>
  <r>
    <d v="2014-09-06T00:00:00"/>
    <x v="123"/>
    <x v="3"/>
    <x v="0"/>
    <x v="4"/>
    <x v="243"/>
    <n v="7.28"/>
    <n v="4"/>
    <n v="1.97"/>
  </r>
  <r>
    <d v="2014-09-06T00:00:00"/>
    <x v="123"/>
    <x v="3"/>
    <x v="2"/>
    <x v="6"/>
    <x v="244"/>
    <n v="907.15"/>
    <n v="6"/>
    <n v="90.72"/>
  </r>
  <r>
    <d v="2014-09-06T00:00:00"/>
    <x v="123"/>
    <x v="3"/>
    <x v="0"/>
    <x v="3"/>
    <x v="245"/>
    <n v="18.5"/>
    <n v="3"/>
    <n v="5.78"/>
  </r>
  <r>
    <d v="2014-09-06T00:00:00"/>
    <x v="123"/>
    <x v="3"/>
    <x v="0"/>
    <x v="13"/>
    <x v="246"/>
    <n v="114.9"/>
    <n v="5"/>
    <n v="34.47"/>
  </r>
  <r>
    <d v="2014-09-06T00:00:00"/>
    <x v="123"/>
    <x v="3"/>
    <x v="1"/>
    <x v="10"/>
    <x v="247"/>
    <n v="1706.18"/>
    <n v="9"/>
    <n v="85.31"/>
  </r>
  <r>
    <d v="2014-09-06T00:00:00"/>
    <x v="123"/>
    <x v="3"/>
    <x v="2"/>
    <x v="6"/>
    <x v="248"/>
    <n v="911.42"/>
    <n v="4"/>
    <n v="68.36"/>
  </r>
  <r>
    <d v="2014-09-06T00:00:00"/>
    <x v="124"/>
    <x v="0"/>
    <x v="2"/>
    <x v="6"/>
    <x v="249"/>
    <n v="7.99"/>
    <n v="1"/>
    <n v="0.6"/>
  </r>
  <r>
    <d v="2014-09-06T00:00:00"/>
    <x v="124"/>
    <x v="0"/>
    <x v="2"/>
    <x v="9"/>
    <x v="250"/>
    <n v="63.98"/>
    <n v="2"/>
    <n v="10.4"/>
  </r>
  <r>
    <d v="2014-09-06T00:00:00"/>
    <x v="124"/>
    <x v="0"/>
    <x v="0"/>
    <x v="4"/>
    <x v="251"/>
    <n v="70.37"/>
    <n v="2"/>
    <n v="6.16"/>
  </r>
  <r>
    <d v="2014-09-06T00:00:00"/>
    <x v="125"/>
    <x v="3"/>
    <x v="0"/>
    <x v="14"/>
    <x v="252"/>
    <n v="7.36"/>
    <n v="2"/>
    <n v="0.15"/>
  </r>
  <r>
    <d v="2014-09-06T00:00:00"/>
    <x v="125"/>
    <x v="3"/>
    <x v="0"/>
    <x v="4"/>
    <x v="253"/>
    <n v="23.1"/>
    <n v="2"/>
    <n v="10.63"/>
  </r>
  <r>
    <d v="2014-09-06T00:00:00"/>
    <x v="126"/>
    <x v="6"/>
    <x v="1"/>
    <x v="10"/>
    <x v="254"/>
    <n v="1441.3"/>
    <n v="7"/>
    <n v="245.02"/>
  </r>
  <r>
    <d v="2014-09-06T00:00:00"/>
    <x v="127"/>
    <x v="13"/>
    <x v="0"/>
    <x v="4"/>
    <x v="255"/>
    <n v="18.059999999999999"/>
    <n v="7"/>
    <n v="4.7"/>
  </r>
  <r>
    <d v="2014-09-06T00:00:00"/>
    <x v="127"/>
    <x v="13"/>
    <x v="0"/>
    <x v="0"/>
    <x v="256"/>
    <n v="79.14"/>
    <n v="3"/>
    <n v="36.4"/>
  </r>
  <r>
    <d v="2014-09-06T00:00:00"/>
    <x v="127"/>
    <x v="13"/>
    <x v="1"/>
    <x v="8"/>
    <x v="257"/>
    <n v="37.4"/>
    <n v="2"/>
    <n v="14.21"/>
  </r>
  <r>
    <d v="2014-10-06T00:00:00"/>
    <x v="128"/>
    <x v="18"/>
    <x v="0"/>
    <x v="1"/>
    <x v="258"/>
    <n v="491.55"/>
    <n v="5"/>
    <n v="240.86"/>
  </r>
  <r>
    <d v="2014-01-07T00:00:00"/>
    <x v="129"/>
    <x v="10"/>
    <x v="0"/>
    <x v="3"/>
    <x v="259"/>
    <n v="19.920000000000002"/>
    <n v="5"/>
    <n v="6.97"/>
  </r>
  <r>
    <d v="2014-01-07T00:00:00"/>
    <x v="130"/>
    <x v="9"/>
    <x v="2"/>
    <x v="6"/>
    <x v="260"/>
    <n v="575.91999999999996"/>
    <n v="2"/>
    <n v="71.989999999999995"/>
  </r>
  <r>
    <d v="2014-01-07T00:00:00"/>
    <x v="130"/>
    <x v="9"/>
    <x v="0"/>
    <x v="3"/>
    <x v="261"/>
    <n v="5.18"/>
    <n v="6"/>
    <n v="-3.63"/>
  </r>
  <r>
    <d v="2014-02-07T00:00:00"/>
    <x v="131"/>
    <x v="11"/>
    <x v="2"/>
    <x v="6"/>
    <x v="262"/>
    <n v="73.98"/>
    <n v="2"/>
    <n v="19.97"/>
  </r>
  <r>
    <d v="2014-02-07T00:00:00"/>
    <x v="131"/>
    <x v="11"/>
    <x v="0"/>
    <x v="4"/>
    <x v="193"/>
    <n v="5.58"/>
    <n v="1"/>
    <n v="2.1800000000000002"/>
  </r>
  <r>
    <d v="2014-04-07T00:00:00"/>
    <x v="51"/>
    <x v="19"/>
    <x v="0"/>
    <x v="0"/>
    <x v="133"/>
    <n v="177.54"/>
    <n v="4"/>
    <n v="62.14"/>
  </r>
  <r>
    <d v="2014-04-07T00:00:00"/>
    <x v="51"/>
    <x v="19"/>
    <x v="0"/>
    <x v="13"/>
    <x v="263"/>
    <n v="32.43"/>
    <n v="2"/>
    <n v="3.24"/>
  </r>
  <r>
    <d v="2014-04-07T00:00:00"/>
    <x v="132"/>
    <x v="6"/>
    <x v="0"/>
    <x v="0"/>
    <x v="264"/>
    <n v="21.84"/>
    <n v="3"/>
    <n v="10.92"/>
  </r>
  <r>
    <d v="2014-04-07T00:00:00"/>
    <x v="132"/>
    <x v="6"/>
    <x v="0"/>
    <x v="3"/>
    <x v="95"/>
    <n v="15.6"/>
    <n v="5"/>
    <n v="7.64"/>
  </r>
  <r>
    <d v="2014-05-07T00:00:00"/>
    <x v="133"/>
    <x v="32"/>
    <x v="2"/>
    <x v="9"/>
    <x v="265"/>
    <n v="479.97"/>
    <n v="3"/>
    <n v="163.19"/>
  </r>
  <r>
    <d v="2014-05-07T00:00:00"/>
    <x v="133"/>
    <x v="32"/>
    <x v="0"/>
    <x v="1"/>
    <x v="266"/>
    <n v="14.62"/>
    <n v="2"/>
    <n v="6.87"/>
  </r>
  <r>
    <d v="2014-05-07T00:00:00"/>
    <x v="133"/>
    <x v="32"/>
    <x v="0"/>
    <x v="0"/>
    <x v="267"/>
    <n v="19.440000000000001"/>
    <n v="3"/>
    <n v="9.33"/>
  </r>
  <r>
    <d v="2014-05-07T00:00:00"/>
    <x v="134"/>
    <x v="0"/>
    <x v="0"/>
    <x v="2"/>
    <x v="268"/>
    <n v="220.78"/>
    <n v="3"/>
    <n v="-44.16"/>
  </r>
  <r>
    <d v="2014-05-07T00:00:00"/>
    <x v="134"/>
    <x v="0"/>
    <x v="0"/>
    <x v="2"/>
    <x v="269"/>
    <n v="281.42"/>
    <n v="11"/>
    <n v="-35.18"/>
  </r>
  <r>
    <d v="2014-05-07T00:00:00"/>
    <x v="135"/>
    <x v="3"/>
    <x v="0"/>
    <x v="3"/>
    <x v="270"/>
    <n v="180.96"/>
    <n v="6"/>
    <n v="67.86"/>
  </r>
  <r>
    <d v="2014-05-07T00:00:00"/>
    <x v="136"/>
    <x v="31"/>
    <x v="0"/>
    <x v="4"/>
    <x v="243"/>
    <n v="4.37"/>
    <n v="3"/>
    <n v="0.38"/>
  </r>
  <r>
    <d v="2014-05-07T00:00:00"/>
    <x v="137"/>
    <x v="9"/>
    <x v="1"/>
    <x v="8"/>
    <x v="271"/>
    <n v="19.52"/>
    <n v="2"/>
    <n v="5.37"/>
  </r>
  <r>
    <d v="2014-05-07T00:00:00"/>
    <x v="137"/>
    <x v="9"/>
    <x v="0"/>
    <x v="3"/>
    <x v="272"/>
    <n v="9.81"/>
    <n v="5"/>
    <n v="-6.87"/>
  </r>
  <r>
    <d v="2014-05-07T00:00:00"/>
    <x v="137"/>
    <x v="9"/>
    <x v="1"/>
    <x v="8"/>
    <x v="101"/>
    <n v="213.22"/>
    <n v="3"/>
    <n v="15.99"/>
  </r>
  <r>
    <d v="2014-06-07T00:00:00"/>
    <x v="138"/>
    <x v="12"/>
    <x v="2"/>
    <x v="15"/>
    <x v="273"/>
    <n v="559.99"/>
    <n v="1"/>
    <n v="175"/>
  </r>
  <r>
    <d v="2014-06-07T00:00:00"/>
    <x v="139"/>
    <x v="3"/>
    <x v="1"/>
    <x v="5"/>
    <x v="274"/>
    <n v="478.48"/>
    <n v="2"/>
    <n v="47.85"/>
  </r>
  <r>
    <d v="2014-07-07T00:00:00"/>
    <x v="140"/>
    <x v="2"/>
    <x v="1"/>
    <x v="5"/>
    <x v="275"/>
    <n v="172.19"/>
    <n v="2"/>
    <n v="-46.74"/>
  </r>
  <r>
    <d v="2014-07-07T00:00:00"/>
    <x v="140"/>
    <x v="2"/>
    <x v="1"/>
    <x v="8"/>
    <x v="276"/>
    <n v="69.010000000000005"/>
    <n v="2"/>
    <n v="12.08"/>
  </r>
  <r>
    <d v="2014-08-07T00:00:00"/>
    <x v="141"/>
    <x v="12"/>
    <x v="1"/>
    <x v="5"/>
    <x v="239"/>
    <n v="63.88"/>
    <n v="1"/>
    <n v="10.65"/>
  </r>
  <r>
    <d v="2014-08-07T00:00:00"/>
    <x v="142"/>
    <x v="3"/>
    <x v="1"/>
    <x v="10"/>
    <x v="37"/>
    <n v="502.49"/>
    <n v="3"/>
    <n v="-87.94"/>
  </r>
  <r>
    <d v="2014-08-07T00:00:00"/>
    <x v="142"/>
    <x v="3"/>
    <x v="0"/>
    <x v="3"/>
    <x v="277"/>
    <n v="196.7"/>
    <n v="6"/>
    <n v="68.849999999999994"/>
  </r>
  <r>
    <d v="2014-09-07T00:00:00"/>
    <x v="143"/>
    <x v="0"/>
    <x v="0"/>
    <x v="0"/>
    <x v="278"/>
    <n v="10.37"/>
    <n v="2"/>
    <n v="3.63"/>
  </r>
  <r>
    <d v="2014-09-07T00:00:00"/>
    <x v="143"/>
    <x v="0"/>
    <x v="0"/>
    <x v="0"/>
    <x v="279"/>
    <n v="14.35"/>
    <n v="3"/>
    <n v="4.49"/>
  </r>
  <r>
    <d v="2014-09-07T00:00:00"/>
    <x v="144"/>
    <x v="3"/>
    <x v="0"/>
    <x v="1"/>
    <x v="280"/>
    <n v="2.88"/>
    <n v="1"/>
    <n v="1.41"/>
  </r>
  <r>
    <d v="2014-09-07T00:00:00"/>
    <x v="144"/>
    <x v="3"/>
    <x v="0"/>
    <x v="3"/>
    <x v="38"/>
    <n v="41.9"/>
    <n v="6"/>
    <n v="14.14"/>
  </r>
  <r>
    <d v="2014-09-07T00:00:00"/>
    <x v="144"/>
    <x v="3"/>
    <x v="0"/>
    <x v="2"/>
    <x v="281"/>
    <n v="23.92"/>
    <n v="4"/>
    <n v="4.07"/>
  </r>
  <r>
    <d v="2014-09-07T00:00:00"/>
    <x v="145"/>
    <x v="3"/>
    <x v="0"/>
    <x v="3"/>
    <x v="282"/>
    <n v="14.3"/>
    <n v="6"/>
    <n v="4.6500000000000004"/>
  </r>
  <r>
    <d v="2014-09-07T00:00:00"/>
    <x v="145"/>
    <x v="3"/>
    <x v="1"/>
    <x v="12"/>
    <x v="283"/>
    <n v="119.83"/>
    <n v="1"/>
    <n v="7.05"/>
  </r>
  <r>
    <d v="2014-09-07T00:00:00"/>
    <x v="145"/>
    <x v="3"/>
    <x v="0"/>
    <x v="4"/>
    <x v="284"/>
    <n v="5.56"/>
    <n v="2"/>
    <n v="2.2200000000000002"/>
  </r>
  <r>
    <d v="2014-09-07T00:00:00"/>
    <x v="145"/>
    <x v="3"/>
    <x v="0"/>
    <x v="0"/>
    <x v="285"/>
    <n v="32.4"/>
    <n v="5"/>
    <n v="15.55"/>
  </r>
  <r>
    <d v="2014-11-07T00:00:00"/>
    <x v="146"/>
    <x v="11"/>
    <x v="0"/>
    <x v="0"/>
    <x v="177"/>
    <n v="177.2"/>
    <n v="5"/>
    <n v="83.28"/>
  </r>
  <r>
    <d v="2014-11-07T00:00:00"/>
    <x v="146"/>
    <x v="11"/>
    <x v="2"/>
    <x v="6"/>
    <x v="286"/>
    <n v="197.97"/>
    <n v="3"/>
    <n v="57.41"/>
  </r>
  <r>
    <d v="2014-11-07T00:00:00"/>
    <x v="146"/>
    <x v="11"/>
    <x v="1"/>
    <x v="5"/>
    <x v="287"/>
    <n v="854.94"/>
    <n v="3"/>
    <n v="213.74"/>
  </r>
  <r>
    <d v="2014-11-07T00:00:00"/>
    <x v="146"/>
    <x v="11"/>
    <x v="1"/>
    <x v="8"/>
    <x v="288"/>
    <n v="124.11"/>
    <n v="9"/>
    <n v="52.13"/>
  </r>
  <r>
    <d v="2014-11-07T00:00:00"/>
    <x v="146"/>
    <x v="11"/>
    <x v="0"/>
    <x v="1"/>
    <x v="289"/>
    <n v="14.4"/>
    <n v="5"/>
    <n v="7.06"/>
  </r>
  <r>
    <d v="2014-11-07T00:00:00"/>
    <x v="147"/>
    <x v="0"/>
    <x v="2"/>
    <x v="6"/>
    <x v="290"/>
    <n v="575.97"/>
    <n v="4"/>
    <n v="43.2"/>
  </r>
  <r>
    <d v="2014-11-07T00:00:00"/>
    <x v="147"/>
    <x v="0"/>
    <x v="0"/>
    <x v="0"/>
    <x v="291"/>
    <n v="10.37"/>
    <n v="2"/>
    <n v="3.63"/>
  </r>
  <r>
    <d v="2014-11-07T00:00:00"/>
    <x v="148"/>
    <x v="12"/>
    <x v="0"/>
    <x v="0"/>
    <x v="292"/>
    <n v="49.12"/>
    <n v="4"/>
    <n v="23.09"/>
  </r>
  <r>
    <d v="2014-11-07T00:00:00"/>
    <x v="148"/>
    <x v="12"/>
    <x v="0"/>
    <x v="3"/>
    <x v="293"/>
    <n v="18.28"/>
    <n v="5"/>
    <n v="6.4"/>
  </r>
  <r>
    <d v="2014-11-07T00:00:00"/>
    <x v="149"/>
    <x v="12"/>
    <x v="2"/>
    <x v="6"/>
    <x v="294"/>
    <n v="164.85"/>
    <n v="3"/>
    <n v="47.81"/>
  </r>
  <r>
    <d v="2014-12-07T00:00:00"/>
    <x v="150"/>
    <x v="3"/>
    <x v="0"/>
    <x v="3"/>
    <x v="295"/>
    <n v="7.71"/>
    <n v="2"/>
    <n v="2.8"/>
  </r>
  <r>
    <d v="2014-12-07T00:00:00"/>
    <x v="150"/>
    <x v="3"/>
    <x v="1"/>
    <x v="10"/>
    <x v="296"/>
    <n v="698.35"/>
    <n v="3"/>
    <n v="-17.46"/>
  </r>
  <r>
    <d v="2014-12-07T00:00:00"/>
    <x v="151"/>
    <x v="3"/>
    <x v="0"/>
    <x v="2"/>
    <x v="187"/>
    <n v="249.75"/>
    <n v="9"/>
    <n v="44.96"/>
  </r>
  <r>
    <d v="2014-12-07T00:00:00"/>
    <x v="151"/>
    <x v="3"/>
    <x v="2"/>
    <x v="6"/>
    <x v="297"/>
    <n v="255.94"/>
    <n v="8"/>
    <n v="28.79"/>
  </r>
  <r>
    <d v="2014-12-07T00:00:00"/>
    <x v="36"/>
    <x v="10"/>
    <x v="1"/>
    <x v="5"/>
    <x v="298"/>
    <n v="123.14"/>
    <n v="4"/>
    <n v="13.85"/>
  </r>
  <r>
    <d v="2014-12-07T00:00:00"/>
    <x v="36"/>
    <x v="10"/>
    <x v="0"/>
    <x v="3"/>
    <x v="299"/>
    <n v="11.26"/>
    <n v="4"/>
    <n v="3.8"/>
  </r>
  <r>
    <d v="2014-12-07T00:00:00"/>
    <x v="152"/>
    <x v="1"/>
    <x v="0"/>
    <x v="0"/>
    <x v="300"/>
    <n v="35.86"/>
    <n v="9"/>
    <n v="13"/>
  </r>
  <r>
    <d v="2014-12-07T00:00:00"/>
    <x v="152"/>
    <x v="1"/>
    <x v="2"/>
    <x v="9"/>
    <x v="301"/>
    <n v="23.84"/>
    <n v="4"/>
    <n v="3.28"/>
  </r>
  <r>
    <d v="2014-12-07T00:00:00"/>
    <x v="153"/>
    <x v="0"/>
    <x v="1"/>
    <x v="5"/>
    <x v="302"/>
    <n v="512.36"/>
    <n v="3"/>
    <n v="-14.64"/>
  </r>
  <r>
    <d v="2014-12-07T00:00:00"/>
    <x v="153"/>
    <x v="0"/>
    <x v="0"/>
    <x v="7"/>
    <x v="86"/>
    <n v="3.49"/>
    <n v="2"/>
    <n v="0.56999999999999995"/>
  </r>
  <r>
    <d v="2014-12-07T00:00:00"/>
    <x v="153"/>
    <x v="0"/>
    <x v="0"/>
    <x v="4"/>
    <x v="303"/>
    <n v="22.29"/>
    <n v="7"/>
    <n v="3.9"/>
  </r>
  <r>
    <d v="2014-12-07T00:00:00"/>
    <x v="153"/>
    <x v="0"/>
    <x v="0"/>
    <x v="0"/>
    <x v="304"/>
    <n v="16.03"/>
    <n v="3"/>
    <n v="5.61"/>
  </r>
  <r>
    <d v="2014-01-08T00:00:00"/>
    <x v="154"/>
    <x v="15"/>
    <x v="0"/>
    <x v="1"/>
    <x v="305"/>
    <n v="17.54"/>
    <n v="3"/>
    <n v="5.92"/>
  </r>
  <r>
    <d v="2014-01-08T00:00:00"/>
    <x v="154"/>
    <x v="15"/>
    <x v="1"/>
    <x v="8"/>
    <x v="288"/>
    <n v="44.13"/>
    <n v="4"/>
    <n v="12.14"/>
  </r>
  <r>
    <d v="2014-01-08T00:00:00"/>
    <x v="154"/>
    <x v="15"/>
    <x v="0"/>
    <x v="13"/>
    <x v="306"/>
    <n v="62.92"/>
    <n v="1"/>
    <n v="10.220000000000001"/>
  </r>
  <r>
    <d v="2014-01-08T00:00:00"/>
    <x v="154"/>
    <x v="15"/>
    <x v="0"/>
    <x v="0"/>
    <x v="307"/>
    <n v="78.3"/>
    <n v="2"/>
    <n v="29.36"/>
  </r>
  <r>
    <d v="2014-01-08T00:00:00"/>
    <x v="155"/>
    <x v="3"/>
    <x v="0"/>
    <x v="3"/>
    <x v="308"/>
    <n v="19.75"/>
    <n v="3"/>
    <n v="6.91"/>
  </r>
  <r>
    <d v="2014-01-08T00:00:00"/>
    <x v="156"/>
    <x v="2"/>
    <x v="0"/>
    <x v="7"/>
    <x v="309"/>
    <n v="5.68"/>
    <n v="2"/>
    <n v="1.92"/>
  </r>
  <r>
    <d v="2014-02-08T00:00:00"/>
    <x v="157"/>
    <x v="14"/>
    <x v="0"/>
    <x v="3"/>
    <x v="310"/>
    <n v="26.7"/>
    <n v="5"/>
    <n v="12.55"/>
  </r>
  <r>
    <d v="2014-02-08T00:00:00"/>
    <x v="157"/>
    <x v="14"/>
    <x v="2"/>
    <x v="9"/>
    <x v="311"/>
    <n v="21.2"/>
    <n v="2"/>
    <n v="9.1199999999999992"/>
  </r>
  <r>
    <d v="2014-02-08T00:00:00"/>
    <x v="157"/>
    <x v="14"/>
    <x v="0"/>
    <x v="2"/>
    <x v="312"/>
    <n v="838.38"/>
    <n v="2"/>
    <n v="226.36"/>
  </r>
  <r>
    <d v="2014-03-08T00:00:00"/>
    <x v="158"/>
    <x v="19"/>
    <x v="1"/>
    <x v="10"/>
    <x v="313"/>
    <n v="218.75"/>
    <n v="2"/>
    <n v="-161.88"/>
  </r>
  <r>
    <d v="2014-03-08T00:00:00"/>
    <x v="158"/>
    <x v="19"/>
    <x v="0"/>
    <x v="13"/>
    <x v="314"/>
    <n v="2.6"/>
    <n v="1"/>
    <n v="0.28999999999999998"/>
  </r>
  <r>
    <d v="2014-03-08T00:00:00"/>
    <x v="159"/>
    <x v="12"/>
    <x v="0"/>
    <x v="0"/>
    <x v="315"/>
    <n v="39.96"/>
    <n v="2"/>
    <n v="18.78"/>
  </r>
  <r>
    <d v="2014-03-08T00:00:00"/>
    <x v="159"/>
    <x v="12"/>
    <x v="0"/>
    <x v="14"/>
    <x v="316"/>
    <n v="102.3"/>
    <n v="10"/>
    <n v="26.6"/>
  </r>
  <r>
    <d v="2014-03-08T00:00:00"/>
    <x v="159"/>
    <x v="12"/>
    <x v="0"/>
    <x v="2"/>
    <x v="317"/>
    <n v="21.36"/>
    <n v="2"/>
    <n v="5.77"/>
  </r>
  <r>
    <d v="2014-03-08T00:00:00"/>
    <x v="144"/>
    <x v="23"/>
    <x v="0"/>
    <x v="0"/>
    <x v="318"/>
    <n v="93.02"/>
    <n v="3"/>
    <n v="33.72"/>
  </r>
  <r>
    <d v="2014-04-08T00:00:00"/>
    <x v="160"/>
    <x v="30"/>
    <x v="0"/>
    <x v="13"/>
    <x v="319"/>
    <n v="1089.75"/>
    <n v="3"/>
    <n v="305.13"/>
  </r>
  <r>
    <d v="2014-04-08T00:00:00"/>
    <x v="160"/>
    <x v="30"/>
    <x v="0"/>
    <x v="0"/>
    <x v="320"/>
    <n v="447.84"/>
    <n v="8"/>
    <n v="219.44"/>
  </r>
  <r>
    <d v="2014-04-08T00:00:00"/>
    <x v="160"/>
    <x v="30"/>
    <x v="0"/>
    <x v="4"/>
    <x v="321"/>
    <n v="16.399999999999999"/>
    <n v="5"/>
    <n v="4.26"/>
  </r>
  <r>
    <d v="2014-04-08T00:00:00"/>
    <x v="160"/>
    <x v="30"/>
    <x v="2"/>
    <x v="6"/>
    <x v="322"/>
    <n v="399.96"/>
    <n v="5"/>
    <n v="35"/>
  </r>
  <r>
    <d v="2014-04-08T00:00:00"/>
    <x v="160"/>
    <x v="30"/>
    <x v="0"/>
    <x v="2"/>
    <x v="323"/>
    <n v="158.9"/>
    <n v="5"/>
    <n v="7.95"/>
  </r>
  <r>
    <d v="2014-04-08T00:00:00"/>
    <x v="160"/>
    <x v="30"/>
    <x v="0"/>
    <x v="3"/>
    <x v="123"/>
    <n v="13.18"/>
    <n v="1"/>
    <n v="4.78"/>
  </r>
  <r>
    <d v="2014-04-08T00:00:00"/>
    <x v="161"/>
    <x v="33"/>
    <x v="0"/>
    <x v="13"/>
    <x v="324"/>
    <n v="101.96"/>
    <n v="2"/>
    <n v="27.53"/>
  </r>
  <r>
    <d v="2014-04-08T00:00:00"/>
    <x v="161"/>
    <x v="33"/>
    <x v="0"/>
    <x v="0"/>
    <x v="194"/>
    <n v="259.74"/>
    <n v="13"/>
    <n v="124.68"/>
  </r>
  <r>
    <d v="2014-04-08T00:00:00"/>
    <x v="161"/>
    <x v="33"/>
    <x v="2"/>
    <x v="9"/>
    <x v="325"/>
    <n v="255.42"/>
    <n v="9"/>
    <n v="104.72"/>
  </r>
  <r>
    <d v="2014-05-08T00:00:00"/>
    <x v="162"/>
    <x v="3"/>
    <x v="0"/>
    <x v="0"/>
    <x v="326"/>
    <n v="20.94"/>
    <n v="3"/>
    <n v="9.84"/>
  </r>
  <r>
    <d v="2014-05-08T00:00:00"/>
    <x v="162"/>
    <x v="3"/>
    <x v="0"/>
    <x v="0"/>
    <x v="327"/>
    <n v="110.96"/>
    <n v="2"/>
    <n v="53.26"/>
  </r>
  <r>
    <d v="2014-05-08T00:00:00"/>
    <x v="162"/>
    <x v="3"/>
    <x v="1"/>
    <x v="5"/>
    <x v="328"/>
    <n v="340.14"/>
    <n v="7"/>
    <n v="21.26"/>
  </r>
  <r>
    <d v="2014-05-08T00:00:00"/>
    <x v="163"/>
    <x v="3"/>
    <x v="2"/>
    <x v="9"/>
    <x v="329"/>
    <n v="16.36"/>
    <n v="1"/>
    <n v="1.64"/>
  </r>
  <r>
    <d v="2014-05-08T00:00:00"/>
    <x v="163"/>
    <x v="3"/>
    <x v="0"/>
    <x v="2"/>
    <x v="330"/>
    <n v="15.78"/>
    <n v="2"/>
    <n v="0.63"/>
  </r>
  <r>
    <d v="2014-05-08T00:00:00"/>
    <x v="163"/>
    <x v="3"/>
    <x v="0"/>
    <x v="4"/>
    <x v="331"/>
    <n v="45.98"/>
    <n v="2"/>
    <n v="12.87"/>
  </r>
  <r>
    <d v="2014-05-08T00:00:00"/>
    <x v="164"/>
    <x v="27"/>
    <x v="0"/>
    <x v="13"/>
    <x v="332"/>
    <n v="79.47"/>
    <n v="3"/>
    <n v="22.25"/>
  </r>
  <r>
    <d v="2014-05-08T00:00:00"/>
    <x v="164"/>
    <x v="27"/>
    <x v="0"/>
    <x v="4"/>
    <x v="333"/>
    <n v="4.5599999999999996"/>
    <n v="2"/>
    <n v="2.0099999999999998"/>
  </r>
  <r>
    <d v="2014-05-08T00:00:00"/>
    <x v="164"/>
    <x v="27"/>
    <x v="1"/>
    <x v="5"/>
    <x v="334"/>
    <n v="1133.3499999999999"/>
    <n v="5"/>
    <n v="294.67"/>
  </r>
  <r>
    <d v="2014-05-08T00:00:00"/>
    <x v="165"/>
    <x v="12"/>
    <x v="2"/>
    <x v="6"/>
    <x v="335"/>
    <n v="135.99"/>
    <n v="1"/>
    <n v="36.72"/>
  </r>
  <r>
    <d v="2014-05-08T00:00:00"/>
    <x v="165"/>
    <x v="12"/>
    <x v="0"/>
    <x v="4"/>
    <x v="333"/>
    <n v="15.96"/>
    <n v="7"/>
    <n v="7.02"/>
  </r>
  <r>
    <d v="2014-05-08T00:00:00"/>
    <x v="166"/>
    <x v="0"/>
    <x v="1"/>
    <x v="10"/>
    <x v="336"/>
    <n v="489.23"/>
    <n v="2"/>
    <n v="41.93"/>
  </r>
  <r>
    <d v="2014-06-08T00:00:00"/>
    <x v="167"/>
    <x v="17"/>
    <x v="2"/>
    <x v="9"/>
    <x v="337"/>
    <n v="62.91"/>
    <n v="3"/>
    <n v="22.65"/>
  </r>
  <r>
    <d v="2014-06-08T00:00:00"/>
    <x v="168"/>
    <x v="12"/>
    <x v="2"/>
    <x v="9"/>
    <x v="338"/>
    <n v="199.98"/>
    <n v="2"/>
    <n v="83.99"/>
  </r>
  <r>
    <d v="2014-08-08T00:00:00"/>
    <x v="169"/>
    <x v="3"/>
    <x v="0"/>
    <x v="13"/>
    <x v="339"/>
    <n v="76.12"/>
    <n v="2"/>
    <n v="22.07"/>
  </r>
  <r>
    <d v="2014-08-08T00:00:00"/>
    <x v="169"/>
    <x v="3"/>
    <x v="2"/>
    <x v="15"/>
    <x v="340"/>
    <n v="1199.98"/>
    <n v="3"/>
    <n v="434.99"/>
  </r>
  <r>
    <d v="2014-08-08T00:00:00"/>
    <x v="169"/>
    <x v="3"/>
    <x v="2"/>
    <x v="6"/>
    <x v="341"/>
    <n v="445.96"/>
    <n v="5"/>
    <n v="55.75"/>
  </r>
  <r>
    <d v="2014-08-08T00:00:00"/>
    <x v="169"/>
    <x v="3"/>
    <x v="1"/>
    <x v="8"/>
    <x v="342"/>
    <n v="327.76"/>
    <n v="8"/>
    <n v="91.77"/>
  </r>
  <r>
    <d v="2014-08-08T00:00:00"/>
    <x v="170"/>
    <x v="23"/>
    <x v="1"/>
    <x v="8"/>
    <x v="343"/>
    <n v="121.38"/>
    <n v="4"/>
    <n v="-3.03"/>
  </r>
  <r>
    <d v="2014-08-08T00:00:00"/>
    <x v="170"/>
    <x v="23"/>
    <x v="2"/>
    <x v="9"/>
    <x v="344"/>
    <n v="95.98"/>
    <n v="3"/>
    <n v="-10.8"/>
  </r>
  <r>
    <d v="2014-08-08T00:00:00"/>
    <x v="171"/>
    <x v="3"/>
    <x v="0"/>
    <x v="2"/>
    <x v="345"/>
    <n v="423.28"/>
    <n v="11"/>
    <n v="110.05"/>
  </r>
  <r>
    <d v="2014-08-08T00:00:00"/>
    <x v="172"/>
    <x v="18"/>
    <x v="2"/>
    <x v="15"/>
    <x v="346"/>
    <n v="549.99"/>
    <n v="1"/>
    <n v="275"/>
  </r>
  <r>
    <d v="2014-08-08T00:00:00"/>
    <x v="172"/>
    <x v="18"/>
    <x v="0"/>
    <x v="13"/>
    <x v="347"/>
    <n v="167.54"/>
    <n v="3"/>
    <n v="37.229999999999997"/>
  </r>
  <r>
    <d v="2014-08-08T00:00:00"/>
    <x v="172"/>
    <x v="18"/>
    <x v="0"/>
    <x v="11"/>
    <x v="348"/>
    <n v="38.340000000000003"/>
    <n v="3"/>
    <n v="17.25"/>
  </r>
  <r>
    <d v="2014-08-08T00:00:00"/>
    <x v="172"/>
    <x v="18"/>
    <x v="1"/>
    <x v="8"/>
    <x v="349"/>
    <n v="53.88"/>
    <n v="6"/>
    <n v="22.63"/>
  </r>
  <r>
    <d v="2014-08-08T00:00:00"/>
    <x v="172"/>
    <x v="18"/>
    <x v="2"/>
    <x v="6"/>
    <x v="97"/>
    <n v="299.98"/>
    <n v="2"/>
    <n v="83.99"/>
  </r>
  <r>
    <d v="2014-08-08T00:00:00"/>
    <x v="173"/>
    <x v="9"/>
    <x v="1"/>
    <x v="12"/>
    <x v="350"/>
    <n v="155.46"/>
    <n v="4"/>
    <n v="-7.77"/>
  </r>
  <r>
    <d v="2014-09-08T00:00:00"/>
    <x v="174"/>
    <x v="9"/>
    <x v="2"/>
    <x v="6"/>
    <x v="341"/>
    <n v="178.38"/>
    <n v="2"/>
    <n v="22.3"/>
  </r>
  <r>
    <d v="2014-09-08T00:00:00"/>
    <x v="174"/>
    <x v="9"/>
    <x v="0"/>
    <x v="0"/>
    <x v="351"/>
    <n v="15.55"/>
    <n v="3"/>
    <n v="5.44"/>
  </r>
  <r>
    <d v="2014-09-08T00:00:00"/>
    <x v="175"/>
    <x v="3"/>
    <x v="0"/>
    <x v="1"/>
    <x v="352"/>
    <n v="20.88"/>
    <n v="8"/>
    <n v="9.6"/>
  </r>
  <r>
    <d v="2014-09-08T00:00:00"/>
    <x v="176"/>
    <x v="10"/>
    <x v="2"/>
    <x v="6"/>
    <x v="353"/>
    <n v="1091.17"/>
    <n v="4"/>
    <n v="68.2"/>
  </r>
  <r>
    <d v="2014-09-08T00:00:00"/>
    <x v="176"/>
    <x v="10"/>
    <x v="2"/>
    <x v="6"/>
    <x v="354"/>
    <n v="219.17"/>
    <n v="2"/>
    <n v="-43.83"/>
  </r>
  <r>
    <d v="2014-09-08T00:00:00"/>
    <x v="177"/>
    <x v="10"/>
    <x v="0"/>
    <x v="3"/>
    <x v="355"/>
    <n v="2060.7399999999998"/>
    <n v="7"/>
    <n v="643.98"/>
  </r>
  <r>
    <d v="2014-09-08T00:00:00"/>
    <x v="178"/>
    <x v="3"/>
    <x v="0"/>
    <x v="0"/>
    <x v="356"/>
    <n v="5.98"/>
    <n v="1"/>
    <n v="2.69"/>
  </r>
  <r>
    <d v="2014-09-08T00:00:00"/>
    <x v="179"/>
    <x v="23"/>
    <x v="0"/>
    <x v="7"/>
    <x v="357"/>
    <n v="4.46"/>
    <n v="3"/>
    <n v="-0.95"/>
  </r>
  <r>
    <d v="2014-09-08T00:00:00"/>
    <x v="179"/>
    <x v="23"/>
    <x v="0"/>
    <x v="3"/>
    <x v="358"/>
    <n v="9.35"/>
    <n v="5"/>
    <n v="-6.54"/>
  </r>
  <r>
    <d v="2014-11-08T00:00:00"/>
    <x v="98"/>
    <x v="10"/>
    <x v="1"/>
    <x v="8"/>
    <x v="359"/>
    <n v="12.35"/>
    <n v="1"/>
    <n v="5.43"/>
  </r>
  <r>
    <d v="2014-11-08T00:00:00"/>
    <x v="98"/>
    <x v="10"/>
    <x v="0"/>
    <x v="4"/>
    <x v="360"/>
    <n v="40.97"/>
    <n v="1"/>
    <n v="10.65"/>
  </r>
  <r>
    <d v="2014-11-08T00:00:00"/>
    <x v="98"/>
    <x v="10"/>
    <x v="0"/>
    <x v="7"/>
    <x v="361"/>
    <n v="22.96"/>
    <n v="2"/>
    <n v="10.79"/>
  </r>
  <r>
    <d v="2014-11-08T00:00:00"/>
    <x v="180"/>
    <x v="12"/>
    <x v="0"/>
    <x v="2"/>
    <x v="362"/>
    <n v="375.34"/>
    <n v="1"/>
    <n v="18.77"/>
  </r>
  <r>
    <d v="2014-12-08T00:00:00"/>
    <x v="181"/>
    <x v="11"/>
    <x v="0"/>
    <x v="3"/>
    <x v="363"/>
    <n v="196.21"/>
    <n v="7"/>
    <n v="98.11"/>
  </r>
  <r>
    <d v="2014-12-08T00:00:00"/>
    <x v="182"/>
    <x v="3"/>
    <x v="2"/>
    <x v="6"/>
    <x v="364"/>
    <n v="806.34"/>
    <n v="8"/>
    <n v="50.4"/>
  </r>
  <r>
    <d v="2014-12-08T00:00:00"/>
    <x v="182"/>
    <x v="3"/>
    <x v="1"/>
    <x v="8"/>
    <x v="225"/>
    <n v="85.44"/>
    <n v="3"/>
    <n v="31.61"/>
  </r>
  <r>
    <d v="2014-12-08T00:00:00"/>
    <x v="183"/>
    <x v="9"/>
    <x v="0"/>
    <x v="0"/>
    <x v="365"/>
    <n v="31.1"/>
    <n v="6"/>
    <n v="10.89"/>
  </r>
  <r>
    <d v="2014-12-08T00:00:00"/>
    <x v="183"/>
    <x v="9"/>
    <x v="0"/>
    <x v="4"/>
    <x v="366"/>
    <n v="47.96"/>
    <n v="5"/>
    <n v="4.2"/>
  </r>
  <r>
    <d v="2014-12-08T00:00:00"/>
    <x v="183"/>
    <x v="9"/>
    <x v="2"/>
    <x v="9"/>
    <x v="325"/>
    <n v="158.93"/>
    <n v="7"/>
    <n v="41.72"/>
  </r>
  <r>
    <d v="2014-12-08T00:00:00"/>
    <x v="183"/>
    <x v="9"/>
    <x v="0"/>
    <x v="13"/>
    <x v="367"/>
    <n v="211.25"/>
    <n v="6"/>
    <n v="15.84"/>
  </r>
  <r>
    <d v="2014-12-08T00:00:00"/>
    <x v="183"/>
    <x v="9"/>
    <x v="0"/>
    <x v="14"/>
    <x v="368"/>
    <n v="5.55"/>
    <n v="2"/>
    <n v="-1.04"/>
  </r>
  <r>
    <d v="2014-12-08T00:00:00"/>
    <x v="183"/>
    <x v="9"/>
    <x v="0"/>
    <x v="1"/>
    <x v="369"/>
    <n v="2.95"/>
    <n v="1"/>
    <n v="1"/>
  </r>
  <r>
    <d v="2014-12-08T00:00:00"/>
    <x v="184"/>
    <x v="4"/>
    <x v="0"/>
    <x v="3"/>
    <x v="370"/>
    <n v="14.04"/>
    <n v="3"/>
    <n v="6.74"/>
  </r>
  <r>
    <d v="2014-12-08T00:00:00"/>
    <x v="184"/>
    <x v="4"/>
    <x v="2"/>
    <x v="9"/>
    <x v="337"/>
    <n v="272.61"/>
    <n v="13"/>
    <n v="98.14"/>
  </r>
  <r>
    <d v="2014-01-09T00:00:00"/>
    <x v="185"/>
    <x v="3"/>
    <x v="0"/>
    <x v="4"/>
    <x v="371"/>
    <n v="53.94"/>
    <n v="3"/>
    <n v="15.64"/>
  </r>
  <r>
    <d v="2014-01-09T00:00:00"/>
    <x v="186"/>
    <x v="0"/>
    <x v="0"/>
    <x v="3"/>
    <x v="372"/>
    <n v="3.65"/>
    <n v="3"/>
    <n v="-6.02"/>
  </r>
  <r>
    <d v="2014-01-09T00:00:00"/>
    <x v="186"/>
    <x v="0"/>
    <x v="0"/>
    <x v="0"/>
    <x v="373"/>
    <n v="31.1"/>
    <n v="6"/>
    <n v="10.89"/>
  </r>
  <r>
    <d v="2014-01-09T00:00:00"/>
    <x v="187"/>
    <x v="12"/>
    <x v="0"/>
    <x v="3"/>
    <x v="374"/>
    <n v="23.74"/>
    <n v="2"/>
    <n v="8.31"/>
  </r>
  <r>
    <d v="2014-01-09T00:00:00"/>
    <x v="187"/>
    <x v="12"/>
    <x v="2"/>
    <x v="9"/>
    <x v="375"/>
    <n v="357"/>
    <n v="3"/>
    <n v="57.12"/>
  </r>
  <r>
    <d v="2014-02-09T00:00:00"/>
    <x v="188"/>
    <x v="12"/>
    <x v="0"/>
    <x v="13"/>
    <x v="376"/>
    <n v="19.899999999999999"/>
    <n v="1"/>
    <n v="8.9600000000000009"/>
  </r>
  <r>
    <d v="2014-02-09T00:00:00"/>
    <x v="188"/>
    <x v="12"/>
    <x v="1"/>
    <x v="8"/>
    <x v="377"/>
    <n v="70.709999999999994"/>
    <n v="1"/>
    <n v="4.95"/>
  </r>
  <r>
    <d v="2014-02-09T00:00:00"/>
    <x v="36"/>
    <x v="12"/>
    <x v="0"/>
    <x v="4"/>
    <x v="378"/>
    <n v="21.24"/>
    <n v="3"/>
    <n v="8.07"/>
  </r>
  <r>
    <d v="2014-02-09T00:00:00"/>
    <x v="189"/>
    <x v="12"/>
    <x v="0"/>
    <x v="4"/>
    <x v="379"/>
    <n v="57.75"/>
    <n v="5"/>
    <n v="16.170000000000002"/>
  </r>
  <r>
    <d v="2014-02-09T00:00:00"/>
    <x v="189"/>
    <x v="12"/>
    <x v="0"/>
    <x v="0"/>
    <x v="177"/>
    <n v="14.94"/>
    <n v="3"/>
    <n v="7.02"/>
  </r>
  <r>
    <d v="2014-02-09T00:00:00"/>
    <x v="190"/>
    <x v="1"/>
    <x v="2"/>
    <x v="9"/>
    <x v="380"/>
    <n v="239.98"/>
    <n v="3"/>
    <n v="53.99"/>
  </r>
  <r>
    <d v="2014-02-09T00:00:00"/>
    <x v="174"/>
    <x v="0"/>
    <x v="2"/>
    <x v="16"/>
    <x v="381"/>
    <n v="559.71"/>
    <n v="3"/>
    <n v="-121.27"/>
  </r>
  <r>
    <d v="2014-02-09T00:00:00"/>
    <x v="23"/>
    <x v="29"/>
    <x v="0"/>
    <x v="3"/>
    <x v="382"/>
    <n v="1793.98"/>
    <n v="2"/>
    <n v="843.17"/>
  </r>
  <r>
    <d v="2014-02-09T00:00:00"/>
    <x v="115"/>
    <x v="1"/>
    <x v="2"/>
    <x v="9"/>
    <x v="383"/>
    <n v="475.94"/>
    <n v="7"/>
    <n v="95.19"/>
  </r>
  <r>
    <d v="2014-03-09T00:00:00"/>
    <x v="191"/>
    <x v="12"/>
    <x v="0"/>
    <x v="1"/>
    <x v="289"/>
    <n v="14.4"/>
    <n v="5"/>
    <n v="7.06"/>
  </r>
  <r>
    <d v="2014-03-09T00:00:00"/>
    <x v="192"/>
    <x v="0"/>
    <x v="0"/>
    <x v="3"/>
    <x v="384"/>
    <n v="7.68"/>
    <n v="5"/>
    <n v="-11.52"/>
  </r>
  <r>
    <d v="2014-05-09T00:00:00"/>
    <x v="193"/>
    <x v="16"/>
    <x v="0"/>
    <x v="2"/>
    <x v="385"/>
    <n v="264.32"/>
    <n v="2"/>
    <n v="19.82"/>
  </r>
  <r>
    <d v="2014-05-09T00:00:00"/>
    <x v="194"/>
    <x v="9"/>
    <x v="1"/>
    <x v="8"/>
    <x v="386"/>
    <n v="31.98"/>
    <n v="2"/>
    <n v="2"/>
  </r>
  <r>
    <d v="2014-06-09T00:00:00"/>
    <x v="195"/>
    <x v="3"/>
    <x v="1"/>
    <x v="8"/>
    <x v="242"/>
    <n v="41.88"/>
    <n v="6"/>
    <n v="12.15"/>
  </r>
  <r>
    <d v="2014-06-09T00:00:00"/>
    <x v="195"/>
    <x v="3"/>
    <x v="0"/>
    <x v="1"/>
    <x v="266"/>
    <n v="58.48"/>
    <n v="8"/>
    <n v="27.49"/>
  </r>
  <r>
    <d v="2014-07-09T00:00:00"/>
    <x v="95"/>
    <x v="2"/>
    <x v="0"/>
    <x v="2"/>
    <x v="76"/>
    <n v="64.78"/>
    <n v="1"/>
    <n v="-14.58"/>
  </r>
  <r>
    <d v="2014-07-09T00:00:00"/>
    <x v="95"/>
    <x v="2"/>
    <x v="2"/>
    <x v="6"/>
    <x v="387"/>
    <n v="32.380000000000003"/>
    <n v="3"/>
    <n v="4.32"/>
  </r>
  <r>
    <d v="2014-07-09T00:00:00"/>
    <x v="95"/>
    <x v="2"/>
    <x v="1"/>
    <x v="8"/>
    <x v="388"/>
    <n v="42.37"/>
    <n v="2"/>
    <n v="8.4700000000000006"/>
  </r>
  <r>
    <d v="2014-07-09T00:00:00"/>
    <x v="95"/>
    <x v="2"/>
    <x v="2"/>
    <x v="16"/>
    <x v="389"/>
    <n v="399.54"/>
    <n v="4"/>
    <n v="-559.36"/>
  </r>
  <r>
    <d v="2014-07-09T00:00:00"/>
    <x v="13"/>
    <x v="34"/>
    <x v="1"/>
    <x v="8"/>
    <x v="390"/>
    <n v="57.69"/>
    <n v="3"/>
    <n v="23.65"/>
  </r>
  <r>
    <d v="2014-07-09T00:00:00"/>
    <x v="13"/>
    <x v="34"/>
    <x v="0"/>
    <x v="3"/>
    <x v="391"/>
    <n v="42.81"/>
    <n v="3"/>
    <n v="20.12"/>
  </r>
  <r>
    <d v="2014-07-09T00:00:00"/>
    <x v="13"/>
    <x v="34"/>
    <x v="0"/>
    <x v="0"/>
    <x v="392"/>
    <n v="12.96"/>
    <n v="2"/>
    <n v="6.22"/>
  </r>
  <r>
    <d v="2014-07-09T00:00:00"/>
    <x v="13"/>
    <x v="34"/>
    <x v="1"/>
    <x v="8"/>
    <x v="393"/>
    <n v="821.88"/>
    <n v="6"/>
    <n v="213.69"/>
  </r>
  <r>
    <d v="2014-07-09T00:00:00"/>
    <x v="13"/>
    <x v="34"/>
    <x v="2"/>
    <x v="6"/>
    <x v="394"/>
    <n v="104.85"/>
    <n v="3"/>
    <n v="28.31"/>
  </r>
  <r>
    <d v="2014-07-09T00:00:00"/>
    <x v="196"/>
    <x v="12"/>
    <x v="2"/>
    <x v="6"/>
    <x v="395"/>
    <n v="377.97"/>
    <n v="3"/>
    <n v="109.61"/>
  </r>
  <r>
    <d v="2014-07-09T00:00:00"/>
    <x v="197"/>
    <x v="0"/>
    <x v="2"/>
    <x v="6"/>
    <x v="396"/>
    <n v="196.78"/>
    <n v="3"/>
    <n v="14.76"/>
  </r>
  <r>
    <d v="2014-07-09T00:00:00"/>
    <x v="197"/>
    <x v="0"/>
    <x v="0"/>
    <x v="3"/>
    <x v="397"/>
    <n v="2.92"/>
    <n v="2"/>
    <n v="-4.82"/>
  </r>
  <r>
    <d v="2014-07-09T00:00:00"/>
    <x v="197"/>
    <x v="0"/>
    <x v="1"/>
    <x v="10"/>
    <x v="398"/>
    <n v="200.8"/>
    <n v="1"/>
    <n v="-22.95"/>
  </r>
  <r>
    <d v="2014-07-09T00:00:00"/>
    <x v="197"/>
    <x v="0"/>
    <x v="2"/>
    <x v="9"/>
    <x v="399"/>
    <n v="46.69"/>
    <n v="4"/>
    <n v="-2.92"/>
  </r>
  <r>
    <d v="2014-07-09T00:00:00"/>
    <x v="197"/>
    <x v="0"/>
    <x v="0"/>
    <x v="4"/>
    <x v="400"/>
    <n v="21.86"/>
    <n v="3"/>
    <n v="3.55"/>
  </r>
  <r>
    <d v="2014-07-09T00:00:00"/>
    <x v="198"/>
    <x v="34"/>
    <x v="1"/>
    <x v="10"/>
    <x v="126"/>
    <n v="429.9"/>
    <n v="5"/>
    <n v="111.77"/>
  </r>
  <r>
    <d v="2014-07-09T00:00:00"/>
    <x v="198"/>
    <x v="34"/>
    <x v="0"/>
    <x v="3"/>
    <x v="401"/>
    <n v="32.06"/>
    <n v="2"/>
    <n v="15.39"/>
  </r>
  <r>
    <d v="2014-07-09T00:00:00"/>
    <x v="198"/>
    <x v="34"/>
    <x v="1"/>
    <x v="5"/>
    <x v="402"/>
    <n v="161.96"/>
    <n v="2"/>
    <n v="45.35"/>
  </r>
  <r>
    <d v="2014-07-09T00:00:00"/>
    <x v="198"/>
    <x v="34"/>
    <x v="0"/>
    <x v="2"/>
    <x v="403"/>
    <n v="19.86"/>
    <n v="2"/>
    <n v="5.76"/>
  </r>
  <r>
    <d v="2014-07-09T00:00:00"/>
    <x v="199"/>
    <x v="3"/>
    <x v="0"/>
    <x v="14"/>
    <x v="404"/>
    <n v="27.36"/>
    <n v="4"/>
    <n v="7.39"/>
  </r>
  <r>
    <d v="2014-07-09T00:00:00"/>
    <x v="199"/>
    <x v="3"/>
    <x v="0"/>
    <x v="0"/>
    <x v="0"/>
    <n v="20.56"/>
    <n v="2"/>
    <n v="9.66"/>
  </r>
  <r>
    <d v="2014-07-09T00:00:00"/>
    <x v="199"/>
    <x v="3"/>
    <x v="0"/>
    <x v="3"/>
    <x v="405"/>
    <n v="83.92"/>
    <n v="5"/>
    <n v="31.47"/>
  </r>
  <r>
    <d v="2014-07-09T00:00:00"/>
    <x v="200"/>
    <x v="1"/>
    <x v="0"/>
    <x v="7"/>
    <x v="406"/>
    <n v="13.16"/>
    <n v="5"/>
    <n v="4.1100000000000003"/>
  </r>
  <r>
    <d v="2014-07-09T00:00:00"/>
    <x v="200"/>
    <x v="1"/>
    <x v="0"/>
    <x v="3"/>
    <x v="407"/>
    <n v="3.83"/>
    <n v="3"/>
    <n v="-6.51"/>
  </r>
  <r>
    <d v="2014-07-09T00:00:00"/>
    <x v="200"/>
    <x v="1"/>
    <x v="0"/>
    <x v="3"/>
    <x v="8"/>
    <n v="304.99"/>
    <n v="5"/>
    <n v="-533.73"/>
  </r>
  <r>
    <d v="2014-08-09T00:00:00"/>
    <x v="201"/>
    <x v="0"/>
    <x v="0"/>
    <x v="4"/>
    <x v="408"/>
    <n v="9.94"/>
    <n v="3"/>
    <n v="2.73"/>
  </r>
  <r>
    <d v="2014-08-09T00:00:00"/>
    <x v="201"/>
    <x v="0"/>
    <x v="2"/>
    <x v="16"/>
    <x v="409"/>
    <n v="8159.95"/>
    <n v="8"/>
    <n v="-1359.99"/>
  </r>
  <r>
    <d v="2014-08-09T00:00:00"/>
    <x v="201"/>
    <x v="0"/>
    <x v="0"/>
    <x v="2"/>
    <x v="122"/>
    <n v="275.93"/>
    <n v="3"/>
    <n v="-58.63"/>
  </r>
  <r>
    <d v="2014-08-09T00:00:00"/>
    <x v="201"/>
    <x v="0"/>
    <x v="1"/>
    <x v="5"/>
    <x v="410"/>
    <n v="1740.06"/>
    <n v="9"/>
    <n v="-24.86"/>
  </r>
  <r>
    <d v="2014-08-09T00:00:00"/>
    <x v="201"/>
    <x v="0"/>
    <x v="0"/>
    <x v="4"/>
    <x v="229"/>
    <n v="32.06"/>
    <n v="6"/>
    <n v="6.81"/>
  </r>
  <r>
    <d v="2014-08-09T00:00:00"/>
    <x v="201"/>
    <x v="0"/>
    <x v="0"/>
    <x v="13"/>
    <x v="411"/>
    <n v="177.98"/>
    <n v="5"/>
    <n v="-453.85"/>
  </r>
  <r>
    <d v="2014-08-09T00:00:00"/>
    <x v="201"/>
    <x v="0"/>
    <x v="2"/>
    <x v="6"/>
    <x v="412"/>
    <n v="143.97999999999999"/>
    <n v="3"/>
    <n v="9"/>
  </r>
  <r>
    <d v="2014-08-09T00:00:00"/>
    <x v="166"/>
    <x v="3"/>
    <x v="2"/>
    <x v="9"/>
    <x v="413"/>
    <n v="49.98"/>
    <n v="2"/>
    <n v="8.5"/>
  </r>
  <r>
    <d v="2014-08-09T00:00:00"/>
    <x v="202"/>
    <x v="0"/>
    <x v="0"/>
    <x v="3"/>
    <x v="414"/>
    <n v="51.18"/>
    <n v="4"/>
    <n v="-79.34"/>
  </r>
  <r>
    <d v="2014-08-09T00:00:00"/>
    <x v="203"/>
    <x v="4"/>
    <x v="2"/>
    <x v="9"/>
    <x v="415"/>
    <n v="32.97"/>
    <n v="3"/>
    <n v="12.86"/>
  </r>
  <r>
    <d v="2014-08-09T00:00:00"/>
    <x v="203"/>
    <x v="4"/>
    <x v="2"/>
    <x v="9"/>
    <x v="337"/>
    <n v="83.88"/>
    <n v="4"/>
    <n v="30.2"/>
  </r>
  <r>
    <d v="2014-08-09T00:00:00"/>
    <x v="135"/>
    <x v="3"/>
    <x v="0"/>
    <x v="13"/>
    <x v="416"/>
    <n v="56.65"/>
    <n v="5"/>
    <n v="24.36"/>
  </r>
  <r>
    <d v="2014-08-09T00:00:00"/>
    <x v="135"/>
    <x v="3"/>
    <x v="0"/>
    <x v="2"/>
    <x v="417"/>
    <n v="14.97"/>
    <n v="1"/>
    <n v="4.1900000000000004"/>
  </r>
  <r>
    <d v="2014-08-09T00:00:00"/>
    <x v="135"/>
    <x v="3"/>
    <x v="0"/>
    <x v="7"/>
    <x v="418"/>
    <n v="4.0199999999999996"/>
    <n v="2"/>
    <n v="1.97"/>
  </r>
  <r>
    <d v="2014-08-09T00:00:00"/>
    <x v="204"/>
    <x v="6"/>
    <x v="0"/>
    <x v="7"/>
    <x v="419"/>
    <n v="45"/>
    <n v="9"/>
    <n v="21.6"/>
  </r>
  <r>
    <d v="2014-08-09T00:00:00"/>
    <x v="204"/>
    <x v="6"/>
    <x v="2"/>
    <x v="16"/>
    <x v="420"/>
    <n v="209.97"/>
    <n v="3"/>
    <n v="90.29"/>
  </r>
  <r>
    <d v="2014-08-09T00:00:00"/>
    <x v="205"/>
    <x v="12"/>
    <x v="0"/>
    <x v="13"/>
    <x v="421"/>
    <n v="16.78"/>
    <n v="2"/>
    <n v="4.2"/>
  </r>
  <r>
    <d v="2014-08-09T00:00:00"/>
    <x v="206"/>
    <x v="10"/>
    <x v="0"/>
    <x v="4"/>
    <x v="422"/>
    <n v="5.88"/>
    <n v="2"/>
    <n v="2.65"/>
  </r>
  <r>
    <d v="2014-08-09T00:00:00"/>
    <x v="206"/>
    <x v="10"/>
    <x v="1"/>
    <x v="5"/>
    <x v="423"/>
    <n v="975.92"/>
    <n v="5"/>
    <n v="121.99"/>
  </r>
  <r>
    <d v="2014-08-09T00:00:00"/>
    <x v="206"/>
    <x v="10"/>
    <x v="0"/>
    <x v="4"/>
    <x v="424"/>
    <n v="303.83999999999997"/>
    <n v="8"/>
    <n v="91.15"/>
  </r>
  <r>
    <d v="2014-08-09T00:00:00"/>
    <x v="206"/>
    <x v="10"/>
    <x v="0"/>
    <x v="2"/>
    <x v="425"/>
    <n v="485.88"/>
    <n v="6"/>
    <n v="19.440000000000001"/>
  </r>
  <r>
    <d v="2014-08-09T00:00:00"/>
    <x v="207"/>
    <x v="0"/>
    <x v="0"/>
    <x v="0"/>
    <x v="82"/>
    <n v="17.899999999999999"/>
    <n v="2"/>
    <n v="6.27"/>
  </r>
  <r>
    <d v="2014-08-09T00:00:00"/>
    <x v="207"/>
    <x v="0"/>
    <x v="1"/>
    <x v="5"/>
    <x v="410"/>
    <n v="966.7"/>
    <n v="5"/>
    <n v="-13.81"/>
  </r>
  <r>
    <d v="2014-08-09T00:00:00"/>
    <x v="207"/>
    <x v="0"/>
    <x v="0"/>
    <x v="0"/>
    <x v="426"/>
    <n v="182.11"/>
    <n v="6"/>
    <n v="61.46"/>
  </r>
  <r>
    <d v="2014-08-09T00:00:00"/>
    <x v="208"/>
    <x v="12"/>
    <x v="1"/>
    <x v="5"/>
    <x v="427"/>
    <n v="172.76"/>
    <n v="2"/>
    <n v="13.44"/>
  </r>
  <r>
    <d v="2014-08-09T00:00:00"/>
    <x v="208"/>
    <x v="12"/>
    <x v="0"/>
    <x v="4"/>
    <x v="428"/>
    <n v="3.52"/>
    <n v="2"/>
    <n v="1.69"/>
  </r>
  <r>
    <d v="2014-08-09T00:00:00"/>
    <x v="209"/>
    <x v="3"/>
    <x v="0"/>
    <x v="3"/>
    <x v="429"/>
    <n v="8.61"/>
    <n v="2"/>
    <n v="3.01"/>
  </r>
  <r>
    <d v="2014-09-09T00:00:00"/>
    <x v="210"/>
    <x v="18"/>
    <x v="0"/>
    <x v="1"/>
    <x v="430"/>
    <n v="103.6"/>
    <n v="7"/>
    <n v="51.8"/>
  </r>
  <r>
    <d v="2014-09-09T00:00:00"/>
    <x v="211"/>
    <x v="20"/>
    <x v="0"/>
    <x v="0"/>
    <x v="327"/>
    <n v="166.44"/>
    <n v="3"/>
    <n v="79.89"/>
  </r>
  <r>
    <d v="2014-09-09T00:00:00"/>
    <x v="211"/>
    <x v="20"/>
    <x v="1"/>
    <x v="5"/>
    <x v="431"/>
    <n v="785.88"/>
    <n v="6"/>
    <n v="212.19"/>
  </r>
  <r>
    <d v="2014-09-09T00:00:00"/>
    <x v="211"/>
    <x v="20"/>
    <x v="0"/>
    <x v="0"/>
    <x v="432"/>
    <n v="26.2"/>
    <n v="2"/>
    <n v="12.84"/>
  </r>
  <r>
    <d v="2014-09-09T00:00:00"/>
    <x v="211"/>
    <x v="20"/>
    <x v="0"/>
    <x v="2"/>
    <x v="83"/>
    <n v="1325.85"/>
    <n v="5"/>
    <n v="238.65"/>
  </r>
  <r>
    <d v="2014-09-09T00:00:00"/>
    <x v="212"/>
    <x v="2"/>
    <x v="0"/>
    <x v="0"/>
    <x v="433"/>
    <n v="15.55"/>
    <n v="3"/>
    <n v="5.44"/>
  </r>
  <r>
    <d v="2014-09-09T00:00:00"/>
    <x v="212"/>
    <x v="2"/>
    <x v="2"/>
    <x v="9"/>
    <x v="434"/>
    <n v="64.7"/>
    <n v="6"/>
    <n v="-4.8499999999999996"/>
  </r>
  <r>
    <d v="2014-09-09T00:00:00"/>
    <x v="212"/>
    <x v="2"/>
    <x v="1"/>
    <x v="8"/>
    <x v="435"/>
    <n v="17.47"/>
    <n v="3"/>
    <n v="5.0199999999999996"/>
  </r>
  <r>
    <d v="2014-09-09T00:00:00"/>
    <x v="212"/>
    <x v="2"/>
    <x v="2"/>
    <x v="6"/>
    <x v="436"/>
    <n v="135.52000000000001"/>
    <n v="1"/>
    <n v="-31.62"/>
  </r>
  <r>
    <d v="2014-09-09T00:00:00"/>
    <x v="213"/>
    <x v="15"/>
    <x v="2"/>
    <x v="16"/>
    <x v="437"/>
    <n v="1299.99"/>
    <n v="2"/>
    <n v="-572"/>
  </r>
  <r>
    <d v="2014-09-09T00:00:00"/>
    <x v="214"/>
    <x v="16"/>
    <x v="1"/>
    <x v="8"/>
    <x v="438"/>
    <n v="60.67"/>
    <n v="6"/>
    <n v="12.89"/>
  </r>
  <r>
    <d v="2014-09-09T00:00:00"/>
    <x v="214"/>
    <x v="16"/>
    <x v="0"/>
    <x v="4"/>
    <x v="439"/>
    <n v="30.82"/>
    <n v="9"/>
    <n v="2.7"/>
  </r>
  <r>
    <d v="2014-09-09T00:00:00"/>
    <x v="215"/>
    <x v="1"/>
    <x v="0"/>
    <x v="0"/>
    <x v="440"/>
    <n v="10.9"/>
    <n v="3"/>
    <n v="3.41"/>
  </r>
  <r>
    <d v="2014-10-09T00:00:00"/>
    <x v="216"/>
    <x v="6"/>
    <x v="0"/>
    <x v="3"/>
    <x v="295"/>
    <n v="9.64"/>
    <n v="2"/>
    <n v="4.72"/>
  </r>
  <r>
    <d v="2014-10-09T00:00:00"/>
    <x v="36"/>
    <x v="35"/>
    <x v="0"/>
    <x v="11"/>
    <x v="441"/>
    <n v="21.73"/>
    <n v="7"/>
    <n v="7.6"/>
  </r>
  <r>
    <d v="2014-10-09T00:00:00"/>
    <x v="36"/>
    <x v="35"/>
    <x v="1"/>
    <x v="5"/>
    <x v="442"/>
    <n v="1487.04"/>
    <n v="5"/>
    <n v="148.69999999999999"/>
  </r>
  <r>
    <d v="2014-10-09T00:00:00"/>
    <x v="217"/>
    <x v="11"/>
    <x v="0"/>
    <x v="13"/>
    <x v="443"/>
    <n v="81.92"/>
    <n v="4"/>
    <n v="22.12"/>
  </r>
  <r>
    <d v="2014-10-09T00:00:00"/>
    <x v="217"/>
    <x v="11"/>
    <x v="1"/>
    <x v="8"/>
    <x v="444"/>
    <n v="254.9"/>
    <n v="5"/>
    <n v="76.47"/>
  </r>
  <r>
    <d v="2014-11-09T00:00:00"/>
    <x v="218"/>
    <x v="3"/>
    <x v="1"/>
    <x v="8"/>
    <x v="445"/>
    <n v="127.95"/>
    <n v="3"/>
    <n v="21.75"/>
  </r>
  <r>
    <d v="2014-12-09T00:00:00"/>
    <x v="62"/>
    <x v="12"/>
    <x v="2"/>
    <x v="16"/>
    <x v="420"/>
    <n v="69.989999999999995"/>
    <n v="1"/>
    <n v="30.1"/>
  </r>
  <r>
    <d v="2014-12-09T00:00:00"/>
    <x v="219"/>
    <x v="15"/>
    <x v="0"/>
    <x v="0"/>
    <x v="446"/>
    <n v="10.37"/>
    <n v="2"/>
    <n v="3.63"/>
  </r>
  <r>
    <d v="2014-12-09T00:00:00"/>
    <x v="219"/>
    <x v="15"/>
    <x v="0"/>
    <x v="13"/>
    <x v="447"/>
    <n v="166.84"/>
    <n v="5"/>
    <n v="18.77"/>
  </r>
  <r>
    <d v="2014-12-09T00:00:00"/>
    <x v="219"/>
    <x v="15"/>
    <x v="2"/>
    <x v="9"/>
    <x v="448"/>
    <n v="15.22"/>
    <n v="1"/>
    <n v="2.2799999999999998"/>
  </r>
  <r>
    <d v="2014-12-09T00:00:00"/>
    <x v="220"/>
    <x v="0"/>
    <x v="0"/>
    <x v="3"/>
    <x v="449"/>
    <n v="5.18"/>
    <n v="5"/>
    <n v="-8.0299999999999994"/>
  </r>
  <r>
    <d v="2014-12-09T00:00:00"/>
    <x v="97"/>
    <x v="16"/>
    <x v="0"/>
    <x v="3"/>
    <x v="450"/>
    <n v="63.92"/>
    <n v="7"/>
    <n v="-46.88"/>
  </r>
  <r>
    <d v="2014-12-09T00:00:00"/>
    <x v="221"/>
    <x v="36"/>
    <x v="0"/>
    <x v="14"/>
    <x v="451"/>
    <n v="357.93"/>
    <n v="3"/>
    <n v="7.16"/>
  </r>
  <r>
    <d v="2014-12-09T00:00:00"/>
    <x v="221"/>
    <x v="36"/>
    <x v="2"/>
    <x v="9"/>
    <x v="452"/>
    <n v="57.4"/>
    <n v="5"/>
    <n v="10.91"/>
  </r>
  <r>
    <d v="2014-12-09T00:00:00"/>
    <x v="221"/>
    <x v="36"/>
    <x v="0"/>
    <x v="3"/>
    <x v="453"/>
    <n v="331.96"/>
    <n v="2"/>
    <n v="149.38"/>
  </r>
  <r>
    <d v="2014-12-09T00:00:00"/>
    <x v="221"/>
    <x v="36"/>
    <x v="1"/>
    <x v="8"/>
    <x v="454"/>
    <n v="40.56"/>
    <n v="2"/>
    <n v="12.98"/>
  </r>
  <r>
    <d v="2014-12-09T00:00:00"/>
    <x v="222"/>
    <x v="12"/>
    <x v="1"/>
    <x v="5"/>
    <x v="455"/>
    <n v="3785.29"/>
    <n v="6"/>
    <n v="420.59"/>
  </r>
  <r>
    <d v="2014-01-10T00:00:00"/>
    <x v="223"/>
    <x v="13"/>
    <x v="0"/>
    <x v="7"/>
    <x v="456"/>
    <n v="4.71"/>
    <n v="1"/>
    <n v="0"/>
  </r>
  <r>
    <d v="2014-02-10T00:00:00"/>
    <x v="224"/>
    <x v="23"/>
    <x v="0"/>
    <x v="0"/>
    <x v="457"/>
    <n v="9.41"/>
    <n v="2"/>
    <n v="3.41"/>
  </r>
  <r>
    <d v="2014-02-10T00:00:00"/>
    <x v="224"/>
    <x v="23"/>
    <x v="0"/>
    <x v="7"/>
    <x v="22"/>
    <n v="4.67"/>
    <n v="2"/>
    <n v="1.46"/>
  </r>
  <r>
    <d v="2014-02-10T00:00:00"/>
    <x v="224"/>
    <x v="23"/>
    <x v="2"/>
    <x v="6"/>
    <x v="458"/>
    <n v="318.39999999999998"/>
    <n v="2"/>
    <n v="107.46"/>
  </r>
  <r>
    <d v="2014-02-10T00:00:00"/>
    <x v="224"/>
    <x v="23"/>
    <x v="0"/>
    <x v="11"/>
    <x v="459"/>
    <n v="12.77"/>
    <n v="6"/>
    <n v="4.63"/>
  </r>
  <r>
    <d v="2014-02-10T00:00:00"/>
    <x v="224"/>
    <x v="23"/>
    <x v="0"/>
    <x v="14"/>
    <x v="460"/>
    <n v="15.36"/>
    <n v="2"/>
    <n v="-3.26"/>
  </r>
  <r>
    <d v="2014-02-10T00:00:00"/>
    <x v="224"/>
    <x v="23"/>
    <x v="2"/>
    <x v="6"/>
    <x v="156"/>
    <n v="230.38"/>
    <n v="3"/>
    <n v="20.16"/>
  </r>
  <r>
    <d v="2014-02-10T00:00:00"/>
    <x v="224"/>
    <x v="23"/>
    <x v="2"/>
    <x v="9"/>
    <x v="461"/>
    <n v="7.16"/>
    <n v="1"/>
    <n v="-0.09"/>
  </r>
  <r>
    <d v="2014-03-10T00:00:00"/>
    <x v="225"/>
    <x v="1"/>
    <x v="1"/>
    <x v="5"/>
    <x v="275"/>
    <n v="258.27999999999997"/>
    <n v="3"/>
    <n v="-70.099999999999994"/>
  </r>
  <r>
    <d v="2014-03-10T00:00:00"/>
    <x v="226"/>
    <x v="3"/>
    <x v="1"/>
    <x v="10"/>
    <x v="54"/>
    <n v="143.43"/>
    <n v="1"/>
    <n v="3.59"/>
  </r>
  <r>
    <d v="2014-03-10T00:00:00"/>
    <x v="226"/>
    <x v="3"/>
    <x v="1"/>
    <x v="5"/>
    <x v="462"/>
    <n v="122.35"/>
    <n v="3"/>
    <n v="13.76"/>
  </r>
  <r>
    <d v="2014-03-10T00:00:00"/>
    <x v="227"/>
    <x v="15"/>
    <x v="0"/>
    <x v="2"/>
    <x v="345"/>
    <n v="61.57"/>
    <n v="2"/>
    <n v="4.62"/>
  </r>
  <r>
    <d v="2014-03-10T00:00:00"/>
    <x v="227"/>
    <x v="15"/>
    <x v="0"/>
    <x v="4"/>
    <x v="255"/>
    <n v="6.19"/>
    <n v="3"/>
    <n v="0.46"/>
  </r>
  <r>
    <d v="2014-03-10T00:00:00"/>
    <x v="228"/>
    <x v="16"/>
    <x v="0"/>
    <x v="4"/>
    <x v="463"/>
    <n v="55.98"/>
    <n v="2"/>
    <n v="4.2"/>
  </r>
  <r>
    <d v="2014-03-10T00:00:00"/>
    <x v="228"/>
    <x v="16"/>
    <x v="0"/>
    <x v="11"/>
    <x v="464"/>
    <n v="14.48"/>
    <n v="5"/>
    <n v="4.8899999999999997"/>
  </r>
  <r>
    <d v="2014-03-10T00:00:00"/>
    <x v="228"/>
    <x v="16"/>
    <x v="2"/>
    <x v="9"/>
    <x v="465"/>
    <n v="142.49"/>
    <n v="3"/>
    <n v="-3.56"/>
  </r>
  <r>
    <d v="2014-03-10T00:00:00"/>
    <x v="229"/>
    <x v="0"/>
    <x v="0"/>
    <x v="7"/>
    <x v="466"/>
    <n v="4.34"/>
    <n v="3"/>
    <n v="0.87"/>
  </r>
  <r>
    <d v="2014-03-10T00:00:00"/>
    <x v="229"/>
    <x v="0"/>
    <x v="1"/>
    <x v="8"/>
    <x v="388"/>
    <n v="31.78"/>
    <n v="3"/>
    <n v="-19.07"/>
  </r>
  <r>
    <d v="2014-03-10T00:00:00"/>
    <x v="229"/>
    <x v="0"/>
    <x v="0"/>
    <x v="1"/>
    <x v="467"/>
    <n v="4.93"/>
    <n v="2"/>
    <n v="1.72"/>
  </r>
  <r>
    <d v="2014-03-10T00:00:00"/>
    <x v="229"/>
    <x v="0"/>
    <x v="0"/>
    <x v="3"/>
    <x v="282"/>
    <n v="1.79"/>
    <n v="3"/>
    <n v="-3.04"/>
  </r>
  <r>
    <d v="2014-03-10T00:00:00"/>
    <x v="229"/>
    <x v="0"/>
    <x v="0"/>
    <x v="7"/>
    <x v="456"/>
    <n v="15.07"/>
    <n v="4"/>
    <n v="-3.77"/>
  </r>
  <r>
    <d v="2014-04-10T00:00:00"/>
    <x v="230"/>
    <x v="3"/>
    <x v="0"/>
    <x v="1"/>
    <x v="468"/>
    <n v="14.45"/>
    <n v="5"/>
    <n v="6.79"/>
  </r>
  <r>
    <d v="2014-04-10T00:00:00"/>
    <x v="230"/>
    <x v="3"/>
    <x v="0"/>
    <x v="3"/>
    <x v="469"/>
    <n v="95.65"/>
    <n v="2"/>
    <n v="31.09"/>
  </r>
  <r>
    <d v="2014-04-10T00:00:00"/>
    <x v="231"/>
    <x v="10"/>
    <x v="0"/>
    <x v="1"/>
    <x v="470"/>
    <n v="29.24"/>
    <n v="4"/>
    <n v="13.74"/>
  </r>
  <r>
    <d v="2014-04-10T00:00:00"/>
    <x v="215"/>
    <x v="12"/>
    <x v="1"/>
    <x v="5"/>
    <x v="471"/>
    <n v="589.41"/>
    <n v="5"/>
    <n v="-6.55"/>
  </r>
  <r>
    <d v="2014-05-10T00:00:00"/>
    <x v="232"/>
    <x v="16"/>
    <x v="0"/>
    <x v="13"/>
    <x v="246"/>
    <n v="91.92"/>
    <n v="5"/>
    <n v="11.49"/>
  </r>
  <r>
    <d v="2014-05-10T00:00:00"/>
    <x v="233"/>
    <x v="3"/>
    <x v="2"/>
    <x v="9"/>
    <x v="472"/>
    <n v="99.98"/>
    <n v="2"/>
    <n v="34.99"/>
  </r>
  <r>
    <d v="2014-06-10T00:00:00"/>
    <x v="234"/>
    <x v="3"/>
    <x v="2"/>
    <x v="9"/>
    <x v="473"/>
    <n v="9.09"/>
    <n v="3"/>
    <n v="1.91"/>
  </r>
  <r>
    <d v="2014-06-10T00:00:00"/>
    <x v="235"/>
    <x v="37"/>
    <x v="0"/>
    <x v="3"/>
    <x v="384"/>
    <n v="15.36"/>
    <n v="2"/>
    <n v="7.68"/>
  </r>
  <r>
    <d v="2014-06-10T00:00:00"/>
    <x v="231"/>
    <x v="2"/>
    <x v="0"/>
    <x v="2"/>
    <x v="474"/>
    <n v="83.92"/>
    <n v="5"/>
    <n v="-13.64"/>
  </r>
  <r>
    <d v="2014-06-10T00:00:00"/>
    <x v="195"/>
    <x v="26"/>
    <x v="0"/>
    <x v="2"/>
    <x v="475"/>
    <n v="386.34"/>
    <n v="2"/>
    <n v="54.09"/>
  </r>
  <r>
    <d v="2014-07-10T00:00:00"/>
    <x v="192"/>
    <x v="2"/>
    <x v="1"/>
    <x v="8"/>
    <x v="476"/>
    <n v="129.91999999999999"/>
    <n v="5"/>
    <n v="21.11"/>
  </r>
  <r>
    <d v="2014-07-10T00:00:00"/>
    <x v="58"/>
    <x v="0"/>
    <x v="0"/>
    <x v="2"/>
    <x v="477"/>
    <n v="107.44"/>
    <n v="10"/>
    <n v="10.74"/>
  </r>
  <r>
    <d v="2014-08-10T00:00:00"/>
    <x v="236"/>
    <x v="15"/>
    <x v="2"/>
    <x v="9"/>
    <x v="478"/>
    <n v="23.47"/>
    <n v="3"/>
    <n v="4.99"/>
  </r>
  <r>
    <d v="2014-08-10T00:00:00"/>
    <x v="237"/>
    <x v="12"/>
    <x v="0"/>
    <x v="0"/>
    <x v="479"/>
    <n v="123.92"/>
    <n v="4"/>
    <n v="55.76"/>
  </r>
  <r>
    <d v="2014-09-10T00:00:00"/>
    <x v="119"/>
    <x v="15"/>
    <x v="0"/>
    <x v="0"/>
    <x v="112"/>
    <n v="88.77"/>
    <n v="2"/>
    <n v="31.07"/>
  </r>
  <r>
    <d v="2014-09-10T00:00:00"/>
    <x v="238"/>
    <x v="3"/>
    <x v="0"/>
    <x v="4"/>
    <x v="211"/>
    <n v="144.6"/>
    <n v="3"/>
    <n v="41.93"/>
  </r>
  <r>
    <d v="2014-09-10T00:00:00"/>
    <x v="238"/>
    <x v="3"/>
    <x v="2"/>
    <x v="6"/>
    <x v="480"/>
    <n v="15.99"/>
    <n v="1"/>
    <n v="-3"/>
  </r>
  <r>
    <d v="2014-10-10T00:00:00"/>
    <x v="239"/>
    <x v="3"/>
    <x v="1"/>
    <x v="5"/>
    <x v="462"/>
    <n v="122.35"/>
    <n v="3"/>
    <n v="13.76"/>
  </r>
  <r>
    <d v="2014-10-10T00:00:00"/>
    <x v="239"/>
    <x v="3"/>
    <x v="0"/>
    <x v="11"/>
    <x v="481"/>
    <n v="15.28"/>
    <n v="2"/>
    <n v="7.49"/>
  </r>
  <r>
    <d v="2014-10-10T00:00:00"/>
    <x v="62"/>
    <x v="23"/>
    <x v="1"/>
    <x v="8"/>
    <x v="482"/>
    <n v="46.87"/>
    <n v="7"/>
    <n v="3.52"/>
  </r>
  <r>
    <d v="2014-10-10T00:00:00"/>
    <x v="40"/>
    <x v="0"/>
    <x v="2"/>
    <x v="6"/>
    <x v="97"/>
    <n v="719.95"/>
    <n v="6"/>
    <n v="72"/>
  </r>
  <r>
    <d v="2014-10-10T00:00:00"/>
    <x v="40"/>
    <x v="0"/>
    <x v="2"/>
    <x v="6"/>
    <x v="483"/>
    <n v="755.94"/>
    <n v="7"/>
    <n v="66.150000000000006"/>
  </r>
  <r>
    <d v="2014-10-10T00:00:00"/>
    <x v="40"/>
    <x v="0"/>
    <x v="0"/>
    <x v="3"/>
    <x v="151"/>
    <n v="11.98"/>
    <n v="5"/>
    <n v="-19.170000000000002"/>
  </r>
  <r>
    <d v="2014-10-10T00:00:00"/>
    <x v="40"/>
    <x v="0"/>
    <x v="0"/>
    <x v="3"/>
    <x v="107"/>
    <n v="0.9"/>
    <n v="1"/>
    <n v="-1.57"/>
  </r>
  <r>
    <d v="2014-10-10T00:00:00"/>
    <x v="46"/>
    <x v="16"/>
    <x v="2"/>
    <x v="16"/>
    <x v="484"/>
    <n v="101.99"/>
    <n v="2"/>
    <n v="-71.400000000000006"/>
  </r>
  <r>
    <d v="2014-10-10T00:00:00"/>
    <x v="46"/>
    <x v="16"/>
    <x v="0"/>
    <x v="3"/>
    <x v="450"/>
    <n v="18.260000000000002"/>
    <n v="2"/>
    <n v="-13.39"/>
  </r>
  <r>
    <d v="2014-10-10T00:00:00"/>
    <x v="240"/>
    <x v="38"/>
    <x v="0"/>
    <x v="4"/>
    <x v="485"/>
    <n v="255.85"/>
    <n v="7"/>
    <n v="112.57"/>
  </r>
  <r>
    <d v="2014-11-10T00:00:00"/>
    <x v="241"/>
    <x v="2"/>
    <x v="0"/>
    <x v="2"/>
    <x v="486"/>
    <n v="281.89999999999998"/>
    <n v="2"/>
    <n v="10.57"/>
  </r>
  <r>
    <d v="2014-11-10T00:00:00"/>
    <x v="241"/>
    <x v="2"/>
    <x v="0"/>
    <x v="11"/>
    <x v="487"/>
    <n v="201.43"/>
    <n v="3"/>
    <n v="67.98"/>
  </r>
  <r>
    <d v="2014-11-10T00:00:00"/>
    <x v="242"/>
    <x v="10"/>
    <x v="1"/>
    <x v="8"/>
    <x v="488"/>
    <n v="63.47"/>
    <n v="11"/>
    <n v="19.04"/>
  </r>
  <r>
    <d v="2014-11-10T00:00:00"/>
    <x v="242"/>
    <x v="10"/>
    <x v="2"/>
    <x v="9"/>
    <x v="489"/>
    <n v="345"/>
    <n v="5"/>
    <n v="58.65"/>
  </r>
  <r>
    <d v="2014-11-10T00:00:00"/>
    <x v="243"/>
    <x v="3"/>
    <x v="0"/>
    <x v="2"/>
    <x v="490"/>
    <n v="31.92"/>
    <n v="4"/>
    <n v="8.3000000000000007"/>
  </r>
  <r>
    <d v="2014-11-10T00:00:00"/>
    <x v="243"/>
    <x v="3"/>
    <x v="1"/>
    <x v="5"/>
    <x v="491"/>
    <n v="433.57"/>
    <n v="2"/>
    <n v="-65.040000000000006"/>
  </r>
  <r>
    <d v="2014-11-10T00:00:00"/>
    <x v="244"/>
    <x v="29"/>
    <x v="0"/>
    <x v="1"/>
    <x v="305"/>
    <n v="7.31"/>
    <n v="1"/>
    <n v="3.44"/>
  </r>
  <r>
    <d v="2014-11-10T00:00:00"/>
    <x v="244"/>
    <x v="29"/>
    <x v="1"/>
    <x v="8"/>
    <x v="492"/>
    <n v="8.92"/>
    <n v="4"/>
    <n v="3.92"/>
  </r>
  <r>
    <d v="2014-11-10T00:00:00"/>
    <x v="245"/>
    <x v="3"/>
    <x v="0"/>
    <x v="11"/>
    <x v="481"/>
    <n v="7.64"/>
    <n v="1"/>
    <n v="3.74"/>
  </r>
  <r>
    <d v="2014-12-10T00:00:00"/>
    <x v="237"/>
    <x v="3"/>
    <x v="0"/>
    <x v="4"/>
    <x v="493"/>
    <n v="14.9"/>
    <n v="5"/>
    <n v="4.17"/>
  </r>
  <r>
    <d v="2014-12-10T00:00:00"/>
    <x v="237"/>
    <x v="3"/>
    <x v="0"/>
    <x v="2"/>
    <x v="494"/>
    <n v="21.39"/>
    <n v="1"/>
    <n v="6.2"/>
  </r>
  <r>
    <d v="2014-12-10T00:00:00"/>
    <x v="246"/>
    <x v="1"/>
    <x v="0"/>
    <x v="14"/>
    <x v="495"/>
    <n v="22.24"/>
    <n v="2"/>
    <n v="2.5"/>
  </r>
  <r>
    <d v="2014-01-11T00:00:00"/>
    <x v="247"/>
    <x v="19"/>
    <x v="0"/>
    <x v="4"/>
    <x v="180"/>
    <n v="43.18"/>
    <n v="3"/>
    <n v="4.32"/>
  </r>
  <r>
    <d v="2014-01-11T00:00:00"/>
    <x v="247"/>
    <x v="19"/>
    <x v="2"/>
    <x v="6"/>
    <x v="496"/>
    <n v="1983.97"/>
    <n v="4"/>
    <n v="248"/>
  </r>
  <r>
    <d v="2014-01-11T00:00:00"/>
    <x v="248"/>
    <x v="35"/>
    <x v="0"/>
    <x v="2"/>
    <x v="497"/>
    <n v="443.92"/>
    <n v="5"/>
    <n v="-94.33"/>
  </r>
  <r>
    <d v="2014-01-11T00:00:00"/>
    <x v="248"/>
    <x v="35"/>
    <x v="2"/>
    <x v="6"/>
    <x v="498"/>
    <n v="155.97999999999999"/>
    <n v="3"/>
    <n v="54.59"/>
  </r>
  <r>
    <d v="2014-01-11T00:00:00"/>
    <x v="249"/>
    <x v="15"/>
    <x v="0"/>
    <x v="7"/>
    <x v="22"/>
    <n v="7.52"/>
    <n v="5"/>
    <n v="1.41"/>
  </r>
  <r>
    <d v="2014-01-11T00:00:00"/>
    <x v="249"/>
    <x v="15"/>
    <x v="0"/>
    <x v="4"/>
    <x v="439"/>
    <n v="10.27"/>
    <n v="3"/>
    <n v="0.9"/>
  </r>
  <r>
    <d v="2014-01-11T00:00:00"/>
    <x v="249"/>
    <x v="15"/>
    <x v="0"/>
    <x v="1"/>
    <x v="222"/>
    <n v="47.81"/>
    <n v="12"/>
    <n v="15.54"/>
  </r>
  <r>
    <d v="2014-01-11T00:00:00"/>
    <x v="249"/>
    <x v="15"/>
    <x v="2"/>
    <x v="6"/>
    <x v="499"/>
    <n v="978.84"/>
    <n v="9"/>
    <n v="110.12"/>
  </r>
  <r>
    <d v="2014-01-11T00:00:00"/>
    <x v="250"/>
    <x v="1"/>
    <x v="0"/>
    <x v="0"/>
    <x v="500"/>
    <n v="15.7"/>
    <n v="3"/>
    <n v="5.0999999999999996"/>
  </r>
  <r>
    <d v="2014-01-11T00:00:00"/>
    <x v="4"/>
    <x v="5"/>
    <x v="0"/>
    <x v="2"/>
    <x v="501"/>
    <n v="69.52"/>
    <n v="2"/>
    <n v="19.47"/>
  </r>
  <r>
    <d v="2014-01-11T00:00:00"/>
    <x v="4"/>
    <x v="5"/>
    <x v="0"/>
    <x v="4"/>
    <x v="502"/>
    <n v="5.64"/>
    <n v="3"/>
    <n v="1.64"/>
  </r>
  <r>
    <d v="2014-01-11T00:00:00"/>
    <x v="251"/>
    <x v="3"/>
    <x v="0"/>
    <x v="1"/>
    <x v="503"/>
    <n v="44.4"/>
    <n v="3"/>
    <n v="22.2"/>
  </r>
  <r>
    <d v="2014-01-11T00:00:00"/>
    <x v="251"/>
    <x v="3"/>
    <x v="0"/>
    <x v="0"/>
    <x v="177"/>
    <n v="21.4"/>
    <n v="5"/>
    <n v="9.6300000000000008"/>
  </r>
  <r>
    <d v="2014-01-11T00:00:00"/>
    <x v="213"/>
    <x v="12"/>
    <x v="0"/>
    <x v="13"/>
    <x v="411"/>
    <n v="533.94000000000005"/>
    <n v="3"/>
    <n v="154.84"/>
  </r>
  <r>
    <d v="2014-01-11T00:00:00"/>
    <x v="213"/>
    <x v="12"/>
    <x v="0"/>
    <x v="0"/>
    <x v="320"/>
    <n v="167.94"/>
    <n v="3"/>
    <n v="82.29"/>
  </r>
  <r>
    <d v="2014-01-11T00:00:00"/>
    <x v="213"/>
    <x v="12"/>
    <x v="1"/>
    <x v="8"/>
    <x v="504"/>
    <n v="31.68"/>
    <n v="6"/>
    <n v="9.82"/>
  </r>
  <r>
    <d v="2014-01-11T00:00:00"/>
    <x v="252"/>
    <x v="11"/>
    <x v="0"/>
    <x v="13"/>
    <x v="339"/>
    <n v="76.12"/>
    <n v="2"/>
    <n v="22.07"/>
  </r>
  <r>
    <d v="2014-01-11T00:00:00"/>
    <x v="253"/>
    <x v="16"/>
    <x v="1"/>
    <x v="8"/>
    <x v="505"/>
    <n v="68.7"/>
    <n v="2"/>
    <n v="16.32"/>
  </r>
  <r>
    <d v="2014-01-11T00:00:00"/>
    <x v="253"/>
    <x v="16"/>
    <x v="0"/>
    <x v="3"/>
    <x v="506"/>
    <n v="3.13"/>
    <n v="2"/>
    <n v="-2.61"/>
  </r>
  <r>
    <d v="2014-01-11T00:00:00"/>
    <x v="253"/>
    <x v="16"/>
    <x v="0"/>
    <x v="3"/>
    <x v="216"/>
    <n v="22.43"/>
    <n v="3"/>
    <n v="-17.940000000000001"/>
  </r>
  <r>
    <d v="2014-02-11T00:00:00"/>
    <x v="179"/>
    <x v="12"/>
    <x v="0"/>
    <x v="1"/>
    <x v="507"/>
    <n v="34.86"/>
    <n v="7"/>
    <n v="16.04"/>
  </r>
  <r>
    <d v="2014-02-11T00:00:00"/>
    <x v="179"/>
    <x v="12"/>
    <x v="1"/>
    <x v="8"/>
    <x v="508"/>
    <n v="89.34"/>
    <n v="6"/>
    <n v="24.12"/>
  </r>
  <r>
    <d v="2014-02-11T00:00:00"/>
    <x v="254"/>
    <x v="0"/>
    <x v="2"/>
    <x v="6"/>
    <x v="262"/>
    <n v="88.78"/>
    <n v="3"/>
    <n v="7.77"/>
  </r>
  <r>
    <d v="2014-02-11T00:00:00"/>
    <x v="255"/>
    <x v="16"/>
    <x v="2"/>
    <x v="6"/>
    <x v="509"/>
    <n v="539.96"/>
    <n v="6"/>
    <n v="-107.99"/>
  </r>
  <r>
    <d v="2014-02-11T00:00:00"/>
    <x v="255"/>
    <x v="16"/>
    <x v="2"/>
    <x v="6"/>
    <x v="510"/>
    <n v="50.23"/>
    <n v="7"/>
    <n v="-10.050000000000001"/>
  </r>
  <r>
    <d v="2014-02-11T00:00:00"/>
    <x v="255"/>
    <x v="16"/>
    <x v="0"/>
    <x v="3"/>
    <x v="511"/>
    <n v="19.239999999999998"/>
    <n v="3"/>
    <n v="-13.47"/>
  </r>
  <r>
    <d v="2014-02-11T00:00:00"/>
    <x v="256"/>
    <x v="9"/>
    <x v="2"/>
    <x v="9"/>
    <x v="136"/>
    <n v="799.92"/>
    <n v="10"/>
    <n v="239.98"/>
  </r>
  <r>
    <d v="2014-02-11T00:00:00"/>
    <x v="257"/>
    <x v="3"/>
    <x v="2"/>
    <x v="6"/>
    <x v="32"/>
    <n v="46.38"/>
    <n v="2"/>
    <n v="5.22"/>
  </r>
  <r>
    <d v="2014-02-11T00:00:00"/>
    <x v="257"/>
    <x v="3"/>
    <x v="0"/>
    <x v="2"/>
    <x v="512"/>
    <n v="362.92"/>
    <n v="2"/>
    <n v="105.25"/>
  </r>
  <r>
    <d v="2014-02-11T00:00:00"/>
    <x v="258"/>
    <x v="10"/>
    <x v="2"/>
    <x v="9"/>
    <x v="337"/>
    <n v="41.94"/>
    <n v="2"/>
    <n v="15.1"/>
  </r>
  <r>
    <d v="2014-02-11T00:00:00"/>
    <x v="258"/>
    <x v="10"/>
    <x v="2"/>
    <x v="6"/>
    <x v="513"/>
    <n v="52.79"/>
    <n v="1"/>
    <n v="4.62"/>
  </r>
  <r>
    <d v="2014-03-11T00:00:00"/>
    <x v="132"/>
    <x v="2"/>
    <x v="0"/>
    <x v="14"/>
    <x v="451"/>
    <n v="286.33999999999997"/>
    <n v="3"/>
    <n v="-64.430000000000007"/>
  </r>
  <r>
    <d v="2014-03-11T00:00:00"/>
    <x v="259"/>
    <x v="12"/>
    <x v="2"/>
    <x v="6"/>
    <x v="89"/>
    <n v="783.96"/>
    <n v="4"/>
    <n v="219.51"/>
  </r>
  <r>
    <d v="2014-03-11T00:00:00"/>
    <x v="259"/>
    <x v="12"/>
    <x v="0"/>
    <x v="3"/>
    <x v="23"/>
    <n v="48.9"/>
    <n v="2"/>
    <n v="18.34"/>
  </r>
  <r>
    <d v="2014-03-11T00:00:00"/>
    <x v="259"/>
    <x v="12"/>
    <x v="0"/>
    <x v="3"/>
    <x v="514"/>
    <n v="7.86"/>
    <n v="2"/>
    <n v="2.85"/>
  </r>
  <r>
    <d v="2014-03-11T00:00:00"/>
    <x v="260"/>
    <x v="27"/>
    <x v="0"/>
    <x v="14"/>
    <x v="515"/>
    <n v="11.64"/>
    <n v="3"/>
    <n v="3.38"/>
  </r>
  <r>
    <d v="2014-03-11T00:00:00"/>
    <x v="261"/>
    <x v="31"/>
    <x v="0"/>
    <x v="0"/>
    <x v="516"/>
    <n v="3.49"/>
    <n v="2"/>
    <n v="1.18"/>
  </r>
  <r>
    <d v="2014-03-11T00:00:00"/>
    <x v="261"/>
    <x v="31"/>
    <x v="0"/>
    <x v="0"/>
    <x v="315"/>
    <n v="143.86000000000001"/>
    <n v="9"/>
    <n v="48.55"/>
  </r>
  <r>
    <d v="2014-03-11T00:00:00"/>
    <x v="257"/>
    <x v="15"/>
    <x v="0"/>
    <x v="2"/>
    <x v="35"/>
    <n v="25.98"/>
    <n v="2"/>
    <n v="-1.62"/>
  </r>
  <r>
    <d v="2014-03-11T00:00:00"/>
    <x v="257"/>
    <x v="15"/>
    <x v="1"/>
    <x v="10"/>
    <x v="517"/>
    <n v="945.04"/>
    <n v="6"/>
    <n v="-299.26"/>
  </r>
  <r>
    <d v="2014-03-11T00:00:00"/>
    <x v="257"/>
    <x v="15"/>
    <x v="0"/>
    <x v="3"/>
    <x v="518"/>
    <n v="14.3"/>
    <n v="7"/>
    <n v="-10.49"/>
  </r>
  <r>
    <d v="2014-03-11T00:00:00"/>
    <x v="257"/>
    <x v="15"/>
    <x v="1"/>
    <x v="8"/>
    <x v="519"/>
    <n v="410.35"/>
    <n v="3"/>
    <n v="-51.29"/>
  </r>
  <r>
    <d v="2014-03-11T00:00:00"/>
    <x v="262"/>
    <x v="11"/>
    <x v="0"/>
    <x v="3"/>
    <x v="261"/>
    <n v="5.76"/>
    <n v="2"/>
    <n v="2.82"/>
  </r>
  <r>
    <d v="2014-03-11T00:00:00"/>
    <x v="165"/>
    <x v="37"/>
    <x v="2"/>
    <x v="9"/>
    <x v="520"/>
    <n v="89.97"/>
    <n v="3"/>
    <n v="18.89"/>
  </r>
  <r>
    <d v="2014-03-11T00:00:00"/>
    <x v="263"/>
    <x v="3"/>
    <x v="0"/>
    <x v="4"/>
    <x v="521"/>
    <n v="6.72"/>
    <n v="4"/>
    <n v="3.36"/>
  </r>
  <r>
    <d v="2014-04-11T00:00:00"/>
    <x v="20"/>
    <x v="12"/>
    <x v="1"/>
    <x v="5"/>
    <x v="522"/>
    <n v="135.88"/>
    <n v="1"/>
    <n v="24.16"/>
  </r>
  <r>
    <d v="2014-04-11T00:00:00"/>
    <x v="20"/>
    <x v="12"/>
    <x v="2"/>
    <x v="16"/>
    <x v="523"/>
    <n v="3991.98"/>
    <n v="2"/>
    <n v="1995.99"/>
  </r>
  <r>
    <d v="2014-04-11T00:00:00"/>
    <x v="20"/>
    <x v="12"/>
    <x v="2"/>
    <x v="6"/>
    <x v="524"/>
    <n v="275.94"/>
    <n v="6"/>
    <n v="80.02"/>
  </r>
  <r>
    <d v="2014-04-11T00:00:00"/>
    <x v="20"/>
    <x v="12"/>
    <x v="2"/>
    <x v="9"/>
    <x v="525"/>
    <n v="360"/>
    <n v="4"/>
    <n v="129.6"/>
  </r>
  <r>
    <d v="2014-04-11T00:00:00"/>
    <x v="20"/>
    <x v="12"/>
    <x v="0"/>
    <x v="2"/>
    <x v="526"/>
    <n v="43.57"/>
    <n v="1"/>
    <n v="13.07"/>
  </r>
  <r>
    <d v="2014-04-11T00:00:00"/>
    <x v="264"/>
    <x v="15"/>
    <x v="0"/>
    <x v="7"/>
    <x v="527"/>
    <n v="8.3800000000000008"/>
    <n v="3"/>
    <n v="2.72"/>
  </r>
  <r>
    <d v="2014-04-11T00:00:00"/>
    <x v="264"/>
    <x v="15"/>
    <x v="0"/>
    <x v="13"/>
    <x v="215"/>
    <n v="58.24"/>
    <n v="5"/>
    <n v="5.0999999999999996"/>
  </r>
  <r>
    <d v="2014-04-11T00:00:00"/>
    <x v="265"/>
    <x v="3"/>
    <x v="1"/>
    <x v="8"/>
    <x v="528"/>
    <n v="35.340000000000003"/>
    <n v="2"/>
    <n v="13.43"/>
  </r>
  <r>
    <d v="2014-04-11T00:00:00"/>
    <x v="266"/>
    <x v="3"/>
    <x v="2"/>
    <x v="6"/>
    <x v="529"/>
    <n v="666.34"/>
    <n v="7"/>
    <n v="66.63"/>
  </r>
  <r>
    <d v="2014-04-11T00:00:00"/>
    <x v="266"/>
    <x v="3"/>
    <x v="1"/>
    <x v="10"/>
    <x v="237"/>
    <n v="573.73"/>
    <n v="4"/>
    <n v="-64.540000000000006"/>
  </r>
  <r>
    <d v="2014-04-11T00:00:00"/>
    <x v="266"/>
    <x v="3"/>
    <x v="0"/>
    <x v="3"/>
    <x v="530"/>
    <n v="21.94"/>
    <n v="3"/>
    <n v="8.23"/>
  </r>
  <r>
    <d v="2014-04-11T00:00:00"/>
    <x v="266"/>
    <x v="3"/>
    <x v="0"/>
    <x v="0"/>
    <x v="392"/>
    <n v="19.440000000000001"/>
    <n v="3"/>
    <n v="9.33"/>
  </r>
  <r>
    <d v="2014-04-11T00:00:00"/>
    <x v="266"/>
    <x v="3"/>
    <x v="2"/>
    <x v="16"/>
    <x v="531"/>
    <n v="447.97"/>
    <n v="4"/>
    <n v="139.99"/>
  </r>
  <r>
    <d v="2014-04-11T00:00:00"/>
    <x v="197"/>
    <x v="12"/>
    <x v="0"/>
    <x v="3"/>
    <x v="532"/>
    <n v="52.06"/>
    <n v="4"/>
    <n v="18.87"/>
  </r>
  <r>
    <d v="2014-04-11T00:00:00"/>
    <x v="267"/>
    <x v="3"/>
    <x v="0"/>
    <x v="4"/>
    <x v="533"/>
    <n v="2.94"/>
    <n v="1"/>
    <n v="0.79"/>
  </r>
  <r>
    <d v="2014-05-11T00:00:00"/>
    <x v="268"/>
    <x v="3"/>
    <x v="1"/>
    <x v="8"/>
    <x v="534"/>
    <n v="20.04"/>
    <n v="6"/>
    <n v="8.82"/>
  </r>
  <r>
    <d v="2014-05-11T00:00:00"/>
    <x v="269"/>
    <x v="6"/>
    <x v="2"/>
    <x v="9"/>
    <x v="535"/>
    <n v="47.79"/>
    <n v="3"/>
    <n v="16.25"/>
  </r>
  <r>
    <d v="2014-05-11T00:00:00"/>
    <x v="270"/>
    <x v="2"/>
    <x v="1"/>
    <x v="8"/>
    <x v="519"/>
    <n v="273.57"/>
    <n v="2"/>
    <n v="-34.200000000000003"/>
  </r>
  <r>
    <d v="2014-05-11T00:00:00"/>
    <x v="270"/>
    <x v="2"/>
    <x v="0"/>
    <x v="3"/>
    <x v="178"/>
    <n v="13.19"/>
    <n v="2"/>
    <n v="-8.8000000000000007"/>
  </r>
  <r>
    <d v="2014-05-11T00:00:00"/>
    <x v="270"/>
    <x v="2"/>
    <x v="0"/>
    <x v="2"/>
    <x v="536"/>
    <n v="1080.0999999999999"/>
    <n v="6"/>
    <n v="-94.51"/>
  </r>
  <r>
    <d v="2014-05-11T00:00:00"/>
    <x v="270"/>
    <x v="2"/>
    <x v="2"/>
    <x v="9"/>
    <x v="537"/>
    <n v="51.56"/>
    <n v="5"/>
    <n v="-6.45"/>
  </r>
  <r>
    <d v="2014-05-11T00:00:00"/>
    <x v="270"/>
    <x v="2"/>
    <x v="2"/>
    <x v="9"/>
    <x v="538"/>
    <n v="58.42"/>
    <n v="2"/>
    <n v="16.79"/>
  </r>
  <r>
    <d v="2014-05-11T00:00:00"/>
    <x v="271"/>
    <x v="6"/>
    <x v="1"/>
    <x v="5"/>
    <x v="539"/>
    <n v="149.9"/>
    <n v="5"/>
    <n v="40.47"/>
  </r>
  <r>
    <d v="2014-06-11T00:00:00"/>
    <x v="272"/>
    <x v="4"/>
    <x v="0"/>
    <x v="0"/>
    <x v="56"/>
    <n v="43.68"/>
    <n v="6"/>
    <n v="20.97"/>
  </r>
  <r>
    <d v="2014-07-11T00:00:00"/>
    <x v="273"/>
    <x v="0"/>
    <x v="0"/>
    <x v="3"/>
    <x v="540"/>
    <n v="26.05"/>
    <n v="3"/>
    <n v="-44.28"/>
  </r>
  <r>
    <d v="2014-07-11T00:00:00"/>
    <x v="273"/>
    <x v="0"/>
    <x v="0"/>
    <x v="11"/>
    <x v="55"/>
    <n v="74.349999999999994"/>
    <n v="3"/>
    <n v="26.95"/>
  </r>
  <r>
    <d v="2014-07-11T00:00:00"/>
    <x v="187"/>
    <x v="3"/>
    <x v="0"/>
    <x v="3"/>
    <x v="178"/>
    <n v="123.14"/>
    <n v="7"/>
    <n v="46.18"/>
  </r>
  <r>
    <d v="2014-07-11T00:00:00"/>
    <x v="110"/>
    <x v="0"/>
    <x v="1"/>
    <x v="5"/>
    <x v="238"/>
    <n v="683.14"/>
    <n v="4"/>
    <n v="0"/>
  </r>
  <r>
    <d v="2014-07-11T00:00:00"/>
    <x v="110"/>
    <x v="0"/>
    <x v="0"/>
    <x v="3"/>
    <x v="541"/>
    <n v="1.48"/>
    <n v="3"/>
    <n v="-2.21"/>
  </r>
  <r>
    <d v="2014-07-11T00:00:00"/>
    <x v="110"/>
    <x v="0"/>
    <x v="0"/>
    <x v="14"/>
    <x v="542"/>
    <n v="40.71"/>
    <n v="7"/>
    <n v="3.56"/>
  </r>
  <r>
    <d v="2014-07-11T00:00:00"/>
    <x v="210"/>
    <x v="8"/>
    <x v="0"/>
    <x v="13"/>
    <x v="543"/>
    <n v="245.88"/>
    <n v="6"/>
    <n v="68.849999999999994"/>
  </r>
  <r>
    <d v="2014-07-11T00:00:00"/>
    <x v="210"/>
    <x v="8"/>
    <x v="0"/>
    <x v="2"/>
    <x v="544"/>
    <n v="36.630000000000003"/>
    <n v="3"/>
    <n v="9.89"/>
  </r>
  <r>
    <d v="2014-07-11T00:00:00"/>
    <x v="210"/>
    <x v="8"/>
    <x v="0"/>
    <x v="2"/>
    <x v="545"/>
    <n v="22.58"/>
    <n v="2"/>
    <n v="5.87"/>
  </r>
  <r>
    <d v="2014-07-11T00:00:00"/>
    <x v="210"/>
    <x v="8"/>
    <x v="0"/>
    <x v="3"/>
    <x v="546"/>
    <n v="12.39"/>
    <n v="3"/>
    <n v="5.82"/>
  </r>
  <r>
    <d v="2014-07-11T00:00:00"/>
    <x v="119"/>
    <x v="12"/>
    <x v="0"/>
    <x v="7"/>
    <x v="142"/>
    <n v="5.92"/>
    <n v="4"/>
    <n v="2.84"/>
  </r>
  <r>
    <d v="2014-07-11T00:00:00"/>
    <x v="119"/>
    <x v="12"/>
    <x v="0"/>
    <x v="0"/>
    <x v="547"/>
    <n v="30.18"/>
    <n v="3"/>
    <n v="13.88"/>
  </r>
  <r>
    <d v="2014-07-11T00:00:00"/>
    <x v="274"/>
    <x v="35"/>
    <x v="0"/>
    <x v="0"/>
    <x v="267"/>
    <n v="25.92"/>
    <n v="5"/>
    <n v="9.07"/>
  </r>
  <r>
    <d v="2014-07-11T00:00:00"/>
    <x v="274"/>
    <x v="35"/>
    <x v="0"/>
    <x v="4"/>
    <x v="548"/>
    <n v="120.77"/>
    <n v="4"/>
    <n v="9.06"/>
  </r>
  <r>
    <d v="2014-08-11T00:00:00"/>
    <x v="89"/>
    <x v="3"/>
    <x v="2"/>
    <x v="6"/>
    <x v="549"/>
    <n v="333.58"/>
    <n v="3"/>
    <n v="25.02"/>
  </r>
  <r>
    <d v="2014-09-11T00:00:00"/>
    <x v="275"/>
    <x v="3"/>
    <x v="0"/>
    <x v="2"/>
    <x v="2"/>
    <n v="340.92"/>
    <n v="3"/>
    <n v="3.41"/>
  </r>
  <r>
    <d v="2014-09-11T00:00:00"/>
    <x v="275"/>
    <x v="3"/>
    <x v="1"/>
    <x v="12"/>
    <x v="550"/>
    <n v="222.67"/>
    <n v="2"/>
    <n v="10.48"/>
  </r>
  <r>
    <d v="2014-09-11T00:00:00"/>
    <x v="275"/>
    <x v="3"/>
    <x v="2"/>
    <x v="6"/>
    <x v="551"/>
    <n v="703.97"/>
    <n v="4"/>
    <n v="88"/>
  </r>
  <r>
    <d v="2014-09-11T00:00:00"/>
    <x v="275"/>
    <x v="3"/>
    <x v="0"/>
    <x v="2"/>
    <x v="552"/>
    <n v="92.52"/>
    <n v="6"/>
    <n v="24.98"/>
  </r>
  <r>
    <d v="2014-09-11T00:00:00"/>
    <x v="275"/>
    <x v="3"/>
    <x v="0"/>
    <x v="0"/>
    <x v="553"/>
    <n v="62.65"/>
    <n v="7"/>
    <n v="28.82"/>
  </r>
  <r>
    <d v="2014-09-11T00:00:00"/>
    <x v="275"/>
    <x v="3"/>
    <x v="0"/>
    <x v="0"/>
    <x v="554"/>
    <n v="94.85"/>
    <n v="5"/>
    <n v="45.53"/>
  </r>
  <r>
    <d v="2014-09-11T00:00:00"/>
    <x v="276"/>
    <x v="12"/>
    <x v="1"/>
    <x v="8"/>
    <x v="555"/>
    <n v="56.52"/>
    <n v="9"/>
    <n v="21.48"/>
  </r>
  <r>
    <d v="2014-10-11T00:00:00"/>
    <x v="59"/>
    <x v="3"/>
    <x v="2"/>
    <x v="6"/>
    <x v="556"/>
    <n v="601.54"/>
    <n v="8"/>
    <n v="60.15"/>
  </r>
  <r>
    <d v="2014-10-11T00:00:00"/>
    <x v="59"/>
    <x v="3"/>
    <x v="2"/>
    <x v="9"/>
    <x v="415"/>
    <n v="10.99"/>
    <n v="1"/>
    <n v="4.29"/>
  </r>
  <r>
    <d v="2014-10-11T00:00:00"/>
    <x v="59"/>
    <x v="3"/>
    <x v="1"/>
    <x v="8"/>
    <x v="557"/>
    <n v="39.880000000000003"/>
    <n v="2"/>
    <n v="11.17"/>
  </r>
  <r>
    <d v="2014-10-11T00:00:00"/>
    <x v="59"/>
    <x v="3"/>
    <x v="0"/>
    <x v="0"/>
    <x v="87"/>
    <n v="62.24"/>
    <n v="8"/>
    <n v="28.01"/>
  </r>
  <r>
    <d v="2014-10-11T00:00:00"/>
    <x v="59"/>
    <x v="3"/>
    <x v="1"/>
    <x v="8"/>
    <x v="558"/>
    <n v="53.2"/>
    <n v="5"/>
    <n v="14.9"/>
  </r>
  <r>
    <d v="2014-10-11T00:00:00"/>
    <x v="59"/>
    <x v="3"/>
    <x v="0"/>
    <x v="1"/>
    <x v="559"/>
    <n v="39.840000000000003"/>
    <n v="8"/>
    <n v="18.329999999999998"/>
  </r>
  <r>
    <d v="2014-10-11T00:00:00"/>
    <x v="34"/>
    <x v="18"/>
    <x v="0"/>
    <x v="4"/>
    <x v="560"/>
    <n v="3.9"/>
    <n v="2"/>
    <n v="1.52"/>
  </r>
  <r>
    <d v="2014-10-11T00:00:00"/>
    <x v="34"/>
    <x v="18"/>
    <x v="0"/>
    <x v="0"/>
    <x v="561"/>
    <n v="12.84"/>
    <n v="3"/>
    <n v="5.78"/>
  </r>
  <r>
    <d v="2014-10-11T00:00:00"/>
    <x v="34"/>
    <x v="18"/>
    <x v="0"/>
    <x v="0"/>
    <x v="562"/>
    <n v="15.84"/>
    <n v="3"/>
    <n v="7.13"/>
  </r>
  <r>
    <d v="2014-10-11T00:00:00"/>
    <x v="34"/>
    <x v="18"/>
    <x v="1"/>
    <x v="5"/>
    <x v="563"/>
    <n v="563.94000000000005"/>
    <n v="3"/>
    <n v="112.79"/>
  </r>
  <r>
    <d v="2014-10-11T00:00:00"/>
    <x v="34"/>
    <x v="18"/>
    <x v="0"/>
    <x v="2"/>
    <x v="564"/>
    <n v="62.94"/>
    <n v="3"/>
    <n v="11.96"/>
  </r>
  <r>
    <d v="2014-10-11T00:00:00"/>
    <x v="34"/>
    <x v="18"/>
    <x v="0"/>
    <x v="2"/>
    <x v="220"/>
    <n v="535.41"/>
    <n v="3"/>
    <n v="160.62"/>
  </r>
  <r>
    <d v="2014-11-11T00:00:00"/>
    <x v="277"/>
    <x v="8"/>
    <x v="0"/>
    <x v="2"/>
    <x v="565"/>
    <n v="665.88"/>
    <n v="6"/>
    <n v="13.32"/>
  </r>
  <r>
    <d v="2014-11-11T00:00:00"/>
    <x v="278"/>
    <x v="19"/>
    <x v="0"/>
    <x v="4"/>
    <x v="566"/>
    <n v="3.39"/>
    <n v="1"/>
    <n v="0.81"/>
  </r>
  <r>
    <d v="2014-11-11T00:00:00"/>
    <x v="278"/>
    <x v="19"/>
    <x v="2"/>
    <x v="6"/>
    <x v="567"/>
    <n v="559.98"/>
    <n v="2"/>
    <n v="56"/>
  </r>
  <r>
    <d v="2014-11-11T00:00:00"/>
    <x v="278"/>
    <x v="19"/>
    <x v="1"/>
    <x v="5"/>
    <x v="568"/>
    <n v="603.91999999999996"/>
    <n v="5"/>
    <n v="75.489999999999995"/>
  </r>
  <r>
    <d v="2014-11-11T00:00:00"/>
    <x v="279"/>
    <x v="0"/>
    <x v="0"/>
    <x v="3"/>
    <x v="382"/>
    <n v="896.99"/>
    <n v="5"/>
    <n v="-1480.03"/>
  </r>
  <r>
    <d v="2014-11-11T00:00:00"/>
    <x v="279"/>
    <x v="0"/>
    <x v="0"/>
    <x v="3"/>
    <x v="569"/>
    <n v="1.23"/>
    <n v="1"/>
    <n v="-1.97"/>
  </r>
  <r>
    <d v="2014-11-11T00:00:00"/>
    <x v="279"/>
    <x v="0"/>
    <x v="0"/>
    <x v="4"/>
    <x v="570"/>
    <n v="67.56"/>
    <n v="3"/>
    <n v="6.76"/>
  </r>
  <r>
    <d v="2014-11-11T00:00:00"/>
    <x v="279"/>
    <x v="0"/>
    <x v="0"/>
    <x v="0"/>
    <x v="571"/>
    <n v="21.72"/>
    <n v="5"/>
    <n v="7.87"/>
  </r>
  <r>
    <d v="2014-11-11T00:00:00"/>
    <x v="279"/>
    <x v="0"/>
    <x v="0"/>
    <x v="0"/>
    <x v="572"/>
    <n v="262.33999999999997"/>
    <n v="8"/>
    <n v="95.1"/>
  </r>
  <r>
    <d v="2014-11-11T00:00:00"/>
    <x v="279"/>
    <x v="0"/>
    <x v="2"/>
    <x v="6"/>
    <x v="573"/>
    <n v="148.47999999999999"/>
    <n v="2"/>
    <n v="16.7"/>
  </r>
  <r>
    <d v="2014-11-11T00:00:00"/>
    <x v="279"/>
    <x v="0"/>
    <x v="2"/>
    <x v="6"/>
    <x v="574"/>
    <n v="241.18"/>
    <n v="3"/>
    <n v="15.07"/>
  </r>
  <r>
    <d v="2014-11-11T00:00:00"/>
    <x v="280"/>
    <x v="3"/>
    <x v="0"/>
    <x v="4"/>
    <x v="575"/>
    <n v="30.48"/>
    <n v="3"/>
    <n v="7.92"/>
  </r>
  <r>
    <d v="2014-11-11T00:00:00"/>
    <x v="280"/>
    <x v="3"/>
    <x v="1"/>
    <x v="5"/>
    <x v="576"/>
    <n v="112.65"/>
    <n v="1"/>
    <n v="11.26"/>
  </r>
  <r>
    <d v="2014-11-11T00:00:00"/>
    <x v="281"/>
    <x v="2"/>
    <x v="1"/>
    <x v="8"/>
    <x v="577"/>
    <n v="23.97"/>
    <n v="2"/>
    <n v="7.79"/>
  </r>
  <r>
    <d v="2014-11-11T00:00:00"/>
    <x v="281"/>
    <x v="2"/>
    <x v="1"/>
    <x v="12"/>
    <x v="578"/>
    <n v="521.96"/>
    <n v="4"/>
    <n v="-250.54"/>
  </r>
  <r>
    <d v="2014-11-11T00:00:00"/>
    <x v="172"/>
    <x v="3"/>
    <x v="2"/>
    <x v="6"/>
    <x v="219"/>
    <n v="575.92999999999995"/>
    <n v="9"/>
    <n v="57.59"/>
  </r>
  <r>
    <d v="2014-11-11T00:00:00"/>
    <x v="172"/>
    <x v="3"/>
    <x v="0"/>
    <x v="13"/>
    <x v="226"/>
    <n v="7.78"/>
    <n v="2"/>
    <n v="2.02"/>
  </r>
  <r>
    <d v="2014-11-11T00:00:00"/>
    <x v="172"/>
    <x v="3"/>
    <x v="0"/>
    <x v="0"/>
    <x v="579"/>
    <n v="123.92"/>
    <n v="4"/>
    <n v="55.76"/>
  </r>
  <r>
    <d v="2014-11-11T00:00:00"/>
    <x v="54"/>
    <x v="10"/>
    <x v="0"/>
    <x v="13"/>
    <x v="246"/>
    <n v="22.98"/>
    <n v="1"/>
    <n v="6.89"/>
  </r>
  <r>
    <d v="2014-11-11T00:00:00"/>
    <x v="54"/>
    <x v="10"/>
    <x v="2"/>
    <x v="9"/>
    <x v="399"/>
    <n v="102.13"/>
    <n v="7"/>
    <n v="15.32"/>
  </r>
  <r>
    <d v="2014-11-11T00:00:00"/>
    <x v="54"/>
    <x v="10"/>
    <x v="0"/>
    <x v="3"/>
    <x v="580"/>
    <n v="2033.58"/>
    <n v="2"/>
    <n v="762.59"/>
  </r>
  <r>
    <d v="2014-11-11T00:00:00"/>
    <x v="123"/>
    <x v="1"/>
    <x v="1"/>
    <x v="8"/>
    <x v="581"/>
    <n v="10.98"/>
    <n v="2"/>
    <n v="-7.96"/>
  </r>
  <r>
    <d v="2014-11-11T00:00:00"/>
    <x v="123"/>
    <x v="1"/>
    <x v="1"/>
    <x v="5"/>
    <x v="287"/>
    <n v="797.94"/>
    <n v="4"/>
    <n v="-57"/>
  </r>
  <r>
    <d v="2014-11-11T00:00:00"/>
    <x v="29"/>
    <x v="12"/>
    <x v="0"/>
    <x v="0"/>
    <x v="582"/>
    <n v="46.35"/>
    <n v="5"/>
    <n v="21.78"/>
  </r>
  <r>
    <d v="2014-11-11T00:00:00"/>
    <x v="29"/>
    <x v="12"/>
    <x v="0"/>
    <x v="0"/>
    <x v="583"/>
    <n v="223.92"/>
    <n v="4"/>
    <n v="109.72"/>
  </r>
  <r>
    <d v="2014-11-11T00:00:00"/>
    <x v="29"/>
    <x v="12"/>
    <x v="0"/>
    <x v="14"/>
    <x v="584"/>
    <n v="7.3"/>
    <n v="2"/>
    <n v="2.19"/>
  </r>
  <r>
    <d v="2014-12-11T00:00:00"/>
    <x v="282"/>
    <x v="0"/>
    <x v="0"/>
    <x v="2"/>
    <x v="585"/>
    <n v="49.63"/>
    <n v="4"/>
    <n v="4.96"/>
  </r>
  <r>
    <d v="2014-12-11T00:00:00"/>
    <x v="283"/>
    <x v="3"/>
    <x v="0"/>
    <x v="0"/>
    <x v="586"/>
    <n v="11.96"/>
    <n v="2"/>
    <n v="5.86"/>
  </r>
  <r>
    <d v="2014-12-11T00:00:00"/>
    <x v="283"/>
    <x v="3"/>
    <x v="1"/>
    <x v="10"/>
    <x v="587"/>
    <n v="629.05999999999995"/>
    <n v="3"/>
    <n v="31.45"/>
  </r>
  <r>
    <d v="2014-12-11T00:00:00"/>
    <x v="262"/>
    <x v="15"/>
    <x v="0"/>
    <x v="4"/>
    <x v="173"/>
    <n v="7.87"/>
    <n v="3"/>
    <n v="0.89"/>
  </r>
  <r>
    <d v="2014-12-11T00:00:00"/>
    <x v="284"/>
    <x v="0"/>
    <x v="0"/>
    <x v="4"/>
    <x v="588"/>
    <n v="2.67"/>
    <n v="1"/>
    <n v="0.33"/>
  </r>
  <r>
    <d v="2014-12-11T00:00:00"/>
    <x v="284"/>
    <x v="0"/>
    <x v="0"/>
    <x v="14"/>
    <x v="368"/>
    <n v="16.66"/>
    <n v="6"/>
    <n v="-3.12"/>
  </r>
  <r>
    <d v="2014-12-11T00:00:00"/>
    <x v="284"/>
    <x v="0"/>
    <x v="2"/>
    <x v="9"/>
    <x v="589"/>
    <n v="79.510000000000005"/>
    <n v="3"/>
    <n v="20.87"/>
  </r>
  <r>
    <d v="2014-12-11T00:00:00"/>
    <x v="284"/>
    <x v="0"/>
    <x v="0"/>
    <x v="0"/>
    <x v="373"/>
    <n v="36.29"/>
    <n v="7"/>
    <n v="12.7"/>
  </r>
  <r>
    <d v="2014-12-11T00:00:00"/>
    <x v="284"/>
    <x v="0"/>
    <x v="1"/>
    <x v="12"/>
    <x v="192"/>
    <n v="67.989999999999995"/>
    <n v="1"/>
    <n v="-13"/>
  </r>
  <r>
    <d v="2014-12-11T00:00:00"/>
    <x v="0"/>
    <x v="0"/>
    <x v="1"/>
    <x v="8"/>
    <x v="590"/>
    <n v="25.13"/>
    <n v="3"/>
    <n v="-6.91"/>
  </r>
  <r>
    <d v="2014-12-11T00:00:00"/>
    <x v="0"/>
    <x v="0"/>
    <x v="2"/>
    <x v="9"/>
    <x v="591"/>
    <n v="127.98"/>
    <n v="2"/>
    <n v="25.6"/>
  </r>
  <r>
    <d v="2014-01-12T00:00:00"/>
    <x v="260"/>
    <x v="8"/>
    <x v="1"/>
    <x v="5"/>
    <x v="592"/>
    <n v="2807.84"/>
    <n v="8"/>
    <n v="673.88"/>
  </r>
  <r>
    <d v="2014-01-12T00:00:00"/>
    <x v="260"/>
    <x v="8"/>
    <x v="0"/>
    <x v="4"/>
    <x v="593"/>
    <n v="46.64"/>
    <n v="4"/>
    <n v="12.59"/>
  </r>
  <r>
    <d v="2014-01-12T00:00:00"/>
    <x v="285"/>
    <x v="3"/>
    <x v="1"/>
    <x v="8"/>
    <x v="594"/>
    <n v="58.2"/>
    <n v="3"/>
    <n v="28.52"/>
  </r>
  <r>
    <d v="2014-01-12T00:00:00"/>
    <x v="286"/>
    <x v="15"/>
    <x v="2"/>
    <x v="6"/>
    <x v="595"/>
    <n v="95.97"/>
    <n v="4"/>
    <n v="9.6"/>
  </r>
  <r>
    <d v="2014-01-12T00:00:00"/>
    <x v="287"/>
    <x v="16"/>
    <x v="2"/>
    <x v="15"/>
    <x v="346"/>
    <n v="659.99"/>
    <n v="2"/>
    <n v="110"/>
  </r>
  <r>
    <d v="2014-01-12T00:00:00"/>
    <x v="287"/>
    <x v="16"/>
    <x v="1"/>
    <x v="8"/>
    <x v="596"/>
    <n v="8.1300000000000008"/>
    <n v="2"/>
    <n v="1.42"/>
  </r>
  <r>
    <d v="2014-01-12T00:00:00"/>
    <x v="287"/>
    <x v="16"/>
    <x v="0"/>
    <x v="0"/>
    <x v="597"/>
    <n v="36.29"/>
    <n v="7"/>
    <n v="12.7"/>
  </r>
  <r>
    <d v="2014-01-12T00:00:00"/>
    <x v="287"/>
    <x v="16"/>
    <x v="1"/>
    <x v="5"/>
    <x v="203"/>
    <n v="909.72"/>
    <n v="6"/>
    <n v="-51.98"/>
  </r>
  <r>
    <d v="2014-01-12T00:00:00"/>
    <x v="288"/>
    <x v="0"/>
    <x v="1"/>
    <x v="5"/>
    <x v="598"/>
    <n v="674.06"/>
    <n v="3"/>
    <n v="-19.260000000000002"/>
  </r>
  <r>
    <d v="2014-01-12T00:00:00"/>
    <x v="289"/>
    <x v="20"/>
    <x v="2"/>
    <x v="6"/>
    <x v="499"/>
    <n v="271.89999999999998"/>
    <n v="2"/>
    <n v="78.849999999999994"/>
  </r>
  <r>
    <d v="2014-01-12T00:00:00"/>
    <x v="289"/>
    <x v="20"/>
    <x v="1"/>
    <x v="8"/>
    <x v="599"/>
    <n v="45.84"/>
    <n v="3"/>
    <n v="15.59"/>
  </r>
  <r>
    <d v="2014-01-12T00:00:00"/>
    <x v="289"/>
    <x v="20"/>
    <x v="1"/>
    <x v="8"/>
    <x v="600"/>
    <n v="9.82"/>
    <n v="2"/>
    <n v="3.24"/>
  </r>
  <r>
    <d v="2014-02-12T00:00:00"/>
    <x v="290"/>
    <x v="12"/>
    <x v="2"/>
    <x v="9"/>
    <x v="601"/>
    <n v="119.96"/>
    <n v="4"/>
    <n v="52.78"/>
  </r>
  <r>
    <d v="2014-02-12T00:00:00"/>
    <x v="290"/>
    <x v="12"/>
    <x v="1"/>
    <x v="12"/>
    <x v="227"/>
    <n v="883.92"/>
    <n v="5"/>
    <n v="-110.49"/>
  </r>
  <r>
    <d v="2014-02-12T00:00:00"/>
    <x v="290"/>
    <x v="12"/>
    <x v="0"/>
    <x v="3"/>
    <x v="397"/>
    <n v="46.72"/>
    <n v="8"/>
    <n v="15.77"/>
  </r>
  <r>
    <d v="2014-02-12T00:00:00"/>
    <x v="291"/>
    <x v="0"/>
    <x v="1"/>
    <x v="8"/>
    <x v="602"/>
    <n v="58.36"/>
    <n v="5"/>
    <n v="-24.8"/>
  </r>
  <r>
    <d v="2014-02-12T00:00:00"/>
    <x v="291"/>
    <x v="0"/>
    <x v="0"/>
    <x v="4"/>
    <x v="533"/>
    <n v="16.46"/>
    <n v="7"/>
    <n v="1.44"/>
  </r>
  <r>
    <d v="2014-02-12T00:00:00"/>
    <x v="291"/>
    <x v="0"/>
    <x v="1"/>
    <x v="8"/>
    <x v="603"/>
    <n v="39.96"/>
    <n v="5"/>
    <n v="-23.98"/>
  </r>
  <r>
    <d v="2014-02-12T00:00:00"/>
    <x v="292"/>
    <x v="16"/>
    <x v="2"/>
    <x v="9"/>
    <x v="604"/>
    <n v="119.8"/>
    <n v="5"/>
    <n v="29.95"/>
  </r>
  <r>
    <d v="2014-02-12T00:00:00"/>
    <x v="293"/>
    <x v="1"/>
    <x v="0"/>
    <x v="13"/>
    <x v="202"/>
    <n v="2.39"/>
    <n v="1"/>
    <n v="-6.34"/>
  </r>
  <r>
    <d v="2014-02-12T00:00:00"/>
    <x v="264"/>
    <x v="39"/>
    <x v="1"/>
    <x v="8"/>
    <x v="605"/>
    <n v="60.72"/>
    <n v="3"/>
    <n v="23.68"/>
  </r>
  <r>
    <d v="2014-02-12T00:00:00"/>
    <x v="264"/>
    <x v="39"/>
    <x v="0"/>
    <x v="0"/>
    <x v="606"/>
    <n v="146.82"/>
    <n v="3"/>
    <n v="73.41"/>
  </r>
  <r>
    <d v="2014-02-12T00:00:00"/>
    <x v="264"/>
    <x v="39"/>
    <x v="1"/>
    <x v="5"/>
    <x v="539"/>
    <n v="239.84"/>
    <n v="8"/>
    <n v="64.760000000000005"/>
  </r>
  <r>
    <d v="2014-02-12T00:00:00"/>
    <x v="264"/>
    <x v="39"/>
    <x v="0"/>
    <x v="1"/>
    <x v="607"/>
    <n v="15.66"/>
    <n v="6"/>
    <n v="7.2"/>
  </r>
  <r>
    <d v="2014-02-12T00:00:00"/>
    <x v="294"/>
    <x v="4"/>
    <x v="2"/>
    <x v="9"/>
    <x v="608"/>
    <n v="5.95"/>
    <n v="1"/>
    <n v="0.83"/>
  </r>
  <r>
    <d v="2014-02-12T00:00:00"/>
    <x v="294"/>
    <x v="4"/>
    <x v="0"/>
    <x v="0"/>
    <x v="609"/>
    <n v="15.24"/>
    <n v="3"/>
    <n v="7.16"/>
  </r>
  <r>
    <d v="2014-03-12T00:00:00"/>
    <x v="295"/>
    <x v="34"/>
    <x v="2"/>
    <x v="6"/>
    <x v="610"/>
    <n v="479.96"/>
    <n v="4"/>
    <n v="134.38999999999999"/>
  </r>
  <r>
    <d v="2014-03-12T00:00:00"/>
    <x v="296"/>
    <x v="14"/>
    <x v="0"/>
    <x v="0"/>
    <x v="597"/>
    <n v="25.92"/>
    <n v="4"/>
    <n v="12.44"/>
  </r>
  <r>
    <d v="2014-04-12T00:00:00"/>
    <x v="297"/>
    <x v="12"/>
    <x v="2"/>
    <x v="6"/>
    <x v="498"/>
    <n v="129.97999999999999"/>
    <n v="2"/>
    <n v="62.39"/>
  </r>
  <r>
    <d v="2014-05-12T00:00:00"/>
    <x v="298"/>
    <x v="23"/>
    <x v="0"/>
    <x v="4"/>
    <x v="611"/>
    <n v="1113.02"/>
    <n v="8"/>
    <n v="111.3"/>
  </r>
  <r>
    <d v="2014-05-12T00:00:00"/>
    <x v="298"/>
    <x v="23"/>
    <x v="2"/>
    <x v="6"/>
    <x v="612"/>
    <n v="167.97"/>
    <n v="4"/>
    <n v="62.99"/>
  </r>
  <r>
    <d v="2014-05-12T00:00:00"/>
    <x v="299"/>
    <x v="1"/>
    <x v="0"/>
    <x v="2"/>
    <x v="117"/>
    <n v="24.82"/>
    <n v="2"/>
    <n v="1.86"/>
  </r>
  <r>
    <d v="2014-05-12T00:00:00"/>
    <x v="299"/>
    <x v="1"/>
    <x v="2"/>
    <x v="9"/>
    <x v="127"/>
    <n v="408.74"/>
    <n v="7"/>
    <n v="76.64"/>
  </r>
  <r>
    <d v="2014-05-12T00:00:00"/>
    <x v="300"/>
    <x v="6"/>
    <x v="0"/>
    <x v="2"/>
    <x v="613"/>
    <n v="24.56"/>
    <n v="2"/>
    <n v="6.88"/>
  </r>
  <r>
    <d v="2014-05-12T00:00:00"/>
    <x v="301"/>
    <x v="2"/>
    <x v="0"/>
    <x v="11"/>
    <x v="614"/>
    <n v="348.49"/>
    <n v="7"/>
    <n v="117.61"/>
  </r>
  <r>
    <d v="2014-05-12T00:00:00"/>
    <x v="301"/>
    <x v="2"/>
    <x v="0"/>
    <x v="2"/>
    <x v="52"/>
    <n v="172.74"/>
    <n v="4"/>
    <n v="-30.23"/>
  </r>
  <r>
    <d v="2014-05-12T00:00:00"/>
    <x v="253"/>
    <x v="16"/>
    <x v="0"/>
    <x v="0"/>
    <x v="572"/>
    <n v="98.38"/>
    <n v="3"/>
    <n v="35.659999999999997"/>
  </r>
  <r>
    <d v="2014-05-12T00:00:00"/>
    <x v="253"/>
    <x v="16"/>
    <x v="0"/>
    <x v="3"/>
    <x v="124"/>
    <n v="29.94"/>
    <n v="4"/>
    <n v="-23.95"/>
  </r>
  <r>
    <d v="2014-05-12T00:00:00"/>
    <x v="253"/>
    <x v="16"/>
    <x v="0"/>
    <x v="0"/>
    <x v="48"/>
    <n v="17.47"/>
    <n v="3"/>
    <n v="5.68"/>
  </r>
  <r>
    <d v="2014-05-12T00:00:00"/>
    <x v="253"/>
    <x v="16"/>
    <x v="2"/>
    <x v="6"/>
    <x v="615"/>
    <n v="36.74"/>
    <n v="1"/>
    <n v="-9.18"/>
  </r>
  <r>
    <d v="2014-05-12T00:00:00"/>
    <x v="253"/>
    <x v="16"/>
    <x v="2"/>
    <x v="6"/>
    <x v="616"/>
    <n v="179.94"/>
    <n v="2"/>
    <n v="-44.99"/>
  </r>
  <r>
    <d v="2014-05-12T00:00:00"/>
    <x v="302"/>
    <x v="3"/>
    <x v="0"/>
    <x v="4"/>
    <x v="422"/>
    <n v="26.46"/>
    <n v="9"/>
    <n v="11.91"/>
  </r>
  <r>
    <d v="2014-05-12T00:00:00"/>
    <x v="302"/>
    <x v="3"/>
    <x v="0"/>
    <x v="0"/>
    <x v="174"/>
    <n v="49.12"/>
    <n v="4"/>
    <n v="23.09"/>
  </r>
  <r>
    <d v="2014-05-12T00:00:00"/>
    <x v="302"/>
    <x v="3"/>
    <x v="0"/>
    <x v="7"/>
    <x v="419"/>
    <n v="15"/>
    <n v="3"/>
    <n v="7.2"/>
  </r>
  <r>
    <d v="2014-05-12T00:00:00"/>
    <x v="303"/>
    <x v="3"/>
    <x v="0"/>
    <x v="13"/>
    <x v="447"/>
    <n v="250.26"/>
    <n v="6"/>
    <n v="72.58"/>
  </r>
  <r>
    <d v="2014-06-12T00:00:00"/>
    <x v="304"/>
    <x v="0"/>
    <x v="1"/>
    <x v="8"/>
    <x v="603"/>
    <n v="23.98"/>
    <n v="3"/>
    <n v="-14.39"/>
  </r>
  <r>
    <d v="2014-06-12T00:00:00"/>
    <x v="305"/>
    <x v="35"/>
    <x v="0"/>
    <x v="2"/>
    <x v="617"/>
    <n v="53.42"/>
    <n v="3"/>
    <n v="4.67"/>
  </r>
  <r>
    <d v="2014-06-12T00:00:00"/>
    <x v="305"/>
    <x v="35"/>
    <x v="1"/>
    <x v="10"/>
    <x v="232"/>
    <n v="275.49"/>
    <n v="1"/>
    <n v="-170.8"/>
  </r>
  <r>
    <d v="2014-06-12T00:00:00"/>
    <x v="159"/>
    <x v="1"/>
    <x v="0"/>
    <x v="13"/>
    <x v="618"/>
    <n v="14.02"/>
    <n v="4"/>
    <n v="-31.54"/>
  </r>
  <r>
    <d v="2014-06-12T00:00:00"/>
    <x v="159"/>
    <x v="1"/>
    <x v="1"/>
    <x v="10"/>
    <x v="126"/>
    <n v="214.95"/>
    <n v="5"/>
    <n v="-120.37"/>
  </r>
  <r>
    <d v="2014-06-12T00:00:00"/>
    <x v="159"/>
    <x v="1"/>
    <x v="2"/>
    <x v="6"/>
    <x v="619"/>
    <n v="35.04"/>
    <n v="4"/>
    <n v="-7.01"/>
  </r>
  <r>
    <d v="2014-06-12T00:00:00"/>
    <x v="159"/>
    <x v="1"/>
    <x v="1"/>
    <x v="8"/>
    <x v="349"/>
    <n v="10.78"/>
    <n v="3"/>
    <n v="-4.8499999999999996"/>
  </r>
  <r>
    <d v="2014-06-12T00:00:00"/>
    <x v="159"/>
    <x v="1"/>
    <x v="0"/>
    <x v="3"/>
    <x v="620"/>
    <n v="4.5999999999999996"/>
    <n v="2"/>
    <n v="-8.0500000000000007"/>
  </r>
  <r>
    <d v="2014-06-12T00:00:00"/>
    <x v="159"/>
    <x v="1"/>
    <x v="0"/>
    <x v="2"/>
    <x v="621"/>
    <n v="35.17"/>
    <n v="2"/>
    <n v="-8.35"/>
  </r>
  <r>
    <d v="2014-06-12T00:00:00"/>
    <x v="67"/>
    <x v="3"/>
    <x v="0"/>
    <x v="2"/>
    <x v="622"/>
    <n v="1261.33"/>
    <n v="7"/>
    <n v="327.95"/>
  </r>
  <r>
    <d v="2014-06-12T00:00:00"/>
    <x v="271"/>
    <x v="31"/>
    <x v="0"/>
    <x v="0"/>
    <x v="256"/>
    <n v="42.21"/>
    <n v="2"/>
    <n v="13.72"/>
  </r>
  <r>
    <d v="2014-07-12T00:00:00"/>
    <x v="254"/>
    <x v="6"/>
    <x v="0"/>
    <x v="0"/>
    <x v="256"/>
    <n v="105.52"/>
    <n v="4"/>
    <n v="48.54"/>
  </r>
  <r>
    <d v="2014-07-12T00:00:00"/>
    <x v="306"/>
    <x v="3"/>
    <x v="0"/>
    <x v="4"/>
    <x v="623"/>
    <n v="8.64"/>
    <n v="3"/>
    <n v="2.42"/>
  </r>
  <r>
    <d v="2014-07-12T00:00:00"/>
    <x v="156"/>
    <x v="10"/>
    <x v="0"/>
    <x v="2"/>
    <x v="345"/>
    <n v="269.36"/>
    <n v="7"/>
    <n v="70.03"/>
  </r>
  <r>
    <d v="2014-07-12T00:00:00"/>
    <x v="307"/>
    <x v="3"/>
    <x v="0"/>
    <x v="0"/>
    <x v="624"/>
    <n v="164.88"/>
    <n v="3"/>
    <n v="80.790000000000006"/>
  </r>
  <r>
    <d v="2014-08-12T00:00:00"/>
    <x v="308"/>
    <x v="0"/>
    <x v="0"/>
    <x v="2"/>
    <x v="625"/>
    <n v="60.42"/>
    <n v="2"/>
    <n v="6.04"/>
  </r>
  <r>
    <d v="2014-08-12T00:00:00"/>
    <x v="309"/>
    <x v="35"/>
    <x v="0"/>
    <x v="1"/>
    <x v="507"/>
    <n v="27.89"/>
    <n v="7"/>
    <n v="9.06"/>
  </r>
  <r>
    <d v="2014-08-12T00:00:00"/>
    <x v="309"/>
    <x v="35"/>
    <x v="0"/>
    <x v="3"/>
    <x v="626"/>
    <n v="6.46"/>
    <n v="4"/>
    <n v="-4.5199999999999996"/>
  </r>
  <r>
    <d v="2014-08-12T00:00:00"/>
    <x v="309"/>
    <x v="35"/>
    <x v="2"/>
    <x v="6"/>
    <x v="627"/>
    <n v="52.68"/>
    <n v="3"/>
    <n v="19.760000000000002"/>
  </r>
  <r>
    <d v="2014-08-12T00:00:00"/>
    <x v="309"/>
    <x v="35"/>
    <x v="0"/>
    <x v="14"/>
    <x v="368"/>
    <n v="13.88"/>
    <n v="5"/>
    <n v="-2.6"/>
  </r>
  <r>
    <d v="2014-08-12T00:00:00"/>
    <x v="309"/>
    <x v="35"/>
    <x v="2"/>
    <x v="9"/>
    <x v="628"/>
    <n v="103.92"/>
    <n v="10"/>
    <n v="-18.190000000000001"/>
  </r>
  <r>
    <d v="2014-08-12T00:00:00"/>
    <x v="309"/>
    <x v="35"/>
    <x v="0"/>
    <x v="1"/>
    <x v="629"/>
    <n v="11.52"/>
    <n v="5"/>
    <n v="3.74"/>
  </r>
  <r>
    <d v="2014-08-12T00:00:00"/>
    <x v="309"/>
    <x v="35"/>
    <x v="0"/>
    <x v="0"/>
    <x v="630"/>
    <n v="10.37"/>
    <n v="2"/>
    <n v="3.63"/>
  </r>
  <r>
    <d v="2014-08-12T00:00:00"/>
    <x v="309"/>
    <x v="35"/>
    <x v="0"/>
    <x v="2"/>
    <x v="118"/>
    <n v="39.07"/>
    <n v="3"/>
    <n v="2.93"/>
  </r>
  <r>
    <d v="2014-08-12T00:00:00"/>
    <x v="310"/>
    <x v="10"/>
    <x v="0"/>
    <x v="0"/>
    <x v="631"/>
    <n v="45.68"/>
    <n v="2"/>
    <n v="21.01"/>
  </r>
  <r>
    <d v="2014-08-12T00:00:00"/>
    <x v="310"/>
    <x v="10"/>
    <x v="1"/>
    <x v="5"/>
    <x v="522"/>
    <n v="603.91999999999996"/>
    <n v="5"/>
    <n v="45.29"/>
  </r>
  <r>
    <d v="2014-08-12T00:00:00"/>
    <x v="311"/>
    <x v="3"/>
    <x v="1"/>
    <x v="8"/>
    <x v="557"/>
    <n v="39.880000000000003"/>
    <n v="2"/>
    <n v="11.17"/>
  </r>
  <r>
    <d v="2014-08-12T00:00:00"/>
    <x v="311"/>
    <x v="3"/>
    <x v="1"/>
    <x v="8"/>
    <x v="388"/>
    <n v="79.44"/>
    <n v="3"/>
    <n v="28.6"/>
  </r>
  <r>
    <d v="2014-09-12T00:00:00"/>
    <x v="18"/>
    <x v="3"/>
    <x v="0"/>
    <x v="0"/>
    <x v="632"/>
    <n v="34.68"/>
    <n v="6"/>
    <n v="16.989999999999998"/>
  </r>
  <r>
    <d v="2014-09-12T00:00:00"/>
    <x v="312"/>
    <x v="23"/>
    <x v="0"/>
    <x v="2"/>
    <x v="564"/>
    <n v="100.7"/>
    <n v="6"/>
    <n v="-1.26"/>
  </r>
  <r>
    <d v="2014-09-12T00:00:00"/>
    <x v="195"/>
    <x v="0"/>
    <x v="0"/>
    <x v="0"/>
    <x v="304"/>
    <n v="10.69"/>
    <n v="2"/>
    <n v="3.74"/>
  </r>
  <r>
    <d v="2014-09-12T00:00:00"/>
    <x v="195"/>
    <x v="0"/>
    <x v="0"/>
    <x v="2"/>
    <x v="633"/>
    <n v="237.1"/>
    <n v="3"/>
    <n v="20.75"/>
  </r>
  <r>
    <d v="2014-09-12T00:00:00"/>
    <x v="127"/>
    <x v="1"/>
    <x v="0"/>
    <x v="0"/>
    <x v="634"/>
    <n v="8.4499999999999993"/>
    <n v="2"/>
    <n v="2.96"/>
  </r>
  <r>
    <d v="2014-09-12T00:00:00"/>
    <x v="127"/>
    <x v="1"/>
    <x v="0"/>
    <x v="13"/>
    <x v="635"/>
    <n v="20.39"/>
    <n v="2"/>
    <n v="-53.01"/>
  </r>
  <r>
    <d v="2014-09-12T00:00:00"/>
    <x v="306"/>
    <x v="2"/>
    <x v="0"/>
    <x v="11"/>
    <x v="348"/>
    <n v="30.67"/>
    <n v="3"/>
    <n v="9.59"/>
  </r>
  <r>
    <d v="2014-09-12T00:00:00"/>
    <x v="306"/>
    <x v="2"/>
    <x v="2"/>
    <x v="15"/>
    <x v="636"/>
    <n v="1079.98"/>
    <n v="4"/>
    <n v="126"/>
  </r>
  <r>
    <d v="2014-10-12T00:00:00"/>
    <x v="313"/>
    <x v="12"/>
    <x v="0"/>
    <x v="0"/>
    <x v="637"/>
    <n v="11.36"/>
    <n v="2"/>
    <n v="5.23"/>
  </r>
  <r>
    <d v="2014-10-12T00:00:00"/>
    <x v="313"/>
    <x v="12"/>
    <x v="0"/>
    <x v="3"/>
    <x v="638"/>
    <n v="106.34"/>
    <n v="7"/>
    <n v="37.22"/>
  </r>
  <r>
    <d v="2014-10-12T00:00:00"/>
    <x v="314"/>
    <x v="24"/>
    <x v="1"/>
    <x v="5"/>
    <x v="639"/>
    <n v="338.35"/>
    <n v="3"/>
    <n v="4.2300000000000004"/>
  </r>
  <r>
    <d v="2014-10-12T00:00:00"/>
    <x v="314"/>
    <x v="24"/>
    <x v="0"/>
    <x v="0"/>
    <x v="640"/>
    <n v="25.92"/>
    <n v="4"/>
    <n v="12.44"/>
  </r>
  <r>
    <d v="2014-10-12T00:00:00"/>
    <x v="314"/>
    <x v="24"/>
    <x v="0"/>
    <x v="0"/>
    <x v="641"/>
    <n v="91.36"/>
    <n v="4"/>
    <n v="42.03"/>
  </r>
  <r>
    <d v="2014-12-12T00:00:00"/>
    <x v="193"/>
    <x v="3"/>
    <x v="1"/>
    <x v="10"/>
    <x v="642"/>
    <n v="764.69"/>
    <n v="6"/>
    <n v="95.59"/>
  </r>
  <r>
    <d v="2014-12-12T00:00:00"/>
    <x v="193"/>
    <x v="3"/>
    <x v="1"/>
    <x v="10"/>
    <x v="643"/>
    <n v="3610.85"/>
    <n v="12"/>
    <n v="135.41"/>
  </r>
  <r>
    <d v="2014-12-12T00:00:00"/>
    <x v="193"/>
    <x v="3"/>
    <x v="1"/>
    <x v="12"/>
    <x v="192"/>
    <n v="254.97"/>
    <n v="3"/>
    <n v="12"/>
  </r>
  <r>
    <d v="2014-12-12T00:00:00"/>
    <x v="266"/>
    <x v="3"/>
    <x v="1"/>
    <x v="8"/>
    <x v="644"/>
    <n v="43.31"/>
    <n v="1"/>
    <n v="4.33"/>
  </r>
  <r>
    <d v="2014-12-12T00:00:00"/>
    <x v="315"/>
    <x v="0"/>
    <x v="0"/>
    <x v="3"/>
    <x v="645"/>
    <n v="210.39"/>
    <n v="2"/>
    <n v="-336.63"/>
  </r>
  <r>
    <d v="2014-12-12T00:00:00"/>
    <x v="316"/>
    <x v="3"/>
    <x v="1"/>
    <x v="8"/>
    <x v="646"/>
    <n v="12.54"/>
    <n v="3"/>
    <n v="4.51"/>
  </r>
  <r>
    <d v="2014-12-12T00:00:00"/>
    <x v="316"/>
    <x v="3"/>
    <x v="0"/>
    <x v="2"/>
    <x v="647"/>
    <n v="8.94"/>
    <n v="3"/>
    <n v="0.63"/>
  </r>
  <r>
    <d v="2014-12-12T00:00:00"/>
    <x v="316"/>
    <x v="3"/>
    <x v="1"/>
    <x v="8"/>
    <x v="648"/>
    <n v="9.24"/>
    <n v="3"/>
    <n v="4.4400000000000004"/>
  </r>
  <r>
    <d v="2014-12-12T00:00:00"/>
    <x v="317"/>
    <x v="9"/>
    <x v="0"/>
    <x v="11"/>
    <x v="55"/>
    <n v="23.47"/>
    <n v="3"/>
    <n v="7.63"/>
  </r>
  <r>
    <d v="2015-02-01T00:00:00"/>
    <x v="102"/>
    <x v="16"/>
    <x v="0"/>
    <x v="1"/>
    <x v="649"/>
    <n v="23.68"/>
    <n v="2"/>
    <n v="8.8800000000000008"/>
  </r>
  <r>
    <d v="2015-02-01T00:00:00"/>
    <x v="102"/>
    <x v="16"/>
    <x v="1"/>
    <x v="12"/>
    <x v="650"/>
    <n v="452.45"/>
    <n v="5"/>
    <n v="-244.32"/>
  </r>
  <r>
    <d v="2015-02-01T00:00:00"/>
    <x v="102"/>
    <x v="16"/>
    <x v="2"/>
    <x v="6"/>
    <x v="651"/>
    <n v="62.98"/>
    <n v="3"/>
    <n v="-14.7"/>
  </r>
  <r>
    <d v="2015-02-01T00:00:00"/>
    <x v="102"/>
    <x v="16"/>
    <x v="2"/>
    <x v="16"/>
    <x v="652"/>
    <n v="1188"/>
    <n v="9"/>
    <n v="-950.4"/>
  </r>
  <r>
    <d v="2015-02-01T00:00:00"/>
    <x v="102"/>
    <x v="16"/>
    <x v="2"/>
    <x v="9"/>
    <x v="186"/>
    <n v="89.58"/>
    <n v="2"/>
    <n v="4.4800000000000004"/>
  </r>
  <r>
    <d v="2015-02-01T00:00:00"/>
    <x v="318"/>
    <x v="7"/>
    <x v="0"/>
    <x v="2"/>
    <x v="653"/>
    <n v="85.52"/>
    <n v="2"/>
    <n v="22.24"/>
  </r>
  <r>
    <d v="2015-02-01T00:00:00"/>
    <x v="318"/>
    <x v="7"/>
    <x v="0"/>
    <x v="4"/>
    <x v="654"/>
    <n v="9.84"/>
    <n v="3"/>
    <n v="2.66"/>
  </r>
  <r>
    <d v="2015-02-01T00:00:00"/>
    <x v="318"/>
    <x v="7"/>
    <x v="0"/>
    <x v="0"/>
    <x v="655"/>
    <n v="20.04"/>
    <n v="3"/>
    <n v="9.6199999999999992"/>
  </r>
  <r>
    <d v="2015-03-01T00:00:00"/>
    <x v="319"/>
    <x v="0"/>
    <x v="0"/>
    <x v="0"/>
    <x v="351"/>
    <n v="10.37"/>
    <n v="2"/>
    <n v="3.63"/>
  </r>
  <r>
    <d v="2015-03-01T00:00:00"/>
    <x v="320"/>
    <x v="0"/>
    <x v="2"/>
    <x v="9"/>
    <x v="656"/>
    <n v="398.4"/>
    <n v="5"/>
    <n v="84.66"/>
  </r>
  <r>
    <d v="2015-03-01T00:00:00"/>
    <x v="320"/>
    <x v="0"/>
    <x v="0"/>
    <x v="4"/>
    <x v="657"/>
    <n v="7.06"/>
    <n v="3"/>
    <n v="0.79"/>
  </r>
  <r>
    <d v="2015-03-01T00:00:00"/>
    <x v="320"/>
    <x v="0"/>
    <x v="1"/>
    <x v="12"/>
    <x v="227"/>
    <n v="1352.4"/>
    <n v="9"/>
    <n v="-437.54"/>
  </r>
  <r>
    <d v="2015-04-01T00:00:00"/>
    <x v="19"/>
    <x v="28"/>
    <x v="0"/>
    <x v="3"/>
    <x v="29"/>
    <n v="32.340000000000003"/>
    <n v="3"/>
    <n v="15.52"/>
  </r>
  <r>
    <d v="2015-04-01T00:00:00"/>
    <x v="19"/>
    <x v="28"/>
    <x v="0"/>
    <x v="0"/>
    <x v="207"/>
    <n v="39.9"/>
    <n v="5"/>
    <n v="19.95"/>
  </r>
  <r>
    <d v="2015-04-01T00:00:00"/>
    <x v="321"/>
    <x v="6"/>
    <x v="1"/>
    <x v="8"/>
    <x v="168"/>
    <n v="192.22"/>
    <n v="14"/>
    <n v="69.2"/>
  </r>
  <r>
    <d v="2015-05-01T00:00:00"/>
    <x v="269"/>
    <x v="10"/>
    <x v="1"/>
    <x v="5"/>
    <x v="658"/>
    <n v="61.58"/>
    <n v="1"/>
    <n v="-6.93"/>
  </r>
  <r>
    <d v="2015-05-01T00:00:00"/>
    <x v="101"/>
    <x v="12"/>
    <x v="0"/>
    <x v="4"/>
    <x v="659"/>
    <n v="59.52"/>
    <n v="3"/>
    <n v="15.48"/>
  </r>
  <r>
    <d v="2015-05-01T00:00:00"/>
    <x v="101"/>
    <x v="12"/>
    <x v="0"/>
    <x v="11"/>
    <x v="233"/>
    <n v="17.48"/>
    <n v="2"/>
    <n v="8.2200000000000006"/>
  </r>
  <r>
    <d v="2015-05-01T00:00:00"/>
    <x v="101"/>
    <x v="12"/>
    <x v="0"/>
    <x v="3"/>
    <x v="308"/>
    <n v="13.17"/>
    <n v="2"/>
    <n v="4.6100000000000003"/>
  </r>
  <r>
    <d v="2015-05-01T00:00:00"/>
    <x v="322"/>
    <x v="3"/>
    <x v="0"/>
    <x v="13"/>
    <x v="215"/>
    <n v="87.36"/>
    <n v="6"/>
    <n v="23.59"/>
  </r>
  <r>
    <d v="2015-05-01T00:00:00"/>
    <x v="322"/>
    <x v="3"/>
    <x v="0"/>
    <x v="3"/>
    <x v="167"/>
    <n v="56.16"/>
    <n v="6"/>
    <n v="17.55"/>
  </r>
  <r>
    <d v="2015-06-01T00:00:00"/>
    <x v="205"/>
    <x v="19"/>
    <x v="0"/>
    <x v="0"/>
    <x v="660"/>
    <n v="29.6"/>
    <n v="5"/>
    <n v="9.25"/>
  </r>
  <r>
    <d v="2015-06-01T00:00:00"/>
    <x v="205"/>
    <x v="19"/>
    <x v="0"/>
    <x v="3"/>
    <x v="158"/>
    <n v="1.94"/>
    <n v="2"/>
    <n v="-1.36"/>
  </r>
  <r>
    <d v="2015-09-01T00:00:00"/>
    <x v="323"/>
    <x v="5"/>
    <x v="0"/>
    <x v="0"/>
    <x v="177"/>
    <n v="106.32"/>
    <n v="3"/>
    <n v="49.97"/>
  </r>
  <r>
    <d v="2015-09-01T00:00:00"/>
    <x v="323"/>
    <x v="5"/>
    <x v="0"/>
    <x v="13"/>
    <x v="661"/>
    <n v="163.44"/>
    <n v="3"/>
    <n v="45.76"/>
  </r>
  <r>
    <d v="2015-09-01T00:00:00"/>
    <x v="323"/>
    <x v="5"/>
    <x v="0"/>
    <x v="4"/>
    <x v="662"/>
    <n v="42.76"/>
    <n v="2"/>
    <n v="11.12"/>
  </r>
  <r>
    <d v="2015-09-01T00:00:00"/>
    <x v="323"/>
    <x v="5"/>
    <x v="0"/>
    <x v="0"/>
    <x v="663"/>
    <n v="51.55"/>
    <n v="5"/>
    <n v="24.23"/>
  </r>
  <r>
    <d v="2015-10-01T00:00:00"/>
    <x v="324"/>
    <x v="12"/>
    <x v="1"/>
    <x v="10"/>
    <x v="664"/>
    <n v="1018.1"/>
    <n v="4"/>
    <n v="-373.3"/>
  </r>
  <r>
    <d v="2015-12-01T00:00:00"/>
    <x v="325"/>
    <x v="7"/>
    <x v="0"/>
    <x v="2"/>
    <x v="665"/>
    <n v="465.18"/>
    <n v="3"/>
    <n v="120.95"/>
  </r>
  <r>
    <d v="2015-12-01T00:00:00"/>
    <x v="326"/>
    <x v="16"/>
    <x v="0"/>
    <x v="4"/>
    <x v="68"/>
    <n v="10.37"/>
    <n v="2"/>
    <n v="1.56"/>
  </r>
  <r>
    <d v="2015-12-01T00:00:00"/>
    <x v="326"/>
    <x v="16"/>
    <x v="2"/>
    <x v="6"/>
    <x v="10"/>
    <n v="235.19"/>
    <n v="2"/>
    <n v="-43.12"/>
  </r>
  <r>
    <d v="2015-12-01T00:00:00"/>
    <x v="326"/>
    <x v="16"/>
    <x v="2"/>
    <x v="6"/>
    <x v="666"/>
    <n v="26.38"/>
    <n v="4"/>
    <n v="2.64"/>
  </r>
  <r>
    <d v="2015-12-01T00:00:00"/>
    <x v="326"/>
    <x v="16"/>
    <x v="2"/>
    <x v="9"/>
    <x v="667"/>
    <n v="10.38"/>
    <n v="2"/>
    <n v="2.21"/>
  </r>
  <r>
    <d v="2015-12-01T00:00:00"/>
    <x v="326"/>
    <x v="16"/>
    <x v="2"/>
    <x v="6"/>
    <x v="668"/>
    <n v="107.12"/>
    <n v="3"/>
    <n v="-21.42"/>
  </r>
  <r>
    <d v="2015-03-02T00:00:00"/>
    <x v="327"/>
    <x v="37"/>
    <x v="1"/>
    <x v="8"/>
    <x v="669"/>
    <n v="28.4"/>
    <n v="2"/>
    <n v="11.08"/>
  </r>
  <r>
    <d v="2015-03-02T00:00:00"/>
    <x v="327"/>
    <x v="37"/>
    <x v="2"/>
    <x v="9"/>
    <x v="670"/>
    <n v="149.97"/>
    <n v="3"/>
    <n v="50.99"/>
  </r>
  <r>
    <d v="2015-03-02T00:00:00"/>
    <x v="328"/>
    <x v="3"/>
    <x v="1"/>
    <x v="8"/>
    <x v="671"/>
    <n v="136.91999999999999"/>
    <n v="4"/>
    <n v="41.08"/>
  </r>
  <r>
    <d v="2015-03-02T00:00:00"/>
    <x v="249"/>
    <x v="30"/>
    <x v="0"/>
    <x v="3"/>
    <x v="672"/>
    <n v="12.14"/>
    <n v="3"/>
    <n v="4.0999999999999996"/>
  </r>
  <r>
    <d v="2015-03-02T00:00:00"/>
    <x v="126"/>
    <x v="4"/>
    <x v="0"/>
    <x v="11"/>
    <x v="55"/>
    <n v="74.52"/>
    <n v="9"/>
    <n v="35.020000000000003"/>
  </r>
  <r>
    <d v="2015-03-02T00:00:00"/>
    <x v="329"/>
    <x v="12"/>
    <x v="1"/>
    <x v="5"/>
    <x v="673"/>
    <n v="90.88"/>
    <n v="1"/>
    <n v="15.15"/>
  </r>
  <r>
    <d v="2015-06-02T00:00:00"/>
    <x v="102"/>
    <x v="10"/>
    <x v="0"/>
    <x v="4"/>
    <x v="674"/>
    <n v="5.28"/>
    <n v="3"/>
    <n v="1.53"/>
  </r>
  <r>
    <d v="2015-06-02T00:00:00"/>
    <x v="155"/>
    <x v="7"/>
    <x v="1"/>
    <x v="5"/>
    <x v="639"/>
    <n v="1268.82"/>
    <n v="9"/>
    <n v="266.45"/>
  </r>
  <r>
    <d v="2015-06-02T00:00:00"/>
    <x v="155"/>
    <x v="7"/>
    <x v="1"/>
    <x v="12"/>
    <x v="675"/>
    <n v="283.92"/>
    <n v="4"/>
    <n v="82.34"/>
  </r>
  <r>
    <d v="2015-06-02T00:00:00"/>
    <x v="155"/>
    <x v="7"/>
    <x v="0"/>
    <x v="4"/>
    <x v="676"/>
    <n v="5.68"/>
    <n v="2"/>
    <n v="1.76"/>
  </r>
  <r>
    <d v="2015-06-02T00:00:00"/>
    <x v="330"/>
    <x v="0"/>
    <x v="0"/>
    <x v="3"/>
    <x v="677"/>
    <n v="2.93"/>
    <n v="3"/>
    <n v="-4.99"/>
  </r>
  <r>
    <d v="2015-06-02T00:00:00"/>
    <x v="330"/>
    <x v="0"/>
    <x v="2"/>
    <x v="9"/>
    <x v="678"/>
    <n v="18.53"/>
    <n v="2"/>
    <n v="4.4000000000000004"/>
  </r>
  <r>
    <d v="2015-06-02T00:00:00"/>
    <x v="330"/>
    <x v="0"/>
    <x v="0"/>
    <x v="2"/>
    <x v="241"/>
    <n v="670.75"/>
    <n v="3"/>
    <n v="-125.77"/>
  </r>
  <r>
    <d v="2015-06-02T00:00:00"/>
    <x v="331"/>
    <x v="6"/>
    <x v="0"/>
    <x v="2"/>
    <x v="679"/>
    <n v="146.72999999999999"/>
    <n v="3"/>
    <n v="2.93"/>
  </r>
  <r>
    <d v="2015-06-02T00:00:00"/>
    <x v="331"/>
    <x v="6"/>
    <x v="0"/>
    <x v="0"/>
    <x v="680"/>
    <n v="29.9"/>
    <n v="5"/>
    <n v="13.46"/>
  </r>
  <r>
    <d v="2015-07-02T00:00:00"/>
    <x v="332"/>
    <x v="6"/>
    <x v="0"/>
    <x v="11"/>
    <x v="614"/>
    <n v="311.14999999999998"/>
    <n v="5"/>
    <n v="146.24"/>
  </r>
  <r>
    <d v="2015-07-02T00:00:00"/>
    <x v="332"/>
    <x v="6"/>
    <x v="0"/>
    <x v="0"/>
    <x v="114"/>
    <n v="12.96"/>
    <n v="2"/>
    <n v="6.35"/>
  </r>
  <r>
    <d v="2015-08-02T00:00:00"/>
    <x v="202"/>
    <x v="16"/>
    <x v="2"/>
    <x v="6"/>
    <x v="412"/>
    <n v="107.98"/>
    <n v="3"/>
    <n v="-27"/>
  </r>
  <r>
    <d v="2015-08-02T00:00:00"/>
    <x v="123"/>
    <x v="36"/>
    <x v="0"/>
    <x v="0"/>
    <x v="681"/>
    <n v="9.5399999999999991"/>
    <n v="2"/>
    <n v="4.29"/>
  </r>
  <r>
    <d v="2015-08-02T00:00:00"/>
    <x v="123"/>
    <x v="36"/>
    <x v="0"/>
    <x v="7"/>
    <x v="682"/>
    <n v="5.81"/>
    <n v="1"/>
    <n v="1.8"/>
  </r>
  <r>
    <d v="2015-08-02T00:00:00"/>
    <x v="123"/>
    <x v="36"/>
    <x v="0"/>
    <x v="4"/>
    <x v="683"/>
    <n v="5.76"/>
    <n v="2"/>
    <n v="1.73"/>
  </r>
  <r>
    <d v="2015-09-02T00:00:00"/>
    <x v="333"/>
    <x v="0"/>
    <x v="2"/>
    <x v="9"/>
    <x v="17"/>
    <n v="20.8"/>
    <n v="2"/>
    <n v="6.5"/>
  </r>
  <r>
    <d v="2015-09-02T00:00:00"/>
    <x v="334"/>
    <x v="0"/>
    <x v="0"/>
    <x v="1"/>
    <x v="234"/>
    <n v="40.1"/>
    <n v="4"/>
    <n v="13.53"/>
  </r>
  <r>
    <d v="2015-09-02T00:00:00"/>
    <x v="334"/>
    <x v="0"/>
    <x v="1"/>
    <x v="8"/>
    <x v="444"/>
    <n v="40.78"/>
    <n v="2"/>
    <n v="-30.59"/>
  </r>
  <r>
    <d v="2015-09-02T00:00:00"/>
    <x v="335"/>
    <x v="3"/>
    <x v="1"/>
    <x v="5"/>
    <x v="462"/>
    <n v="203.92"/>
    <n v="5"/>
    <n v="22.94"/>
  </r>
  <r>
    <d v="2015-09-02T00:00:00"/>
    <x v="241"/>
    <x v="1"/>
    <x v="2"/>
    <x v="9"/>
    <x v="146"/>
    <n v="479.95"/>
    <n v="6"/>
    <n v="89.99"/>
  </r>
  <r>
    <d v="2015-10-02T00:00:00"/>
    <x v="301"/>
    <x v="2"/>
    <x v="0"/>
    <x v="2"/>
    <x v="684"/>
    <n v="77.239999999999995"/>
    <n v="5"/>
    <n v="7.72"/>
  </r>
  <r>
    <d v="2015-01-03T00:00:00"/>
    <x v="336"/>
    <x v="4"/>
    <x v="0"/>
    <x v="3"/>
    <x v="685"/>
    <n v="58.72"/>
    <n v="4"/>
    <n v="27.01"/>
  </r>
  <r>
    <d v="2015-01-03T00:00:00"/>
    <x v="337"/>
    <x v="3"/>
    <x v="2"/>
    <x v="6"/>
    <x v="249"/>
    <n v="15.98"/>
    <n v="2"/>
    <n v="1.2"/>
  </r>
  <r>
    <d v="2015-01-03T00:00:00"/>
    <x v="337"/>
    <x v="3"/>
    <x v="1"/>
    <x v="5"/>
    <x v="658"/>
    <n v="184.75"/>
    <n v="3"/>
    <n v="-20.78"/>
  </r>
  <r>
    <d v="2015-01-03T00:00:00"/>
    <x v="260"/>
    <x v="2"/>
    <x v="0"/>
    <x v="13"/>
    <x v="686"/>
    <n v="3.55"/>
    <n v="2"/>
    <n v="0.44"/>
  </r>
  <r>
    <d v="2015-01-03T00:00:00"/>
    <x v="40"/>
    <x v="0"/>
    <x v="0"/>
    <x v="4"/>
    <x v="687"/>
    <n v="55.33"/>
    <n v="2"/>
    <n v="6.22"/>
  </r>
  <r>
    <d v="2015-01-03T00:00:00"/>
    <x v="40"/>
    <x v="0"/>
    <x v="1"/>
    <x v="12"/>
    <x v="688"/>
    <n v="1228"/>
    <n v="6"/>
    <n v="-36.119999999999997"/>
  </r>
  <r>
    <d v="2015-01-03T00:00:00"/>
    <x v="338"/>
    <x v="0"/>
    <x v="2"/>
    <x v="6"/>
    <x v="689"/>
    <n v="95.84"/>
    <n v="4"/>
    <n v="34.74"/>
  </r>
  <r>
    <d v="2015-02-03T00:00:00"/>
    <x v="339"/>
    <x v="10"/>
    <x v="1"/>
    <x v="10"/>
    <x v="517"/>
    <n v="787.53"/>
    <n v="3"/>
    <n v="165.38"/>
  </r>
  <r>
    <d v="2015-02-03T00:00:00"/>
    <x v="340"/>
    <x v="26"/>
    <x v="0"/>
    <x v="4"/>
    <x v="575"/>
    <n v="10.16"/>
    <n v="1"/>
    <n v="2.64"/>
  </r>
  <r>
    <d v="2015-02-03T00:00:00"/>
    <x v="340"/>
    <x v="26"/>
    <x v="0"/>
    <x v="11"/>
    <x v="690"/>
    <n v="101.88"/>
    <n v="6"/>
    <n v="50.94"/>
  </r>
  <r>
    <d v="2015-05-03T00:00:00"/>
    <x v="304"/>
    <x v="12"/>
    <x v="0"/>
    <x v="11"/>
    <x v="55"/>
    <n v="29.34"/>
    <n v="3"/>
    <n v="14.67"/>
  </r>
  <r>
    <d v="2015-05-03T00:00:00"/>
    <x v="304"/>
    <x v="12"/>
    <x v="1"/>
    <x v="5"/>
    <x v="39"/>
    <n v="383.61"/>
    <n v="7"/>
    <n v="63.93"/>
  </r>
  <r>
    <d v="2015-05-03T00:00:00"/>
    <x v="304"/>
    <x v="12"/>
    <x v="0"/>
    <x v="2"/>
    <x v="691"/>
    <n v="563.4"/>
    <n v="4"/>
    <n v="67.61"/>
  </r>
  <r>
    <d v="2015-05-03T00:00:00"/>
    <x v="341"/>
    <x v="26"/>
    <x v="2"/>
    <x v="6"/>
    <x v="510"/>
    <n v="23.92"/>
    <n v="2"/>
    <n v="6.7"/>
  </r>
  <r>
    <d v="2015-05-03T00:00:00"/>
    <x v="341"/>
    <x v="26"/>
    <x v="0"/>
    <x v="13"/>
    <x v="202"/>
    <n v="60.69"/>
    <n v="7"/>
    <n v="16.39"/>
  </r>
  <r>
    <d v="2015-05-03T00:00:00"/>
    <x v="292"/>
    <x v="2"/>
    <x v="2"/>
    <x v="6"/>
    <x v="692"/>
    <n v="466.16"/>
    <n v="7"/>
    <n v="-93.23"/>
  </r>
  <r>
    <d v="2015-05-03T00:00:00"/>
    <x v="292"/>
    <x v="2"/>
    <x v="2"/>
    <x v="9"/>
    <x v="537"/>
    <n v="10.31"/>
    <n v="1"/>
    <n v="-1.29"/>
  </r>
  <r>
    <d v="2015-05-03T00:00:00"/>
    <x v="292"/>
    <x v="2"/>
    <x v="0"/>
    <x v="3"/>
    <x v="693"/>
    <n v="2.56"/>
    <n v="3"/>
    <n v="-1.79"/>
  </r>
  <r>
    <d v="2015-05-03T00:00:00"/>
    <x v="342"/>
    <x v="2"/>
    <x v="1"/>
    <x v="5"/>
    <x v="239"/>
    <n v="99.37"/>
    <n v="2"/>
    <n v="-7.1"/>
  </r>
  <r>
    <d v="2015-05-03T00:00:00"/>
    <x v="342"/>
    <x v="2"/>
    <x v="1"/>
    <x v="8"/>
    <x v="694"/>
    <n v="33.57"/>
    <n v="2"/>
    <n v="-5.45"/>
  </r>
  <r>
    <d v="2015-05-03T00:00:00"/>
    <x v="343"/>
    <x v="0"/>
    <x v="2"/>
    <x v="6"/>
    <x v="695"/>
    <n v="31.92"/>
    <n v="2"/>
    <n v="2.39"/>
  </r>
  <r>
    <d v="2015-05-03T00:00:00"/>
    <x v="344"/>
    <x v="1"/>
    <x v="0"/>
    <x v="7"/>
    <x v="142"/>
    <n v="7.1"/>
    <n v="6"/>
    <n v="2.4900000000000002"/>
  </r>
  <r>
    <d v="2015-05-03T00:00:00"/>
    <x v="210"/>
    <x v="1"/>
    <x v="0"/>
    <x v="3"/>
    <x v="363"/>
    <n v="11.21"/>
    <n v="2"/>
    <n v="-16.82"/>
  </r>
  <r>
    <d v="2015-05-03T00:00:00"/>
    <x v="210"/>
    <x v="1"/>
    <x v="1"/>
    <x v="8"/>
    <x v="85"/>
    <n v="4.71"/>
    <n v="2"/>
    <n v="-1.88"/>
  </r>
  <r>
    <d v="2015-05-03T00:00:00"/>
    <x v="210"/>
    <x v="1"/>
    <x v="0"/>
    <x v="13"/>
    <x v="696"/>
    <n v="180.98"/>
    <n v="5"/>
    <n v="-470.55"/>
  </r>
  <r>
    <d v="2015-05-03T00:00:00"/>
    <x v="210"/>
    <x v="1"/>
    <x v="0"/>
    <x v="2"/>
    <x v="625"/>
    <n v="60.42"/>
    <n v="2"/>
    <n v="6.04"/>
  </r>
  <r>
    <d v="2015-06-03T00:00:00"/>
    <x v="345"/>
    <x v="3"/>
    <x v="1"/>
    <x v="8"/>
    <x v="697"/>
    <n v="435.26"/>
    <n v="7"/>
    <n v="95.76"/>
  </r>
  <r>
    <d v="2015-06-03T00:00:00"/>
    <x v="345"/>
    <x v="3"/>
    <x v="2"/>
    <x v="15"/>
    <x v="698"/>
    <n v="1119.98"/>
    <n v="2"/>
    <n v="377.99"/>
  </r>
  <r>
    <d v="2015-07-03T00:00:00"/>
    <x v="346"/>
    <x v="7"/>
    <x v="2"/>
    <x v="9"/>
    <x v="699"/>
    <n v="119.85"/>
    <n v="3"/>
    <n v="52.73"/>
  </r>
  <r>
    <d v="2015-07-03T00:00:00"/>
    <x v="346"/>
    <x v="7"/>
    <x v="0"/>
    <x v="3"/>
    <x v="700"/>
    <n v="30.44"/>
    <n v="2"/>
    <n v="14.92"/>
  </r>
  <r>
    <d v="2015-07-03T00:00:00"/>
    <x v="346"/>
    <x v="7"/>
    <x v="0"/>
    <x v="3"/>
    <x v="214"/>
    <n v="69.28"/>
    <n v="2"/>
    <n v="33.25"/>
  </r>
  <r>
    <d v="2015-07-03T00:00:00"/>
    <x v="346"/>
    <x v="7"/>
    <x v="2"/>
    <x v="6"/>
    <x v="701"/>
    <n v="587.97"/>
    <n v="3"/>
    <n v="170.51"/>
  </r>
  <r>
    <d v="2015-08-03T00:00:00"/>
    <x v="347"/>
    <x v="8"/>
    <x v="1"/>
    <x v="12"/>
    <x v="702"/>
    <n v="512.94000000000005"/>
    <n v="3"/>
    <n v="97.46"/>
  </r>
  <r>
    <d v="2015-08-03T00:00:00"/>
    <x v="347"/>
    <x v="8"/>
    <x v="1"/>
    <x v="5"/>
    <x v="703"/>
    <n v="860.93"/>
    <n v="7"/>
    <n v="189.4"/>
  </r>
  <r>
    <d v="2015-08-03T00:00:00"/>
    <x v="347"/>
    <x v="8"/>
    <x v="2"/>
    <x v="6"/>
    <x v="704"/>
    <n v="769.95"/>
    <n v="5"/>
    <n v="223.29"/>
  </r>
  <r>
    <d v="2015-08-03T00:00:00"/>
    <x v="347"/>
    <x v="8"/>
    <x v="0"/>
    <x v="4"/>
    <x v="705"/>
    <n v="14.98"/>
    <n v="1"/>
    <n v="4.49"/>
  </r>
  <r>
    <d v="2015-08-03T00:00:00"/>
    <x v="347"/>
    <x v="8"/>
    <x v="1"/>
    <x v="8"/>
    <x v="697"/>
    <n v="373.08"/>
    <n v="6"/>
    <n v="82.08"/>
  </r>
  <r>
    <d v="2015-08-03T00:00:00"/>
    <x v="348"/>
    <x v="12"/>
    <x v="0"/>
    <x v="0"/>
    <x v="706"/>
    <n v="19.440000000000001"/>
    <n v="3"/>
    <n v="9.33"/>
  </r>
  <r>
    <d v="2015-08-03T00:00:00"/>
    <x v="240"/>
    <x v="19"/>
    <x v="0"/>
    <x v="4"/>
    <x v="6"/>
    <n v="3.41"/>
    <n v="1"/>
    <n v="0.89"/>
  </r>
  <r>
    <d v="2015-08-03T00:00:00"/>
    <x v="126"/>
    <x v="1"/>
    <x v="0"/>
    <x v="3"/>
    <x v="707"/>
    <n v="8.57"/>
    <n v="3"/>
    <n v="-14.57"/>
  </r>
  <r>
    <d v="2015-09-03T00:00:00"/>
    <x v="349"/>
    <x v="0"/>
    <x v="2"/>
    <x v="9"/>
    <x v="325"/>
    <n v="113.52"/>
    <n v="5"/>
    <n v="29.8"/>
  </r>
  <r>
    <d v="2015-09-03T00:00:00"/>
    <x v="349"/>
    <x v="0"/>
    <x v="2"/>
    <x v="6"/>
    <x v="616"/>
    <n v="359.88"/>
    <n v="3"/>
    <n v="22.49"/>
  </r>
  <r>
    <d v="2015-09-03T00:00:00"/>
    <x v="350"/>
    <x v="15"/>
    <x v="0"/>
    <x v="1"/>
    <x v="289"/>
    <n v="4.6100000000000003"/>
    <n v="2"/>
    <n v="1.67"/>
  </r>
  <r>
    <d v="2015-10-03T00:00:00"/>
    <x v="209"/>
    <x v="0"/>
    <x v="0"/>
    <x v="3"/>
    <x v="708"/>
    <n v="1.1100000000000001"/>
    <n v="2"/>
    <n v="-1.89"/>
  </r>
  <r>
    <d v="2015-10-03T00:00:00"/>
    <x v="55"/>
    <x v="39"/>
    <x v="0"/>
    <x v="2"/>
    <x v="417"/>
    <n v="89.82"/>
    <n v="6"/>
    <n v="25.15"/>
  </r>
  <r>
    <d v="2015-12-03T00:00:00"/>
    <x v="351"/>
    <x v="9"/>
    <x v="0"/>
    <x v="11"/>
    <x v="464"/>
    <n v="8.69"/>
    <n v="3"/>
    <n v="2.93"/>
  </r>
  <r>
    <d v="2015-12-03T00:00:00"/>
    <x v="351"/>
    <x v="9"/>
    <x v="1"/>
    <x v="8"/>
    <x v="709"/>
    <n v="30.88"/>
    <n v="4"/>
    <n v="3.86"/>
  </r>
  <r>
    <d v="2015-12-03T00:00:00"/>
    <x v="351"/>
    <x v="9"/>
    <x v="1"/>
    <x v="8"/>
    <x v="710"/>
    <n v="6.41"/>
    <n v="3"/>
    <n v="1.44"/>
  </r>
  <r>
    <d v="2015-12-03T00:00:00"/>
    <x v="352"/>
    <x v="15"/>
    <x v="0"/>
    <x v="1"/>
    <x v="104"/>
    <n v="5.04"/>
    <n v="2"/>
    <n v="1.76"/>
  </r>
  <r>
    <d v="2015-02-04T00:00:00"/>
    <x v="353"/>
    <x v="0"/>
    <x v="0"/>
    <x v="13"/>
    <x v="711"/>
    <n v="32.19"/>
    <n v="2"/>
    <n v="-80.48"/>
  </r>
  <r>
    <d v="2015-02-04T00:00:00"/>
    <x v="353"/>
    <x v="0"/>
    <x v="2"/>
    <x v="9"/>
    <x v="461"/>
    <n v="50.12"/>
    <n v="7"/>
    <n v="-0.63"/>
  </r>
  <r>
    <d v="2015-02-04T00:00:00"/>
    <x v="353"/>
    <x v="0"/>
    <x v="2"/>
    <x v="9"/>
    <x v="712"/>
    <n v="47.98"/>
    <n v="3"/>
    <n v="1.8"/>
  </r>
  <r>
    <d v="2015-02-04T00:00:00"/>
    <x v="354"/>
    <x v="0"/>
    <x v="0"/>
    <x v="3"/>
    <x v="713"/>
    <n v="9.16"/>
    <n v="3"/>
    <n v="-13.73"/>
  </r>
  <r>
    <d v="2015-02-04T00:00:00"/>
    <x v="355"/>
    <x v="3"/>
    <x v="2"/>
    <x v="16"/>
    <x v="714"/>
    <n v="71.98"/>
    <n v="3"/>
    <n v="24.29"/>
  </r>
  <r>
    <d v="2015-02-04T00:00:00"/>
    <x v="345"/>
    <x v="23"/>
    <x v="2"/>
    <x v="6"/>
    <x v="627"/>
    <n v="87.8"/>
    <n v="5"/>
    <n v="32.93"/>
  </r>
  <r>
    <d v="2015-04-04T00:00:00"/>
    <x v="214"/>
    <x v="12"/>
    <x v="0"/>
    <x v="4"/>
    <x v="193"/>
    <n v="11.16"/>
    <n v="2"/>
    <n v="4.3499999999999996"/>
  </r>
  <r>
    <d v="2015-04-04T00:00:00"/>
    <x v="214"/>
    <x v="12"/>
    <x v="1"/>
    <x v="8"/>
    <x v="715"/>
    <n v="108.4"/>
    <n v="2"/>
    <n v="22.76"/>
  </r>
  <r>
    <d v="2015-04-04T00:00:00"/>
    <x v="214"/>
    <x v="12"/>
    <x v="0"/>
    <x v="3"/>
    <x v="716"/>
    <n v="82.34"/>
    <n v="3"/>
    <n v="27.79"/>
  </r>
  <r>
    <d v="2015-04-04T00:00:00"/>
    <x v="214"/>
    <x v="12"/>
    <x v="0"/>
    <x v="3"/>
    <x v="693"/>
    <n v="9.09"/>
    <n v="4"/>
    <n v="3.29"/>
  </r>
  <r>
    <d v="2015-04-04T00:00:00"/>
    <x v="86"/>
    <x v="18"/>
    <x v="0"/>
    <x v="13"/>
    <x v="717"/>
    <n v="644.08000000000004"/>
    <n v="2"/>
    <n v="107.35"/>
  </r>
  <r>
    <d v="2015-04-04T00:00:00"/>
    <x v="86"/>
    <x v="18"/>
    <x v="0"/>
    <x v="7"/>
    <x v="22"/>
    <n v="5.84"/>
    <n v="2"/>
    <n v="2.63"/>
  </r>
  <r>
    <d v="2015-04-04T00:00:00"/>
    <x v="86"/>
    <x v="18"/>
    <x v="0"/>
    <x v="3"/>
    <x v="718"/>
    <n v="12.76"/>
    <n v="2"/>
    <n v="5.87"/>
  </r>
  <r>
    <d v="2015-04-04T00:00:00"/>
    <x v="86"/>
    <x v="18"/>
    <x v="2"/>
    <x v="6"/>
    <x v="619"/>
    <n v="10.95"/>
    <n v="1"/>
    <n v="0.44"/>
  </r>
  <r>
    <d v="2015-04-04T00:00:00"/>
    <x v="86"/>
    <x v="18"/>
    <x v="2"/>
    <x v="15"/>
    <x v="163"/>
    <n v="599.98"/>
    <n v="2"/>
    <n v="209.99"/>
  </r>
  <r>
    <d v="2015-05-04T00:00:00"/>
    <x v="356"/>
    <x v="31"/>
    <x v="0"/>
    <x v="3"/>
    <x v="645"/>
    <n v="157.79"/>
    <n v="1"/>
    <n v="-115.72"/>
  </r>
  <r>
    <d v="2015-05-04T00:00:00"/>
    <x v="118"/>
    <x v="2"/>
    <x v="0"/>
    <x v="13"/>
    <x v="618"/>
    <n v="98.11"/>
    <n v="7"/>
    <n v="18.399999999999999"/>
  </r>
  <r>
    <d v="2015-05-04T00:00:00"/>
    <x v="118"/>
    <x v="2"/>
    <x v="0"/>
    <x v="2"/>
    <x v="486"/>
    <n v="563.80999999999995"/>
    <n v="4"/>
    <n v="21.14"/>
  </r>
  <r>
    <d v="2015-05-04T00:00:00"/>
    <x v="118"/>
    <x v="2"/>
    <x v="0"/>
    <x v="3"/>
    <x v="719"/>
    <n v="10.43"/>
    <n v="4"/>
    <n v="-6.95"/>
  </r>
  <r>
    <d v="2015-05-04T00:00:00"/>
    <x v="118"/>
    <x v="2"/>
    <x v="1"/>
    <x v="8"/>
    <x v="519"/>
    <n v="547.14"/>
    <n v="4"/>
    <n v="-68.39"/>
  </r>
  <r>
    <d v="2015-05-04T00:00:00"/>
    <x v="118"/>
    <x v="2"/>
    <x v="2"/>
    <x v="6"/>
    <x v="720"/>
    <n v="14.85"/>
    <n v="5"/>
    <n v="-3.22"/>
  </r>
  <r>
    <d v="2015-05-04T00:00:00"/>
    <x v="118"/>
    <x v="2"/>
    <x v="2"/>
    <x v="6"/>
    <x v="651"/>
    <n v="41.99"/>
    <n v="2"/>
    <n v="-9.8000000000000007"/>
  </r>
  <r>
    <d v="2015-05-04T00:00:00"/>
    <x v="118"/>
    <x v="2"/>
    <x v="1"/>
    <x v="8"/>
    <x v="721"/>
    <n v="7.58"/>
    <n v="1"/>
    <n v="2.37"/>
  </r>
  <r>
    <d v="2015-05-04T00:00:00"/>
    <x v="118"/>
    <x v="2"/>
    <x v="1"/>
    <x v="12"/>
    <x v="283"/>
    <n v="352.45"/>
    <n v="5"/>
    <n v="-211.47"/>
  </r>
  <r>
    <d v="2015-05-04T00:00:00"/>
    <x v="204"/>
    <x v="2"/>
    <x v="0"/>
    <x v="1"/>
    <x v="507"/>
    <n v="23.9"/>
    <n v="6"/>
    <n v="7.77"/>
  </r>
  <r>
    <d v="2015-05-04T00:00:00"/>
    <x v="357"/>
    <x v="3"/>
    <x v="1"/>
    <x v="5"/>
    <x v="442"/>
    <n v="892.22"/>
    <n v="3"/>
    <n v="89.22"/>
  </r>
  <r>
    <d v="2015-05-04T00:00:00"/>
    <x v="358"/>
    <x v="10"/>
    <x v="2"/>
    <x v="9"/>
    <x v="344"/>
    <n v="239.94"/>
    <n v="6"/>
    <n v="26.39"/>
  </r>
  <r>
    <d v="2015-05-04T00:00:00"/>
    <x v="358"/>
    <x v="10"/>
    <x v="0"/>
    <x v="4"/>
    <x v="722"/>
    <n v="23.84"/>
    <n v="8"/>
    <n v="6.44"/>
  </r>
  <r>
    <d v="2015-06-04T00:00:00"/>
    <x v="359"/>
    <x v="0"/>
    <x v="0"/>
    <x v="4"/>
    <x v="16"/>
    <n v="42.05"/>
    <n v="9"/>
    <n v="5.26"/>
  </r>
  <r>
    <d v="2015-06-04T00:00:00"/>
    <x v="359"/>
    <x v="0"/>
    <x v="2"/>
    <x v="9"/>
    <x v="535"/>
    <n v="25.49"/>
    <n v="2"/>
    <n v="4.46"/>
  </r>
  <r>
    <d v="2015-06-04T00:00:00"/>
    <x v="359"/>
    <x v="0"/>
    <x v="0"/>
    <x v="3"/>
    <x v="620"/>
    <n v="6.9"/>
    <n v="3"/>
    <n v="-12.08"/>
  </r>
  <r>
    <d v="2015-06-04T00:00:00"/>
    <x v="359"/>
    <x v="0"/>
    <x v="0"/>
    <x v="3"/>
    <x v="120"/>
    <n v="9.65"/>
    <n v="6"/>
    <n v="-16.88"/>
  </r>
  <r>
    <d v="2015-06-04T00:00:00"/>
    <x v="359"/>
    <x v="0"/>
    <x v="0"/>
    <x v="0"/>
    <x v="300"/>
    <n v="7.97"/>
    <n v="2"/>
    <n v="2.89"/>
  </r>
  <r>
    <d v="2015-06-04T00:00:00"/>
    <x v="148"/>
    <x v="15"/>
    <x v="0"/>
    <x v="0"/>
    <x v="315"/>
    <n v="47.95"/>
    <n v="3"/>
    <n v="16.18"/>
  </r>
  <r>
    <d v="2015-07-04T00:00:00"/>
    <x v="88"/>
    <x v="0"/>
    <x v="0"/>
    <x v="13"/>
    <x v="723"/>
    <n v="463.25"/>
    <n v="8"/>
    <n v="-1181.28"/>
  </r>
  <r>
    <d v="2015-07-04T00:00:00"/>
    <x v="88"/>
    <x v="0"/>
    <x v="2"/>
    <x v="9"/>
    <x v="724"/>
    <n v="383.95"/>
    <n v="6"/>
    <n v="47.99"/>
  </r>
  <r>
    <d v="2015-07-04T00:00:00"/>
    <x v="360"/>
    <x v="2"/>
    <x v="0"/>
    <x v="4"/>
    <x v="725"/>
    <n v="11.74"/>
    <n v="3"/>
    <n v="1.03"/>
  </r>
  <r>
    <d v="2015-07-04T00:00:00"/>
    <x v="260"/>
    <x v="12"/>
    <x v="0"/>
    <x v="0"/>
    <x v="726"/>
    <n v="25.92"/>
    <n v="4"/>
    <n v="12.44"/>
  </r>
  <r>
    <d v="2015-07-04T00:00:00"/>
    <x v="260"/>
    <x v="12"/>
    <x v="0"/>
    <x v="2"/>
    <x v="545"/>
    <n v="22.58"/>
    <n v="2"/>
    <n v="5.87"/>
  </r>
  <r>
    <d v="2015-09-04T00:00:00"/>
    <x v="73"/>
    <x v="3"/>
    <x v="1"/>
    <x v="10"/>
    <x v="727"/>
    <n v="369.91"/>
    <n v="3"/>
    <n v="-13.87"/>
  </r>
  <r>
    <d v="2015-09-04T00:00:00"/>
    <x v="361"/>
    <x v="12"/>
    <x v="0"/>
    <x v="2"/>
    <x v="281"/>
    <n v="17.940000000000001"/>
    <n v="3"/>
    <n v="3.05"/>
  </r>
  <r>
    <d v="2015-09-04T00:00:00"/>
    <x v="362"/>
    <x v="27"/>
    <x v="0"/>
    <x v="13"/>
    <x v="728"/>
    <n v="370.14"/>
    <n v="3"/>
    <n v="144.35"/>
  </r>
  <r>
    <d v="2015-10-04T00:00:00"/>
    <x v="312"/>
    <x v="3"/>
    <x v="0"/>
    <x v="3"/>
    <x v="729"/>
    <n v="12.83"/>
    <n v="2"/>
    <n v="4.33"/>
  </r>
  <r>
    <d v="2015-10-04T00:00:00"/>
    <x v="363"/>
    <x v="12"/>
    <x v="0"/>
    <x v="2"/>
    <x v="730"/>
    <n v="142.04"/>
    <n v="4"/>
    <n v="38.35"/>
  </r>
  <r>
    <d v="2015-10-04T00:00:00"/>
    <x v="363"/>
    <x v="12"/>
    <x v="0"/>
    <x v="4"/>
    <x v="731"/>
    <n v="14.67"/>
    <n v="3"/>
    <n v="6.01"/>
  </r>
  <r>
    <d v="2015-11-04T00:00:00"/>
    <x v="74"/>
    <x v="12"/>
    <x v="2"/>
    <x v="9"/>
    <x v="325"/>
    <n v="85.14"/>
    <n v="3"/>
    <n v="34.909999999999997"/>
  </r>
  <r>
    <d v="2015-11-04T00:00:00"/>
    <x v="74"/>
    <x v="12"/>
    <x v="2"/>
    <x v="6"/>
    <x v="732"/>
    <n v="21.99"/>
    <n v="1"/>
    <n v="10.56"/>
  </r>
  <r>
    <d v="2015-11-04T00:00:00"/>
    <x v="74"/>
    <x v="12"/>
    <x v="0"/>
    <x v="13"/>
    <x v="733"/>
    <n v="406.6"/>
    <n v="5"/>
    <n v="113.85"/>
  </r>
  <r>
    <d v="2015-11-04T00:00:00"/>
    <x v="194"/>
    <x v="9"/>
    <x v="1"/>
    <x v="8"/>
    <x v="734"/>
    <n v="67.36"/>
    <n v="2"/>
    <n v="10.1"/>
  </r>
  <r>
    <d v="2015-11-04T00:00:00"/>
    <x v="194"/>
    <x v="9"/>
    <x v="1"/>
    <x v="8"/>
    <x v="735"/>
    <n v="54.53"/>
    <n v="3"/>
    <n v="14.31"/>
  </r>
  <r>
    <d v="2015-11-04T00:00:00"/>
    <x v="364"/>
    <x v="3"/>
    <x v="2"/>
    <x v="15"/>
    <x v="736"/>
    <n v="639.97"/>
    <n v="4"/>
    <n v="215.99"/>
  </r>
  <r>
    <d v="2015-11-04T00:00:00"/>
    <x v="364"/>
    <x v="3"/>
    <x v="0"/>
    <x v="0"/>
    <x v="177"/>
    <n v="52.76"/>
    <n v="2"/>
    <n v="24.27"/>
  </r>
  <r>
    <d v="2015-12-04T00:00:00"/>
    <x v="365"/>
    <x v="10"/>
    <x v="0"/>
    <x v="2"/>
    <x v="737"/>
    <n v="40.74"/>
    <n v="3"/>
    <n v="0.41"/>
  </r>
  <r>
    <d v="2015-01-05T00:00:00"/>
    <x v="366"/>
    <x v="3"/>
    <x v="2"/>
    <x v="6"/>
    <x v="738"/>
    <n v="88.75"/>
    <n v="3"/>
    <n v="11.09"/>
  </r>
  <r>
    <d v="2015-01-05T00:00:00"/>
    <x v="367"/>
    <x v="9"/>
    <x v="1"/>
    <x v="8"/>
    <x v="51"/>
    <n v="63.55"/>
    <n v="3"/>
    <n v="14.3"/>
  </r>
  <r>
    <d v="2015-01-05T00:00:00"/>
    <x v="367"/>
    <x v="9"/>
    <x v="0"/>
    <x v="14"/>
    <x v="739"/>
    <n v="41.38"/>
    <n v="3"/>
    <n v="4.6500000000000004"/>
  </r>
  <r>
    <d v="2015-01-05T00:00:00"/>
    <x v="367"/>
    <x v="9"/>
    <x v="0"/>
    <x v="4"/>
    <x v="740"/>
    <n v="172.7"/>
    <n v="6"/>
    <n v="10.79"/>
  </r>
  <r>
    <d v="2015-01-05T00:00:00"/>
    <x v="254"/>
    <x v="3"/>
    <x v="0"/>
    <x v="3"/>
    <x v="700"/>
    <n v="12.18"/>
    <n v="1"/>
    <n v="4.41"/>
  </r>
  <r>
    <d v="2015-01-05T00:00:00"/>
    <x v="254"/>
    <x v="3"/>
    <x v="0"/>
    <x v="2"/>
    <x v="153"/>
    <n v="37.32"/>
    <n v="3"/>
    <n v="10.45"/>
  </r>
  <r>
    <d v="2015-01-05T00:00:00"/>
    <x v="254"/>
    <x v="3"/>
    <x v="0"/>
    <x v="14"/>
    <x v="741"/>
    <n v="35.06"/>
    <n v="2"/>
    <n v="10.52"/>
  </r>
  <r>
    <d v="2015-02-05T00:00:00"/>
    <x v="368"/>
    <x v="0"/>
    <x v="0"/>
    <x v="1"/>
    <x v="369"/>
    <n v="8.86"/>
    <n v="3"/>
    <n v="2.99"/>
  </r>
  <r>
    <d v="2015-02-05T00:00:00"/>
    <x v="368"/>
    <x v="0"/>
    <x v="2"/>
    <x v="6"/>
    <x v="513"/>
    <n v="158.38"/>
    <n v="3"/>
    <n v="13.86"/>
  </r>
  <r>
    <d v="2015-03-05T00:00:00"/>
    <x v="369"/>
    <x v="3"/>
    <x v="1"/>
    <x v="8"/>
    <x v="42"/>
    <n v="665.88"/>
    <n v="6"/>
    <n v="106.54"/>
  </r>
  <r>
    <d v="2015-03-05T00:00:00"/>
    <x v="78"/>
    <x v="2"/>
    <x v="0"/>
    <x v="4"/>
    <x v="742"/>
    <n v="59.9"/>
    <n v="2"/>
    <n v="14.23"/>
  </r>
  <r>
    <d v="2015-03-05T00:00:00"/>
    <x v="78"/>
    <x v="2"/>
    <x v="0"/>
    <x v="13"/>
    <x v="743"/>
    <n v="23.7"/>
    <n v="2"/>
    <n v="6.52"/>
  </r>
  <r>
    <d v="2015-03-05T00:00:00"/>
    <x v="78"/>
    <x v="2"/>
    <x v="0"/>
    <x v="0"/>
    <x v="744"/>
    <n v="7.97"/>
    <n v="2"/>
    <n v="2.89"/>
  </r>
  <r>
    <d v="2015-03-05T00:00:00"/>
    <x v="78"/>
    <x v="2"/>
    <x v="0"/>
    <x v="13"/>
    <x v="314"/>
    <n v="18.2"/>
    <n v="7"/>
    <n v="2.0499999999999998"/>
  </r>
  <r>
    <d v="2015-03-05T00:00:00"/>
    <x v="78"/>
    <x v="2"/>
    <x v="2"/>
    <x v="9"/>
    <x v="452"/>
    <n v="27.55"/>
    <n v="3"/>
    <n v="-0.34"/>
  </r>
  <r>
    <d v="2015-03-05T00:00:00"/>
    <x v="78"/>
    <x v="2"/>
    <x v="1"/>
    <x v="5"/>
    <x v="745"/>
    <n v="844.12"/>
    <n v="6"/>
    <n v="-36.18"/>
  </r>
  <r>
    <d v="2015-03-05T00:00:00"/>
    <x v="78"/>
    <x v="2"/>
    <x v="0"/>
    <x v="2"/>
    <x v="269"/>
    <n v="76.75"/>
    <n v="3"/>
    <n v="-9.59"/>
  </r>
  <r>
    <d v="2015-03-05T00:00:00"/>
    <x v="370"/>
    <x v="3"/>
    <x v="0"/>
    <x v="4"/>
    <x v="657"/>
    <n v="8.82"/>
    <n v="3"/>
    <n v="2.56"/>
  </r>
  <r>
    <d v="2015-03-05T00:00:00"/>
    <x v="370"/>
    <x v="3"/>
    <x v="0"/>
    <x v="3"/>
    <x v="746"/>
    <n v="62.5"/>
    <n v="2"/>
    <n v="21.87"/>
  </r>
  <r>
    <d v="2015-03-05T00:00:00"/>
    <x v="370"/>
    <x v="3"/>
    <x v="2"/>
    <x v="9"/>
    <x v="383"/>
    <n v="339.96"/>
    <n v="4"/>
    <n v="122.39"/>
  </r>
  <r>
    <d v="2015-03-05T00:00:00"/>
    <x v="370"/>
    <x v="3"/>
    <x v="0"/>
    <x v="3"/>
    <x v="747"/>
    <n v="49.57"/>
    <n v="2"/>
    <n v="17.350000000000001"/>
  </r>
  <r>
    <d v="2015-03-05T00:00:00"/>
    <x v="214"/>
    <x v="3"/>
    <x v="0"/>
    <x v="3"/>
    <x v="748"/>
    <n v="13.85"/>
    <n v="3"/>
    <n v="5.19"/>
  </r>
  <r>
    <d v="2015-04-05T00:00:00"/>
    <x v="371"/>
    <x v="12"/>
    <x v="1"/>
    <x v="8"/>
    <x v="749"/>
    <n v="26.8"/>
    <n v="2"/>
    <n v="12.86"/>
  </r>
  <r>
    <d v="2015-04-05T00:00:00"/>
    <x v="146"/>
    <x v="1"/>
    <x v="1"/>
    <x v="8"/>
    <x v="750"/>
    <n v="22.29"/>
    <n v="7"/>
    <n v="-8.92"/>
  </r>
  <r>
    <d v="2015-04-05T00:00:00"/>
    <x v="50"/>
    <x v="0"/>
    <x v="2"/>
    <x v="6"/>
    <x v="751"/>
    <n v="946.34"/>
    <n v="7"/>
    <n v="118.29"/>
  </r>
  <r>
    <d v="2015-04-05T00:00:00"/>
    <x v="372"/>
    <x v="26"/>
    <x v="0"/>
    <x v="4"/>
    <x v="180"/>
    <n v="125.93"/>
    <n v="7"/>
    <n v="35.26"/>
  </r>
  <r>
    <d v="2015-07-05T00:00:00"/>
    <x v="373"/>
    <x v="0"/>
    <x v="1"/>
    <x v="10"/>
    <x v="752"/>
    <n v="244.01"/>
    <n v="2"/>
    <n v="-31.37"/>
  </r>
  <r>
    <d v="2015-07-05T00:00:00"/>
    <x v="373"/>
    <x v="0"/>
    <x v="0"/>
    <x v="0"/>
    <x v="90"/>
    <n v="15.94"/>
    <n v="4"/>
    <n v="5.38"/>
  </r>
  <r>
    <d v="2015-07-05T00:00:00"/>
    <x v="215"/>
    <x v="5"/>
    <x v="0"/>
    <x v="0"/>
    <x v="753"/>
    <n v="45.68"/>
    <n v="2"/>
    <n v="21.01"/>
  </r>
  <r>
    <d v="2015-08-05T00:00:00"/>
    <x v="318"/>
    <x v="16"/>
    <x v="1"/>
    <x v="8"/>
    <x v="170"/>
    <n v="8.35"/>
    <n v="6"/>
    <n v="1.25"/>
  </r>
  <r>
    <d v="2015-08-05T00:00:00"/>
    <x v="327"/>
    <x v="35"/>
    <x v="0"/>
    <x v="4"/>
    <x v="115"/>
    <n v="5.25"/>
    <n v="2"/>
    <n v="0.59"/>
  </r>
  <r>
    <d v="2015-08-05T00:00:00"/>
    <x v="213"/>
    <x v="28"/>
    <x v="0"/>
    <x v="3"/>
    <x v="178"/>
    <n v="43.98"/>
    <n v="2"/>
    <n v="21.99"/>
  </r>
  <r>
    <d v="2015-08-05T00:00:00"/>
    <x v="213"/>
    <x v="28"/>
    <x v="2"/>
    <x v="6"/>
    <x v="754"/>
    <n v="377.97"/>
    <n v="3"/>
    <n v="105.83"/>
  </r>
  <r>
    <d v="2015-08-05T00:00:00"/>
    <x v="213"/>
    <x v="28"/>
    <x v="1"/>
    <x v="8"/>
    <x v="200"/>
    <n v="123.96"/>
    <n v="3"/>
    <n v="11.16"/>
  </r>
  <r>
    <d v="2015-08-05T00:00:00"/>
    <x v="374"/>
    <x v="12"/>
    <x v="0"/>
    <x v="0"/>
    <x v="554"/>
    <n v="37.94"/>
    <n v="2"/>
    <n v="18.21"/>
  </r>
  <r>
    <d v="2015-08-05T00:00:00"/>
    <x v="375"/>
    <x v="12"/>
    <x v="1"/>
    <x v="8"/>
    <x v="51"/>
    <n v="79.44"/>
    <n v="3"/>
    <n v="30.19"/>
  </r>
  <r>
    <d v="2015-08-05T00:00:00"/>
    <x v="375"/>
    <x v="12"/>
    <x v="0"/>
    <x v="14"/>
    <x v="451"/>
    <n v="357.93"/>
    <n v="3"/>
    <n v="7.16"/>
  </r>
  <r>
    <d v="2015-08-05T00:00:00"/>
    <x v="375"/>
    <x v="12"/>
    <x v="1"/>
    <x v="5"/>
    <x v="239"/>
    <n v="127.76"/>
    <n v="2"/>
    <n v="21.29"/>
  </r>
  <r>
    <d v="2015-08-05T00:00:00"/>
    <x v="375"/>
    <x v="12"/>
    <x v="2"/>
    <x v="15"/>
    <x v="340"/>
    <n v="2799.94"/>
    <n v="7"/>
    <n v="1014.98"/>
  </r>
  <r>
    <d v="2015-08-05T00:00:00"/>
    <x v="375"/>
    <x v="12"/>
    <x v="0"/>
    <x v="0"/>
    <x v="755"/>
    <n v="19.440000000000001"/>
    <n v="3"/>
    <n v="9.33"/>
  </r>
  <r>
    <d v="2015-09-05T00:00:00"/>
    <x v="152"/>
    <x v="5"/>
    <x v="0"/>
    <x v="3"/>
    <x v="532"/>
    <n v="48.81"/>
    <n v="3"/>
    <n v="23.92"/>
  </r>
  <r>
    <d v="2015-10-05T00:00:00"/>
    <x v="135"/>
    <x v="1"/>
    <x v="0"/>
    <x v="13"/>
    <x v="756"/>
    <n v="70.97"/>
    <n v="5"/>
    <n v="-191.62"/>
  </r>
  <r>
    <d v="2015-10-05T00:00:00"/>
    <x v="135"/>
    <x v="1"/>
    <x v="0"/>
    <x v="4"/>
    <x v="331"/>
    <n v="36.78"/>
    <n v="2"/>
    <n v="3.68"/>
  </r>
  <r>
    <d v="2015-10-05T00:00:00"/>
    <x v="376"/>
    <x v="19"/>
    <x v="2"/>
    <x v="9"/>
    <x v="399"/>
    <n v="46.69"/>
    <n v="4"/>
    <n v="-2.92"/>
  </r>
  <r>
    <d v="2015-11-05T00:00:00"/>
    <x v="377"/>
    <x v="23"/>
    <x v="1"/>
    <x v="5"/>
    <x v="757"/>
    <n v="191.97"/>
    <n v="7"/>
    <n v="16.8"/>
  </r>
  <r>
    <d v="2015-12-05T00:00:00"/>
    <x v="378"/>
    <x v="3"/>
    <x v="0"/>
    <x v="0"/>
    <x v="758"/>
    <n v="12.84"/>
    <n v="3"/>
    <n v="5.78"/>
  </r>
  <r>
    <d v="2015-12-05T00:00:00"/>
    <x v="378"/>
    <x v="3"/>
    <x v="0"/>
    <x v="0"/>
    <x v="759"/>
    <n v="25.68"/>
    <n v="6"/>
    <n v="11.56"/>
  </r>
  <r>
    <d v="2015-12-05T00:00:00"/>
    <x v="185"/>
    <x v="19"/>
    <x v="2"/>
    <x v="6"/>
    <x v="754"/>
    <n v="201.58"/>
    <n v="2"/>
    <n v="20.16"/>
  </r>
  <r>
    <d v="2015-12-05T00:00:00"/>
    <x v="379"/>
    <x v="12"/>
    <x v="0"/>
    <x v="2"/>
    <x v="544"/>
    <n v="36.630000000000003"/>
    <n v="3"/>
    <n v="9.89"/>
  </r>
  <r>
    <d v="2015-12-05T00:00:00"/>
    <x v="380"/>
    <x v="10"/>
    <x v="0"/>
    <x v="3"/>
    <x v="372"/>
    <n v="14.59"/>
    <n v="3"/>
    <n v="4.92"/>
  </r>
  <r>
    <d v="2015-12-05T00:00:00"/>
    <x v="381"/>
    <x v="0"/>
    <x v="1"/>
    <x v="8"/>
    <x v="581"/>
    <n v="21.97"/>
    <n v="4"/>
    <n v="-15.93"/>
  </r>
  <r>
    <d v="2015-12-05T00:00:00"/>
    <x v="381"/>
    <x v="0"/>
    <x v="2"/>
    <x v="6"/>
    <x v="760"/>
    <n v="619.15"/>
    <n v="6"/>
    <n v="69.650000000000006"/>
  </r>
  <r>
    <d v="2015-12-05T00:00:00"/>
    <x v="381"/>
    <x v="0"/>
    <x v="0"/>
    <x v="0"/>
    <x v="631"/>
    <n v="127.9"/>
    <n v="7"/>
    <n v="41.57"/>
  </r>
  <r>
    <d v="2015-01-06T00:00:00"/>
    <x v="51"/>
    <x v="0"/>
    <x v="0"/>
    <x v="3"/>
    <x v="761"/>
    <n v="5.73"/>
    <n v="8"/>
    <n v="-9.16"/>
  </r>
  <r>
    <d v="2015-01-06T00:00:00"/>
    <x v="51"/>
    <x v="0"/>
    <x v="0"/>
    <x v="0"/>
    <x v="762"/>
    <n v="42.24"/>
    <n v="10"/>
    <n v="13.2"/>
  </r>
  <r>
    <d v="2015-01-06T00:00:00"/>
    <x v="31"/>
    <x v="18"/>
    <x v="2"/>
    <x v="6"/>
    <x v="509"/>
    <n v="299.98"/>
    <n v="2"/>
    <n v="83.99"/>
  </r>
  <r>
    <d v="2015-01-06T00:00:00"/>
    <x v="31"/>
    <x v="18"/>
    <x v="0"/>
    <x v="3"/>
    <x v="77"/>
    <n v="403.68"/>
    <n v="6"/>
    <n v="181.66"/>
  </r>
  <r>
    <d v="2015-01-06T00:00:00"/>
    <x v="31"/>
    <x v="18"/>
    <x v="2"/>
    <x v="6"/>
    <x v="763"/>
    <n v="41.9"/>
    <n v="2"/>
    <n v="11.73"/>
  </r>
  <r>
    <d v="2015-01-06T00:00:00"/>
    <x v="31"/>
    <x v="18"/>
    <x v="0"/>
    <x v="1"/>
    <x v="764"/>
    <n v="28.91"/>
    <n v="7"/>
    <n v="13.3"/>
  </r>
  <r>
    <d v="2015-01-06T00:00:00"/>
    <x v="382"/>
    <x v="3"/>
    <x v="0"/>
    <x v="0"/>
    <x v="457"/>
    <n v="11.76"/>
    <n v="2"/>
    <n v="5.76"/>
  </r>
  <r>
    <d v="2015-04-06T00:00:00"/>
    <x v="184"/>
    <x v="10"/>
    <x v="0"/>
    <x v="1"/>
    <x v="369"/>
    <n v="7.38"/>
    <n v="2"/>
    <n v="3.47"/>
  </r>
  <r>
    <d v="2015-04-06T00:00:00"/>
    <x v="184"/>
    <x v="10"/>
    <x v="0"/>
    <x v="4"/>
    <x v="121"/>
    <n v="9.26"/>
    <n v="2"/>
    <n v="3.06"/>
  </r>
  <r>
    <d v="2015-04-06T00:00:00"/>
    <x v="263"/>
    <x v="12"/>
    <x v="0"/>
    <x v="0"/>
    <x v="765"/>
    <n v="30.44"/>
    <n v="4"/>
    <n v="14.31"/>
  </r>
  <r>
    <d v="2015-04-06T00:00:00"/>
    <x v="263"/>
    <x v="12"/>
    <x v="1"/>
    <x v="8"/>
    <x v="766"/>
    <n v="35.28"/>
    <n v="3"/>
    <n v="12"/>
  </r>
  <r>
    <d v="2015-04-06T00:00:00"/>
    <x v="383"/>
    <x v="3"/>
    <x v="2"/>
    <x v="9"/>
    <x v="150"/>
    <n v="119.98"/>
    <n v="2"/>
    <n v="35.99"/>
  </r>
  <r>
    <d v="2015-04-06T00:00:00"/>
    <x v="383"/>
    <x v="3"/>
    <x v="2"/>
    <x v="9"/>
    <x v="767"/>
    <n v="989.97"/>
    <n v="3"/>
    <n v="395.99"/>
  </r>
  <r>
    <d v="2015-05-06T00:00:00"/>
    <x v="351"/>
    <x v="12"/>
    <x v="1"/>
    <x v="5"/>
    <x v="563"/>
    <n v="1522.64"/>
    <n v="9"/>
    <n v="169.18"/>
  </r>
  <r>
    <d v="2015-05-06T00:00:00"/>
    <x v="384"/>
    <x v="14"/>
    <x v="0"/>
    <x v="0"/>
    <x v="768"/>
    <n v="10.56"/>
    <n v="2"/>
    <n v="4.75"/>
  </r>
  <r>
    <d v="2015-07-06T00:00:00"/>
    <x v="385"/>
    <x v="3"/>
    <x v="0"/>
    <x v="3"/>
    <x v="769"/>
    <n v="7.52"/>
    <n v="5"/>
    <n v="2.63"/>
  </r>
  <r>
    <d v="2015-07-06T00:00:00"/>
    <x v="103"/>
    <x v="2"/>
    <x v="0"/>
    <x v="3"/>
    <x v="713"/>
    <n v="18.309999999999999"/>
    <n v="4"/>
    <n v="-12.21"/>
  </r>
  <r>
    <d v="2015-07-06T00:00:00"/>
    <x v="103"/>
    <x v="2"/>
    <x v="0"/>
    <x v="0"/>
    <x v="291"/>
    <n v="25.92"/>
    <n v="5"/>
    <n v="9.07"/>
  </r>
  <r>
    <d v="2015-07-06T00:00:00"/>
    <x v="103"/>
    <x v="2"/>
    <x v="0"/>
    <x v="4"/>
    <x v="588"/>
    <n v="8.02"/>
    <n v="3"/>
    <n v="1"/>
  </r>
  <r>
    <d v="2015-08-06T00:00:00"/>
    <x v="386"/>
    <x v="1"/>
    <x v="2"/>
    <x v="9"/>
    <x v="770"/>
    <n v="2.38"/>
    <n v="3"/>
    <n v="0.74"/>
  </r>
  <r>
    <d v="2015-08-06T00:00:00"/>
    <x v="386"/>
    <x v="1"/>
    <x v="0"/>
    <x v="13"/>
    <x v="717"/>
    <n v="143.13"/>
    <n v="2"/>
    <n v="-393.6"/>
  </r>
  <r>
    <d v="2015-08-06T00:00:00"/>
    <x v="321"/>
    <x v="9"/>
    <x v="0"/>
    <x v="0"/>
    <x v="771"/>
    <n v="173.49"/>
    <n v="7"/>
    <n v="54.22"/>
  </r>
  <r>
    <d v="2015-08-06T00:00:00"/>
    <x v="321"/>
    <x v="9"/>
    <x v="0"/>
    <x v="2"/>
    <x v="772"/>
    <n v="516.96"/>
    <n v="4"/>
    <n v="-6.46"/>
  </r>
  <r>
    <d v="2015-08-06T00:00:00"/>
    <x v="321"/>
    <x v="9"/>
    <x v="1"/>
    <x v="8"/>
    <x v="773"/>
    <n v="173.21"/>
    <n v="7"/>
    <n v="45.47"/>
  </r>
  <r>
    <d v="2015-08-06T00:00:00"/>
    <x v="321"/>
    <x v="9"/>
    <x v="0"/>
    <x v="4"/>
    <x v="774"/>
    <n v="4.45"/>
    <n v="2"/>
    <n v="0.33"/>
  </r>
  <r>
    <d v="2015-08-06T00:00:00"/>
    <x v="321"/>
    <x v="9"/>
    <x v="0"/>
    <x v="1"/>
    <x v="775"/>
    <n v="9"/>
    <n v="3"/>
    <n v="3.15"/>
  </r>
  <r>
    <d v="2015-08-06T00:00:00"/>
    <x v="321"/>
    <x v="9"/>
    <x v="0"/>
    <x v="0"/>
    <x v="776"/>
    <n v="42.24"/>
    <n v="10"/>
    <n v="13.2"/>
  </r>
  <r>
    <d v="2015-08-06T00:00:00"/>
    <x v="321"/>
    <x v="9"/>
    <x v="0"/>
    <x v="3"/>
    <x v="450"/>
    <n v="18.260000000000002"/>
    <n v="2"/>
    <n v="-13.39"/>
  </r>
  <r>
    <d v="2015-09-06T00:00:00"/>
    <x v="387"/>
    <x v="6"/>
    <x v="0"/>
    <x v="3"/>
    <x v="270"/>
    <n v="113.1"/>
    <n v="3"/>
    <n v="56.55"/>
  </r>
  <r>
    <d v="2015-09-06T00:00:00"/>
    <x v="83"/>
    <x v="18"/>
    <x v="0"/>
    <x v="0"/>
    <x v="267"/>
    <n v="12.96"/>
    <n v="2"/>
    <n v="6.22"/>
  </r>
  <r>
    <d v="2015-09-06T00:00:00"/>
    <x v="388"/>
    <x v="24"/>
    <x v="1"/>
    <x v="8"/>
    <x v="101"/>
    <n v="355.36"/>
    <n v="4"/>
    <n v="92.39"/>
  </r>
  <r>
    <d v="2015-09-06T00:00:00"/>
    <x v="388"/>
    <x v="24"/>
    <x v="2"/>
    <x v="6"/>
    <x v="777"/>
    <n v="140.38"/>
    <n v="3"/>
    <n v="8.77"/>
  </r>
  <r>
    <d v="2015-09-06T00:00:00"/>
    <x v="389"/>
    <x v="9"/>
    <x v="0"/>
    <x v="3"/>
    <x v="240"/>
    <n v="64.2"/>
    <n v="5"/>
    <n v="-42.8"/>
  </r>
  <r>
    <d v="2015-09-06T00:00:00"/>
    <x v="389"/>
    <x v="9"/>
    <x v="0"/>
    <x v="3"/>
    <x v="778"/>
    <n v="38.520000000000003"/>
    <n v="3"/>
    <n v="-26.96"/>
  </r>
  <r>
    <d v="2015-09-06T00:00:00"/>
    <x v="389"/>
    <x v="9"/>
    <x v="2"/>
    <x v="9"/>
    <x v="779"/>
    <n v="72.599999999999994"/>
    <n v="5"/>
    <n v="-8.17"/>
  </r>
  <r>
    <d v="2015-11-06T00:00:00"/>
    <x v="390"/>
    <x v="21"/>
    <x v="2"/>
    <x v="9"/>
    <x v="461"/>
    <n v="53.7"/>
    <n v="6"/>
    <n v="10.199999999999999"/>
  </r>
  <r>
    <d v="2015-11-06T00:00:00"/>
    <x v="390"/>
    <x v="21"/>
    <x v="0"/>
    <x v="3"/>
    <x v="780"/>
    <n v="36.26"/>
    <n v="7"/>
    <n v="16.68"/>
  </r>
  <r>
    <d v="2015-11-06T00:00:00"/>
    <x v="390"/>
    <x v="21"/>
    <x v="0"/>
    <x v="4"/>
    <x v="570"/>
    <n v="56.3"/>
    <n v="2"/>
    <n v="15.76"/>
  </r>
  <r>
    <d v="2015-11-06T00:00:00"/>
    <x v="390"/>
    <x v="21"/>
    <x v="0"/>
    <x v="0"/>
    <x v="781"/>
    <n v="32.4"/>
    <n v="5"/>
    <n v="15.55"/>
  </r>
  <r>
    <d v="2015-11-06T00:00:00"/>
    <x v="390"/>
    <x v="21"/>
    <x v="1"/>
    <x v="8"/>
    <x v="782"/>
    <n v="29.16"/>
    <n v="2"/>
    <n v="10.79"/>
  </r>
  <r>
    <d v="2015-11-06T00:00:00"/>
    <x v="391"/>
    <x v="9"/>
    <x v="1"/>
    <x v="5"/>
    <x v="783"/>
    <n v="1123.92"/>
    <n v="5"/>
    <n v="-182.64"/>
  </r>
  <r>
    <d v="2015-11-06T00:00:00"/>
    <x v="391"/>
    <x v="9"/>
    <x v="2"/>
    <x v="6"/>
    <x v="784"/>
    <n v="249.58"/>
    <n v="2"/>
    <n v="31.2"/>
  </r>
  <r>
    <d v="2015-11-06T00:00:00"/>
    <x v="391"/>
    <x v="9"/>
    <x v="1"/>
    <x v="8"/>
    <x v="454"/>
    <n v="48.67"/>
    <n v="3"/>
    <n v="7.3"/>
  </r>
  <r>
    <d v="2015-11-06T00:00:00"/>
    <x v="391"/>
    <x v="9"/>
    <x v="0"/>
    <x v="4"/>
    <x v="424"/>
    <n v="60.77"/>
    <n v="2"/>
    <n v="7.6"/>
  </r>
  <r>
    <d v="2015-11-06T00:00:00"/>
    <x v="391"/>
    <x v="9"/>
    <x v="0"/>
    <x v="3"/>
    <x v="25"/>
    <n v="78.599999999999994"/>
    <n v="5"/>
    <n v="-62.88"/>
  </r>
  <r>
    <d v="2015-11-06T00:00:00"/>
    <x v="391"/>
    <x v="9"/>
    <x v="0"/>
    <x v="3"/>
    <x v="785"/>
    <n v="3.77"/>
    <n v="2"/>
    <n v="-3.14"/>
  </r>
  <r>
    <d v="2015-11-06T00:00:00"/>
    <x v="391"/>
    <x v="9"/>
    <x v="0"/>
    <x v="2"/>
    <x v="786"/>
    <n v="1036.6199999999999"/>
    <n v="2"/>
    <n v="51.83"/>
  </r>
  <r>
    <d v="2015-11-06T00:00:00"/>
    <x v="391"/>
    <x v="9"/>
    <x v="0"/>
    <x v="2"/>
    <x v="486"/>
    <n v="563.80999999999995"/>
    <n v="4"/>
    <n v="21.14"/>
  </r>
  <r>
    <d v="2015-12-06T00:00:00"/>
    <x v="392"/>
    <x v="2"/>
    <x v="0"/>
    <x v="0"/>
    <x v="706"/>
    <n v="20.74"/>
    <n v="4"/>
    <n v="7.26"/>
  </r>
  <r>
    <d v="2015-12-06T00:00:00"/>
    <x v="392"/>
    <x v="2"/>
    <x v="1"/>
    <x v="8"/>
    <x v="787"/>
    <n v="43.3"/>
    <n v="2"/>
    <n v="4.33"/>
  </r>
  <r>
    <d v="2015-12-06T00:00:00"/>
    <x v="393"/>
    <x v="7"/>
    <x v="0"/>
    <x v="2"/>
    <x v="281"/>
    <n v="29.9"/>
    <n v="5"/>
    <n v="5.08"/>
  </r>
  <r>
    <d v="2015-12-06T00:00:00"/>
    <x v="394"/>
    <x v="9"/>
    <x v="2"/>
    <x v="6"/>
    <x v="651"/>
    <n v="55.98"/>
    <n v="2"/>
    <n v="4.2"/>
  </r>
  <r>
    <d v="2015-12-06T00:00:00"/>
    <x v="197"/>
    <x v="26"/>
    <x v="0"/>
    <x v="2"/>
    <x v="613"/>
    <n v="24.56"/>
    <n v="2"/>
    <n v="6.88"/>
  </r>
  <r>
    <d v="2015-02-07T00:00:00"/>
    <x v="46"/>
    <x v="0"/>
    <x v="0"/>
    <x v="13"/>
    <x v="543"/>
    <n v="32.78"/>
    <n v="4"/>
    <n v="-85.24"/>
  </r>
  <r>
    <d v="2015-02-07T00:00:00"/>
    <x v="395"/>
    <x v="1"/>
    <x v="1"/>
    <x v="5"/>
    <x v="788"/>
    <n v="408.42"/>
    <n v="2"/>
    <n v="-5.83"/>
  </r>
  <r>
    <d v="2015-02-07T00:00:00"/>
    <x v="395"/>
    <x v="1"/>
    <x v="1"/>
    <x v="5"/>
    <x v="789"/>
    <n v="382.12"/>
    <n v="6"/>
    <n v="-92.8"/>
  </r>
  <r>
    <d v="2015-02-07T00:00:00"/>
    <x v="395"/>
    <x v="1"/>
    <x v="0"/>
    <x v="2"/>
    <x v="790"/>
    <n v="68.599999999999994"/>
    <n v="5"/>
    <n v="6"/>
  </r>
  <r>
    <d v="2015-02-07T00:00:00"/>
    <x v="395"/>
    <x v="1"/>
    <x v="0"/>
    <x v="2"/>
    <x v="512"/>
    <n v="435.5"/>
    <n v="3"/>
    <n v="48.99"/>
  </r>
  <r>
    <d v="2015-02-07T00:00:00"/>
    <x v="395"/>
    <x v="1"/>
    <x v="0"/>
    <x v="0"/>
    <x v="326"/>
    <n v="11.17"/>
    <n v="2"/>
    <n v="3.77"/>
  </r>
  <r>
    <d v="2015-02-07T00:00:00"/>
    <x v="396"/>
    <x v="9"/>
    <x v="0"/>
    <x v="0"/>
    <x v="177"/>
    <n v="11.95"/>
    <n v="3"/>
    <n v="4.03"/>
  </r>
  <r>
    <d v="2015-02-07T00:00:00"/>
    <x v="396"/>
    <x v="9"/>
    <x v="0"/>
    <x v="0"/>
    <x v="114"/>
    <n v="15.55"/>
    <n v="3"/>
    <n v="5.64"/>
  </r>
  <r>
    <d v="2015-02-07T00:00:00"/>
    <x v="269"/>
    <x v="12"/>
    <x v="0"/>
    <x v="0"/>
    <x v="110"/>
    <n v="19.440000000000001"/>
    <n v="3"/>
    <n v="9.33"/>
  </r>
  <r>
    <d v="2015-02-07T00:00:00"/>
    <x v="334"/>
    <x v="15"/>
    <x v="2"/>
    <x v="6"/>
    <x v="573"/>
    <n v="74.239999999999995"/>
    <n v="1"/>
    <n v="8.35"/>
  </r>
  <r>
    <d v="2015-02-07T00:00:00"/>
    <x v="334"/>
    <x v="15"/>
    <x v="1"/>
    <x v="8"/>
    <x v="791"/>
    <n v="159.84"/>
    <n v="10"/>
    <n v="45.95"/>
  </r>
  <r>
    <d v="2015-02-07T00:00:00"/>
    <x v="334"/>
    <x v="15"/>
    <x v="0"/>
    <x v="3"/>
    <x v="41"/>
    <n v="2.89"/>
    <n v="2"/>
    <n v="-2.31"/>
  </r>
  <r>
    <d v="2015-02-07T00:00:00"/>
    <x v="334"/>
    <x v="15"/>
    <x v="0"/>
    <x v="0"/>
    <x v="792"/>
    <n v="9.39"/>
    <n v="2"/>
    <n v="3.29"/>
  </r>
  <r>
    <d v="2015-03-07T00:00:00"/>
    <x v="397"/>
    <x v="5"/>
    <x v="1"/>
    <x v="5"/>
    <x v="793"/>
    <n v="70.98"/>
    <n v="1"/>
    <n v="4.97"/>
  </r>
  <r>
    <d v="2015-03-07T00:00:00"/>
    <x v="397"/>
    <x v="5"/>
    <x v="0"/>
    <x v="1"/>
    <x v="258"/>
    <n v="294.93"/>
    <n v="3"/>
    <n v="144.52000000000001"/>
  </r>
  <r>
    <d v="2015-03-07T00:00:00"/>
    <x v="252"/>
    <x v="2"/>
    <x v="1"/>
    <x v="8"/>
    <x v="794"/>
    <n v="168.46"/>
    <n v="2"/>
    <n v="-29.48"/>
  </r>
  <r>
    <d v="2015-03-07T00:00:00"/>
    <x v="252"/>
    <x v="2"/>
    <x v="0"/>
    <x v="0"/>
    <x v="795"/>
    <n v="6.72"/>
    <n v="2"/>
    <n v="2.44"/>
  </r>
  <r>
    <d v="2015-03-07T00:00:00"/>
    <x v="252"/>
    <x v="2"/>
    <x v="1"/>
    <x v="8"/>
    <x v="796"/>
    <n v="282.89"/>
    <n v="9"/>
    <n v="56.58"/>
  </r>
  <r>
    <d v="2015-04-07T00:00:00"/>
    <x v="398"/>
    <x v="8"/>
    <x v="2"/>
    <x v="6"/>
    <x v="797"/>
    <n v="1099.96"/>
    <n v="4"/>
    <n v="285.99"/>
  </r>
  <r>
    <d v="2015-04-07T00:00:00"/>
    <x v="399"/>
    <x v="12"/>
    <x v="0"/>
    <x v="4"/>
    <x v="798"/>
    <n v="15.48"/>
    <n v="3"/>
    <n v="4.49"/>
  </r>
  <r>
    <d v="2015-04-07T00:00:00"/>
    <x v="400"/>
    <x v="3"/>
    <x v="0"/>
    <x v="3"/>
    <x v="707"/>
    <n v="22.85"/>
    <n v="2"/>
    <n v="7.43"/>
  </r>
  <r>
    <d v="2015-05-07T00:00:00"/>
    <x v="154"/>
    <x v="15"/>
    <x v="1"/>
    <x v="8"/>
    <x v="799"/>
    <n v="4.93"/>
    <n v="2"/>
    <n v="0.74"/>
  </r>
  <r>
    <d v="2015-05-07T00:00:00"/>
    <x v="154"/>
    <x v="15"/>
    <x v="0"/>
    <x v="3"/>
    <x v="41"/>
    <n v="7.23"/>
    <n v="5"/>
    <n v="-5.78"/>
  </r>
  <r>
    <d v="2015-05-07T00:00:00"/>
    <x v="401"/>
    <x v="18"/>
    <x v="0"/>
    <x v="3"/>
    <x v="800"/>
    <n v="19"/>
    <n v="5"/>
    <n v="8.93"/>
  </r>
  <r>
    <d v="2015-05-07T00:00:00"/>
    <x v="402"/>
    <x v="2"/>
    <x v="2"/>
    <x v="9"/>
    <x v="801"/>
    <n v="34.799999999999997"/>
    <n v="3"/>
    <n v="2.1800000000000002"/>
  </r>
  <r>
    <d v="2015-05-07T00:00:00"/>
    <x v="402"/>
    <x v="2"/>
    <x v="0"/>
    <x v="2"/>
    <x v="35"/>
    <n v="38.979999999999997"/>
    <n v="3"/>
    <n v="-2.44"/>
  </r>
  <r>
    <d v="2015-05-07T00:00:00"/>
    <x v="67"/>
    <x v="15"/>
    <x v="1"/>
    <x v="8"/>
    <x v="799"/>
    <n v="4.93"/>
    <n v="2"/>
    <n v="0.74"/>
  </r>
  <r>
    <d v="2015-05-07T00:00:00"/>
    <x v="67"/>
    <x v="15"/>
    <x v="0"/>
    <x v="1"/>
    <x v="1"/>
    <n v="11.78"/>
    <n v="3"/>
    <n v="4.2699999999999996"/>
  </r>
  <r>
    <d v="2015-06-07T00:00:00"/>
    <x v="403"/>
    <x v="12"/>
    <x v="1"/>
    <x v="8"/>
    <x v="228"/>
    <n v="13.96"/>
    <n v="2"/>
    <n v="6.7"/>
  </r>
  <r>
    <d v="2015-06-07T00:00:00"/>
    <x v="403"/>
    <x v="12"/>
    <x v="1"/>
    <x v="8"/>
    <x v="19"/>
    <n v="155.82"/>
    <n v="3"/>
    <n v="63.89"/>
  </r>
  <r>
    <d v="2015-06-07T00:00:00"/>
    <x v="403"/>
    <x v="12"/>
    <x v="2"/>
    <x v="6"/>
    <x v="802"/>
    <n v="124.95"/>
    <n v="5"/>
    <n v="2.5"/>
  </r>
  <r>
    <d v="2015-06-07T00:00:00"/>
    <x v="403"/>
    <x v="12"/>
    <x v="0"/>
    <x v="2"/>
    <x v="803"/>
    <n v="601.65"/>
    <n v="5"/>
    <n v="156.43"/>
  </r>
  <r>
    <d v="2015-06-07T00:00:00"/>
    <x v="208"/>
    <x v="20"/>
    <x v="1"/>
    <x v="12"/>
    <x v="804"/>
    <n v="301.95999999999998"/>
    <n v="2"/>
    <n v="60.39"/>
  </r>
  <r>
    <d v="2015-06-07T00:00:00"/>
    <x v="335"/>
    <x v="3"/>
    <x v="1"/>
    <x v="5"/>
    <x v="805"/>
    <n v="170.35"/>
    <n v="3"/>
    <n v="-17.04"/>
  </r>
  <r>
    <d v="2015-06-07T00:00:00"/>
    <x v="154"/>
    <x v="11"/>
    <x v="0"/>
    <x v="4"/>
    <x v="806"/>
    <n v="11.12"/>
    <n v="4"/>
    <n v="2.89"/>
  </r>
  <r>
    <d v="2015-08-07T00:00:00"/>
    <x v="404"/>
    <x v="0"/>
    <x v="0"/>
    <x v="0"/>
    <x v="96"/>
    <n v="21.12"/>
    <n v="5"/>
    <n v="6.6"/>
  </r>
  <r>
    <d v="2015-09-07T00:00:00"/>
    <x v="318"/>
    <x v="20"/>
    <x v="0"/>
    <x v="0"/>
    <x v="807"/>
    <n v="6.58"/>
    <n v="2"/>
    <n v="3.03"/>
  </r>
  <r>
    <d v="2015-09-07T00:00:00"/>
    <x v="318"/>
    <x v="20"/>
    <x v="0"/>
    <x v="3"/>
    <x v="277"/>
    <n v="122.94"/>
    <n v="3"/>
    <n v="59.01"/>
  </r>
  <r>
    <d v="2015-09-07T00:00:00"/>
    <x v="89"/>
    <x v="31"/>
    <x v="0"/>
    <x v="4"/>
    <x v="808"/>
    <n v="5.16"/>
    <n v="3"/>
    <n v="0.84"/>
  </r>
  <r>
    <d v="2015-09-07T00:00:00"/>
    <x v="405"/>
    <x v="39"/>
    <x v="0"/>
    <x v="7"/>
    <x v="809"/>
    <n v="15.8"/>
    <n v="4"/>
    <n v="5.0599999999999996"/>
  </r>
  <r>
    <d v="2015-09-07T00:00:00"/>
    <x v="405"/>
    <x v="39"/>
    <x v="2"/>
    <x v="16"/>
    <x v="810"/>
    <n v="464.97"/>
    <n v="3"/>
    <n v="209.24"/>
  </r>
  <r>
    <d v="2015-09-07T00:00:00"/>
    <x v="405"/>
    <x v="39"/>
    <x v="1"/>
    <x v="8"/>
    <x v="811"/>
    <n v="181.96"/>
    <n v="2"/>
    <n v="20.02"/>
  </r>
  <r>
    <d v="2015-09-07T00:00:00"/>
    <x v="405"/>
    <x v="39"/>
    <x v="0"/>
    <x v="1"/>
    <x v="812"/>
    <n v="12.39"/>
    <n v="3"/>
    <n v="5.7"/>
  </r>
  <r>
    <d v="2015-09-07T00:00:00"/>
    <x v="405"/>
    <x v="39"/>
    <x v="0"/>
    <x v="3"/>
    <x v="363"/>
    <n v="84.09"/>
    <n v="3"/>
    <n v="42.05"/>
  </r>
  <r>
    <d v="2015-09-07T00:00:00"/>
    <x v="405"/>
    <x v="39"/>
    <x v="0"/>
    <x v="4"/>
    <x v="161"/>
    <n v="79.36"/>
    <n v="4"/>
    <n v="32.54"/>
  </r>
  <r>
    <d v="2015-09-07T00:00:00"/>
    <x v="405"/>
    <x v="39"/>
    <x v="0"/>
    <x v="3"/>
    <x v="813"/>
    <n v="153.36000000000001"/>
    <n v="9"/>
    <n v="70.55"/>
  </r>
  <r>
    <d v="2015-09-07T00:00:00"/>
    <x v="405"/>
    <x v="39"/>
    <x v="0"/>
    <x v="3"/>
    <x v="814"/>
    <n v="43.68"/>
    <n v="6"/>
    <n v="21.4"/>
  </r>
  <r>
    <d v="2015-09-07T00:00:00"/>
    <x v="405"/>
    <x v="39"/>
    <x v="0"/>
    <x v="2"/>
    <x v="815"/>
    <n v="98.21"/>
    <n v="7"/>
    <n v="28.48"/>
  </r>
  <r>
    <d v="2015-09-07T00:00:00"/>
    <x v="293"/>
    <x v="2"/>
    <x v="2"/>
    <x v="6"/>
    <x v="816"/>
    <n v="269.98"/>
    <n v="3"/>
    <n v="40.5"/>
  </r>
  <r>
    <d v="2015-09-07T00:00:00"/>
    <x v="77"/>
    <x v="0"/>
    <x v="0"/>
    <x v="13"/>
    <x v="817"/>
    <n v="48.63"/>
    <n v="2"/>
    <n v="-121.58"/>
  </r>
  <r>
    <d v="2015-10-07T00:00:00"/>
    <x v="131"/>
    <x v="23"/>
    <x v="0"/>
    <x v="3"/>
    <x v="818"/>
    <n v="3.37"/>
    <n v="3"/>
    <n v="-2.2400000000000002"/>
  </r>
  <r>
    <d v="2015-10-07T00:00:00"/>
    <x v="343"/>
    <x v="3"/>
    <x v="0"/>
    <x v="3"/>
    <x v="124"/>
    <n v="39.92"/>
    <n v="2"/>
    <n v="12.97"/>
  </r>
  <r>
    <d v="2015-11-07T00:00:00"/>
    <x v="406"/>
    <x v="2"/>
    <x v="1"/>
    <x v="8"/>
    <x v="819"/>
    <n v="289.8"/>
    <n v="7"/>
    <n v="36.229999999999997"/>
  </r>
  <r>
    <d v="2015-11-07T00:00:00"/>
    <x v="406"/>
    <x v="2"/>
    <x v="0"/>
    <x v="3"/>
    <x v="708"/>
    <n v="2.5"/>
    <n v="3"/>
    <n v="-2"/>
  </r>
  <r>
    <d v="2015-11-07T00:00:00"/>
    <x v="406"/>
    <x v="2"/>
    <x v="0"/>
    <x v="3"/>
    <x v="820"/>
    <n v="6.48"/>
    <n v="4"/>
    <n v="-4.75"/>
  </r>
  <r>
    <d v="2015-11-07T00:00:00"/>
    <x v="406"/>
    <x v="2"/>
    <x v="1"/>
    <x v="5"/>
    <x v="821"/>
    <n v="341.49"/>
    <n v="8"/>
    <n v="-73.180000000000007"/>
  </r>
  <r>
    <d v="2015-11-07T00:00:00"/>
    <x v="406"/>
    <x v="2"/>
    <x v="0"/>
    <x v="4"/>
    <x v="806"/>
    <n v="11.12"/>
    <n v="5"/>
    <n v="0.83"/>
  </r>
  <r>
    <d v="2015-11-07T00:00:00"/>
    <x v="406"/>
    <x v="2"/>
    <x v="1"/>
    <x v="8"/>
    <x v="504"/>
    <n v="25.34"/>
    <n v="6"/>
    <n v="3.48"/>
  </r>
  <r>
    <d v="2015-11-07T00:00:00"/>
    <x v="27"/>
    <x v="10"/>
    <x v="0"/>
    <x v="0"/>
    <x v="822"/>
    <n v="29.97"/>
    <n v="3"/>
    <n v="13.49"/>
  </r>
  <r>
    <d v="2015-11-07T00:00:00"/>
    <x v="27"/>
    <x v="10"/>
    <x v="0"/>
    <x v="3"/>
    <x v="277"/>
    <n v="98.35"/>
    <n v="3"/>
    <n v="34.42"/>
  </r>
  <r>
    <d v="2015-11-07T00:00:00"/>
    <x v="407"/>
    <x v="7"/>
    <x v="1"/>
    <x v="10"/>
    <x v="823"/>
    <n v="199.84"/>
    <n v="4"/>
    <n v="-37.11"/>
  </r>
  <r>
    <d v="2015-11-07T00:00:00"/>
    <x v="407"/>
    <x v="7"/>
    <x v="2"/>
    <x v="6"/>
    <x v="195"/>
    <n v="716"/>
    <n v="2"/>
    <n v="193.32"/>
  </r>
  <r>
    <d v="2015-11-07T00:00:00"/>
    <x v="407"/>
    <x v="7"/>
    <x v="0"/>
    <x v="3"/>
    <x v="824"/>
    <n v="221.06"/>
    <n v="7"/>
    <n v="103.9"/>
  </r>
  <r>
    <d v="2015-12-07T00:00:00"/>
    <x v="302"/>
    <x v="1"/>
    <x v="1"/>
    <x v="5"/>
    <x v="74"/>
    <n v="383.61"/>
    <n v="9"/>
    <n v="-5.48"/>
  </r>
  <r>
    <d v="2015-12-07T00:00:00"/>
    <x v="302"/>
    <x v="1"/>
    <x v="2"/>
    <x v="6"/>
    <x v="573"/>
    <n v="148.47999999999999"/>
    <n v="2"/>
    <n v="16.7"/>
  </r>
  <r>
    <d v="2015-12-07T00:00:00"/>
    <x v="302"/>
    <x v="1"/>
    <x v="2"/>
    <x v="6"/>
    <x v="825"/>
    <n v="537.54"/>
    <n v="7"/>
    <n v="53.75"/>
  </r>
  <r>
    <d v="2015-12-07T00:00:00"/>
    <x v="302"/>
    <x v="1"/>
    <x v="0"/>
    <x v="3"/>
    <x v="295"/>
    <n v="1.93"/>
    <n v="2"/>
    <n v="-2.99"/>
  </r>
  <r>
    <d v="2015-12-07T00:00:00"/>
    <x v="302"/>
    <x v="1"/>
    <x v="0"/>
    <x v="4"/>
    <x v="623"/>
    <n v="6.91"/>
    <n v="3"/>
    <n v="0.69"/>
  </r>
  <r>
    <d v="2015-12-07T00:00:00"/>
    <x v="302"/>
    <x v="1"/>
    <x v="1"/>
    <x v="8"/>
    <x v="594"/>
    <n v="7.76"/>
    <n v="1"/>
    <n v="-2.13"/>
  </r>
  <r>
    <d v="2015-12-07T00:00:00"/>
    <x v="302"/>
    <x v="1"/>
    <x v="2"/>
    <x v="6"/>
    <x v="826"/>
    <n v="659.17"/>
    <n v="4"/>
    <n v="49.44"/>
  </r>
  <r>
    <d v="2015-12-07T00:00:00"/>
    <x v="408"/>
    <x v="0"/>
    <x v="2"/>
    <x v="6"/>
    <x v="825"/>
    <n v="307.17"/>
    <n v="4"/>
    <n v="30.72"/>
  </r>
  <r>
    <d v="2015-01-08T00:00:00"/>
    <x v="71"/>
    <x v="3"/>
    <x v="0"/>
    <x v="4"/>
    <x v="521"/>
    <n v="6.72"/>
    <n v="4"/>
    <n v="3.36"/>
  </r>
  <r>
    <d v="2015-01-08T00:00:00"/>
    <x v="71"/>
    <x v="3"/>
    <x v="1"/>
    <x v="10"/>
    <x v="37"/>
    <n v="1004.98"/>
    <n v="6"/>
    <n v="-175.87"/>
  </r>
  <r>
    <d v="2015-02-08T00:00:00"/>
    <x v="409"/>
    <x v="10"/>
    <x v="0"/>
    <x v="3"/>
    <x v="827"/>
    <n v="6.37"/>
    <n v="2"/>
    <n v="2.15"/>
  </r>
  <r>
    <d v="2015-02-08T00:00:00"/>
    <x v="409"/>
    <x v="10"/>
    <x v="2"/>
    <x v="16"/>
    <x v="828"/>
    <n v="558.4"/>
    <n v="2"/>
    <n v="41.88"/>
  </r>
  <r>
    <d v="2015-02-08T00:00:00"/>
    <x v="410"/>
    <x v="40"/>
    <x v="2"/>
    <x v="6"/>
    <x v="829"/>
    <n v="128.85"/>
    <n v="3"/>
    <n v="3.87"/>
  </r>
  <r>
    <d v="2015-02-08T00:00:00"/>
    <x v="410"/>
    <x v="40"/>
    <x v="0"/>
    <x v="0"/>
    <x v="795"/>
    <n v="8.4"/>
    <n v="2"/>
    <n v="4.12"/>
  </r>
  <r>
    <d v="2015-02-08T00:00:00"/>
    <x v="410"/>
    <x v="40"/>
    <x v="2"/>
    <x v="9"/>
    <x v="338"/>
    <n v="199.98"/>
    <n v="2"/>
    <n v="83.99"/>
  </r>
  <r>
    <d v="2015-02-08T00:00:00"/>
    <x v="410"/>
    <x v="40"/>
    <x v="1"/>
    <x v="5"/>
    <x v="830"/>
    <n v="110.98"/>
    <n v="1"/>
    <n v="15.54"/>
  </r>
  <r>
    <d v="2015-02-08T00:00:00"/>
    <x v="411"/>
    <x v="35"/>
    <x v="1"/>
    <x v="10"/>
    <x v="182"/>
    <n v="277.5"/>
    <n v="4"/>
    <n v="-188.7"/>
  </r>
  <r>
    <d v="2015-05-08T00:00:00"/>
    <x v="50"/>
    <x v="0"/>
    <x v="0"/>
    <x v="2"/>
    <x v="281"/>
    <n v="33.49"/>
    <n v="7"/>
    <n v="-1.26"/>
  </r>
  <r>
    <d v="2015-05-08T00:00:00"/>
    <x v="50"/>
    <x v="0"/>
    <x v="0"/>
    <x v="14"/>
    <x v="460"/>
    <n v="23.04"/>
    <n v="3"/>
    <n v="-4.9000000000000004"/>
  </r>
  <r>
    <d v="2015-05-08T00:00:00"/>
    <x v="50"/>
    <x v="0"/>
    <x v="0"/>
    <x v="3"/>
    <x v="518"/>
    <n v="1.36"/>
    <n v="1"/>
    <n v="-2.1800000000000002"/>
  </r>
  <r>
    <d v="2015-05-08T00:00:00"/>
    <x v="50"/>
    <x v="0"/>
    <x v="1"/>
    <x v="8"/>
    <x v="831"/>
    <n v="14.76"/>
    <n v="5"/>
    <n v="-11.44"/>
  </r>
  <r>
    <d v="2015-06-08T00:00:00"/>
    <x v="333"/>
    <x v="0"/>
    <x v="0"/>
    <x v="0"/>
    <x v="832"/>
    <n v="27.22"/>
    <n v="3"/>
    <n v="9.8699999999999992"/>
  </r>
  <r>
    <d v="2015-06-08T00:00:00"/>
    <x v="412"/>
    <x v="0"/>
    <x v="0"/>
    <x v="1"/>
    <x v="649"/>
    <n v="35.520000000000003"/>
    <n v="3"/>
    <n v="13.32"/>
  </r>
  <r>
    <d v="2015-06-08T00:00:00"/>
    <x v="412"/>
    <x v="0"/>
    <x v="0"/>
    <x v="3"/>
    <x v="358"/>
    <n v="6.23"/>
    <n v="5"/>
    <n v="-9.66"/>
  </r>
  <r>
    <d v="2015-06-08T00:00:00"/>
    <x v="412"/>
    <x v="0"/>
    <x v="0"/>
    <x v="0"/>
    <x v="833"/>
    <n v="56.7"/>
    <n v="2"/>
    <n v="19.14"/>
  </r>
  <r>
    <d v="2015-06-08T00:00:00"/>
    <x v="412"/>
    <x v="0"/>
    <x v="1"/>
    <x v="12"/>
    <x v="834"/>
    <n v="369.2"/>
    <n v="3"/>
    <n v="-114.02"/>
  </r>
  <r>
    <d v="2015-07-08T00:00:00"/>
    <x v="349"/>
    <x v="24"/>
    <x v="0"/>
    <x v="3"/>
    <x v="546"/>
    <n v="3.3"/>
    <n v="1"/>
    <n v="1.1200000000000001"/>
  </r>
  <r>
    <d v="2015-07-08T00:00:00"/>
    <x v="413"/>
    <x v="3"/>
    <x v="0"/>
    <x v="3"/>
    <x v="835"/>
    <n v="19.149999999999999"/>
    <n v="3"/>
    <n v="6.46"/>
  </r>
  <r>
    <d v="2015-07-08T00:00:00"/>
    <x v="414"/>
    <x v="14"/>
    <x v="0"/>
    <x v="3"/>
    <x v="836"/>
    <n v="28.4"/>
    <n v="4"/>
    <n v="13.06"/>
  </r>
  <r>
    <d v="2015-07-08T00:00:00"/>
    <x v="414"/>
    <x v="14"/>
    <x v="1"/>
    <x v="8"/>
    <x v="837"/>
    <n v="212.94"/>
    <n v="3"/>
    <n v="34.07"/>
  </r>
  <r>
    <d v="2015-07-08T00:00:00"/>
    <x v="310"/>
    <x v="2"/>
    <x v="0"/>
    <x v="4"/>
    <x v="119"/>
    <n v="106.8"/>
    <n v="10"/>
    <n v="10.68"/>
  </r>
  <r>
    <d v="2015-07-08T00:00:00"/>
    <x v="349"/>
    <x v="39"/>
    <x v="0"/>
    <x v="13"/>
    <x v="838"/>
    <n v="77.58"/>
    <n v="9"/>
    <n v="20.170000000000002"/>
  </r>
  <r>
    <d v="2015-07-08T00:00:00"/>
    <x v="415"/>
    <x v="6"/>
    <x v="2"/>
    <x v="6"/>
    <x v="839"/>
    <n v="494.97"/>
    <n v="3"/>
    <n v="148.49"/>
  </r>
  <r>
    <d v="2015-07-08T00:00:00"/>
    <x v="415"/>
    <x v="6"/>
    <x v="0"/>
    <x v="1"/>
    <x v="840"/>
    <n v="25.06"/>
    <n v="2"/>
    <n v="11.78"/>
  </r>
  <r>
    <d v="2015-08-08T00:00:00"/>
    <x v="359"/>
    <x v="3"/>
    <x v="0"/>
    <x v="3"/>
    <x v="546"/>
    <n v="6.61"/>
    <n v="2"/>
    <n v="2.23"/>
  </r>
  <r>
    <d v="2015-08-08T00:00:00"/>
    <x v="359"/>
    <x v="3"/>
    <x v="0"/>
    <x v="3"/>
    <x v="235"/>
    <n v="7.28"/>
    <n v="2"/>
    <n v="2.73"/>
  </r>
  <r>
    <d v="2015-08-08T00:00:00"/>
    <x v="359"/>
    <x v="3"/>
    <x v="1"/>
    <x v="5"/>
    <x v="841"/>
    <n v="144.78"/>
    <n v="1"/>
    <n v="10.86"/>
  </r>
  <r>
    <d v="2015-08-08T00:00:00"/>
    <x v="416"/>
    <x v="20"/>
    <x v="0"/>
    <x v="4"/>
    <x v="842"/>
    <n v="39.659999999999997"/>
    <n v="2"/>
    <n v="11.9"/>
  </r>
  <r>
    <d v="2015-08-08T00:00:00"/>
    <x v="416"/>
    <x v="20"/>
    <x v="0"/>
    <x v="13"/>
    <x v="843"/>
    <n v="113.92"/>
    <n v="2"/>
    <n v="33.04"/>
  </r>
  <r>
    <d v="2015-08-08T00:00:00"/>
    <x v="416"/>
    <x v="20"/>
    <x v="0"/>
    <x v="3"/>
    <x v="844"/>
    <n v="447.86"/>
    <n v="7"/>
    <n v="210.49"/>
  </r>
  <r>
    <d v="2015-08-08T00:00:00"/>
    <x v="49"/>
    <x v="12"/>
    <x v="2"/>
    <x v="9"/>
    <x v="103"/>
    <n v="79.989999999999995"/>
    <n v="1"/>
    <n v="28.8"/>
  </r>
  <r>
    <d v="2015-09-08T00:00:00"/>
    <x v="417"/>
    <x v="18"/>
    <x v="0"/>
    <x v="4"/>
    <x v="845"/>
    <n v="2.2000000000000002"/>
    <n v="1"/>
    <n v="0.97"/>
  </r>
  <r>
    <d v="2015-09-08T00:00:00"/>
    <x v="417"/>
    <x v="18"/>
    <x v="1"/>
    <x v="10"/>
    <x v="145"/>
    <n v="622.45000000000005"/>
    <n v="5"/>
    <n v="136.94"/>
  </r>
  <r>
    <d v="2015-09-08T00:00:00"/>
    <x v="417"/>
    <x v="18"/>
    <x v="0"/>
    <x v="2"/>
    <x v="621"/>
    <n v="21.98"/>
    <n v="1"/>
    <n v="0.22"/>
  </r>
  <r>
    <d v="2015-09-08T00:00:00"/>
    <x v="418"/>
    <x v="12"/>
    <x v="2"/>
    <x v="6"/>
    <x v="704"/>
    <n v="307.98"/>
    <n v="2"/>
    <n v="89.31"/>
  </r>
  <r>
    <d v="2015-09-08T00:00:00"/>
    <x v="418"/>
    <x v="12"/>
    <x v="1"/>
    <x v="10"/>
    <x v="846"/>
    <n v="382.81"/>
    <n v="9"/>
    <n v="-153.12"/>
  </r>
  <r>
    <d v="2015-09-08T00:00:00"/>
    <x v="418"/>
    <x v="12"/>
    <x v="0"/>
    <x v="2"/>
    <x v="474"/>
    <n v="41.96"/>
    <n v="2"/>
    <n v="2.94"/>
  </r>
  <r>
    <d v="2015-09-08T00:00:00"/>
    <x v="418"/>
    <x v="12"/>
    <x v="0"/>
    <x v="3"/>
    <x v="847"/>
    <n v="1217.57"/>
    <n v="2"/>
    <n v="456.59"/>
  </r>
  <r>
    <d v="2015-09-08T00:00:00"/>
    <x v="418"/>
    <x v="12"/>
    <x v="1"/>
    <x v="8"/>
    <x v="848"/>
    <n v="47.04"/>
    <n v="3"/>
    <n v="18.350000000000001"/>
  </r>
  <r>
    <d v="2015-09-08T00:00:00"/>
    <x v="418"/>
    <x v="12"/>
    <x v="1"/>
    <x v="8"/>
    <x v="648"/>
    <n v="6.16"/>
    <n v="2"/>
    <n v="2.96"/>
  </r>
  <r>
    <d v="2015-09-08T00:00:00"/>
    <x v="418"/>
    <x v="12"/>
    <x v="2"/>
    <x v="6"/>
    <x v="89"/>
    <n v="979.95"/>
    <n v="5"/>
    <n v="274.39"/>
  </r>
  <r>
    <d v="2015-09-08T00:00:00"/>
    <x v="418"/>
    <x v="12"/>
    <x v="0"/>
    <x v="0"/>
    <x v="849"/>
    <n v="143.69999999999999"/>
    <n v="3"/>
    <n v="68.98"/>
  </r>
  <r>
    <d v="2015-09-08T00:00:00"/>
    <x v="418"/>
    <x v="12"/>
    <x v="0"/>
    <x v="7"/>
    <x v="309"/>
    <n v="10.65"/>
    <n v="3"/>
    <n v="5.01"/>
  </r>
  <r>
    <d v="2015-09-08T00:00:00"/>
    <x v="418"/>
    <x v="12"/>
    <x v="2"/>
    <x v="9"/>
    <x v="850"/>
    <n v="247.8"/>
    <n v="4"/>
    <n v="34.69"/>
  </r>
  <r>
    <d v="2015-09-08T00:00:00"/>
    <x v="70"/>
    <x v="9"/>
    <x v="0"/>
    <x v="1"/>
    <x v="851"/>
    <n v="4.6100000000000003"/>
    <n v="2"/>
    <n v="1.67"/>
  </r>
  <r>
    <d v="2015-09-08T00:00:00"/>
    <x v="25"/>
    <x v="8"/>
    <x v="1"/>
    <x v="12"/>
    <x v="852"/>
    <n v="687.4"/>
    <n v="5"/>
    <n v="48.12"/>
  </r>
  <r>
    <d v="2015-09-08T00:00:00"/>
    <x v="419"/>
    <x v="12"/>
    <x v="1"/>
    <x v="8"/>
    <x v="534"/>
    <n v="10.02"/>
    <n v="3"/>
    <n v="4.41"/>
  </r>
  <r>
    <d v="2015-09-08T00:00:00"/>
    <x v="419"/>
    <x v="12"/>
    <x v="0"/>
    <x v="0"/>
    <x v="853"/>
    <n v="144.12"/>
    <n v="3"/>
    <n v="69.180000000000007"/>
  </r>
  <r>
    <d v="2015-10-08T00:00:00"/>
    <x v="256"/>
    <x v="28"/>
    <x v="0"/>
    <x v="1"/>
    <x v="30"/>
    <n v="3.75"/>
    <n v="1"/>
    <n v="1.8"/>
  </r>
  <r>
    <d v="2015-10-08T00:00:00"/>
    <x v="256"/>
    <x v="28"/>
    <x v="0"/>
    <x v="1"/>
    <x v="854"/>
    <n v="41.4"/>
    <n v="4"/>
    <n v="19.87"/>
  </r>
  <r>
    <d v="2015-10-08T00:00:00"/>
    <x v="256"/>
    <x v="28"/>
    <x v="0"/>
    <x v="4"/>
    <x v="855"/>
    <n v="29.79"/>
    <n v="3"/>
    <n v="12.51"/>
  </r>
  <r>
    <d v="2015-10-08T00:00:00"/>
    <x v="266"/>
    <x v="35"/>
    <x v="2"/>
    <x v="6"/>
    <x v="157"/>
    <n v="438.37"/>
    <n v="4"/>
    <n v="38.36"/>
  </r>
  <r>
    <d v="2015-10-08T00:00:00"/>
    <x v="266"/>
    <x v="35"/>
    <x v="2"/>
    <x v="6"/>
    <x v="802"/>
    <n v="139.94"/>
    <n v="7"/>
    <n v="-31.49"/>
  </r>
  <r>
    <d v="2015-10-08T00:00:00"/>
    <x v="266"/>
    <x v="35"/>
    <x v="0"/>
    <x v="13"/>
    <x v="447"/>
    <n v="133.47"/>
    <n v="4"/>
    <n v="15.02"/>
  </r>
  <r>
    <d v="2015-10-08T00:00:00"/>
    <x v="420"/>
    <x v="18"/>
    <x v="0"/>
    <x v="3"/>
    <x v="856"/>
    <n v="64.75"/>
    <n v="5"/>
    <n v="29.14"/>
  </r>
  <r>
    <d v="2015-11-08T00:00:00"/>
    <x v="421"/>
    <x v="15"/>
    <x v="1"/>
    <x v="8"/>
    <x v="390"/>
    <n v="46.15"/>
    <n v="3"/>
    <n v="12.11"/>
  </r>
  <r>
    <d v="2015-11-08T00:00:00"/>
    <x v="422"/>
    <x v="12"/>
    <x v="0"/>
    <x v="4"/>
    <x v="75"/>
    <n v="11.96"/>
    <n v="2"/>
    <n v="3.11"/>
  </r>
  <r>
    <d v="2015-11-08T00:00:00"/>
    <x v="422"/>
    <x v="12"/>
    <x v="2"/>
    <x v="6"/>
    <x v="857"/>
    <n v="138"/>
    <n v="2"/>
    <n v="34.5"/>
  </r>
  <r>
    <d v="2015-01-09T00:00:00"/>
    <x v="423"/>
    <x v="3"/>
    <x v="0"/>
    <x v="3"/>
    <x v="176"/>
    <n v="4.75"/>
    <n v="1"/>
    <n v="1.6"/>
  </r>
  <r>
    <d v="2015-01-09T00:00:00"/>
    <x v="423"/>
    <x v="3"/>
    <x v="2"/>
    <x v="15"/>
    <x v="185"/>
    <n v="959.98"/>
    <n v="2"/>
    <n v="335.99"/>
  </r>
  <r>
    <d v="2015-01-09T00:00:00"/>
    <x v="423"/>
    <x v="3"/>
    <x v="0"/>
    <x v="3"/>
    <x v="107"/>
    <n v="14.37"/>
    <n v="4"/>
    <n v="4.49"/>
  </r>
  <r>
    <d v="2015-01-09T00:00:00"/>
    <x v="424"/>
    <x v="20"/>
    <x v="0"/>
    <x v="3"/>
    <x v="858"/>
    <n v="114.6"/>
    <n v="5"/>
    <n v="51.57"/>
  </r>
  <r>
    <d v="2015-01-09T00:00:00"/>
    <x v="424"/>
    <x v="20"/>
    <x v="1"/>
    <x v="5"/>
    <x v="328"/>
    <n v="60.74"/>
    <n v="1"/>
    <n v="15.19"/>
  </r>
  <r>
    <d v="2015-01-09T00:00:00"/>
    <x v="424"/>
    <x v="20"/>
    <x v="1"/>
    <x v="8"/>
    <x v="697"/>
    <n v="124.36"/>
    <n v="2"/>
    <n v="27.36"/>
  </r>
  <r>
    <d v="2015-01-09T00:00:00"/>
    <x v="424"/>
    <x v="20"/>
    <x v="0"/>
    <x v="2"/>
    <x v="512"/>
    <n v="1088.76"/>
    <n v="6"/>
    <n v="315.74"/>
  </r>
  <r>
    <d v="2015-03-09T00:00:00"/>
    <x v="425"/>
    <x v="15"/>
    <x v="0"/>
    <x v="11"/>
    <x v="859"/>
    <n v="200.98"/>
    <n v="7"/>
    <n v="62.81"/>
  </r>
  <r>
    <d v="2015-03-09T00:00:00"/>
    <x v="426"/>
    <x v="2"/>
    <x v="0"/>
    <x v="2"/>
    <x v="860"/>
    <n v="36.340000000000003"/>
    <n v="3"/>
    <n v="-7.27"/>
  </r>
  <r>
    <d v="2015-03-09T00:00:00"/>
    <x v="426"/>
    <x v="2"/>
    <x v="0"/>
    <x v="14"/>
    <x v="116"/>
    <n v="666.25"/>
    <n v="1"/>
    <n v="-149.91"/>
  </r>
  <r>
    <d v="2015-03-09T00:00:00"/>
    <x v="426"/>
    <x v="2"/>
    <x v="0"/>
    <x v="11"/>
    <x v="861"/>
    <n v="52.51"/>
    <n v="6"/>
    <n v="19.690000000000001"/>
  </r>
  <r>
    <d v="2015-03-09T00:00:00"/>
    <x v="367"/>
    <x v="3"/>
    <x v="0"/>
    <x v="2"/>
    <x v="862"/>
    <n v="31.44"/>
    <n v="3"/>
    <n v="8.49"/>
  </r>
  <r>
    <d v="2015-03-09T00:00:00"/>
    <x v="367"/>
    <x v="3"/>
    <x v="2"/>
    <x v="9"/>
    <x v="461"/>
    <n v="17.899999999999999"/>
    <n v="2"/>
    <n v="3.4"/>
  </r>
  <r>
    <d v="2015-03-09T00:00:00"/>
    <x v="367"/>
    <x v="3"/>
    <x v="2"/>
    <x v="9"/>
    <x v="863"/>
    <n v="129.44999999999999"/>
    <n v="5"/>
    <n v="46.6"/>
  </r>
  <r>
    <d v="2015-03-09T00:00:00"/>
    <x v="366"/>
    <x v="27"/>
    <x v="0"/>
    <x v="13"/>
    <x v="864"/>
    <n v="137.62"/>
    <n v="2"/>
    <n v="60.55"/>
  </r>
  <r>
    <d v="2015-03-09T00:00:00"/>
    <x v="366"/>
    <x v="27"/>
    <x v="2"/>
    <x v="6"/>
    <x v="574"/>
    <n v="100.49"/>
    <n v="1"/>
    <n v="25.12"/>
  </r>
  <r>
    <d v="2015-03-09T00:00:00"/>
    <x v="366"/>
    <x v="12"/>
    <x v="0"/>
    <x v="2"/>
    <x v="803"/>
    <n v="120.33"/>
    <n v="1"/>
    <n v="31.29"/>
  </r>
  <r>
    <d v="2015-03-09T00:00:00"/>
    <x v="156"/>
    <x v="3"/>
    <x v="1"/>
    <x v="5"/>
    <x v="865"/>
    <n v="129.57"/>
    <n v="2"/>
    <n v="-12.96"/>
  </r>
  <r>
    <d v="2015-03-09T00:00:00"/>
    <x v="156"/>
    <x v="3"/>
    <x v="0"/>
    <x v="3"/>
    <x v="866"/>
    <n v="6.37"/>
    <n v="2"/>
    <n v="2.15"/>
  </r>
  <r>
    <d v="2015-03-09T00:00:00"/>
    <x v="297"/>
    <x v="23"/>
    <x v="1"/>
    <x v="8"/>
    <x v="867"/>
    <n v="238.15"/>
    <n v="3"/>
    <n v="89.31"/>
  </r>
  <r>
    <d v="2015-03-09T00:00:00"/>
    <x v="427"/>
    <x v="18"/>
    <x v="0"/>
    <x v="1"/>
    <x v="775"/>
    <n v="7.5"/>
    <n v="2"/>
    <n v="3.6"/>
  </r>
  <r>
    <d v="2015-04-09T00:00:00"/>
    <x v="428"/>
    <x v="4"/>
    <x v="0"/>
    <x v="0"/>
    <x v="868"/>
    <n v="279.89999999999998"/>
    <n v="5"/>
    <n v="137.15"/>
  </r>
  <r>
    <d v="2015-04-09T00:00:00"/>
    <x v="428"/>
    <x v="4"/>
    <x v="2"/>
    <x v="9"/>
    <x v="869"/>
    <n v="619.95000000000005"/>
    <n v="5"/>
    <n v="111.59"/>
  </r>
  <r>
    <d v="2015-04-09T00:00:00"/>
    <x v="428"/>
    <x v="4"/>
    <x v="0"/>
    <x v="0"/>
    <x v="516"/>
    <n v="4.3600000000000003"/>
    <n v="2"/>
    <n v="2.0499999999999998"/>
  </r>
  <r>
    <d v="2015-04-09T00:00:00"/>
    <x v="428"/>
    <x v="4"/>
    <x v="0"/>
    <x v="11"/>
    <x v="221"/>
    <n v="15.28"/>
    <n v="2"/>
    <n v="7.49"/>
  </r>
  <r>
    <d v="2015-04-09T00:00:00"/>
    <x v="55"/>
    <x v="35"/>
    <x v="0"/>
    <x v="3"/>
    <x v="532"/>
    <n v="9.76"/>
    <n v="2"/>
    <n v="-6.83"/>
  </r>
  <r>
    <d v="2015-04-09T00:00:00"/>
    <x v="417"/>
    <x v="0"/>
    <x v="2"/>
    <x v="9"/>
    <x v="186"/>
    <n v="134.38"/>
    <n v="3"/>
    <n v="6.72"/>
  </r>
  <r>
    <d v="2015-04-09T00:00:00"/>
    <x v="429"/>
    <x v="2"/>
    <x v="0"/>
    <x v="3"/>
    <x v="407"/>
    <n v="7.66"/>
    <n v="4"/>
    <n v="-6.12"/>
  </r>
  <r>
    <d v="2015-05-09T00:00:00"/>
    <x v="430"/>
    <x v="3"/>
    <x v="1"/>
    <x v="12"/>
    <x v="870"/>
    <n v="411.33"/>
    <n v="4"/>
    <n v="-4.84"/>
  </r>
  <r>
    <d v="2015-05-09T00:00:00"/>
    <x v="430"/>
    <x v="3"/>
    <x v="0"/>
    <x v="3"/>
    <x v="871"/>
    <n v="28.75"/>
    <n v="6"/>
    <n v="9.6999999999999993"/>
  </r>
  <r>
    <d v="2015-05-09T00:00:00"/>
    <x v="430"/>
    <x v="3"/>
    <x v="1"/>
    <x v="12"/>
    <x v="872"/>
    <n v="293.2"/>
    <n v="3"/>
    <n v="-20.7"/>
  </r>
  <r>
    <d v="2015-05-09T00:00:00"/>
    <x v="431"/>
    <x v="0"/>
    <x v="0"/>
    <x v="3"/>
    <x v="532"/>
    <n v="16.27"/>
    <n v="5"/>
    <n v="-25.22"/>
  </r>
  <r>
    <d v="2015-05-09T00:00:00"/>
    <x v="431"/>
    <x v="0"/>
    <x v="0"/>
    <x v="14"/>
    <x v="460"/>
    <n v="69.12"/>
    <n v="9"/>
    <n v="-14.69"/>
  </r>
  <r>
    <d v="2015-05-09T00:00:00"/>
    <x v="431"/>
    <x v="0"/>
    <x v="0"/>
    <x v="3"/>
    <x v="15"/>
    <n v="4.47"/>
    <n v="3"/>
    <n v="-7.82"/>
  </r>
  <r>
    <d v="2015-05-09T00:00:00"/>
    <x v="432"/>
    <x v="28"/>
    <x v="1"/>
    <x v="8"/>
    <x v="648"/>
    <n v="6.16"/>
    <n v="2"/>
    <n v="2.96"/>
  </r>
  <r>
    <d v="2015-05-09T00:00:00"/>
    <x v="432"/>
    <x v="28"/>
    <x v="0"/>
    <x v="0"/>
    <x v="292"/>
    <n v="36.840000000000003"/>
    <n v="3"/>
    <n v="17.309999999999999"/>
  </r>
  <r>
    <d v="2015-05-09T00:00:00"/>
    <x v="433"/>
    <x v="6"/>
    <x v="1"/>
    <x v="8"/>
    <x v="873"/>
    <n v="67.959999999999994"/>
    <n v="4"/>
    <n v="12.23"/>
  </r>
  <r>
    <d v="2015-06-09T00:00:00"/>
    <x v="434"/>
    <x v="10"/>
    <x v="0"/>
    <x v="3"/>
    <x v="874"/>
    <n v="6.1"/>
    <n v="2"/>
    <n v="2.13"/>
  </r>
  <r>
    <d v="2015-06-09T00:00:00"/>
    <x v="434"/>
    <x v="10"/>
    <x v="1"/>
    <x v="8"/>
    <x v="875"/>
    <n v="191.82"/>
    <n v="3"/>
    <n v="74.81"/>
  </r>
  <r>
    <d v="2015-06-09T00:00:00"/>
    <x v="331"/>
    <x v="3"/>
    <x v="2"/>
    <x v="9"/>
    <x v="678"/>
    <n v="46.32"/>
    <n v="4"/>
    <n v="18.059999999999999"/>
  </r>
  <r>
    <d v="2015-06-09T00:00:00"/>
    <x v="435"/>
    <x v="12"/>
    <x v="1"/>
    <x v="5"/>
    <x v="568"/>
    <n v="271.76"/>
    <n v="2"/>
    <n v="60.39"/>
  </r>
  <r>
    <d v="2015-06-09T00:00:00"/>
    <x v="18"/>
    <x v="31"/>
    <x v="0"/>
    <x v="7"/>
    <x v="876"/>
    <n v="7.24"/>
    <n v="5"/>
    <n v="1.18"/>
  </r>
  <r>
    <d v="2015-06-09T00:00:00"/>
    <x v="436"/>
    <x v="9"/>
    <x v="0"/>
    <x v="3"/>
    <x v="877"/>
    <n v="3.44"/>
    <n v="1"/>
    <n v="-2.5299999999999998"/>
  </r>
  <r>
    <d v="2015-06-09T00:00:00"/>
    <x v="298"/>
    <x v="12"/>
    <x v="0"/>
    <x v="13"/>
    <x v="421"/>
    <n v="8.39"/>
    <n v="1"/>
    <n v="2.1"/>
  </r>
  <r>
    <d v="2015-06-09T00:00:00"/>
    <x v="298"/>
    <x v="12"/>
    <x v="2"/>
    <x v="6"/>
    <x v="751"/>
    <n v="337.98"/>
    <n v="2"/>
    <n v="101.39"/>
  </r>
  <r>
    <d v="2015-06-09T00:00:00"/>
    <x v="174"/>
    <x v="6"/>
    <x v="0"/>
    <x v="3"/>
    <x v="780"/>
    <n v="46.62"/>
    <n v="9"/>
    <n v="21.45"/>
  </r>
  <r>
    <d v="2015-06-09T00:00:00"/>
    <x v="437"/>
    <x v="21"/>
    <x v="1"/>
    <x v="10"/>
    <x v="126"/>
    <n v="85.98"/>
    <n v="1"/>
    <n v="22.35"/>
  </r>
  <r>
    <d v="2015-07-09T00:00:00"/>
    <x v="243"/>
    <x v="3"/>
    <x v="0"/>
    <x v="2"/>
    <x v="878"/>
    <n v="671.93"/>
    <n v="7"/>
    <n v="20.16"/>
  </r>
  <r>
    <d v="2015-07-09T00:00:00"/>
    <x v="438"/>
    <x v="0"/>
    <x v="1"/>
    <x v="5"/>
    <x v="879"/>
    <n v="47.52"/>
    <n v="2"/>
    <n v="-2.04"/>
  </r>
  <r>
    <d v="2015-07-09T00:00:00"/>
    <x v="206"/>
    <x v="12"/>
    <x v="0"/>
    <x v="2"/>
    <x v="64"/>
    <n v="13.96"/>
    <n v="2"/>
    <n v="0.28000000000000003"/>
  </r>
  <r>
    <d v="2015-07-09T00:00:00"/>
    <x v="206"/>
    <x v="12"/>
    <x v="1"/>
    <x v="10"/>
    <x v="880"/>
    <n v="27.41"/>
    <n v="3"/>
    <n v="-14.16"/>
  </r>
  <r>
    <d v="2015-07-09T00:00:00"/>
    <x v="199"/>
    <x v="2"/>
    <x v="0"/>
    <x v="3"/>
    <x v="881"/>
    <n v="9.52"/>
    <n v="1"/>
    <n v="-6.98"/>
  </r>
  <r>
    <d v="2015-07-09T00:00:00"/>
    <x v="199"/>
    <x v="2"/>
    <x v="2"/>
    <x v="6"/>
    <x v="551"/>
    <n v="791.96"/>
    <n v="6"/>
    <n v="-131.99"/>
  </r>
  <r>
    <d v="2015-07-09T00:00:00"/>
    <x v="199"/>
    <x v="2"/>
    <x v="0"/>
    <x v="3"/>
    <x v="882"/>
    <n v="4.92"/>
    <n v="3"/>
    <n v="-3.94"/>
  </r>
  <r>
    <d v="2015-07-09T00:00:00"/>
    <x v="439"/>
    <x v="15"/>
    <x v="0"/>
    <x v="4"/>
    <x v="251"/>
    <n v="140.74"/>
    <n v="4"/>
    <n v="12.31"/>
  </r>
  <r>
    <d v="2015-07-09T00:00:00"/>
    <x v="239"/>
    <x v="12"/>
    <x v="2"/>
    <x v="9"/>
    <x v="724"/>
    <n v="559.92999999999995"/>
    <n v="7"/>
    <n v="167.98"/>
  </r>
  <r>
    <d v="2015-07-09T00:00:00"/>
    <x v="174"/>
    <x v="12"/>
    <x v="0"/>
    <x v="2"/>
    <x v="883"/>
    <n v="70.260000000000005"/>
    <n v="3"/>
    <n v="18.97"/>
  </r>
  <r>
    <d v="2015-07-09T00:00:00"/>
    <x v="174"/>
    <x v="12"/>
    <x v="2"/>
    <x v="9"/>
    <x v="884"/>
    <n v="90"/>
    <n v="5"/>
    <n v="16.2"/>
  </r>
  <r>
    <d v="2015-07-09T00:00:00"/>
    <x v="174"/>
    <x v="12"/>
    <x v="0"/>
    <x v="3"/>
    <x v="885"/>
    <n v="6.1"/>
    <n v="2"/>
    <n v="2.06"/>
  </r>
  <r>
    <d v="2015-07-09T00:00:00"/>
    <x v="174"/>
    <x v="12"/>
    <x v="1"/>
    <x v="10"/>
    <x v="886"/>
    <n v="481.18"/>
    <n v="2"/>
    <n v="-120.29"/>
  </r>
  <r>
    <d v="2015-07-09T00:00:00"/>
    <x v="174"/>
    <x v="12"/>
    <x v="0"/>
    <x v="7"/>
    <x v="876"/>
    <n v="7.24"/>
    <n v="4"/>
    <n v="2.39"/>
  </r>
  <r>
    <d v="2015-08-09T00:00:00"/>
    <x v="440"/>
    <x v="3"/>
    <x v="0"/>
    <x v="0"/>
    <x v="762"/>
    <n v="26.4"/>
    <n v="5"/>
    <n v="11.88"/>
  </r>
  <r>
    <d v="2015-08-09T00:00:00"/>
    <x v="440"/>
    <x v="3"/>
    <x v="0"/>
    <x v="2"/>
    <x v="64"/>
    <n v="41.88"/>
    <n v="6"/>
    <n v="0.84"/>
  </r>
  <r>
    <d v="2015-08-09T00:00:00"/>
    <x v="102"/>
    <x v="22"/>
    <x v="1"/>
    <x v="8"/>
    <x v="710"/>
    <n v="21.36"/>
    <n v="8"/>
    <n v="8.1199999999999992"/>
  </r>
  <r>
    <d v="2015-10-09T00:00:00"/>
    <x v="438"/>
    <x v="3"/>
    <x v="0"/>
    <x v="14"/>
    <x v="125"/>
    <n v="51.52"/>
    <n v="4"/>
    <n v="1.55"/>
  </r>
  <r>
    <d v="2015-10-09T00:00:00"/>
    <x v="37"/>
    <x v="34"/>
    <x v="0"/>
    <x v="0"/>
    <x v="887"/>
    <n v="14.94"/>
    <n v="3"/>
    <n v="7.02"/>
  </r>
  <r>
    <d v="2015-10-09T00:00:00"/>
    <x v="79"/>
    <x v="20"/>
    <x v="0"/>
    <x v="13"/>
    <x v="98"/>
    <n v="61.96"/>
    <n v="2"/>
    <n v="16.11"/>
  </r>
  <r>
    <d v="2015-10-09T00:00:00"/>
    <x v="79"/>
    <x v="20"/>
    <x v="1"/>
    <x v="12"/>
    <x v="650"/>
    <n v="361.96"/>
    <n v="2"/>
    <n v="83.25"/>
  </r>
  <r>
    <d v="2015-10-09T00:00:00"/>
    <x v="79"/>
    <x v="20"/>
    <x v="0"/>
    <x v="0"/>
    <x v="888"/>
    <n v="278.82"/>
    <n v="9"/>
    <n v="125.47"/>
  </r>
  <r>
    <d v="2015-10-09T00:00:00"/>
    <x v="293"/>
    <x v="10"/>
    <x v="0"/>
    <x v="2"/>
    <x v="889"/>
    <n v="353.88"/>
    <n v="6"/>
    <n v="17.690000000000001"/>
  </r>
  <r>
    <d v="2015-10-09T00:00:00"/>
    <x v="441"/>
    <x v="12"/>
    <x v="0"/>
    <x v="4"/>
    <x v="890"/>
    <n v="6.08"/>
    <n v="2"/>
    <n v="2.0699999999999998"/>
  </r>
  <r>
    <d v="2015-10-09T00:00:00"/>
    <x v="334"/>
    <x v="3"/>
    <x v="1"/>
    <x v="8"/>
    <x v="891"/>
    <n v="106.68"/>
    <n v="6"/>
    <n v="33.07"/>
  </r>
  <r>
    <d v="2015-10-09T00:00:00"/>
    <x v="442"/>
    <x v="0"/>
    <x v="1"/>
    <x v="5"/>
    <x v="892"/>
    <n v="179.89"/>
    <n v="1"/>
    <n v="-2.57"/>
  </r>
  <r>
    <d v="2015-11-09T00:00:00"/>
    <x v="110"/>
    <x v="3"/>
    <x v="0"/>
    <x v="4"/>
    <x v="893"/>
    <n v="181.35"/>
    <n v="9"/>
    <n v="48.96"/>
  </r>
  <r>
    <d v="2015-11-09T00:00:00"/>
    <x v="110"/>
    <x v="3"/>
    <x v="0"/>
    <x v="1"/>
    <x v="894"/>
    <n v="8.64"/>
    <n v="3"/>
    <n v="4.2300000000000004"/>
  </r>
  <r>
    <d v="2015-11-09T00:00:00"/>
    <x v="95"/>
    <x v="3"/>
    <x v="0"/>
    <x v="4"/>
    <x v="424"/>
    <n v="265.86"/>
    <n v="7"/>
    <n v="79.760000000000005"/>
  </r>
  <r>
    <d v="2015-11-09T00:00:00"/>
    <x v="137"/>
    <x v="12"/>
    <x v="1"/>
    <x v="8"/>
    <x v="895"/>
    <n v="210.68"/>
    <n v="2"/>
    <n v="50.56"/>
  </r>
  <r>
    <d v="2015-11-09T00:00:00"/>
    <x v="137"/>
    <x v="12"/>
    <x v="0"/>
    <x v="2"/>
    <x v="896"/>
    <n v="78.8"/>
    <n v="1"/>
    <n v="1.58"/>
  </r>
  <r>
    <d v="2015-11-09T00:00:00"/>
    <x v="137"/>
    <x v="12"/>
    <x v="2"/>
    <x v="9"/>
    <x v="897"/>
    <n v="19.989999999999998"/>
    <n v="1"/>
    <n v="6.8"/>
  </r>
  <r>
    <d v="2015-11-09T00:00:00"/>
    <x v="137"/>
    <x v="12"/>
    <x v="0"/>
    <x v="2"/>
    <x v="475"/>
    <n v="772.68"/>
    <n v="4"/>
    <n v="108.18"/>
  </r>
  <r>
    <d v="2015-11-09T00:00:00"/>
    <x v="443"/>
    <x v="19"/>
    <x v="1"/>
    <x v="8"/>
    <x v="898"/>
    <n v="24.64"/>
    <n v="4"/>
    <n v="4"/>
  </r>
  <r>
    <d v="2015-11-09T00:00:00"/>
    <x v="444"/>
    <x v="11"/>
    <x v="0"/>
    <x v="1"/>
    <x v="899"/>
    <n v="31.05"/>
    <n v="3"/>
    <n v="14.9"/>
  </r>
  <r>
    <d v="2015-11-09T00:00:00"/>
    <x v="444"/>
    <x v="11"/>
    <x v="1"/>
    <x v="8"/>
    <x v="492"/>
    <n v="8.92"/>
    <n v="4"/>
    <n v="3.92"/>
  </r>
  <r>
    <d v="2015-11-09T00:00:00"/>
    <x v="444"/>
    <x v="11"/>
    <x v="0"/>
    <x v="3"/>
    <x v="25"/>
    <n v="209.6"/>
    <n v="4"/>
    <n v="96.42"/>
  </r>
  <r>
    <d v="2015-11-09T00:00:00"/>
    <x v="444"/>
    <x v="11"/>
    <x v="0"/>
    <x v="13"/>
    <x v="900"/>
    <n v="111.04"/>
    <n v="4"/>
    <n v="29.98"/>
  </r>
  <r>
    <d v="2015-11-09T00:00:00"/>
    <x v="444"/>
    <x v="11"/>
    <x v="0"/>
    <x v="0"/>
    <x v="901"/>
    <n v="38.880000000000003"/>
    <n v="6"/>
    <n v="18.66"/>
  </r>
  <r>
    <d v="2015-12-09T00:00:00"/>
    <x v="99"/>
    <x v="12"/>
    <x v="2"/>
    <x v="15"/>
    <x v="902"/>
    <n v="479.98"/>
    <n v="2"/>
    <n v="60"/>
  </r>
  <r>
    <d v="2015-12-09T00:00:00"/>
    <x v="99"/>
    <x v="12"/>
    <x v="0"/>
    <x v="1"/>
    <x v="903"/>
    <n v="12.6"/>
    <n v="4"/>
    <n v="6.05"/>
  </r>
  <r>
    <d v="2015-12-09T00:00:00"/>
    <x v="171"/>
    <x v="12"/>
    <x v="0"/>
    <x v="4"/>
    <x v="121"/>
    <n v="9.26"/>
    <n v="2"/>
    <n v="3.06"/>
  </r>
  <r>
    <d v="2015-12-09T00:00:00"/>
    <x v="171"/>
    <x v="12"/>
    <x v="0"/>
    <x v="2"/>
    <x v="904"/>
    <n v="105.98"/>
    <n v="2"/>
    <n v="4.24"/>
  </r>
  <r>
    <d v="2015-12-09T00:00:00"/>
    <x v="171"/>
    <x v="12"/>
    <x v="0"/>
    <x v="7"/>
    <x v="905"/>
    <n v="1.24"/>
    <n v="1"/>
    <n v="0.57999999999999996"/>
  </r>
  <r>
    <d v="2015-12-09T00:00:00"/>
    <x v="171"/>
    <x v="12"/>
    <x v="0"/>
    <x v="1"/>
    <x v="854"/>
    <n v="20.7"/>
    <n v="2"/>
    <n v="9.94"/>
  </r>
  <r>
    <d v="2015-12-09T00:00:00"/>
    <x v="171"/>
    <x v="12"/>
    <x v="0"/>
    <x v="0"/>
    <x v="906"/>
    <n v="28.9"/>
    <n v="5"/>
    <n v="14.16"/>
  </r>
  <r>
    <d v="2015-12-09T00:00:00"/>
    <x v="171"/>
    <x v="12"/>
    <x v="0"/>
    <x v="11"/>
    <x v="907"/>
    <n v="27.18"/>
    <n v="1"/>
    <n v="12.77"/>
  </r>
  <r>
    <d v="2015-12-09T00:00:00"/>
    <x v="445"/>
    <x v="10"/>
    <x v="2"/>
    <x v="9"/>
    <x v="415"/>
    <n v="21.98"/>
    <n v="2"/>
    <n v="8.57"/>
  </r>
  <r>
    <d v="2015-01-10T00:00:00"/>
    <x v="429"/>
    <x v="19"/>
    <x v="0"/>
    <x v="2"/>
    <x v="526"/>
    <n v="139.41999999999999"/>
    <n v="4"/>
    <n v="17.43"/>
  </r>
  <r>
    <d v="2015-01-10T00:00:00"/>
    <x v="446"/>
    <x v="20"/>
    <x v="2"/>
    <x v="6"/>
    <x v="784"/>
    <n v="311.98"/>
    <n v="2"/>
    <n v="93.59"/>
  </r>
  <r>
    <d v="2015-01-10T00:00:00"/>
    <x v="446"/>
    <x v="20"/>
    <x v="0"/>
    <x v="3"/>
    <x v="107"/>
    <n v="22.45"/>
    <n v="5"/>
    <n v="10.33"/>
  </r>
  <r>
    <d v="2015-01-10T00:00:00"/>
    <x v="447"/>
    <x v="1"/>
    <x v="0"/>
    <x v="3"/>
    <x v="818"/>
    <n v="2.99"/>
    <n v="4"/>
    <n v="-4.49"/>
  </r>
  <r>
    <d v="2015-01-10T00:00:00"/>
    <x v="447"/>
    <x v="1"/>
    <x v="2"/>
    <x v="9"/>
    <x v="908"/>
    <n v="108.77"/>
    <n v="4"/>
    <n v="2.72"/>
  </r>
  <r>
    <d v="2015-01-10T00:00:00"/>
    <x v="447"/>
    <x v="35"/>
    <x v="2"/>
    <x v="6"/>
    <x v="195"/>
    <n v="572.79999999999995"/>
    <n v="2"/>
    <n v="50.12"/>
  </r>
  <r>
    <d v="2015-02-10T00:00:00"/>
    <x v="142"/>
    <x v="3"/>
    <x v="0"/>
    <x v="3"/>
    <x v="151"/>
    <n v="57.5"/>
    <n v="6"/>
    <n v="20.13"/>
  </r>
  <r>
    <d v="2015-02-10T00:00:00"/>
    <x v="448"/>
    <x v="11"/>
    <x v="0"/>
    <x v="0"/>
    <x v="909"/>
    <n v="94.85"/>
    <n v="5"/>
    <n v="45.53"/>
  </r>
  <r>
    <d v="2015-02-10T00:00:00"/>
    <x v="448"/>
    <x v="11"/>
    <x v="0"/>
    <x v="11"/>
    <x v="348"/>
    <n v="51.12"/>
    <n v="4"/>
    <n v="23"/>
  </r>
  <r>
    <d v="2015-02-10T00:00:00"/>
    <x v="448"/>
    <x v="11"/>
    <x v="2"/>
    <x v="9"/>
    <x v="525"/>
    <n v="90"/>
    <n v="1"/>
    <n v="32.4"/>
  </r>
  <r>
    <d v="2015-02-10T00:00:00"/>
    <x v="449"/>
    <x v="3"/>
    <x v="0"/>
    <x v="2"/>
    <x v="684"/>
    <n v="270.33999999999997"/>
    <n v="14"/>
    <n v="75.7"/>
  </r>
  <r>
    <d v="2015-02-10T00:00:00"/>
    <x v="39"/>
    <x v="15"/>
    <x v="0"/>
    <x v="3"/>
    <x v="910"/>
    <n v="7.38"/>
    <n v="5"/>
    <n v="-5.41"/>
  </r>
  <r>
    <d v="2015-02-10T00:00:00"/>
    <x v="450"/>
    <x v="3"/>
    <x v="0"/>
    <x v="3"/>
    <x v="910"/>
    <n v="11.81"/>
    <n v="3"/>
    <n v="4.13"/>
  </r>
  <r>
    <d v="2015-02-10T00:00:00"/>
    <x v="450"/>
    <x v="3"/>
    <x v="0"/>
    <x v="3"/>
    <x v="165"/>
    <n v="53.57"/>
    <n v="4"/>
    <n v="19.420000000000002"/>
  </r>
  <r>
    <d v="2015-02-10T00:00:00"/>
    <x v="450"/>
    <x v="3"/>
    <x v="2"/>
    <x v="6"/>
    <x v="911"/>
    <n v="503.96"/>
    <n v="5"/>
    <n v="50.4"/>
  </r>
  <r>
    <d v="2015-02-10T00:00:00"/>
    <x v="451"/>
    <x v="27"/>
    <x v="0"/>
    <x v="3"/>
    <x v="181"/>
    <n v="26.9"/>
    <n v="5"/>
    <n v="13.18"/>
  </r>
  <r>
    <d v="2015-02-10T00:00:00"/>
    <x v="452"/>
    <x v="39"/>
    <x v="0"/>
    <x v="0"/>
    <x v="912"/>
    <n v="19.440000000000001"/>
    <n v="3"/>
    <n v="9.33"/>
  </r>
  <r>
    <d v="2015-02-10T00:00:00"/>
    <x v="452"/>
    <x v="39"/>
    <x v="0"/>
    <x v="3"/>
    <x v="913"/>
    <n v="7.38"/>
    <n v="1"/>
    <n v="3.62"/>
  </r>
  <r>
    <d v="2015-02-10T00:00:00"/>
    <x v="260"/>
    <x v="19"/>
    <x v="0"/>
    <x v="14"/>
    <x v="404"/>
    <n v="10.94"/>
    <n v="2"/>
    <n v="0.96"/>
  </r>
  <r>
    <d v="2015-02-10T00:00:00"/>
    <x v="43"/>
    <x v="35"/>
    <x v="1"/>
    <x v="8"/>
    <x v="288"/>
    <n v="11.03"/>
    <n v="1"/>
    <n v="3.03"/>
  </r>
  <r>
    <d v="2015-02-10T00:00:00"/>
    <x v="43"/>
    <x v="35"/>
    <x v="2"/>
    <x v="9"/>
    <x v="914"/>
    <n v="53.04"/>
    <n v="3"/>
    <n v="-4.6399999999999997"/>
  </r>
  <r>
    <d v="2015-03-10T00:00:00"/>
    <x v="115"/>
    <x v="16"/>
    <x v="0"/>
    <x v="3"/>
    <x v="511"/>
    <n v="32.07"/>
    <n v="5"/>
    <n v="-22.45"/>
  </r>
  <r>
    <d v="2015-03-10T00:00:00"/>
    <x v="115"/>
    <x v="16"/>
    <x v="2"/>
    <x v="9"/>
    <x v="915"/>
    <n v="24"/>
    <n v="2"/>
    <n v="-2.7"/>
  </r>
  <r>
    <d v="2015-03-10T00:00:00"/>
    <x v="115"/>
    <x v="16"/>
    <x v="1"/>
    <x v="12"/>
    <x v="916"/>
    <n v="35.49"/>
    <n v="1"/>
    <n v="-15.62"/>
  </r>
  <r>
    <d v="2015-03-10T00:00:00"/>
    <x v="115"/>
    <x v="16"/>
    <x v="2"/>
    <x v="9"/>
    <x v="917"/>
    <n v="47.98"/>
    <n v="2"/>
    <n v="0.6"/>
  </r>
  <r>
    <d v="2015-03-10T00:00:00"/>
    <x v="54"/>
    <x v="2"/>
    <x v="0"/>
    <x v="2"/>
    <x v="317"/>
    <n v="15.01"/>
    <n v="2"/>
    <n v="1.5"/>
  </r>
  <r>
    <d v="2015-03-10T00:00:00"/>
    <x v="158"/>
    <x v="3"/>
    <x v="1"/>
    <x v="12"/>
    <x v="916"/>
    <n v="120.67"/>
    <n v="2"/>
    <n v="18.45"/>
  </r>
  <r>
    <d v="2015-04-10T00:00:00"/>
    <x v="311"/>
    <x v="4"/>
    <x v="1"/>
    <x v="5"/>
    <x v="918"/>
    <n v="392.94"/>
    <n v="3"/>
    <n v="43.22"/>
  </r>
  <r>
    <d v="2015-04-10T00:00:00"/>
    <x v="453"/>
    <x v="3"/>
    <x v="0"/>
    <x v="2"/>
    <x v="919"/>
    <n v="26.96"/>
    <n v="2"/>
    <n v="7.01"/>
  </r>
  <r>
    <d v="2015-04-10T00:00:00"/>
    <x v="256"/>
    <x v="2"/>
    <x v="1"/>
    <x v="8"/>
    <x v="787"/>
    <n v="64.94"/>
    <n v="3"/>
    <n v="6.49"/>
  </r>
  <r>
    <d v="2015-04-10T00:00:00"/>
    <x v="256"/>
    <x v="2"/>
    <x v="0"/>
    <x v="0"/>
    <x v="920"/>
    <n v="20.74"/>
    <n v="4"/>
    <n v="7.26"/>
  </r>
  <r>
    <d v="2015-05-10T00:00:00"/>
    <x v="454"/>
    <x v="6"/>
    <x v="0"/>
    <x v="4"/>
    <x v="379"/>
    <n v="46.2"/>
    <n v="4"/>
    <n v="12.94"/>
  </r>
  <r>
    <d v="2015-05-10T00:00:00"/>
    <x v="454"/>
    <x v="6"/>
    <x v="0"/>
    <x v="13"/>
    <x v="171"/>
    <n v="28.84"/>
    <n v="2"/>
    <n v="9.52"/>
  </r>
  <r>
    <d v="2015-05-10T00:00:00"/>
    <x v="319"/>
    <x v="7"/>
    <x v="0"/>
    <x v="2"/>
    <x v="585"/>
    <n v="77.55"/>
    <n v="5"/>
    <n v="21.71"/>
  </r>
  <r>
    <d v="2015-05-10T00:00:00"/>
    <x v="170"/>
    <x v="16"/>
    <x v="2"/>
    <x v="9"/>
    <x v="914"/>
    <n v="53.04"/>
    <n v="3"/>
    <n v="-4.6399999999999997"/>
  </r>
  <r>
    <d v="2015-05-10T00:00:00"/>
    <x v="455"/>
    <x v="35"/>
    <x v="1"/>
    <x v="12"/>
    <x v="921"/>
    <n v="66.290000000000006"/>
    <n v="1"/>
    <n v="-103.86"/>
  </r>
  <r>
    <d v="2015-05-10T00:00:00"/>
    <x v="455"/>
    <x v="35"/>
    <x v="1"/>
    <x v="5"/>
    <x v="922"/>
    <n v="291.17"/>
    <n v="4"/>
    <n v="-14.56"/>
  </r>
  <r>
    <d v="2015-05-10T00:00:00"/>
    <x v="155"/>
    <x v="16"/>
    <x v="2"/>
    <x v="9"/>
    <x v="525"/>
    <n v="288"/>
    <n v="4"/>
    <n v="57.6"/>
  </r>
  <r>
    <d v="2015-08-10T00:00:00"/>
    <x v="170"/>
    <x v="3"/>
    <x v="1"/>
    <x v="8"/>
    <x v="602"/>
    <n v="145.9"/>
    <n v="5"/>
    <n v="62.74"/>
  </r>
  <r>
    <d v="2015-08-10T00:00:00"/>
    <x v="405"/>
    <x v="0"/>
    <x v="0"/>
    <x v="4"/>
    <x v="808"/>
    <n v="3.44"/>
    <n v="2"/>
    <n v="0.56000000000000005"/>
  </r>
  <r>
    <d v="2015-08-10T00:00:00"/>
    <x v="456"/>
    <x v="0"/>
    <x v="1"/>
    <x v="8"/>
    <x v="923"/>
    <n v="72.78"/>
    <n v="3"/>
    <n v="-70.959999999999994"/>
  </r>
  <r>
    <d v="2015-09-10T00:00:00"/>
    <x v="339"/>
    <x v="6"/>
    <x v="0"/>
    <x v="2"/>
    <x v="552"/>
    <n v="30.84"/>
    <n v="2"/>
    <n v="8.33"/>
  </r>
  <r>
    <d v="2015-09-10T00:00:00"/>
    <x v="309"/>
    <x v="12"/>
    <x v="2"/>
    <x v="6"/>
    <x v="152"/>
    <n v="631.96"/>
    <n v="4"/>
    <n v="303.33999999999997"/>
  </r>
  <r>
    <d v="2015-09-10T00:00:00"/>
    <x v="309"/>
    <x v="12"/>
    <x v="0"/>
    <x v="0"/>
    <x v="279"/>
    <n v="23.92"/>
    <n v="4"/>
    <n v="10.76"/>
  </r>
  <r>
    <d v="2015-09-10T00:00:00"/>
    <x v="143"/>
    <x v="18"/>
    <x v="2"/>
    <x v="9"/>
    <x v="869"/>
    <n v="619.95000000000005"/>
    <n v="5"/>
    <n v="111.59"/>
  </r>
  <r>
    <d v="2015-09-10T00:00:00"/>
    <x v="143"/>
    <x v="18"/>
    <x v="2"/>
    <x v="6"/>
    <x v="924"/>
    <n v="29.16"/>
    <n v="3"/>
    <n v="8.4600000000000009"/>
  </r>
  <r>
    <d v="2015-09-10T00:00:00"/>
    <x v="143"/>
    <x v="18"/>
    <x v="0"/>
    <x v="11"/>
    <x v="55"/>
    <n v="57.96"/>
    <n v="7"/>
    <n v="27.24"/>
  </r>
  <r>
    <d v="2015-09-10T00:00:00"/>
    <x v="143"/>
    <x v="18"/>
    <x v="0"/>
    <x v="13"/>
    <x v="162"/>
    <n v="29.4"/>
    <n v="3"/>
    <n v="5.23"/>
  </r>
  <r>
    <d v="2015-09-10T00:00:00"/>
    <x v="457"/>
    <x v="9"/>
    <x v="0"/>
    <x v="3"/>
    <x v="95"/>
    <n v="1.87"/>
    <n v="2"/>
    <n v="-1.31"/>
  </r>
  <r>
    <d v="2015-09-10T00:00:00"/>
    <x v="457"/>
    <x v="9"/>
    <x v="0"/>
    <x v="3"/>
    <x v="925"/>
    <n v="11.21"/>
    <n v="2"/>
    <n v="-8.6"/>
  </r>
  <r>
    <d v="2015-09-10T00:00:00"/>
    <x v="457"/>
    <x v="9"/>
    <x v="0"/>
    <x v="4"/>
    <x v="926"/>
    <n v="37.380000000000003"/>
    <n v="8"/>
    <n v="7.48"/>
  </r>
  <r>
    <d v="2015-09-10T00:00:00"/>
    <x v="408"/>
    <x v="18"/>
    <x v="1"/>
    <x v="5"/>
    <x v="927"/>
    <n v="389.97"/>
    <n v="3"/>
    <n v="35.1"/>
  </r>
  <r>
    <d v="2015-09-10T00:00:00"/>
    <x v="408"/>
    <x v="18"/>
    <x v="0"/>
    <x v="13"/>
    <x v="928"/>
    <n v="269.91000000000003"/>
    <n v="5"/>
    <n v="53.98"/>
  </r>
  <r>
    <d v="2015-10-10T00:00:00"/>
    <x v="311"/>
    <x v="3"/>
    <x v="0"/>
    <x v="0"/>
    <x v="929"/>
    <n v="45.36"/>
    <n v="7"/>
    <n v="21.77"/>
  </r>
  <r>
    <d v="2015-10-10T00:00:00"/>
    <x v="355"/>
    <x v="9"/>
    <x v="0"/>
    <x v="2"/>
    <x v="362"/>
    <n v="1801.63"/>
    <n v="6"/>
    <n v="-337.81"/>
  </r>
  <r>
    <d v="2015-10-10T00:00:00"/>
    <x v="290"/>
    <x v="1"/>
    <x v="0"/>
    <x v="4"/>
    <x v="588"/>
    <n v="8.02"/>
    <n v="3"/>
    <n v="1"/>
  </r>
  <r>
    <d v="2015-10-10T00:00:00"/>
    <x v="292"/>
    <x v="3"/>
    <x v="1"/>
    <x v="5"/>
    <x v="930"/>
    <n v="362.14"/>
    <n v="3"/>
    <n v="-54.32"/>
  </r>
  <r>
    <d v="2015-10-10T00:00:00"/>
    <x v="292"/>
    <x v="3"/>
    <x v="0"/>
    <x v="1"/>
    <x v="899"/>
    <n v="31.05"/>
    <n v="3"/>
    <n v="14.9"/>
  </r>
  <r>
    <d v="2015-11-10T00:00:00"/>
    <x v="458"/>
    <x v="9"/>
    <x v="1"/>
    <x v="10"/>
    <x v="931"/>
    <n v="957.58"/>
    <n v="5"/>
    <n v="-383.03"/>
  </r>
  <r>
    <d v="2015-11-10T00:00:00"/>
    <x v="458"/>
    <x v="9"/>
    <x v="0"/>
    <x v="2"/>
    <x v="932"/>
    <n v="22.37"/>
    <n v="2"/>
    <n v="2.52"/>
  </r>
  <r>
    <d v="2015-11-10T00:00:00"/>
    <x v="257"/>
    <x v="12"/>
    <x v="2"/>
    <x v="9"/>
    <x v="933"/>
    <n v="31.95"/>
    <n v="1"/>
    <n v="2.2400000000000002"/>
  </r>
  <r>
    <d v="2015-12-10T00:00:00"/>
    <x v="113"/>
    <x v="12"/>
    <x v="1"/>
    <x v="12"/>
    <x v="934"/>
    <n v="899.14"/>
    <n v="4"/>
    <n v="112.39"/>
  </r>
  <r>
    <d v="2015-12-10T00:00:00"/>
    <x v="113"/>
    <x v="12"/>
    <x v="2"/>
    <x v="6"/>
    <x v="510"/>
    <n v="71.760000000000005"/>
    <n v="6"/>
    <n v="20.09"/>
  </r>
  <r>
    <d v="2015-12-10T00:00:00"/>
    <x v="113"/>
    <x v="12"/>
    <x v="0"/>
    <x v="0"/>
    <x v="209"/>
    <n v="51.84"/>
    <n v="8"/>
    <n v="24.88"/>
  </r>
  <r>
    <d v="2015-12-10T00:00:00"/>
    <x v="113"/>
    <x v="12"/>
    <x v="1"/>
    <x v="12"/>
    <x v="578"/>
    <n v="626.35"/>
    <n v="3"/>
    <n v="46.98"/>
  </r>
  <r>
    <d v="2015-12-10T00:00:00"/>
    <x v="113"/>
    <x v="12"/>
    <x v="0"/>
    <x v="4"/>
    <x v="935"/>
    <n v="19.899999999999999"/>
    <n v="5"/>
    <n v="6.57"/>
  </r>
  <r>
    <d v="2015-12-10T00:00:00"/>
    <x v="459"/>
    <x v="12"/>
    <x v="1"/>
    <x v="10"/>
    <x v="336"/>
    <n v="209.67"/>
    <n v="1"/>
    <n v="-13.98"/>
  </r>
  <r>
    <d v="2015-12-10T00:00:00"/>
    <x v="213"/>
    <x v="26"/>
    <x v="2"/>
    <x v="6"/>
    <x v="24"/>
    <n v="135.72"/>
    <n v="3"/>
    <n v="35.29"/>
  </r>
  <r>
    <d v="2015-12-10T00:00:00"/>
    <x v="213"/>
    <x v="26"/>
    <x v="0"/>
    <x v="3"/>
    <x v="785"/>
    <n v="12.56"/>
    <n v="2"/>
    <n v="5.65"/>
  </r>
  <r>
    <d v="2015-12-10T00:00:00"/>
    <x v="213"/>
    <x v="26"/>
    <x v="2"/>
    <x v="6"/>
    <x v="513"/>
    <n v="263.95999999999998"/>
    <n v="4"/>
    <n v="71.27"/>
  </r>
  <r>
    <d v="2015-12-10T00:00:00"/>
    <x v="44"/>
    <x v="10"/>
    <x v="2"/>
    <x v="9"/>
    <x v="461"/>
    <n v="17.899999999999999"/>
    <n v="2"/>
    <n v="3.4"/>
  </r>
  <r>
    <d v="2015-12-10T00:00:00"/>
    <x v="44"/>
    <x v="10"/>
    <x v="0"/>
    <x v="2"/>
    <x v="79"/>
    <n v="81.96"/>
    <n v="2"/>
    <n v="0"/>
  </r>
  <r>
    <d v="2015-01-11T00:00:00"/>
    <x v="68"/>
    <x v="2"/>
    <x v="2"/>
    <x v="9"/>
    <x v="914"/>
    <n v="35.36"/>
    <n v="2"/>
    <n v="-3.09"/>
  </r>
  <r>
    <d v="2015-01-11T00:00:00"/>
    <x v="68"/>
    <x v="2"/>
    <x v="0"/>
    <x v="7"/>
    <x v="936"/>
    <n v="3.17"/>
    <n v="2"/>
    <n v="-0.71"/>
  </r>
  <r>
    <d v="2015-01-11T00:00:00"/>
    <x v="108"/>
    <x v="12"/>
    <x v="2"/>
    <x v="6"/>
    <x v="720"/>
    <n v="4.95"/>
    <n v="1"/>
    <n v="1.34"/>
  </r>
  <r>
    <d v="2015-01-11T00:00:00"/>
    <x v="160"/>
    <x v="12"/>
    <x v="0"/>
    <x v="0"/>
    <x v="937"/>
    <n v="13.52"/>
    <n v="4"/>
    <n v="6.22"/>
  </r>
  <r>
    <d v="2015-01-11T00:00:00"/>
    <x v="160"/>
    <x v="12"/>
    <x v="1"/>
    <x v="8"/>
    <x v="19"/>
    <n v="259.7"/>
    <n v="5"/>
    <n v="106.48"/>
  </r>
  <r>
    <d v="2015-01-11T00:00:00"/>
    <x v="160"/>
    <x v="12"/>
    <x v="2"/>
    <x v="6"/>
    <x v="829"/>
    <n v="42.95"/>
    <n v="1"/>
    <n v="1.29"/>
  </r>
  <r>
    <d v="2015-01-11T00:00:00"/>
    <x v="160"/>
    <x v="12"/>
    <x v="2"/>
    <x v="9"/>
    <x v="938"/>
    <n v="1399.93"/>
    <n v="7"/>
    <n v="601.97"/>
  </r>
  <r>
    <d v="2015-01-11T00:00:00"/>
    <x v="160"/>
    <x v="12"/>
    <x v="2"/>
    <x v="6"/>
    <x v="199"/>
    <n v="503.96"/>
    <n v="4"/>
    <n v="125.99"/>
  </r>
  <r>
    <d v="2015-01-11T00:00:00"/>
    <x v="22"/>
    <x v="35"/>
    <x v="0"/>
    <x v="4"/>
    <x v="939"/>
    <n v="7.88"/>
    <n v="1"/>
    <n v="1.77"/>
  </r>
  <r>
    <d v="2015-01-11T00:00:00"/>
    <x v="265"/>
    <x v="29"/>
    <x v="1"/>
    <x v="10"/>
    <x v="940"/>
    <n v="301.95999999999998"/>
    <n v="2"/>
    <n v="45.29"/>
  </r>
  <r>
    <d v="2015-01-11T00:00:00"/>
    <x v="460"/>
    <x v="12"/>
    <x v="1"/>
    <x v="5"/>
    <x v="922"/>
    <n v="327.56"/>
    <n v="4"/>
    <n v="21.84"/>
  </r>
  <r>
    <d v="2015-01-11T00:00:00"/>
    <x v="455"/>
    <x v="12"/>
    <x v="1"/>
    <x v="5"/>
    <x v="941"/>
    <n v="205.16"/>
    <n v="2"/>
    <n v="13.68"/>
  </r>
  <r>
    <d v="2015-02-11T00:00:00"/>
    <x v="461"/>
    <x v="3"/>
    <x v="1"/>
    <x v="10"/>
    <x v="942"/>
    <n v="1038.8399999999999"/>
    <n v="5"/>
    <n v="51.94"/>
  </r>
  <r>
    <d v="2015-02-11T00:00:00"/>
    <x v="462"/>
    <x v="10"/>
    <x v="2"/>
    <x v="9"/>
    <x v="943"/>
    <n v="447.93"/>
    <n v="9"/>
    <n v="49.27"/>
  </r>
  <r>
    <d v="2015-02-11T00:00:00"/>
    <x v="463"/>
    <x v="12"/>
    <x v="1"/>
    <x v="5"/>
    <x v="944"/>
    <n v="109.76"/>
    <n v="2"/>
    <n v="8.5399999999999991"/>
  </r>
  <r>
    <d v="2015-02-11T00:00:00"/>
    <x v="107"/>
    <x v="3"/>
    <x v="1"/>
    <x v="8"/>
    <x v="945"/>
    <n v="96.96"/>
    <n v="6"/>
    <n v="33.94"/>
  </r>
  <r>
    <d v="2015-02-11T00:00:00"/>
    <x v="107"/>
    <x v="3"/>
    <x v="0"/>
    <x v="3"/>
    <x v="946"/>
    <n v="117.49"/>
    <n v="7"/>
    <n v="41.12"/>
  </r>
  <r>
    <d v="2015-02-11T00:00:00"/>
    <x v="107"/>
    <x v="3"/>
    <x v="0"/>
    <x v="3"/>
    <x v="259"/>
    <n v="11.95"/>
    <n v="3"/>
    <n v="4.18"/>
  </r>
  <r>
    <d v="2015-02-11T00:00:00"/>
    <x v="107"/>
    <x v="3"/>
    <x v="1"/>
    <x v="12"/>
    <x v="947"/>
    <n v="512.5"/>
    <n v="3"/>
    <n v="-30.15"/>
  </r>
  <r>
    <d v="2015-02-11T00:00:00"/>
    <x v="175"/>
    <x v="12"/>
    <x v="1"/>
    <x v="5"/>
    <x v="948"/>
    <n v="2621.3200000000002"/>
    <n v="11"/>
    <n v="553.39"/>
  </r>
  <r>
    <d v="2015-02-11T00:00:00"/>
    <x v="464"/>
    <x v="0"/>
    <x v="0"/>
    <x v="3"/>
    <x v="946"/>
    <n v="29.37"/>
    <n v="7"/>
    <n v="-47"/>
  </r>
  <r>
    <d v="2015-02-11T00:00:00"/>
    <x v="464"/>
    <x v="0"/>
    <x v="2"/>
    <x v="6"/>
    <x v="949"/>
    <n v="344.7"/>
    <n v="2"/>
    <n v="38.78"/>
  </r>
  <r>
    <d v="2015-02-11T00:00:00"/>
    <x v="465"/>
    <x v="6"/>
    <x v="0"/>
    <x v="13"/>
    <x v="950"/>
    <n v="197.72"/>
    <n v="4"/>
    <n v="55.36"/>
  </r>
  <r>
    <d v="2015-03-11T00:00:00"/>
    <x v="466"/>
    <x v="3"/>
    <x v="2"/>
    <x v="6"/>
    <x v="951"/>
    <n v="1212.8499999999999"/>
    <n v="7"/>
    <n v="106.12"/>
  </r>
  <r>
    <d v="2015-03-11T00:00:00"/>
    <x v="466"/>
    <x v="3"/>
    <x v="2"/>
    <x v="9"/>
    <x v="952"/>
    <n v="89.97"/>
    <n v="3"/>
    <n v="37.79"/>
  </r>
  <r>
    <d v="2015-03-11T00:00:00"/>
    <x v="466"/>
    <x v="3"/>
    <x v="1"/>
    <x v="8"/>
    <x v="669"/>
    <n v="42.6"/>
    <n v="3"/>
    <n v="16.61"/>
  </r>
  <r>
    <d v="2015-03-11T00:00:00"/>
    <x v="19"/>
    <x v="0"/>
    <x v="0"/>
    <x v="11"/>
    <x v="953"/>
    <n v="6.61"/>
    <n v="2"/>
    <n v="2.15"/>
  </r>
  <r>
    <d v="2015-03-11T00:00:00"/>
    <x v="467"/>
    <x v="12"/>
    <x v="1"/>
    <x v="5"/>
    <x v="954"/>
    <n v="1448.82"/>
    <n v="10"/>
    <n v="209.27"/>
  </r>
  <r>
    <d v="2015-05-11T00:00:00"/>
    <x v="443"/>
    <x v="15"/>
    <x v="1"/>
    <x v="5"/>
    <x v="50"/>
    <n v="207"/>
    <n v="3"/>
    <n v="25.88"/>
  </r>
  <r>
    <d v="2015-05-11T00:00:00"/>
    <x v="160"/>
    <x v="9"/>
    <x v="0"/>
    <x v="13"/>
    <x v="955"/>
    <n v="387.14"/>
    <n v="4"/>
    <n v="24.2"/>
  </r>
  <r>
    <d v="2015-05-11T00:00:00"/>
    <x v="116"/>
    <x v="12"/>
    <x v="0"/>
    <x v="3"/>
    <x v="956"/>
    <n v="25.34"/>
    <n v="6"/>
    <n v="8.8699999999999992"/>
  </r>
  <r>
    <d v="2015-05-11T00:00:00"/>
    <x v="295"/>
    <x v="1"/>
    <x v="0"/>
    <x v="1"/>
    <x v="957"/>
    <n v="19.82"/>
    <n v="6"/>
    <n v="6.44"/>
  </r>
  <r>
    <d v="2015-05-11T00:00:00"/>
    <x v="188"/>
    <x v="3"/>
    <x v="0"/>
    <x v="2"/>
    <x v="958"/>
    <n v="62.8"/>
    <n v="4"/>
    <n v="15.7"/>
  </r>
  <r>
    <d v="2015-05-11T00:00:00"/>
    <x v="180"/>
    <x v="10"/>
    <x v="0"/>
    <x v="3"/>
    <x v="135"/>
    <n v="98.35"/>
    <n v="3"/>
    <n v="35.65"/>
  </r>
  <r>
    <d v="2015-05-11T00:00:00"/>
    <x v="468"/>
    <x v="16"/>
    <x v="0"/>
    <x v="3"/>
    <x v="729"/>
    <n v="7.22"/>
    <n v="3"/>
    <n v="-5.53"/>
  </r>
  <r>
    <d v="2015-05-11T00:00:00"/>
    <x v="468"/>
    <x v="16"/>
    <x v="0"/>
    <x v="14"/>
    <x v="959"/>
    <n v="27.2"/>
    <n v="4"/>
    <n v="2.04"/>
  </r>
  <r>
    <d v="2015-06-11T00:00:00"/>
    <x v="469"/>
    <x v="23"/>
    <x v="0"/>
    <x v="11"/>
    <x v="960"/>
    <n v="7.08"/>
    <n v="3"/>
    <n v="2.48"/>
  </r>
  <r>
    <d v="2015-06-11T00:00:00"/>
    <x v="469"/>
    <x v="23"/>
    <x v="0"/>
    <x v="3"/>
    <x v="677"/>
    <n v="4.4000000000000004"/>
    <n v="3"/>
    <n v="-3.52"/>
  </r>
  <r>
    <d v="2015-07-11T00:00:00"/>
    <x v="470"/>
    <x v="3"/>
    <x v="1"/>
    <x v="5"/>
    <x v="961"/>
    <n v="190.72"/>
    <n v="1"/>
    <n v="11.92"/>
  </r>
  <r>
    <d v="2015-07-11T00:00:00"/>
    <x v="471"/>
    <x v="7"/>
    <x v="0"/>
    <x v="7"/>
    <x v="962"/>
    <n v="26.18"/>
    <n v="7"/>
    <n v="0.52"/>
  </r>
  <r>
    <d v="2015-07-11T00:00:00"/>
    <x v="471"/>
    <x v="7"/>
    <x v="0"/>
    <x v="0"/>
    <x v="963"/>
    <n v="7.3"/>
    <n v="2"/>
    <n v="3.43"/>
  </r>
  <r>
    <d v="2015-07-11T00:00:00"/>
    <x v="470"/>
    <x v="2"/>
    <x v="0"/>
    <x v="11"/>
    <x v="964"/>
    <n v="24.4"/>
    <n v="2"/>
    <n v="7.93"/>
  </r>
  <r>
    <d v="2015-07-11T00:00:00"/>
    <x v="78"/>
    <x v="41"/>
    <x v="1"/>
    <x v="5"/>
    <x v="961"/>
    <n v="715.2"/>
    <n v="3"/>
    <n v="178.8"/>
  </r>
  <r>
    <d v="2015-07-11T00:00:00"/>
    <x v="472"/>
    <x v="9"/>
    <x v="0"/>
    <x v="3"/>
    <x v="965"/>
    <n v="16.149999999999999"/>
    <n v="9"/>
    <n v="-12.92"/>
  </r>
  <r>
    <d v="2015-07-11T00:00:00"/>
    <x v="472"/>
    <x v="9"/>
    <x v="0"/>
    <x v="3"/>
    <x v="382"/>
    <n v="1345.49"/>
    <n v="5"/>
    <n v="-1031.54"/>
  </r>
  <r>
    <d v="2015-07-11T00:00:00"/>
    <x v="473"/>
    <x v="0"/>
    <x v="0"/>
    <x v="0"/>
    <x v="849"/>
    <n v="76.64"/>
    <n v="2"/>
    <n v="26.82"/>
  </r>
  <r>
    <d v="2015-07-11T00:00:00"/>
    <x v="474"/>
    <x v="0"/>
    <x v="0"/>
    <x v="4"/>
    <x v="939"/>
    <n v="23.64"/>
    <n v="3"/>
    <n v="5.32"/>
  </r>
  <r>
    <d v="2015-07-11T00:00:00"/>
    <x v="474"/>
    <x v="0"/>
    <x v="0"/>
    <x v="2"/>
    <x v="904"/>
    <n v="84.78"/>
    <n v="2"/>
    <n v="-16.96"/>
  </r>
  <r>
    <d v="2015-07-11T00:00:00"/>
    <x v="474"/>
    <x v="0"/>
    <x v="1"/>
    <x v="8"/>
    <x v="966"/>
    <n v="64.959999999999994"/>
    <n v="5"/>
    <n v="-84.45"/>
  </r>
  <r>
    <d v="2015-07-11T00:00:00"/>
    <x v="474"/>
    <x v="0"/>
    <x v="0"/>
    <x v="3"/>
    <x v="401"/>
    <n v="32.06"/>
    <n v="10"/>
    <n v="-51.3"/>
  </r>
  <r>
    <d v="2015-07-11T00:00:00"/>
    <x v="474"/>
    <x v="0"/>
    <x v="0"/>
    <x v="2"/>
    <x v="967"/>
    <n v="177.65"/>
    <n v="2"/>
    <n v="-28.87"/>
  </r>
  <r>
    <d v="2015-07-11T00:00:00"/>
    <x v="474"/>
    <x v="0"/>
    <x v="2"/>
    <x v="16"/>
    <x v="968"/>
    <n v="287.91000000000003"/>
    <n v="3"/>
    <n v="33.590000000000003"/>
  </r>
  <r>
    <d v="2015-08-11T00:00:00"/>
    <x v="475"/>
    <x v="20"/>
    <x v="0"/>
    <x v="4"/>
    <x v="969"/>
    <n v="11.65"/>
    <n v="5"/>
    <n v="3.38"/>
  </r>
  <r>
    <d v="2015-08-11T00:00:00"/>
    <x v="476"/>
    <x v="3"/>
    <x v="0"/>
    <x v="7"/>
    <x v="419"/>
    <n v="5"/>
    <n v="1"/>
    <n v="2.4"/>
  </r>
  <r>
    <d v="2015-08-11T00:00:00"/>
    <x v="476"/>
    <x v="3"/>
    <x v="2"/>
    <x v="9"/>
    <x v="869"/>
    <n v="371.97"/>
    <n v="3"/>
    <n v="66.95"/>
  </r>
  <r>
    <d v="2015-08-11T00:00:00"/>
    <x v="23"/>
    <x v="30"/>
    <x v="0"/>
    <x v="7"/>
    <x v="970"/>
    <n v="5.04"/>
    <n v="3"/>
    <n v="0.2"/>
  </r>
  <r>
    <d v="2015-08-11T00:00:00"/>
    <x v="23"/>
    <x v="30"/>
    <x v="0"/>
    <x v="0"/>
    <x v="971"/>
    <n v="92.94"/>
    <n v="3"/>
    <n v="41.82"/>
  </r>
  <r>
    <d v="2015-08-11T00:00:00"/>
    <x v="23"/>
    <x v="30"/>
    <x v="1"/>
    <x v="8"/>
    <x v="972"/>
    <n v="66.69"/>
    <n v="3"/>
    <n v="22.01"/>
  </r>
  <r>
    <d v="2015-08-11T00:00:00"/>
    <x v="23"/>
    <x v="30"/>
    <x v="0"/>
    <x v="3"/>
    <x v="858"/>
    <n v="91.68"/>
    <n v="5"/>
    <n v="28.65"/>
  </r>
  <r>
    <d v="2015-08-11T00:00:00"/>
    <x v="477"/>
    <x v="12"/>
    <x v="0"/>
    <x v="3"/>
    <x v="176"/>
    <n v="52.27"/>
    <n v="11"/>
    <n v="17.64"/>
  </r>
  <r>
    <d v="2015-08-11T00:00:00"/>
    <x v="477"/>
    <x v="12"/>
    <x v="0"/>
    <x v="0"/>
    <x v="356"/>
    <n v="17.940000000000001"/>
    <n v="3"/>
    <n v="8.07"/>
  </r>
  <r>
    <d v="2015-08-11T00:00:00"/>
    <x v="478"/>
    <x v="0"/>
    <x v="0"/>
    <x v="3"/>
    <x v="38"/>
    <n v="10.48"/>
    <n v="6"/>
    <n v="-17.29"/>
  </r>
  <r>
    <d v="2015-08-11T00:00:00"/>
    <x v="437"/>
    <x v="3"/>
    <x v="2"/>
    <x v="9"/>
    <x v="973"/>
    <n v="119.9"/>
    <n v="2"/>
    <n v="43.16"/>
  </r>
  <r>
    <d v="2015-08-11T00:00:00"/>
    <x v="395"/>
    <x v="6"/>
    <x v="0"/>
    <x v="13"/>
    <x v="743"/>
    <n v="44.43"/>
    <n v="3"/>
    <n v="18.66"/>
  </r>
  <r>
    <d v="2015-08-11T00:00:00"/>
    <x v="395"/>
    <x v="6"/>
    <x v="2"/>
    <x v="6"/>
    <x v="24"/>
    <n v="226.2"/>
    <n v="5"/>
    <n v="58.81"/>
  </r>
  <r>
    <d v="2015-08-11T00:00:00"/>
    <x v="395"/>
    <x v="6"/>
    <x v="1"/>
    <x v="8"/>
    <x v="697"/>
    <n v="186.54"/>
    <n v="3"/>
    <n v="41.04"/>
  </r>
  <r>
    <d v="2015-08-11T00:00:00"/>
    <x v="395"/>
    <x v="6"/>
    <x v="0"/>
    <x v="4"/>
    <x v="424"/>
    <n v="265.86"/>
    <n v="7"/>
    <n v="79.760000000000005"/>
  </r>
  <r>
    <d v="2015-08-11T00:00:00"/>
    <x v="395"/>
    <x v="6"/>
    <x v="0"/>
    <x v="4"/>
    <x v="974"/>
    <n v="27.9"/>
    <n v="5"/>
    <n v="6.98"/>
  </r>
  <r>
    <d v="2015-08-11T00:00:00"/>
    <x v="49"/>
    <x v="42"/>
    <x v="2"/>
    <x v="6"/>
    <x v="286"/>
    <n v="263.95999999999998"/>
    <n v="4"/>
    <n v="76.55"/>
  </r>
  <r>
    <d v="2015-08-11T00:00:00"/>
    <x v="479"/>
    <x v="12"/>
    <x v="0"/>
    <x v="2"/>
    <x v="975"/>
    <n v="67.150000000000006"/>
    <n v="5"/>
    <n v="16.79"/>
  </r>
  <r>
    <d v="2015-08-11T00:00:00"/>
    <x v="479"/>
    <x v="12"/>
    <x v="2"/>
    <x v="6"/>
    <x v="797"/>
    <n v="549.98"/>
    <n v="2"/>
    <n v="142.99"/>
  </r>
  <r>
    <d v="2015-08-11T00:00:00"/>
    <x v="479"/>
    <x v="12"/>
    <x v="1"/>
    <x v="8"/>
    <x v="976"/>
    <n v="11.82"/>
    <n v="3"/>
    <n v="4.7300000000000004"/>
  </r>
  <r>
    <d v="2015-08-11T00:00:00"/>
    <x v="479"/>
    <x v="12"/>
    <x v="2"/>
    <x v="16"/>
    <x v="977"/>
    <n v="4643.8"/>
    <n v="4"/>
    <n v="2229.02"/>
  </r>
  <r>
    <d v="2015-08-11T00:00:00"/>
    <x v="479"/>
    <x v="12"/>
    <x v="1"/>
    <x v="5"/>
    <x v="598"/>
    <n v="577.76"/>
    <n v="2"/>
    <n v="115.55"/>
  </r>
  <r>
    <d v="2015-08-11T00:00:00"/>
    <x v="349"/>
    <x v="15"/>
    <x v="0"/>
    <x v="7"/>
    <x v="978"/>
    <n v="31.5"/>
    <n v="11"/>
    <n v="11.81"/>
  </r>
  <r>
    <d v="2015-08-11T00:00:00"/>
    <x v="349"/>
    <x v="15"/>
    <x v="0"/>
    <x v="1"/>
    <x v="979"/>
    <n v="5.04"/>
    <n v="1"/>
    <n v="1.64"/>
  </r>
  <r>
    <d v="2015-08-11T00:00:00"/>
    <x v="349"/>
    <x v="15"/>
    <x v="0"/>
    <x v="3"/>
    <x v="638"/>
    <n v="39.880000000000003"/>
    <n v="7"/>
    <n v="-29.24"/>
  </r>
  <r>
    <d v="2015-08-11T00:00:00"/>
    <x v="349"/>
    <x v="15"/>
    <x v="1"/>
    <x v="8"/>
    <x v="85"/>
    <n v="4.71"/>
    <n v="1"/>
    <n v="1.41"/>
  </r>
  <r>
    <d v="2015-08-11T00:00:00"/>
    <x v="108"/>
    <x v="41"/>
    <x v="1"/>
    <x v="12"/>
    <x v="980"/>
    <n v="4404.8999999999996"/>
    <n v="5"/>
    <n v="1013.13"/>
  </r>
  <r>
    <d v="2015-09-11T00:00:00"/>
    <x v="480"/>
    <x v="2"/>
    <x v="0"/>
    <x v="0"/>
    <x v="981"/>
    <n v="11.35"/>
    <n v="3"/>
    <n v="4.12"/>
  </r>
  <r>
    <d v="2015-09-11T00:00:00"/>
    <x v="481"/>
    <x v="14"/>
    <x v="0"/>
    <x v="3"/>
    <x v="982"/>
    <n v="17.22"/>
    <n v="3"/>
    <n v="7.92"/>
  </r>
  <r>
    <d v="2015-09-11T00:00:00"/>
    <x v="481"/>
    <x v="14"/>
    <x v="1"/>
    <x v="10"/>
    <x v="983"/>
    <n v="1024.3800000000001"/>
    <n v="7"/>
    <n v="215.12"/>
  </r>
  <r>
    <d v="2015-09-11T00:00:00"/>
    <x v="481"/>
    <x v="14"/>
    <x v="0"/>
    <x v="11"/>
    <x v="233"/>
    <n v="26.22"/>
    <n v="3"/>
    <n v="12.32"/>
  </r>
  <r>
    <d v="2015-09-11T00:00:00"/>
    <x v="481"/>
    <x v="14"/>
    <x v="0"/>
    <x v="0"/>
    <x v="984"/>
    <n v="17.34"/>
    <n v="3"/>
    <n v="8.5"/>
  </r>
  <r>
    <d v="2015-09-11T00:00:00"/>
    <x v="242"/>
    <x v="12"/>
    <x v="2"/>
    <x v="16"/>
    <x v="977"/>
    <n v="2321.9"/>
    <n v="2"/>
    <n v="1114.51"/>
  </r>
  <r>
    <d v="2015-09-11T00:00:00"/>
    <x v="242"/>
    <x v="12"/>
    <x v="0"/>
    <x v="2"/>
    <x v="281"/>
    <n v="17.940000000000001"/>
    <n v="3"/>
    <n v="3.05"/>
  </r>
  <r>
    <d v="2015-09-11T00:00:00"/>
    <x v="482"/>
    <x v="12"/>
    <x v="0"/>
    <x v="2"/>
    <x v="679"/>
    <n v="244.55"/>
    <n v="5"/>
    <n v="4.8899999999999997"/>
  </r>
  <r>
    <d v="2015-09-11T00:00:00"/>
    <x v="482"/>
    <x v="12"/>
    <x v="0"/>
    <x v="11"/>
    <x v="985"/>
    <n v="12.24"/>
    <n v="6"/>
    <n v="5.75"/>
  </r>
  <r>
    <d v="2015-09-11T00:00:00"/>
    <x v="482"/>
    <x v="12"/>
    <x v="2"/>
    <x v="9"/>
    <x v="986"/>
    <n v="13.98"/>
    <n v="2"/>
    <n v="6.01"/>
  </r>
  <r>
    <d v="2015-09-11T00:00:00"/>
    <x v="482"/>
    <x v="12"/>
    <x v="2"/>
    <x v="9"/>
    <x v="987"/>
    <n v="899.95"/>
    <n v="5"/>
    <n v="54"/>
  </r>
  <r>
    <d v="2015-09-11T00:00:00"/>
    <x v="483"/>
    <x v="3"/>
    <x v="0"/>
    <x v="7"/>
    <x v="905"/>
    <n v="2.48"/>
    <n v="2"/>
    <n v="1.17"/>
  </r>
  <r>
    <d v="2015-09-11T00:00:00"/>
    <x v="387"/>
    <x v="26"/>
    <x v="0"/>
    <x v="3"/>
    <x v="761"/>
    <n v="10.74"/>
    <n v="3"/>
    <n v="5.16"/>
  </r>
  <r>
    <d v="2015-10-11T00:00:00"/>
    <x v="484"/>
    <x v="3"/>
    <x v="2"/>
    <x v="9"/>
    <x v="699"/>
    <n v="79.900000000000006"/>
    <n v="2"/>
    <n v="35.159999999999997"/>
  </r>
  <r>
    <d v="2015-10-11T00:00:00"/>
    <x v="485"/>
    <x v="26"/>
    <x v="0"/>
    <x v="2"/>
    <x v="988"/>
    <n v="714.3"/>
    <n v="5"/>
    <n v="207.15"/>
  </r>
  <r>
    <d v="2015-10-11T00:00:00"/>
    <x v="422"/>
    <x v="28"/>
    <x v="0"/>
    <x v="13"/>
    <x v="717"/>
    <n v="715.64"/>
    <n v="2"/>
    <n v="178.91"/>
  </r>
  <r>
    <d v="2015-10-11T00:00:00"/>
    <x v="422"/>
    <x v="28"/>
    <x v="0"/>
    <x v="2"/>
    <x v="83"/>
    <n v="795.51"/>
    <n v="3"/>
    <n v="143.19"/>
  </r>
  <r>
    <d v="2015-10-11T00:00:00"/>
    <x v="422"/>
    <x v="28"/>
    <x v="2"/>
    <x v="15"/>
    <x v="346"/>
    <n v="549.99"/>
    <n v="1"/>
    <n v="275"/>
  </r>
  <r>
    <d v="2015-10-11T00:00:00"/>
    <x v="422"/>
    <x v="28"/>
    <x v="0"/>
    <x v="3"/>
    <x v="216"/>
    <n v="74.760000000000005"/>
    <n v="3"/>
    <n v="34.39"/>
  </r>
  <r>
    <d v="2015-10-11T00:00:00"/>
    <x v="422"/>
    <x v="28"/>
    <x v="1"/>
    <x v="8"/>
    <x v="750"/>
    <n v="29.22"/>
    <n v="3"/>
    <n v="12.86"/>
  </r>
  <r>
    <d v="2015-10-11T00:00:00"/>
    <x v="34"/>
    <x v="2"/>
    <x v="0"/>
    <x v="2"/>
    <x v="803"/>
    <n v="577.58000000000004"/>
    <n v="6"/>
    <n v="43.32"/>
  </r>
  <r>
    <d v="2015-11-11T00:00:00"/>
    <x v="321"/>
    <x v="18"/>
    <x v="0"/>
    <x v="2"/>
    <x v="989"/>
    <n v="418.32"/>
    <n v="7"/>
    <n v="117.13"/>
  </r>
  <r>
    <d v="2015-11-11T00:00:00"/>
    <x v="321"/>
    <x v="18"/>
    <x v="0"/>
    <x v="13"/>
    <x v="864"/>
    <n v="123.86"/>
    <n v="2"/>
    <n v="46.79"/>
  </r>
  <r>
    <d v="2015-12-11T00:00:00"/>
    <x v="486"/>
    <x v="3"/>
    <x v="0"/>
    <x v="0"/>
    <x v="172"/>
    <n v="15.7"/>
    <n v="5"/>
    <n v="7.07"/>
  </r>
  <r>
    <d v="2015-12-11T00:00:00"/>
    <x v="50"/>
    <x v="9"/>
    <x v="0"/>
    <x v="4"/>
    <x v="657"/>
    <n v="11.76"/>
    <n v="5"/>
    <n v="1.32"/>
  </r>
  <r>
    <d v="2015-12-11T00:00:00"/>
    <x v="50"/>
    <x v="9"/>
    <x v="0"/>
    <x v="3"/>
    <x v="38"/>
    <n v="5.24"/>
    <n v="2"/>
    <n v="-4.0199999999999996"/>
  </r>
  <r>
    <d v="2015-12-11T00:00:00"/>
    <x v="50"/>
    <x v="9"/>
    <x v="0"/>
    <x v="3"/>
    <x v="780"/>
    <n v="4.66"/>
    <n v="3"/>
    <n v="-3.73"/>
  </r>
  <r>
    <d v="2015-12-11T00:00:00"/>
    <x v="50"/>
    <x v="9"/>
    <x v="1"/>
    <x v="5"/>
    <x v="471"/>
    <n v="523.91999999999996"/>
    <n v="5"/>
    <n v="-72.040000000000006"/>
  </r>
  <r>
    <d v="2015-12-11T00:00:00"/>
    <x v="50"/>
    <x v="9"/>
    <x v="2"/>
    <x v="6"/>
    <x v="754"/>
    <n v="100.79"/>
    <n v="1"/>
    <n v="10.08"/>
  </r>
  <r>
    <d v="2015-12-11T00:00:00"/>
    <x v="50"/>
    <x v="9"/>
    <x v="1"/>
    <x v="5"/>
    <x v="74"/>
    <n v="146.13999999999999"/>
    <n v="3"/>
    <n v="16.440000000000001"/>
  </r>
  <r>
    <d v="2015-12-11T00:00:00"/>
    <x v="419"/>
    <x v="0"/>
    <x v="0"/>
    <x v="2"/>
    <x v="76"/>
    <n v="64.78"/>
    <n v="1"/>
    <n v="-14.58"/>
  </r>
  <r>
    <d v="2015-12-11T00:00:00"/>
    <x v="419"/>
    <x v="0"/>
    <x v="0"/>
    <x v="0"/>
    <x v="114"/>
    <n v="15.55"/>
    <n v="3"/>
    <n v="5.64"/>
  </r>
  <r>
    <d v="2015-12-11T00:00:00"/>
    <x v="419"/>
    <x v="0"/>
    <x v="0"/>
    <x v="11"/>
    <x v="990"/>
    <n v="223.89"/>
    <n v="7"/>
    <n v="69.97"/>
  </r>
  <r>
    <d v="2015-12-11T00:00:00"/>
    <x v="487"/>
    <x v="12"/>
    <x v="0"/>
    <x v="11"/>
    <x v="55"/>
    <n v="15.56"/>
    <n v="2"/>
    <n v="7.31"/>
  </r>
  <r>
    <d v="2015-01-12T00:00:00"/>
    <x v="212"/>
    <x v="10"/>
    <x v="0"/>
    <x v="3"/>
    <x v="214"/>
    <n v="55.42"/>
    <n v="2"/>
    <n v="19.399999999999999"/>
  </r>
  <r>
    <d v="2015-01-12T00:00:00"/>
    <x v="440"/>
    <x v="0"/>
    <x v="1"/>
    <x v="8"/>
    <x v="646"/>
    <n v="6.69"/>
    <n v="4"/>
    <n v="-4.01"/>
  </r>
  <r>
    <d v="2015-01-12T00:00:00"/>
    <x v="434"/>
    <x v="10"/>
    <x v="0"/>
    <x v="4"/>
    <x v="284"/>
    <n v="13.9"/>
    <n v="5"/>
    <n v="5.56"/>
  </r>
  <r>
    <d v="2015-01-12T00:00:00"/>
    <x v="479"/>
    <x v="6"/>
    <x v="0"/>
    <x v="2"/>
    <x v="552"/>
    <n v="61.68"/>
    <n v="4"/>
    <n v="16.649999999999999"/>
  </r>
  <r>
    <d v="2015-01-12T00:00:00"/>
    <x v="479"/>
    <x v="6"/>
    <x v="0"/>
    <x v="3"/>
    <x v="991"/>
    <n v="63.96"/>
    <n v="4"/>
    <n v="30.7"/>
  </r>
  <r>
    <d v="2015-01-12T00:00:00"/>
    <x v="433"/>
    <x v="10"/>
    <x v="1"/>
    <x v="5"/>
    <x v="992"/>
    <n v="2003.92"/>
    <n v="5"/>
    <n v="125.25"/>
  </r>
  <r>
    <d v="2015-01-12T00:00:00"/>
    <x v="433"/>
    <x v="10"/>
    <x v="0"/>
    <x v="0"/>
    <x v="993"/>
    <n v="32.4"/>
    <n v="5"/>
    <n v="15.55"/>
  </r>
  <r>
    <d v="2015-01-12T00:00:00"/>
    <x v="433"/>
    <x v="10"/>
    <x v="1"/>
    <x v="10"/>
    <x v="994"/>
    <n v="1913.4"/>
    <n v="9"/>
    <n v="401.81"/>
  </r>
  <r>
    <d v="2015-01-12T00:00:00"/>
    <x v="433"/>
    <x v="10"/>
    <x v="0"/>
    <x v="2"/>
    <x v="679"/>
    <n v="146.72999999999999"/>
    <n v="3"/>
    <n v="2.93"/>
  </r>
  <r>
    <d v="2015-01-12T00:00:00"/>
    <x v="433"/>
    <x v="10"/>
    <x v="0"/>
    <x v="0"/>
    <x v="641"/>
    <n v="114.2"/>
    <n v="5"/>
    <n v="52.53"/>
  </r>
  <r>
    <d v="2015-01-12T00:00:00"/>
    <x v="488"/>
    <x v="3"/>
    <x v="1"/>
    <x v="5"/>
    <x v="442"/>
    <n v="2676.67"/>
    <n v="9"/>
    <n v="267.67"/>
  </r>
  <r>
    <d v="2015-01-12T00:00:00"/>
    <x v="172"/>
    <x v="18"/>
    <x v="0"/>
    <x v="0"/>
    <x v="995"/>
    <n v="19.440000000000001"/>
    <n v="3"/>
    <n v="9.33"/>
  </r>
  <r>
    <d v="2015-01-12T00:00:00"/>
    <x v="172"/>
    <x v="18"/>
    <x v="0"/>
    <x v="4"/>
    <x v="996"/>
    <n v="3.64"/>
    <n v="2"/>
    <n v="1.02"/>
  </r>
  <r>
    <d v="2015-01-12T00:00:00"/>
    <x v="172"/>
    <x v="18"/>
    <x v="0"/>
    <x v="0"/>
    <x v="582"/>
    <n v="18.54"/>
    <n v="2"/>
    <n v="8.7100000000000009"/>
  </r>
  <r>
    <d v="2015-03-12T00:00:00"/>
    <x v="489"/>
    <x v="2"/>
    <x v="2"/>
    <x v="16"/>
    <x v="997"/>
    <n v="482.34"/>
    <n v="4"/>
    <n v="-337.64"/>
  </r>
  <r>
    <d v="2015-03-12T00:00:00"/>
    <x v="489"/>
    <x v="2"/>
    <x v="1"/>
    <x v="8"/>
    <x v="212"/>
    <n v="2.96"/>
    <n v="1"/>
    <n v="0.78"/>
  </r>
  <r>
    <d v="2015-03-12T00:00:00"/>
    <x v="113"/>
    <x v="12"/>
    <x v="0"/>
    <x v="3"/>
    <x v="998"/>
    <n v="10.75"/>
    <n v="4"/>
    <n v="3.36"/>
  </r>
  <r>
    <d v="2015-03-12T00:00:00"/>
    <x v="374"/>
    <x v="2"/>
    <x v="0"/>
    <x v="0"/>
    <x v="0"/>
    <n v="16.45"/>
    <n v="2"/>
    <n v="5.55"/>
  </r>
  <r>
    <d v="2015-03-12T00:00:00"/>
    <x v="374"/>
    <x v="2"/>
    <x v="2"/>
    <x v="9"/>
    <x v="999"/>
    <n v="36.78"/>
    <n v="2"/>
    <n v="10.58"/>
  </r>
  <r>
    <d v="2015-03-12T00:00:00"/>
    <x v="490"/>
    <x v="12"/>
    <x v="0"/>
    <x v="3"/>
    <x v="1000"/>
    <n v="590.35"/>
    <n v="6"/>
    <n v="206.62"/>
  </r>
  <r>
    <d v="2015-03-12T00:00:00"/>
    <x v="491"/>
    <x v="3"/>
    <x v="1"/>
    <x v="12"/>
    <x v="1001"/>
    <n v="359.5"/>
    <n v="3"/>
    <n v="-29.61"/>
  </r>
  <r>
    <d v="2015-03-12T00:00:00"/>
    <x v="236"/>
    <x v="15"/>
    <x v="1"/>
    <x v="8"/>
    <x v="476"/>
    <n v="77.95"/>
    <n v="3"/>
    <n v="12.67"/>
  </r>
  <r>
    <d v="2015-03-12T00:00:00"/>
    <x v="236"/>
    <x v="15"/>
    <x v="0"/>
    <x v="3"/>
    <x v="844"/>
    <n v="95.97"/>
    <n v="5"/>
    <n v="-73.58"/>
  </r>
  <r>
    <d v="2015-03-12T00:00:00"/>
    <x v="236"/>
    <x v="15"/>
    <x v="2"/>
    <x v="6"/>
    <x v="1002"/>
    <n v="105.58"/>
    <n v="2"/>
    <n v="9.24"/>
  </r>
  <r>
    <d v="2015-03-12T00:00:00"/>
    <x v="236"/>
    <x v="15"/>
    <x v="0"/>
    <x v="4"/>
    <x v="16"/>
    <n v="9.34"/>
    <n v="2"/>
    <n v="1.17"/>
  </r>
  <r>
    <d v="2015-03-12T00:00:00"/>
    <x v="91"/>
    <x v="43"/>
    <x v="0"/>
    <x v="0"/>
    <x v="1003"/>
    <n v="184.66"/>
    <n v="7"/>
    <n v="84.94"/>
  </r>
  <r>
    <d v="2015-04-12T00:00:00"/>
    <x v="492"/>
    <x v="9"/>
    <x v="0"/>
    <x v="3"/>
    <x v="1004"/>
    <n v="8.23"/>
    <n v="3"/>
    <n v="-6.03"/>
  </r>
  <r>
    <d v="2015-04-12T00:00:00"/>
    <x v="458"/>
    <x v="12"/>
    <x v="1"/>
    <x v="8"/>
    <x v="1005"/>
    <n v="28.44"/>
    <n v="3"/>
    <n v="11.38"/>
  </r>
  <r>
    <d v="2015-04-12T00:00:00"/>
    <x v="458"/>
    <x v="12"/>
    <x v="1"/>
    <x v="5"/>
    <x v="865"/>
    <n v="364.41"/>
    <n v="5"/>
    <n v="8.1"/>
  </r>
  <r>
    <d v="2015-04-12T00:00:00"/>
    <x v="458"/>
    <x v="12"/>
    <x v="2"/>
    <x v="6"/>
    <x v="249"/>
    <n v="39.96"/>
    <n v="4"/>
    <n v="10.39"/>
  </r>
  <r>
    <d v="2015-04-12T00:00:00"/>
    <x v="458"/>
    <x v="12"/>
    <x v="1"/>
    <x v="5"/>
    <x v="745"/>
    <n v="361.76"/>
    <n v="2"/>
    <n v="68.33"/>
  </r>
  <r>
    <d v="2015-04-12T00:00:00"/>
    <x v="210"/>
    <x v="12"/>
    <x v="0"/>
    <x v="11"/>
    <x v="1006"/>
    <n v="17.940000000000001"/>
    <n v="3"/>
    <n v="8.7899999999999991"/>
  </r>
  <r>
    <d v="2015-04-12T00:00:00"/>
    <x v="210"/>
    <x v="12"/>
    <x v="1"/>
    <x v="5"/>
    <x v="944"/>
    <n v="384.17"/>
    <n v="7"/>
    <n v="29.88"/>
  </r>
  <r>
    <d v="2015-04-12T00:00:00"/>
    <x v="210"/>
    <x v="12"/>
    <x v="2"/>
    <x v="6"/>
    <x v="260"/>
    <n v="1799.75"/>
    <n v="5"/>
    <n v="539.92999999999995"/>
  </r>
  <r>
    <d v="2015-04-12T00:00:00"/>
    <x v="333"/>
    <x v="14"/>
    <x v="0"/>
    <x v="0"/>
    <x v="292"/>
    <n v="85.96"/>
    <n v="7"/>
    <n v="40.4"/>
  </r>
  <r>
    <d v="2015-04-12T00:00:00"/>
    <x v="380"/>
    <x v="31"/>
    <x v="0"/>
    <x v="3"/>
    <x v="847"/>
    <n v="1598.06"/>
    <n v="7"/>
    <n v="-1065.3699999999999"/>
  </r>
  <r>
    <d v="2015-04-12T00:00:00"/>
    <x v="380"/>
    <x v="31"/>
    <x v="0"/>
    <x v="4"/>
    <x v="253"/>
    <n v="36.96"/>
    <n v="4"/>
    <n v="12.01"/>
  </r>
  <r>
    <d v="2015-04-12T00:00:00"/>
    <x v="493"/>
    <x v="3"/>
    <x v="0"/>
    <x v="11"/>
    <x v="1007"/>
    <n v="271.44"/>
    <n v="3"/>
    <n v="122.15"/>
  </r>
  <r>
    <d v="2015-04-12T00:00:00"/>
    <x v="493"/>
    <x v="3"/>
    <x v="2"/>
    <x v="6"/>
    <x v="1008"/>
    <n v="110.35"/>
    <n v="3"/>
    <n v="8.2799999999999994"/>
  </r>
  <r>
    <d v="2015-04-12T00:00:00"/>
    <x v="493"/>
    <x v="3"/>
    <x v="1"/>
    <x v="8"/>
    <x v="36"/>
    <n v="36.4"/>
    <n v="5"/>
    <n v="13.83"/>
  </r>
  <r>
    <d v="2015-04-12T00:00:00"/>
    <x v="278"/>
    <x v="3"/>
    <x v="0"/>
    <x v="4"/>
    <x v="1009"/>
    <n v="16.899999999999999"/>
    <n v="5"/>
    <n v="6.25"/>
  </r>
  <r>
    <d v="2015-04-12T00:00:00"/>
    <x v="278"/>
    <x v="3"/>
    <x v="1"/>
    <x v="8"/>
    <x v="646"/>
    <n v="25.08"/>
    <n v="6"/>
    <n v="9.0299999999999994"/>
  </r>
  <r>
    <d v="2015-05-12T00:00:00"/>
    <x v="494"/>
    <x v="3"/>
    <x v="1"/>
    <x v="8"/>
    <x v="972"/>
    <n v="44.46"/>
    <n v="2"/>
    <n v="14.67"/>
  </r>
  <r>
    <d v="2015-05-12T00:00:00"/>
    <x v="463"/>
    <x v="2"/>
    <x v="2"/>
    <x v="9"/>
    <x v="520"/>
    <n v="47.98"/>
    <n v="2"/>
    <n v="0.6"/>
  </r>
  <r>
    <d v="2015-05-12T00:00:00"/>
    <x v="463"/>
    <x v="2"/>
    <x v="0"/>
    <x v="3"/>
    <x v="1010"/>
    <n v="26.06"/>
    <n v="6"/>
    <n v="-19.98"/>
  </r>
  <r>
    <d v="2015-05-12T00:00:00"/>
    <x v="495"/>
    <x v="18"/>
    <x v="0"/>
    <x v="3"/>
    <x v="23"/>
    <n v="152.80000000000001"/>
    <n v="5"/>
    <n v="76.400000000000006"/>
  </r>
  <r>
    <d v="2015-05-12T00:00:00"/>
    <x v="217"/>
    <x v="0"/>
    <x v="0"/>
    <x v="4"/>
    <x v="570"/>
    <n v="45.04"/>
    <n v="2"/>
    <n v="4.5"/>
  </r>
  <r>
    <d v="2015-05-12T00:00:00"/>
    <x v="232"/>
    <x v="12"/>
    <x v="0"/>
    <x v="3"/>
    <x v="204"/>
    <n v="232.4"/>
    <n v="5"/>
    <n v="78.44"/>
  </r>
  <r>
    <d v="2015-05-12T00:00:00"/>
    <x v="232"/>
    <x v="12"/>
    <x v="1"/>
    <x v="5"/>
    <x v="944"/>
    <n v="164.65"/>
    <n v="3"/>
    <n v="12.81"/>
  </r>
  <r>
    <d v="2015-05-12T00:00:00"/>
    <x v="232"/>
    <x v="12"/>
    <x v="0"/>
    <x v="0"/>
    <x v="832"/>
    <n v="22.68"/>
    <n v="2"/>
    <n v="11.11"/>
  </r>
  <r>
    <d v="2015-05-12T00:00:00"/>
    <x v="443"/>
    <x v="3"/>
    <x v="2"/>
    <x v="9"/>
    <x v="17"/>
    <n v="39"/>
    <n v="3"/>
    <n v="17.55"/>
  </r>
  <r>
    <d v="2015-05-12T00:00:00"/>
    <x v="443"/>
    <x v="3"/>
    <x v="0"/>
    <x v="1"/>
    <x v="1011"/>
    <n v="12.6"/>
    <n v="4"/>
    <n v="6.05"/>
  </r>
  <r>
    <d v="2015-05-12T00:00:00"/>
    <x v="211"/>
    <x v="31"/>
    <x v="1"/>
    <x v="5"/>
    <x v="74"/>
    <n v="97.42"/>
    <n v="2"/>
    <n v="10.96"/>
  </r>
  <r>
    <d v="2015-05-12T00:00:00"/>
    <x v="309"/>
    <x v="1"/>
    <x v="0"/>
    <x v="11"/>
    <x v="221"/>
    <n v="12.22"/>
    <n v="2"/>
    <n v="4.43"/>
  </r>
  <r>
    <d v="2015-06-12T00:00:00"/>
    <x v="418"/>
    <x v="3"/>
    <x v="0"/>
    <x v="4"/>
    <x v="119"/>
    <n v="120.15"/>
    <n v="9"/>
    <n v="33.64"/>
  </r>
  <r>
    <d v="2015-06-12T00:00:00"/>
    <x v="418"/>
    <x v="3"/>
    <x v="2"/>
    <x v="6"/>
    <x v="157"/>
    <n v="219.18"/>
    <n v="2"/>
    <n v="19.18"/>
  </r>
  <r>
    <d v="2015-06-12T00:00:00"/>
    <x v="496"/>
    <x v="0"/>
    <x v="0"/>
    <x v="3"/>
    <x v="1012"/>
    <n v="2.77"/>
    <n v="7"/>
    <n v="-4.8499999999999996"/>
  </r>
  <r>
    <d v="2015-06-12T00:00:00"/>
    <x v="497"/>
    <x v="23"/>
    <x v="1"/>
    <x v="8"/>
    <x v="505"/>
    <n v="206.11"/>
    <n v="6"/>
    <n v="48.95"/>
  </r>
  <r>
    <d v="2015-06-12T00:00:00"/>
    <x v="497"/>
    <x v="23"/>
    <x v="0"/>
    <x v="0"/>
    <x v="1013"/>
    <n v="19.920000000000002"/>
    <n v="5"/>
    <n v="6.72"/>
  </r>
  <r>
    <d v="2015-06-12T00:00:00"/>
    <x v="497"/>
    <x v="23"/>
    <x v="0"/>
    <x v="0"/>
    <x v="888"/>
    <n v="198.27"/>
    <n v="8"/>
    <n v="61.96"/>
  </r>
  <r>
    <d v="2015-06-12T00:00:00"/>
    <x v="497"/>
    <x v="23"/>
    <x v="0"/>
    <x v="2"/>
    <x v="1014"/>
    <n v="247.1"/>
    <n v="6"/>
    <n v="-58.69"/>
  </r>
  <r>
    <d v="2015-06-12T00:00:00"/>
    <x v="497"/>
    <x v="23"/>
    <x v="0"/>
    <x v="4"/>
    <x v="371"/>
    <n v="86.3"/>
    <n v="6"/>
    <n v="9.7100000000000009"/>
  </r>
  <r>
    <d v="2015-06-12T00:00:00"/>
    <x v="196"/>
    <x v="16"/>
    <x v="2"/>
    <x v="6"/>
    <x v="1015"/>
    <n v="485.94"/>
    <n v="2"/>
    <n v="-89.09"/>
  </r>
  <r>
    <d v="2015-06-12T00:00:00"/>
    <x v="196"/>
    <x v="16"/>
    <x v="0"/>
    <x v="4"/>
    <x v="16"/>
    <n v="37.380000000000003"/>
    <n v="8"/>
    <n v="4.67"/>
  </r>
  <r>
    <d v="2015-06-12T00:00:00"/>
    <x v="196"/>
    <x v="16"/>
    <x v="1"/>
    <x v="5"/>
    <x v="1016"/>
    <n v="70.69"/>
    <n v="1"/>
    <n v="-24.24"/>
  </r>
  <r>
    <d v="2015-06-12T00:00:00"/>
    <x v="498"/>
    <x v="3"/>
    <x v="0"/>
    <x v="0"/>
    <x v="1017"/>
    <n v="32.75"/>
    <n v="5"/>
    <n v="15.07"/>
  </r>
  <r>
    <d v="2015-06-12T00:00:00"/>
    <x v="259"/>
    <x v="12"/>
    <x v="0"/>
    <x v="0"/>
    <x v="993"/>
    <n v="6.48"/>
    <n v="1"/>
    <n v="3.11"/>
  </r>
  <r>
    <d v="2015-06-12T00:00:00"/>
    <x v="259"/>
    <x v="12"/>
    <x v="0"/>
    <x v="0"/>
    <x v="1018"/>
    <n v="41.86"/>
    <n v="7"/>
    <n v="20.51"/>
  </r>
  <r>
    <d v="2015-06-12T00:00:00"/>
    <x v="259"/>
    <x v="12"/>
    <x v="2"/>
    <x v="9"/>
    <x v="987"/>
    <n v="1619.91"/>
    <n v="9"/>
    <n v="97.19"/>
  </r>
  <r>
    <d v="2015-06-12T00:00:00"/>
    <x v="259"/>
    <x v="12"/>
    <x v="1"/>
    <x v="8"/>
    <x v="225"/>
    <n v="113.92"/>
    <n v="4"/>
    <n v="42.15"/>
  </r>
  <r>
    <d v="2015-06-12T00:00:00"/>
    <x v="39"/>
    <x v="26"/>
    <x v="2"/>
    <x v="15"/>
    <x v="1019"/>
    <n v="999.98"/>
    <n v="2"/>
    <n v="449.99"/>
  </r>
  <r>
    <d v="2015-06-12T00:00:00"/>
    <x v="155"/>
    <x v="13"/>
    <x v="0"/>
    <x v="0"/>
    <x v="1020"/>
    <n v="6.48"/>
    <n v="1"/>
    <n v="3.11"/>
  </r>
  <r>
    <d v="2015-06-12T00:00:00"/>
    <x v="155"/>
    <x v="13"/>
    <x v="0"/>
    <x v="2"/>
    <x v="83"/>
    <n v="1325.85"/>
    <n v="5"/>
    <n v="238.65"/>
  </r>
  <r>
    <d v="2015-06-12T00:00:00"/>
    <x v="155"/>
    <x v="13"/>
    <x v="0"/>
    <x v="1"/>
    <x v="40"/>
    <n v="14.94"/>
    <n v="3"/>
    <n v="6.87"/>
  </r>
  <r>
    <d v="2015-06-12T00:00:00"/>
    <x v="499"/>
    <x v="3"/>
    <x v="0"/>
    <x v="13"/>
    <x v="226"/>
    <n v="7.78"/>
    <n v="2"/>
    <n v="2.02"/>
  </r>
  <r>
    <d v="2015-06-12T00:00:00"/>
    <x v="380"/>
    <x v="6"/>
    <x v="2"/>
    <x v="6"/>
    <x v="32"/>
    <n v="173.94"/>
    <n v="6"/>
    <n v="50.44"/>
  </r>
  <r>
    <d v="2015-06-12T00:00:00"/>
    <x v="500"/>
    <x v="16"/>
    <x v="0"/>
    <x v="3"/>
    <x v="123"/>
    <n v="14.83"/>
    <n v="3"/>
    <n v="-10.38"/>
  </r>
  <r>
    <d v="2015-06-12T00:00:00"/>
    <x v="367"/>
    <x v="3"/>
    <x v="0"/>
    <x v="0"/>
    <x v="1021"/>
    <n v="8.9600000000000009"/>
    <n v="2"/>
    <n v="4.3899999999999997"/>
  </r>
  <r>
    <d v="2015-07-12T00:00:00"/>
    <x v="411"/>
    <x v="5"/>
    <x v="0"/>
    <x v="13"/>
    <x v="324"/>
    <n v="152.94"/>
    <n v="3"/>
    <n v="41.29"/>
  </r>
  <r>
    <d v="2015-07-12T00:00:00"/>
    <x v="411"/>
    <x v="5"/>
    <x v="1"/>
    <x v="5"/>
    <x v="239"/>
    <n v="283.92"/>
    <n v="4"/>
    <n v="70.98"/>
  </r>
  <r>
    <d v="2015-07-12T00:00:00"/>
    <x v="455"/>
    <x v="10"/>
    <x v="0"/>
    <x v="7"/>
    <x v="1022"/>
    <n v="3.96"/>
    <n v="2"/>
    <n v="0"/>
  </r>
  <r>
    <d v="2015-07-12T00:00:00"/>
    <x v="455"/>
    <x v="10"/>
    <x v="0"/>
    <x v="1"/>
    <x v="607"/>
    <n v="2.61"/>
    <n v="1"/>
    <n v="1.2"/>
  </r>
  <r>
    <d v="2015-07-12T00:00:00"/>
    <x v="7"/>
    <x v="3"/>
    <x v="1"/>
    <x v="8"/>
    <x v="603"/>
    <n v="79.92"/>
    <n v="4"/>
    <n v="28.77"/>
  </r>
  <r>
    <d v="2015-07-12T00:00:00"/>
    <x v="484"/>
    <x v="12"/>
    <x v="0"/>
    <x v="3"/>
    <x v="1023"/>
    <n v="21.36"/>
    <n v="5"/>
    <n v="7.21"/>
  </r>
  <r>
    <d v="2015-07-12T00:00:00"/>
    <x v="484"/>
    <x v="12"/>
    <x v="0"/>
    <x v="3"/>
    <x v="1024"/>
    <n v="6.69"/>
    <n v="2"/>
    <n v="2.34"/>
  </r>
  <r>
    <d v="2015-07-12T00:00:00"/>
    <x v="484"/>
    <x v="12"/>
    <x v="2"/>
    <x v="6"/>
    <x v="760"/>
    <n v="773.94"/>
    <n v="6"/>
    <n v="224.44"/>
  </r>
  <r>
    <d v="2015-07-12T00:00:00"/>
    <x v="501"/>
    <x v="3"/>
    <x v="0"/>
    <x v="0"/>
    <x v="1025"/>
    <n v="12.96"/>
    <n v="2"/>
    <n v="6.22"/>
  </r>
  <r>
    <d v="2015-08-12T00:00:00"/>
    <x v="502"/>
    <x v="0"/>
    <x v="0"/>
    <x v="0"/>
    <x v="139"/>
    <n v="360.71"/>
    <n v="11"/>
    <n v="130.76"/>
  </r>
  <r>
    <d v="2015-08-12T00:00:00"/>
    <x v="502"/>
    <x v="0"/>
    <x v="2"/>
    <x v="6"/>
    <x v="195"/>
    <n v="1718.4"/>
    <n v="6"/>
    <n v="150.36000000000001"/>
  </r>
  <r>
    <d v="2015-08-12T00:00:00"/>
    <x v="454"/>
    <x v="0"/>
    <x v="2"/>
    <x v="6"/>
    <x v="1026"/>
    <n v="119.96"/>
    <n v="5"/>
    <n v="12"/>
  </r>
  <r>
    <d v="2015-08-12T00:00:00"/>
    <x v="325"/>
    <x v="3"/>
    <x v="0"/>
    <x v="2"/>
    <x v="565"/>
    <n v="221.96"/>
    <n v="2"/>
    <n v="4.4400000000000004"/>
  </r>
  <r>
    <d v="2015-08-12T00:00:00"/>
    <x v="325"/>
    <x v="3"/>
    <x v="2"/>
    <x v="9"/>
    <x v="1027"/>
    <n v="236"/>
    <n v="4"/>
    <n v="40.119999999999997"/>
  </r>
  <r>
    <d v="2015-08-12T00:00:00"/>
    <x v="503"/>
    <x v="19"/>
    <x v="0"/>
    <x v="0"/>
    <x v="500"/>
    <n v="15.7"/>
    <n v="3"/>
    <n v="5.0999999999999996"/>
  </r>
  <r>
    <d v="2015-09-12T00:00:00"/>
    <x v="504"/>
    <x v="26"/>
    <x v="0"/>
    <x v="0"/>
    <x v="832"/>
    <n v="34.020000000000003"/>
    <n v="3"/>
    <n v="16.670000000000002"/>
  </r>
  <r>
    <d v="2015-10-12T00:00:00"/>
    <x v="479"/>
    <x v="18"/>
    <x v="0"/>
    <x v="4"/>
    <x v="560"/>
    <n v="3.9"/>
    <n v="2"/>
    <n v="1.52"/>
  </r>
  <r>
    <d v="2015-10-12T00:00:00"/>
    <x v="479"/>
    <x v="18"/>
    <x v="1"/>
    <x v="10"/>
    <x v="886"/>
    <n v="801.96"/>
    <n v="2"/>
    <n v="200.49"/>
  </r>
  <r>
    <d v="2015-10-12T00:00:00"/>
    <x v="479"/>
    <x v="18"/>
    <x v="1"/>
    <x v="5"/>
    <x v="427"/>
    <n v="191.96"/>
    <n v="2"/>
    <n v="32.630000000000003"/>
  </r>
  <r>
    <d v="2015-10-12T00:00:00"/>
    <x v="479"/>
    <x v="18"/>
    <x v="0"/>
    <x v="1"/>
    <x v="1028"/>
    <n v="2.61"/>
    <n v="1"/>
    <n v="1.2"/>
  </r>
  <r>
    <d v="2015-10-12T00:00:00"/>
    <x v="505"/>
    <x v="4"/>
    <x v="0"/>
    <x v="4"/>
    <x v="1029"/>
    <n v="1.78"/>
    <n v="1"/>
    <n v="0.5"/>
  </r>
  <r>
    <d v="2015-10-12T00:00:00"/>
    <x v="505"/>
    <x v="4"/>
    <x v="0"/>
    <x v="0"/>
    <x v="1030"/>
    <n v="25.92"/>
    <n v="4"/>
    <n v="12.44"/>
  </r>
  <r>
    <d v="2015-10-12T00:00:00"/>
    <x v="505"/>
    <x v="4"/>
    <x v="2"/>
    <x v="9"/>
    <x v="1031"/>
    <n v="101.94"/>
    <n v="6"/>
    <n v="21.41"/>
  </r>
  <r>
    <d v="2015-10-12T00:00:00"/>
    <x v="172"/>
    <x v="12"/>
    <x v="0"/>
    <x v="1"/>
    <x v="1032"/>
    <n v="7.31"/>
    <n v="1"/>
    <n v="3.44"/>
  </r>
  <r>
    <d v="2015-10-12T00:00:00"/>
    <x v="172"/>
    <x v="12"/>
    <x v="2"/>
    <x v="15"/>
    <x v="1019"/>
    <n v="799.98"/>
    <n v="2"/>
    <n v="250"/>
  </r>
  <r>
    <d v="2015-10-12T00:00:00"/>
    <x v="172"/>
    <x v="12"/>
    <x v="0"/>
    <x v="0"/>
    <x v="1033"/>
    <n v="41.28"/>
    <n v="6"/>
    <n v="18.989999999999998"/>
  </r>
  <r>
    <d v="2015-10-12T00:00:00"/>
    <x v="172"/>
    <x v="12"/>
    <x v="0"/>
    <x v="0"/>
    <x v="1034"/>
    <n v="184.66"/>
    <n v="7"/>
    <n v="84.94"/>
  </r>
  <r>
    <d v="2015-10-12T00:00:00"/>
    <x v="403"/>
    <x v="39"/>
    <x v="0"/>
    <x v="4"/>
    <x v="890"/>
    <n v="27.36"/>
    <n v="9"/>
    <n v="9.3000000000000007"/>
  </r>
  <r>
    <d v="2015-10-12T00:00:00"/>
    <x v="403"/>
    <x v="39"/>
    <x v="0"/>
    <x v="0"/>
    <x v="553"/>
    <n v="44.75"/>
    <n v="5"/>
    <n v="20.59"/>
  </r>
  <r>
    <d v="2015-10-12T00:00:00"/>
    <x v="403"/>
    <x v="39"/>
    <x v="2"/>
    <x v="6"/>
    <x v="483"/>
    <n v="134.99"/>
    <n v="1"/>
    <n v="36.450000000000003"/>
  </r>
  <r>
    <d v="2015-10-12T00:00:00"/>
    <x v="403"/>
    <x v="39"/>
    <x v="0"/>
    <x v="0"/>
    <x v="634"/>
    <n v="26.4"/>
    <n v="5"/>
    <n v="12.67"/>
  </r>
  <r>
    <d v="2015-10-12T00:00:00"/>
    <x v="403"/>
    <x v="39"/>
    <x v="1"/>
    <x v="5"/>
    <x v="841"/>
    <n v="542.94000000000005"/>
    <n v="3"/>
    <n v="141.16"/>
  </r>
  <r>
    <d v="2015-10-12T00:00:00"/>
    <x v="506"/>
    <x v="3"/>
    <x v="0"/>
    <x v="4"/>
    <x v="570"/>
    <n v="56.3"/>
    <n v="2"/>
    <n v="15.76"/>
  </r>
  <r>
    <d v="2015-10-12T00:00:00"/>
    <x v="507"/>
    <x v="1"/>
    <x v="0"/>
    <x v="13"/>
    <x v="1035"/>
    <n v="53.09"/>
    <n v="7"/>
    <n v="-108.83"/>
  </r>
  <r>
    <d v="2015-10-12T00:00:00"/>
    <x v="469"/>
    <x v="3"/>
    <x v="0"/>
    <x v="1"/>
    <x v="851"/>
    <n v="5.76"/>
    <n v="2"/>
    <n v="2.82"/>
  </r>
  <r>
    <d v="2015-10-12T00:00:00"/>
    <x v="508"/>
    <x v="16"/>
    <x v="2"/>
    <x v="9"/>
    <x v="535"/>
    <n v="25.49"/>
    <n v="2"/>
    <n v="4.46"/>
  </r>
  <r>
    <d v="2015-11-12T00:00:00"/>
    <x v="437"/>
    <x v="6"/>
    <x v="0"/>
    <x v="1"/>
    <x v="258"/>
    <n v="196.62"/>
    <n v="2"/>
    <n v="96.34"/>
  </r>
  <r>
    <d v="2015-11-12T00:00:00"/>
    <x v="509"/>
    <x v="0"/>
    <x v="2"/>
    <x v="9"/>
    <x v="380"/>
    <n v="159.97999999999999"/>
    <n v="2"/>
    <n v="36"/>
  </r>
  <r>
    <d v="2015-11-12T00:00:00"/>
    <x v="509"/>
    <x v="0"/>
    <x v="0"/>
    <x v="2"/>
    <x v="684"/>
    <n v="46.34"/>
    <n v="3"/>
    <n v="4.63"/>
  </r>
  <r>
    <d v="2015-11-12T00:00:00"/>
    <x v="497"/>
    <x v="9"/>
    <x v="0"/>
    <x v="3"/>
    <x v="511"/>
    <n v="12.83"/>
    <n v="2"/>
    <n v="-8.98"/>
  </r>
  <r>
    <d v="2015-11-12T00:00:00"/>
    <x v="398"/>
    <x v="19"/>
    <x v="0"/>
    <x v="4"/>
    <x v="654"/>
    <n v="13.12"/>
    <n v="5"/>
    <n v="1.1499999999999999"/>
  </r>
  <r>
    <d v="2015-11-12T00:00:00"/>
    <x v="398"/>
    <x v="19"/>
    <x v="1"/>
    <x v="12"/>
    <x v="1036"/>
    <n v="69.58"/>
    <n v="4"/>
    <n v="-143.79"/>
  </r>
  <r>
    <d v="2015-11-12T00:00:00"/>
    <x v="398"/>
    <x v="19"/>
    <x v="0"/>
    <x v="4"/>
    <x v="1037"/>
    <n v="4.22"/>
    <n v="3"/>
    <n v="0.48"/>
  </r>
  <r>
    <d v="2015-11-12T00:00:00"/>
    <x v="398"/>
    <x v="19"/>
    <x v="2"/>
    <x v="9"/>
    <x v="779"/>
    <n v="58.08"/>
    <n v="4"/>
    <n v="-6.53"/>
  </r>
  <r>
    <d v="2015-11-12T00:00:00"/>
    <x v="398"/>
    <x v="19"/>
    <x v="1"/>
    <x v="8"/>
    <x v="435"/>
    <n v="52.42"/>
    <n v="9"/>
    <n v="15.07"/>
  </r>
  <r>
    <d v="2015-11-12T00:00:00"/>
    <x v="398"/>
    <x v="19"/>
    <x v="1"/>
    <x v="8"/>
    <x v="168"/>
    <n v="54.92"/>
    <n v="5"/>
    <n v="10.98"/>
  </r>
  <r>
    <d v="2015-11-12T00:00:00"/>
    <x v="398"/>
    <x v="19"/>
    <x v="1"/>
    <x v="10"/>
    <x v="1038"/>
    <n v="364.95"/>
    <n v="5"/>
    <n v="-248.17"/>
  </r>
  <r>
    <d v="2015-11-12T00:00:00"/>
    <x v="398"/>
    <x v="19"/>
    <x v="0"/>
    <x v="0"/>
    <x v="1039"/>
    <n v="85.06"/>
    <n v="3"/>
    <n v="28.71"/>
  </r>
  <r>
    <d v="2015-11-12T00:00:00"/>
    <x v="398"/>
    <x v="19"/>
    <x v="0"/>
    <x v="0"/>
    <x v="1040"/>
    <n v="27.7"/>
    <n v="3"/>
    <n v="9.69"/>
  </r>
  <r>
    <d v="2015-11-12T00:00:00"/>
    <x v="510"/>
    <x v="16"/>
    <x v="0"/>
    <x v="3"/>
    <x v="877"/>
    <n v="10.33"/>
    <n v="3"/>
    <n v="-7.58"/>
  </r>
  <r>
    <d v="2015-11-12T00:00:00"/>
    <x v="511"/>
    <x v="3"/>
    <x v="0"/>
    <x v="3"/>
    <x v="27"/>
    <n v="110.53"/>
    <n v="4"/>
    <n v="38.68"/>
  </r>
  <r>
    <d v="2015-11-12T00:00:00"/>
    <x v="512"/>
    <x v="18"/>
    <x v="2"/>
    <x v="9"/>
    <x v="1041"/>
    <n v="175.23"/>
    <n v="11"/>
    <n v="61.33"/>
  </r>
  <r>
    <d v="2015-11-12T00:00:00"/>
    <x v="512"/>
    <x v="18"/>
    <x v="2"/>
    <x v="6"/>
    <x v="364"/>
    <n v="125.99"/>
    <n v="1"/>
    <n v="31.5"/>
  </r>
  <r>
    <d v="2015-11-12T00:00:00"/>
    <x v="512"/>
    <x v="18"/>
    <x v="0"/>
    <x v="3"/>
    <x v="620"/>
    <n v="23"/>
    <n v="2"/>
    <n v="10.35"/>
  </r>
  <r>
    <d v="2015-12-12T00:00:00"/>
    <x v="107"/>
    <x v="3"/>
    <x v="1"/>
    <x v="5"/>
    <x v="184"/>
    <n v="348.93"/>
    <n v="2"/>
    <n v="34.89"/>
  </r>
  <r>
    <d v="2015-12-12T00:00:00"/>
    <x v="196"/>
    <x v="3"/>
    <x v="0"/>
    <x v="7"/>
    <x v="22"/>
    <n v="7.86"/>
    <n v="2"/>
    <n v="3.62"/>
  </r>
  <r>
    <d v="2015-12-12T00:00:00"/>
    <x v="196"/>
    <x v="3"/>
    <x v="0"/>
    <x v="3"/>
    <x v="1042"/>
    <n v="24.45"/>
    <n v="2"/>
    <n v="8.86"/>
  </r>
  <r>
    <d v="2015-12-12T00:00:00"/>
    <x v="447"/>
    <x v="39"/>
    <x v="0"/>
    <x v="4"/>
    <x v="9"/>
    <n v="8.2200000000000006"/>
    <n v="3"/>
    <n v="2.2200000000000002"/>
  </r>
  <r>
    <d v="2015-12-12T00:00:00"/>
    <x v="303"/>
    <x v="0"/>
    <x v="2"/>
    <x v="9"/>
    <x v="986"/>
    <n v="22.37"/>
    <n v="4"/>
    <n v="6.43"/>
  </r>
  <r>
    <d v="2015-12-12T00:00:00"/>
    <x v="234"/>
    <x v="3"/>
    <x v="0"/>
    <x v="4"/>
    <x v="1043"/>
    <n v="2.21"/>
    <n v="1"/>
    <n v="0.6"/>
  </r>
  <r>
    <d v="2015-12-12T00:00:00"/>
    <x v="234"/>
    <x v="3"/>
    <x v="0"/>
    <x v="11"/>
    <x v="441"/>
    <n v="15.52"/>
    <n v="4"/>
    <n v="7.45"/>
  </r>
  <r>
    <d v="2015-12-12T00:00:00"/>
    <x v="234"/>
    <x v="3"/>
    <x v="0"/>
    <x v="0"/>
    <x v="1044"/>
    <n v="36.44"/>
    <n v="4"/>
    <n v="16.399999999999999"/>
  </r>
  <r>
    <d v="2015-12-12T00:00:00"/>
    <x v="475"/>
    <x v="3"/>
    <x v="1"/>
    <x v="8"/>
    <x v="1045"/>
    <n v="166.5"/>
    <n v="3"/>
    <n v="21.65"/>
  </r>
  <r>
    <d v="2015-12-12T00:00:00"/>
    <x v="475"/>
    <x v="3"/>
    <x v="0"/>
    <x v="2"/>
    <x v="622"/>
    <n v="360.38"/>
    <n v="2"/>
    <n v="93.7"/>
  </r>
  <r>
    <d v="2015-12-12T00:00:00"/>
    <x v="513"/>
    <x v="13"/>
    <x v="0"/>
    <x v="0"/>
    <x v="1046"/>
    <n v="32.4"/>
    <n v="5"/>
    <n v="15.88"/>
  </r>
  <r>
    <d v="2015-12-12T00:00:00"/>
    <x v="513"/>
    <x v="13"/>
    <x v="0"/>
    <x v="0"/>
    <x v="307"/>
    <n v="97.88"/>
    <n v="2"/>
    <n v="48.94"/>
  </r>
  <r>
    <d v="2015-12-12T00:00:00"/>
    <x v="279"/>
    <x v="3"/>
    <x v="2"/>
    <x v="9"/>
    <x v="109"/>
    <n v="299.94"/>
    <n v="6"/>
    <n v="128.97"/>
  </r>
  <r>
    <d v="2015-12-12T00:00:00"/>
    <x v="279"/>
    <x v="3"/>
    <x v="0"/>
    <x v="14"/>
    <x v="252"/>
    <n v="25.76"/>
    <n v="7"/>
    <n v="0.52"/>
  </r>
  <r>
    <d v="2016-02-01T00:00:00"/>
    <x v="514"/>
    <x v="39"/>
    <x v="1"/>
    <x v="12"/>
    <x v="1047"/>
    <n v="173.94"/>
    <n v="3"/>
    <n v="38.270000000000003"/>
  </r>
  <r>
    <d v="2016-02-01T00:00:00"/>
    <x v="514"/>
    <x v="39"/>
    <x v="2"/>
    <x v="6"/>
    <x v="1048"/>
    <n v="231.98"/>
    <n v="2"/>
    <n v="67.27"/>
  </r>
  <r>
    <d v="2016-03-01T00:00:00"/>
    <x v="169"/>
    <x v="3"/>
    <x v="0"/>
    <x v="2"/>
    <x v="53"/>
    <n v="114.46"/>
    <n v="2"/>
    <n v="28.62"/>
  </r>
  <r>
    <d v="2016-03-01T00:00:00"/>
    <x v="515"/>
    <x v="0"/>
    <x v="2"/>
    <x v="9"/>
    <x v="1049"/>
    <n v="30.08"/>
    <n v="2"/>
    <n v="-5.26"/>
  </r>
  <r>
    <d v="2016-03-01T00:00:00"/>
    <x v="515"/>
    <x v="0"/>
    <x v="2"/>
    <x v="9"/>
    <x v="489"/>
    <n v="165.6"/>
    <n v="3"/>
    <n v="-6.21"/>
  </r>
  <r>
    <d v="2016-03-01T00:00:00"/>
    <x v="515"/>
    <x v="0"/>
    <x v="2"/>
    <x v="6"/>
    <x v="24"/>
    <n v="180.96"/>
    <n v="5"/>
    <n v="13.57"/>
  </r>
  <r>
    <d v="2016-03-01T00:00:00"/>
    <x v="516"/>
    <x v="34"/>
    <x v="1"/>
    <x v="10"/>
    <x v="1050"/>
    <n v="1592.85"/>
    <n v="7"/>
    <n v="350.43"/>
  </r>
  <r>
    <d v="2016-03-01T00:00:00"/>
    <x v="516"/>
    <x v="34"/>
    <x v="0"/>
    <x v="3"/>
    <x v="176"/>
    <n v="11.88"/>
    <n v="2"/>
    <n v="5.35"/>
  </r>
  <r>
    <d v="2016-04-01T00:00:00"/>
    <x v="517"/>
    <x v="15"/>
    <x v="2"/>
    <x v="15"/>
    <x v="902"/>
    <n v="959.97"/>
    <n v="4"/>
    <n v="120"/>
  </r>
  <r>
    <d v="2016-04-01T00:00:00"/>
    <x v="518"/>
    <x v="2"/>
    <x v="0"/>
    <x v="4"/>
    <x v="16"/>
    <n v="4.67"/>
    <n v="1"/>
    <n v="0.57999999999999996"/>
  </r>
  <r>
    <d v="2016-04-01T00:00:00"/>
    <x v="518"/>
    <x v="2"/>
    <x v="0"/>
    <x v="3"/>
    <x v="204"/>
    <n v="104.58"/>
    <n v="6"/>
    <n v="-80.180000000000007"/>
  </r>
  <r>
    <d v="2016-05-01T00:00:00"/>
    <x v="519"/>
    <x v="9"/>
    <x v="2"/>
    <x v="9"/>
    <x v="1051"/>
    <n v="191.47"/>
    <n v="6"/>
    <n v="40.69"/>
  </r>
  <r>
    <d v="2016-05-01T00:00:00"/>
    <x v="519"/>
    <x v="9"/>
    <x v="0"/>
    <x v="4"/>
    <x v="1052"/>
    <n v="5.25"/>
    <n v="2"/>
    <n v="0.59"/>
  </r>
  <r>
    <d v="2016-05-01T00:00:00"/>
    <x v="519"/>
    <x v="9"/>
    <x v="2"/>
    <x v="6"/>
    <x v="262"/>
    <n v="59.18"/>
    <n v="2"/>
    <n v="5.18"/>
  </r>
  <r>
    <d v="2016-07-01T00:00:00"/>
    <x v="105"/>
    <x v="3"/>
    <x v="0"/>
    <x v="4"/>
    <x v="687"/>
    <n v="34.58"/>
    <n v="1"/>
    <n v="10.029999999999999"/>
  </r>
  <r>
    <d v="2016-07-01T00:00:00"/>
    <x v="440"/>
    <x v="0"/>
    <x v="1"/>
    <x v="8"/>
    <x v="390"/>
    <n v="23.08"/>
    <n v="3"/>
    <n v="-10.96"/>
  </r>
  <r>
    <d v="2016-07-01T00:00:00"/>
    <x v="440"/>
    <x v="0"/>
    <x v="0"/>
    <x v="0"/>
    <x v="1053"/>
    <n v="25.92"/>
    <n v="5"/>
    <n v="9.07"/>
  </r>
  <r>
    <d v="2016-08-01T00:00:00"/>
    <x v="4"/>
    <x v="8"/>
    <x v="1"/>
    <x v="12"/>
    <x v="578"/>
    <n v="1565.88"/>
    <n v="6"/>
    <n v="407.13"/>
  </r>
  <r>
    <d v="2016-08-01T00:00:00"/>
    <x v="4"/>
    <x v="8"/>
    <x v="0"/>
    <x v="3"/>
    <x v="1054"/>
    <n v="106.05"/>
    <n v="7"/>
    <n v="49.84"/>
  </r>
  <r>
    <d v="2016-08-01T00:00:00"/>
    <x v="6"/>
    <x v="15"/>
    <x v="0"/>
    <x v="3"/>
    <x v="685"/>
    <n v="30.83"/>
    <n v="7"/>
    <n v="-24.66"/>
  </r>
  <r>
    <d v="2016-08-01T00:00:00"/>
    <x v="6"/>
    <x v="15"/>
    <x v="0"/>
    <x v="4"/>
    <x v="106"/>
    <n v="47.62"/>
    <n v="3"/>
    <n v="5.95"/>
  </r>
  <r>
    <d v="2016-08-01T00:00:00"/>
    <x v="6"/>
    <x v="15"/>
    <x v="2"/>
    <x v="6"/>
    <x v="1055"/>
    <n v="108.78"/>
    <n v="2"/>
    <n v="10.88"/>
  </r>
  <r>
    <d v="2016-09-01T00:00:00"/>
    <x v="146"/>
    <x v="3"/>
    <x v="2"/>
    <x v="9"/>
    <x v="1056"/>
    <n v="349.95"/>
    <n v="5"/>
    <n v="118.98"/>
  </r>
  <r>
    <d v="2016-09-01T00:00:00"/>
    <x v="146"/>
    <x v="3"/>
    <x v="2"/>
    <x v="6"/>
    <x v="612"/>
    <n v="377.93"/>
    <n v="9"/>
    <n v="141.72"/>
  </r>
  <r>
    <d v="2016-09-01T00:00:00"/>
    <x v="520"/>
    <x v="16"/>
    <x v="1"/>
    <x v="8"/>
    <x v="1005"/>
    <n v="15.17"/>
    <n v="2"/>
    <n v="3.79"/>
  </r>
  <r>
    <d v="2016-10-01T00:00:00"/>
    <x v="55"/>
    <x v="10"/>
    <x v="1"/>
    <x v="8"/>
    <x v="791"/>
    <n v="79.92"/>
    <n v="4"/>
    <n v="34.369999999999997"/>
  </r>
  <r>
    <d v="2016-10-01T00:00:00"/>
    <x v="55"/>
    <x v="10"/>
    <x v="2"/>
    <x v="9"/>
    <x v="1057"/>
    <n v="69.98"/>
    <n v="2"/>
    <n v="13.3"/>
  </r>
  <r>
    <d v="2016-10-01T00:00:00"/>
    <x v="521"/>
    <x v="10"/>
    <x v="1"/>
    <x v="8"/>
    <x v="20"/>
    <n v="24.85"/>
    <n v="5"/>
    <n v="7.7"/>
  </r>
  <r>
    <d v="2016-11-01T00:00:00"/>
    <x v="268"/>
    <x v="16"/>
    <x v="0"/>
    <x v="0"/>
    <x v="1058"/>
    <n v="15.55"/>
    <n v="3"/>
    <n v="5.44"/>
  </r>
  <r>
    <d v="2016-11-01T00:00:00"/>
    <x v="268"/>
    <x v="16"/>
    <x v="0"/>
    <x v="0"/>
    <x v="1003"/>
    <n v="63.31"/>
    <n v="3"/>
    <n v="20.58"/>
  </r>
  <r>
    <d v="2016-11-01T00:00:00"/>
    <x v="268"/>
    <x v="16"/>
    <x v="2"/>
    <x v="6"/>
    <x v="1059"/>
    <n v="15.59"/>
    <n v="2"/>
    <n v="-9.8699999999999992"/>
  </r>
  <r>
    <d v="2016-11-01T00:00:00"/>
    <x v="113"/>
    <x v="16"/>
    <x v="1"/>
    <x v="8"/>
    <x v="600"/>
    <n v="54.99"/>
    <n v="14"/>
    <n v="8.94"/>
  </r>
  <r>
    <d v="2016-01-02T00:00:00"/>
    <x v="18"/>
    <x v="6"/>
    <x v="0"/>
    <x v="2"/>
    <x v="545"/>
    <n v="56.45"/>
    <n v="5"/>
    <n v="14.68"/>
  </r>
  <r>
    <d v="2016-01-02T00:00:00"/>
    <x v="250"/>
    <x v="3"/>
    <x v="0"/>
    <x v="0"/>
    <x v="1034"/>
    <n v="105.52"/>
    <n v="4"/>
    <n v="48.54"/>
  </r>
  <r>
    <d v="2016-02-02T00:00:00"/>
    <x v="474"/>
    <x v="12"/>
    <x v="0"/>
    <x v="2"/>
    <x v="889"/>
    <n v="117.96"/>
    <n v="2"/>
    <n v="5.9"/>
  </r>
  <r>
    <d v="2016-02-02T00:00:00"/>
    <x v="74"/>
    <x v="6"/>
    <x v="2"/>
    <x v="16"/>
    <x v="1060"/>
    <n v="8749.9500000000007"/>
    <n v="5"/>
    <n v="2799.98"/>
  </r>
  <r>
    <d v="2016-02-02T00:00:00"/>
    <x v="74"/>
    <x v="6"/>
    <x v="0"/>
    <x v="3"/>
    <x v="235"/>
    <n v="36.4"/>
    <n v="8"/>
    <n v="18.2"/>
  </r>
  <r>
    <d v="2016-02-02T00:00:00"/>
    <x v="74"/>
    <x v="6"/>
    <x v="1"/>
    <x v="8"/>
    <x v="710"/>
    <n v="18.690000000000001"/>
    <n v="7"/>
    <n v="7.1"/>
  </r>
  <r>
    <d v="2016-02-02T00:00:00"/>
    <x v="349"/>
    <x v="0"/>
    <x v="1"/>
    <x v="8"/>
    <x v="1061"/>
    <n v="73.78"/>
    <n v="2"/>
    <n v="-77.47"/>
  </r>
  <r>
    <d v="2016-03-02T00:00:00"/>
    <x v="255"/>
    <x v="5"/>
    <x v="1"/>
    <x v="5"/>
    <x v="203"/>
    <n v="866.4"/>
    <n v="4"/>
    <n v="225.26"/>
  </r>
  <r>
    <d v="2016-04-02T00:00:00"/>
    <x v="522"/>
    <x v="23"/>
    <x v="1"/>
    <x v="8"/>
    <x v="349"/>
    <n v="14.37"/>
    <n v="2"/>
    <n v="3.95"/>
  </r>
  <r>
    <d v="2016-04-02T00:00:00"/>
    <x v="210"/>
    <x v="39"/>
    <x v="2"/>
    <x v="6"/>
    <x v="24"/>
    <n v="90.48"/>
    <n v="2"/>
    <n v="23.52"/>
  </r>
  <r>
    <d v="2016-04-02T00:00:00"/>
    <x v="366"/>
    <x v="3"/>
    <x v="0"/>
    <x v="2"/>
    <x v="108"/>
    <n v="93.02"/>
    <n v="2"/>
    <n v="3.72"/>
  </r>
  <r>
    <d v="2016-05-02T00:00:00"/>
    <x v="208"/>
    <x v="4"/>
    <x v="0"/>
    <x v="2"/>
    <x v="76"/>
    <n v="80.98"/>
    <n v="1"/>
    <n v="1.62"/>
  </r>
  <r>
    <d v="2016-05-02T00:00:00"/>
    <x v="208"/>
    <x v="4"/>
    <x v="0"/>
    <x v="0"/>
    <x v="318"/>
    <n v="348.84"/>
    <n v="9"/>
    <n v="170.93"/>
  </r>
  <r>
    <d v="2016-05-02T00:00:00"/>
    <x v="208"/>
    <x v="4"/>
    <x v="0"/>
    <x v="7"/>
    <x v="1062"/>
    <n v="9.4499999999999993"/>
    <n v="5"/>
    <n v="0.19"/>
  </r>
  <r>
    <d v="2016-05-02T00:00:00"/>
    <x v="208"/>
    <x v="4"/>
    <x v="1"/>
    <x v="8"/>
    <x v="555"/>
    <n v="18.84"/>
    <n v="3"/>
    <n v="7.16"/>
  </r>
  <r>
    <d v="2016-05-02T00:00:00"/>
    <x v="208"/>
    <x v="4"/>
    <x v="1"/>
    <x v="12"/>
    <x v="1063"/>
    <n v="239.98"/>
    <n v="2"/>
    <n v="52.8"/>
  </r>
  <r>
    <d v="2016-05-02T00:00:00"/>
    <x v="208"/>
    <x v="4"/>
    <x v="0"/>
    <x v="11"/>
    <x v="1064"/>
    <n v="167.96"/>
    <n v="2"/>
    <n v="78.94"/>
  </r>
  <r>
    <d v="2016-05-02T00:00:00"/>
    <x v="208"/>
    <x v="4"/>
    <x v="2"/>
    <x v="6"/>
    <x v="394"/>
    <n v="104.85"/>
    <n v="3"/>
    <n v="28.31"/>
  </r>
  <r>
    <d v="2016-05-02T00:00:00"/>
    <x v="208"/>
    <x v="4"/>
    <x v="2"/>
    <x v="6"/>
    <x v="31"/>
    <n v="484.83"/>
    <n v="3"/>
    <n v="126.06"/>
  </r>
  <r>
    <d v="2016-05-02T00:00:00"/>
    <x v="208"/>
    <x v="4"/>
    <x v="0"/>
    <x v="0"/>
    <x v="1065"/>
    <n v="122.97"/>
    <n v="3"/>
    <n v="60.26"/>
  </r>
  <r>
    <d v="2016-05-02T00:00:00"/>
    <x v="208"/>
    <x v="4"/>
    <x v="0"/>
    <x v="2"/>
    <x v="1014"/>
    <n v="154.44"/>
    <n v="3"/>
    <n v="1.54"/>
  </r>
  <r>
    <d v="2016-05-02T00:00:00"/>
    <x v="208"/>
    <x v="4"/>
    <x v="0"/>
    <x v="0"/>
    <x v="1066"/>
    <n v="342.37"/>
    <n v="7"/>
    <n v="160.91"/>
  </r>
  <r>
    <d v="2016-05-02T00:00:00"/>
    <x v="379"/>
    <x v="3"/>
    <x v="0"/>
    <x v="1"/>
    <x v="1"/>
    <n v="14.73"/>
    <n v="3"/>
    <n v="7.22"/>
  </r>
  <r>
    <d v="2016-05-02T00:00:00"/>
    <x v="379"/>
    <x v="3"/>
    <x v="0"/>
    <x v="2"/>
    <x v="1067"/>
    <n v="186.54"/>
    <n v="3"/>
    <n v="50.37"/>
  </r>
  <r>
    <d v="2016-05-02T00:00:00"/>
    <x v="379"/>
    <x v="3"/>
    <x v="1"/>
    <x v="10"/>
    <x v="752"/>
    <n v="557.73"/>
    <n v="4"/>
    <n v="6.97"/>
  </r>
  <r>
    <d v="2016-05-02T00:00:00"/>
    <x v="379"/>
    <x v="3"/>
    <x v="2"/>
    <x v="6"/>
    <x v="1068"/>
    <n v="159.97"/>
    <n v="4"/>
    <n v="-31.99"/>
  </r>
  <r>
    <d v="2016-06-02T00:00:00"/>
    <x v="470"/>
    <x v="31"/>
    <x v="1"/>
    <x v="8"/>
    <x v="200"/>
    <n v="132.22"/>
    <n v="4"/>
    <n v="-18.18"/>
  </r>
  <r>
    <d v="2016-07-02T00:00:00"/>
    <x v="523"/>
    <x v="6"/>
    <x v="2"/>
    <x v="9"/>
    <x v="1069"/>
    <n v="100"/>
    <n v="4"/>
    <n v="21"/>
  </r>
  <r>
    <d v="2016-07-02T00:00:00"/>
    <x v="523"/>
    <x v="6"/>
    <x v="0"/>
    <x v="1"/>
    <x v="1028"/>
    <n v="7.83"/>
    <n v="3"/>
    <n v="3.6"/>
  </r>
  <r>
    <d v="2016-07-02T00:00:00"/>
    <x v="524"/>
    <x v="16"/>
    <x v="0"/>
    <x v="0"/>
    <x v="554"/>
    <n v="30.35"/>
    <n v="2"/>
    <n v="10.62"/>
  </r>
  <r>
    <d v="2016-07-02T00:00:00"/>
    <x v="517"/>
    <x v="3"/>
    <x v="2"/>
    <x v="6"/>
    <x v="1070"/>
    <n v="623.96"/>
    <n v="5"/>
    <n v="39"/>
  </r>
  <r>
    <d v="2016-08-02T00:00:00"/>
    <x v="525"/>
    <x v="15"/>
    <x v="2"/>
    <x v="6"/>
    <x v="1071"/>
    <n v="1127.98"/>
    <n v="3"/>
    <n v="126.9"/>
  </r>
  <r>
    <d v="2016-08-02T00:00:00"/>
    <x v="15"/>
    <x v="0"/>
    <x v="1"/>
    <x v="5"/>
    <x v="50"/>
    <n v="241.5"/>
    <n v="4"/>
    <n v="0"/>
  </r>
  <r>
    <d v="2016-09-02T00:00:00"/>
    <x v="526"/>
    <x v="3"/>
    <x v="2"/>
    <x v="9"/>
    <x v="601"/>
    <n v="89.97"/>
    <n v="3"/>
    <n v="39.590000000000003"/>
  </r>
  <r>
    <d v="2016-09-02T00:00:00"/>
    <x v="526"/>
    <x v="3"/>
    <x v="2"/>
    <x v="9"/>
    <x v="1041"/>
    <n v="31.86"/>
    <n v="2"/>
    <n v="11.15"/>
  </r>
  <r>
    <d v="2016-11-02T00:00:00"/>
    <x v="527"/>
    <x v="34"/>
    <x v="2"/>
    <x v="6"/>
    <x v="1072"/>
    <n v="69.930000000000007"/>
    <n v="7"/>
    <n v="0.7"/>
  </r>
  <r>
    <d v="2016-12-02T00:00:00"/>
    <x v="72"/>
    <x v="4"/>
    <x v="0"/>
    <x v="2"/>
    <x v="536"/>
    <n v="1350.12"/>
    <n v="6"/>
    <n v="175.52"/>
  </r>
  <r>
    <d v="2016-12-02T00:00:00"/>
    <x v="72"/>
    <x v="4"/>
    <x v="0"/>
    <x v="3"/>
    <x v="866"/>
    <n v="15.92"/>
    <n v="4"/>
    <n v="7.48"/>
  </r>
  <r>
    <d v="2016-01-03T00:00:00"/>
    <x v="279"/>
    <x v="12"/>
    <x v="1"/>
    <x v="10"/>
    <x v="752"/>
    <n v="836.59"/>
    <n v="8"/>
    <n v="-264.92"/>
  </r>
  <r>
    <d v="2016-01-03T00:00:00"/>
    <x v="279"/>
    <x v="12"/>
    <x v="0"/>
    <x v="0"/>
    <x v="177"/>
    <n v="26.38"/>
    <n v="1"/>
    <n v="12.13"/>
  </r>
  <r>
    <d v="2016-01-03T00:00:00"/>
    <x v="279"/>
    <x v="12"/>
    <x v="0"/>
    <x v="2"/>
    <x v="512"/>
    <n v="362.92"/>
    <n v="2"/>
    <n v="105.25"/>
  </r>
  <r>
    <d v="2016-01-03T00:00:00"/>
    <x v="279"/>
    <x v="12"/>
    <x v="2"/>
    <x v="16"/>
    <x v="1073"/>
    <n v="4899.93"/>
    <n v="7"/>
    <n v="2400.9699999999998"/>
  </r>
  <r>
    <d v="2016-01-03T00:00:00"/>
    <x v="264"/>
    <x v="19"/>
    <x v="2"/>
    <x v="6"/>
    <x v="1074"/>
    <n v="159.97999999999999"/>
    <n v="2"/>
    <n v="14"/>
  </r>
  <r>
    <d v="2016-03-03T00:00:00"/>
    <x v="123"/>
    <x v="7"/>
    <x v="0"/>
    <x v="3"/>
    <x v="414"/>
    <n v="447.86"/>
    <n v="7"/>
    <n v="219.45"/>
  </r>
  <r>
    <d v="2016-03-03T00:00:00"/>
    <x v="123"/>
    <x v="7"/>
    <x v="2"/>
    <x v="6"/>
    <x v="156"/>
    <n v="479.95"/>
    <n v="5"/>
    <n v="129.59"/>
  </r>
  <r>
    <d v="2016-03-03T00:00:00"/>
    <x v="123"/>
    <x v="7"/>
    <x v="0"/>
    <x v="0"/>
    <x v="133"/>
    <n v="166.44"/>
    <n v="3"/>
    <n v="79.89"/>
  </r>
  <r>
    <d v="2016-03-03T00:00:00"/>
    <x v="528"/>
    <x v="0"/>
    <x v="0"/>
    <x v="0"/>
    <x v="1075"/>
    <n v="42.78"/>
    <n v="7"/>
    <n v="15.51"/>
  </r>
  <r>
    <d v="2016-03-03T00:00:00"/>
    <x v="528"/>
    <x v="0"/>
    <x v="1"/>
    <x v="5"/>
    <x v="954"/>
    <n v="563.42999999999995"/>
    <n v="5"/>
    <n v="-56.34"/>
  </r>
  <r>
    <d v="2016-03-03T00:00:00"/>
    <x v="445"/>
    <x v="26"/>
    <x v="2"/>
    <x v="6"/>
    <x v="1076"/>
    <n v="134.85"/>
    <n v="3"/>
    <n v="37.76"/>
  </r>
  <r>
    <d v="2016-03-03T00:00:00"/>
    <x v="215"/>
    <x v="0"/>
    <x v="1"/>
    <x v="10"/>
    <x v="1077"/>
    <n v="637.9"/>
    <n v="3"/>
    <n v="-127.58"/>
  </r>
  <r>
    <d v="2016-03-03T00:00:00"/>
    <x v="215"/>
    <x v="0"/>
    <x v="2"/>
    <x v="16"/>
    <x v="968"/>
    <n v="287.91000000000003"/>
    <n v="3"/>
    <n v="33.590000000000003"/>
  </r>
  <r>
    <d v="2016-03-03T00:00:00"/>
    <x v="215"/>
    <x v="0"/>
    <x v="0"/>
    <x v="11"/>
    <x v="964"/>
    <n v="36.6"/>
    <n v="3"/>
    <n v="11.9"/>
  </r>
  <r>
    <d v="2016-03-03T00:00:00"/>
    <x v="529"/>
    <x v="3"/>
    <x v="0"/>
    <x v="14"/>
    <x v="1078"/>
    <n v="25.35"/>
    <n v="3"/>
    <n v="7.61"/>
  </r>
  <r>
    <d v="2016-03-03T00:00:00"/>
    <x v="529"/>
    <x v="3"/>
    <x v="1"/>
    <x v="8"/>
    <x v="766"/>
    <n v="35.28"/>
    <n v="3"/>
    <n v="12"/>
  </r>
  <r>
    <d v="2016-03-03T00:00:00"/>
    <x v="453"/>
    <x v="0"/>
    <x v="0"/>
    <x v="14"/>
    <x v="1079"/>
    <n v="3930.07"/>
    <n v="3"/>
    <n v="-786.01"/>
  </r>
  <r>
    <d v="2016-03-03T00:00:00"/>
    <x v="453"/>
    <x v="0"/>
    <x v="0"/>
    <x v="7"/>
    <x v="148"/>
    <n v="2.2999999999999998"/>
    <n v="1"/>
    <n v="0.78"/>
  </r>
  <r>
    <d v="2016-03-03T00:00:00"/>
    <x v="453"/>
    <x v="0"/>
    <x v="2"/>
    <x v="6"/>
    <x v="290"/>
    <n v="431.98"/>
    <n v="3"/>
    <n v="32.4"/>
  </r>
  <r>
    <d v="2016-03-03T00:00:00"/>
    <x v="453"/>
    <x v="0"/>
    <x v="2"/>
    <x v="9"/>
    <x v="301"/>
    <n v="41.72"/>
    <n v="7"/>
    <n v="5.74"/>
  </r>
  <r>
    <d v="2016-04-03T00:00:00"/>
    <x v="530"/>
    <x v="3"/>
    <x v="0"/>
    <x v="4"/>
    <x v="1080"/>
    <n v="16.989999999999998"/>
    <n v="1"/>
    <n v="4.93"/>
  </r>
  <r>
    <d v="2016-04-03T00:00:00"/>
    <x v="531"/>
    <x v="9"/>
    <x v="0"/>
    <x v="1"/>
    <x v="104"/>
    <n v="10.08"/>
    <n v="4"/>
    <n v="3.53"/>
  </r>
  <r>
    <d v="2016-04-03T00:00:00"/>
    <x v="122"/>
    <x v="26"/>
    <x v="0"/>
    <x v="3"/>
    <x v="240"/>
    <n v="128.4"/>
    <n v="3"/>
    <n v="64.2"/>
  </r>
  <r>
    <d v="2016-04-03T00:00:00"/>
    <x v="385"/>
    <x v="43"/>
    <x v="2"/>
    <x v="9"/>
    <x v="591"/>
    <n v="159.97999999999999"/>
    <n v="2"/>
    <n v="57.59"/>
  </r>
  <r>
    <d v="2016-05-03T00:00:00"/>
    <x v="532"/>
    <x v="0"/>
    <x v="0"/>
    <x v="11"/>
    <x v="614"/>
    <n v="149.35"/>
    <n v="3"/>
    <n v="50.41"/>
  </r>
  <r>
    <d v="2016-05-03T00:00:00"/>
    <x v="532"/>
    <x v="0"/>
    <x v="0"/>
    <x v="2"/>
    <x v="35"/>
    <n v="12.99"/>
    <n v="1"/>
    <n v="-0.81"/>
  </r>
  <r>
    <d v="2016-06-03T00:00:00"/>
    <x v="369"/>
    <x v="2"/>
    <x v="2"/>
    <x v="6"/>
    <x v="260"/>
    <n v="431.94"/>
    <n v="2"/>
    <n v="-71.989999999999995"/>
  </r>
  <r>
    <d v="2016-06-03T00:00:00"/>
    <x v="369"/>
    <x v="2"/>
    <x v="0"/>
    <x v="3"/>
    <x v="518"/>
    <n v="2.04"/>
    <n v="1"/>
    <n v="-1.5"/>
  </r>
  <r>
    <d v="2016-06-03T00:00:00"/>
    <x v="369"/>
    <x v="2"/>
    <x v="2"/>
    <x v="6"/>
    <x v="1081"/>
    <n v="68.239999999999995"/>
    <n v="3"/>
    <n v="-12.51"/>
  </r>
  <r>
    <d v="2016-06-03T00:00:00"/>
    <x v="370"/>
    <x v="1"/>
    <x v="0"/>
    <x v="13"/>
    <x v="226"/>
    <n v="2.33"/>
    <n v="3"/>
    <n v="-6.3"/>
  </r>
  <r>
    <d v="2016-06-03T00:00:00"/>
    <x v="370"/>
    <x v="1"/>
    <x v="0"/>
    <x v="3"/>
    <x v="1082"/>
    <n v="1.73"/>
    <n v="4"/>
    <n v="-2.76"/>
  </r>
  <r>
    <d v="2016-06-03T00:00:00"/>
    <x v="370"/>
    <x v="1"/>
    <x v="1"/>
    <x v="8"/>
    <x v="1083"/>
    <n v="159.04"/>
    <n v="5"/>
    <n v="-194.82"/>
  </r>
  <r>
    <d v="2016-06-03T00:00:00"/>
    <x v="370"/>
    <x v="1"/>
    <x v="1"/>
    <x v="10"/>
    <x v="1038"/>
    <n v="145.97999999999999"/>
    <n v="2"/>
    <n v="-99.27"/>
  </r>
  <r>
    <d v="2016-07-03T00:00:00"/>
    <x v="142"/>
    <x v="0"/>
    <x v="2"/>
    <x v="6"/>
    <x v="1084"/>
    <n v="21.07"/>
    <n v="3"/>
    <n v="1.58"/>
  </r>
  <r>
    <d v="2016-08-03T00:00:00"/>
    <x v="533"/>
    <x v="9"/>
    <x v="2"/>
    <x v="6"/>
    <x v="353"/>
    <n v="1363.96"/>
    <n v="5"/>
    <n v="85.25"/>
  </r>
  <r>
    <d v="2016-08-03T00:00:00"/>
    <x v="533"/>
    <x v="9"/>
    <x v="1"/>
    <x v="8"/>
    <x v="445"/>
    <n v="102.36"/>
    <n v="3"/>
    <n v="-3.84"/>
  </r>
  <r>
    <d v="2016-08-03T00:00:00"/>
    <x v="94"/>
    <x v="23"/>
    <x v="0"/>
    <x v="3"/>
    <x v="29"/>
    <n v="9.6999999999999993"/>
    <n v="3"/>
    <n v="-7.11"/>
  </r>
  <r>
    <d v="2016-08-03T00:00:00"/>
    <x v="534"/>
    <x v="2"/>
    <x v="2"/>
    <x v="6"/>
    <x v="24"/>
    <n v="108.58"/>
    <n v="4"/>
    <n v="-25.33"/>
  </r>
  <r>
    <d v="2016-08-03T00:00:00"/>
    <x v="534"/>
    <x v="2"/>
    <x v="0"/>
    <x v="7"/>
    <x v="962"/>
    <n v="5.98"/>
    <n v="2"/>
    <n v="-1.35"/>
  </r>
  <r>
    <d v="2016-08-03T00:00:00"/>
    <x v="392"/>
    <x v="12"/>
    <x v="1"/>
    <x v="8"/>
    <x v="669"/>
    <n v="113.6"/>
    <n v="8"/>
    <n v="44.3"/>
  </r>
  <r>
    <d v="2016-08-03T00:00:00"/>
    <x v="392"/>
    <x v="12"/>
    <x v="0"/>
    <x v="0"/>
    <x v="1085"/>
    <n v="12.96"/>
    <n v="2"/>
    <n v="6.35"/>
  </r>
  <r>
    <d v="2016-08-03T00:00:00"/>
    <x v="392"/>
    <x v="12"/>
    <x v="0"/>
    <x v="3"/>
    <x v="540"/>
    <n v="69.459999999999994"/>
    <n v="2"/>
    <n v="22.57"/>
  </r>
  <r>
    <d v="2016-08-03T00:00:00"/>
    <x v="535"/>
    <x v="0"/>
    <x v="0"/>
    <x v="3"/>
    <x v="910"/>
    <n v="8.86"/>
    <n v="9"/>
    <n v="-14.17"/>
  </r>
  <r>
    <d v="2016-08-03T00:00:00"/>
    <x v="535"/>
    <x v="0"/>
    <x v="2"/>
    <x v="9"/>
    <x v="1086"/>
    <n v="27.96"/>
    <n v="5"/>
    <n v="8.39"/>
  </r>
  <r>
    <d v="2016-08-03T00:00:00"/>
    <x v="535"/>
    <x v="0"/>
    <x v="0"/>
    <x v="11"/>
    <x v="1087"/>
    <n v="146.35"/>
    <n v="3"/>
    <n v="49.39"/>
  </r>
  <r>
    <d v="2016-08-03T00:00:00"/>
    <x v="165"/>
    <x v="18"/>
    <x v="0"/>
    <x v="13"/>
    <x v="1088"/>
    <n v="207.14"/>
    <n v="3"/>
    <n v="48.33"/>
  </r>
  <r>
    <d v="2016-08-03T00:00:00"/>
    <x v="165"/>
    <x v="18"/>
    <x v="0"/>
    <x v="4"/>
    <x v="284"/>
    <n v="13.9"/>
    <n v="5"/>
    <n v="3.75"/>
  </r>
  <r>
    <d v="2016-09-03T00:00:00"/>
    <x v="198"/>
    <x v="27"/>
    <x v="2"/>
    <x v="9"/>
    <x v="699"/>
    <n v="199.75"/>
    <n v="5"/>
    <n v="87.89"/>
  </r>
  <r>
    <d v="2016-09-03T00:00:00"/>
    <x v="536"/>
    <x v="20"/>
    <x v="0"/>
    <x v="2"/>
    <x v="1089"/>
    <n v="11.21"/>
    <n v="1"/>
    <n v="3.36"/>
  </r>
  <r>
    <d v="2016-09-03T00:00:00"/>
    <x v="536"/>
    <x v="20"/>
    <x v="1"/>
    <x v="5"/>
    <x v="239"/>
    <n v="354.9"/>
    <n v="5"/>
    <n v="88.73"/>
  </r>
  <r>
    <d v="2016-09-03T00:00:00"/>
    <x v="536"/>
    <x v="20"/>
    <x v="0"/>
    <x v="0"/>
    <x v="1090"/>
    <n v="17.940000000000001"/>
    <n v="3"/>
    <n v="8.7899999999999991"/>
  </r>
  <r>
    <d v="2016-09-03T00:00:00"/>
    <x v="536"/>
    <x v="20"/>
    <x v="0"/>
    <x v="3"/>
    <x v="856"/>
    <n v="51.8"/>
    <n v="4"/>
    <n v="23.31"/>
  </r>
  <r>
    <d v="2016-10-03T00:00:00"/>
    <x v="537"/>
    <x v="12"/>
    <x v="1"/>
    <x v="12"/>
    <x v="227"/>
    <n v="176.78"/>
    <n v="1"/>
    <n v="-22.1"/>
  </r>
  <r>
    <d v="2016-10-03T00:00:00"/>
    <x v="538"/>
    <x v="2"/>
    <x v="2"/>
    <x v="9"/>
    <x v="472"/>
    <n v="39.99"/>
    <n v="1"/>
    <n v="7.5"/>
  </r>
  <r>
    <d v="2016-10-03T00:00:00"/>
    <x v="539"/>
    <x v="3"/>
    <x v="0"/>
    <x v="0"/>
    <x v="1091"/>
    <n v="14.9"/>
    <n v="5"/>
    <n v="7.15"/>
  </r>
  <r>
    <d v="2016-10-03T00:00:00"/>
    <x v="539"/>
    <x v="3"/>
    <x v="2"/>
    <x v="6"/>
    <x v="1092"/>
    <n v="4158.91"/>
    <n v="8"/>
    <n v="363.9"/>
  </r>
  <r>
    <d v="2016-10-03T00:00:00"/>
    <x v="540"/>
    <x v="3"/>
    <x v="2"/>
    <x v="9"/>
    <x v="461"/>
    <n v="26.85"/>
    <n v="3"/>
    <n v="5.0999999999999996"/>
  </r>
  <r>
    <d v="2016-10-03T00:00:00"/>
    <x v="540"/>
    <x v="3"/>
    <x v="2"/>
    <x v="16"/>
    <x v="1093"/>
    <n v="3357.6"/>
    <n v="3"/>
    <n v="377.73"/>
  </r>
  <r>
    <d v="2016-10-03T00:00:00"/>
    <x v="541"/>
    <x v="23"/>
    <x v="0"/>
    <x v="2"/>
    <x v="1094"/>
    <n v="104.7"/>
    <n v="1"/>
    <n v="6.54"/>
  </r>
  <r>
    <d v="2016-11-03T00:00:00"/>
    <x v="264"/>
    <x v="28"/>
    <x v="2"/>
    <x v="9"/>
    <x v="999"/>
    <n v="45.98"/>
    <n v="2"/>
    <n v="19.77"/>
  </r>
  <r>
    <d v="2016-11-03T00:00:00"/>
    <x v="264"/>
    <x v="28"/>
    <x v="0"/>
    <x v="3"/>
    <x v="38"/>
    <n v="17.46"/>
    <n v="2"/>
    <n v="8.2100000000000009"/>
  </r>
  <r>
    <d v="2016-11-03T00:00:00"/>
    <x v="2"/>
    <x v="11"/>
    <x v="1"/>
    <x v="10"/>
    <x v="752"/>
    <n v="244.01"/>
    <n v="2"/>
    <n v="-31.37"/>
  </r>
  <r>
    <d v="2016-11-03T00:00:00"/>
    <x v="400"/>
    <x v="4"/>
    <x v="1"/>
    <x v="8"/>
    <x v="390"/>
    <n v="76.92"/>
    <n v="4"/>
    <n v="31.54"/>
  </r>
  <r>
    <d v="2016-11-03T00:00:00"/>
    <x v="400"/>
    <x v="4"/>
    <x v="0"/>
    <x v="2"/>
    <x v="803"/>
    <n v="481.32"/>
    <n v="4"/>
    <n v="125.14"/>
  </r>
  <r>
    <d v="2016-11-03T00:00:00"/>
    <x v="542"/>
    <x v="2"/>
    <x v="1"/>
    <x v="8"/>
    <x v="721"/>
    <n v="30.34"/>
    <n v="4"/>
    <n v="9.48"/>
  </r>
  <r>
    <d v="2016-12-03T00:00:00"/>
    <x v="471"/>
    <x v="21"/>
    <x v="0"/>
    <x v="0"/>
    <x v="1025"/>
    <n v="12.96"/>
    <n v="2"/>
    <n v="6.22"/>
  </r>
  <r>
    <d v="2016-12-03T00:00:00"/>
    <x v="406"/>
    <x v="12"/>
    <x v="0"/>
    <x v="11"/>
    <x v="55"/>
    <n v="29.34"/>
    <n v="3"/>
    <n v="13.5"/>
  </r>
  <r>
    <d v="2016-12-03T00:00:00"/>
    <x v="489"/>
    <x v="3"/>
    <x v="0"/>
    <x v="2"/>
    <x v="1095"/>
    <n v="676.55"/>
    <n v="5"/>
    <n v="6.77"/>
  </r>
  <r>
    <d v="2016-12-03T00:00:00"/>
    <x v="489"/>
    <x v="3"/>
    <x v="0"/>
    <x v="13"/>
    <x v="98"/>
    <n v="154.9"/>
    <n v="5"/>
    <n v="40.270000000000003"/>
  </r>
  <r>
    <d v="2016-12-03T00:00:00"/>
    <x v="489"/>
    <x v="3"/>
    <x v="0"/>
    <x v="11"/>
    <x v="221"/>
    <n v="30.56"/>
    <n v="4"/>
    <n v="14.97"/>
  </r>
  <r>
    <d v="2016-12-03T00:00:00"/>
    <x v="489"/>
    <x v="3"/>
    <x v="1"/>
    <x v="5"/>
    <x v="598"/>
    <n v="770.35"/>
    <n v="3"/>
    <n v="77.040000000000006"/>
  </r>
  <r>
    <d v="2016-12-03T00:00:00"/>
    <x v="463"/>
    <x v="3"/>
    <x v="0"/>
    <x v="0"/>
    <x v="1096"/>
    <n v="19.98"/>
    <n v="2"/>
    <n v="8.99"/>
  </r>
  <r>
    <d v="2016-01-04T00:00:00"/>
    <x v="543"/>
    <x v="12"/>
    <x v="0"/>
    <x v="4"/>
    <x v="69"/>
    <n v="59.52"/>
    <n v="3"/>
    <n v="15.48"/>
  </r>
  <r>
    <d v="2016-01-04T00:00:00"/>
    <x v="543"/>
    <x v="12"/>
    <x v="0"/>
    <x v="2"/>
    <x v="52"/>
    <n v="161.94"/>
    <n v="3"/>
    <n v="9.7200000000000006"/>
  </r>
  <r>
    <d v="2016-01-04T00:00:00"/>
    <x v="543"/>
    <x v="12"/>
    <x v="0"/>
    <x v="4"/>
    <x v="251"/>
    <n v="263.88"/>
    <n v="6"/>
    <n v="71.25"/>
  </r>
  <r>
    <d v="2016-01-04T00:00:00"/>
    <x v="543"/>
    <x v="12"/>
    <x v="0"/>
    <x v="4"/>
    <x v="575"/>
    <n v="30.48"/>
    <n v="3"/>
    <n v="7.92"/>
  </r>
  <r>
    <d v="2016-01-04T00:00:00"/>
    <x v="543"/>
    <x v="12"/>
    <x v="0"/>
    <x v="4"/>
    <x v="1097"/>
    <n v="9.84"/>
    <n v="3"/>
    <n v="2.85"/>
  </r>
  <r>
    <d v="2016-01-04T00:00:00"/>
    <x v="543"/>
    <x v="12"/>
    <x v="2"/>
    <x v="6"/>
    <x v="1084"/>
    <n v="35.119999999999997"/>
    <n v="4"/>
    <n v="9.1300000000000008"/>
  </r>
  <r>
    <d v="2016-01-04T00:00:00"/>
    <x v="464"/>
    <x v="23"/>
    <x v="0"/>
    <x v="7"/>
    <x v="22"/>
    <n v="31.56"/>
    <n v="5"/>
    <n v="9.86"/>
  </r>
  <r>
    <d v="2016-01-04T00:00:00"/>
    <x v="464"/>
    <x v="23"/>
    <x v="0"/>
    <x v="13"/>
    <x v="1098"/>
    <n v="30.14"/>
    <n v="2"/>
    <n v="3.01"/>
  </r>
  <r>
    <d v="2016-01-04T00:00:00"/>
    <x v="544"/>
    <x v="12"/>
    <x v="0"/>
    <x v="4"/>
    <x v="1099"/>
    <n v="88.04"/>
    <n v="4"/>
    <n v="22.89"/>
  </r>
  <r>
    <d v="2016-01-04T00:00:00"/>
    <x v="308"/>
    <x v="12"/>
    <x v="0"/>
    <x v="1"/>
    <x v="1100"/>
    <n v="20.7"/>
    <n v="2"/>
    <n v="9.94"/>
  </r>
  <r>
    <d v="2016-01-04T00:00:00"/>
    <x v="308"/>
    <x v="12"/>
    <x v="0"/>
    <x v="14"/>
    <x v="584"/>
    <n v="10.95"/>
    <n v="3"/>
    <n v="3.29"/>
  </r>
  <r>
    <d v="2016-01-04T00:00:00"/>
    <x v="308"/>
    <x v="12"/>
    <x v="0"/>
    <x v="3"/>
    <x v="965"/>
    <n v="14.35"/>
    <n v="3"/>
    <n v="4.66"/>
  </r>
  <r>
    <d v="2016-01-04T00:00:00"/>
    <x v="306"/>
    <x v="12"/>
    <x v="1"/>
    <x v="5"/>
    <x v="423"/>
    <n v="1317.49"/>
    <n v="6"/>
    <n v="292.77999999999997"/>
  </r>
  <r>
    <d v="2016-01-04T00:00:00"/>
    <x v="306"/>
    <x v="12"/>
    <x v="0"/>
    <x v="14"/>
    <x v="252"/>
    <n v="63.84"/>
    <n v="8"/>
    <n v="18.510000000000002"/>
  </r>
  <r>
    <d v="2016-01-04T00:00:00"/>
    <x v="306"/>
    <x v="12"/>
    <x v="0"/>
    <x v="3"/>
    <x v="107"/>
    <n v="3.59"/>
    <n v="1"/>
    <n v="1.1200000000000001"/>
  </r>
  <r>
    <d v="2016-01-04T00:00:00"/>
    <x v="545"/>
    <x v="4"/>
    <x v="1"/>
    <x v="8"/>
    <x v="1101"/>
    <n v="7.04"/>
    <n v="4"/>
    <n v="3.1"/>
  </r>
  <r>
    <d v="2016-01-04T00:00:00"/>
    <x v="546"/>
    <x v="8"/>
    <x v="2"/>
    <x v="6"/>
    <x v="1059"/>
    <n v="12.99"/>
    <n v="1"/>
    <n v="0.26"/>
  </r>
  <r>
    <d v="2016-02-04T00:00:00"/>
    <x v="311"/>
    <x v="8"/>
    <x v="1"/>
    <x v="5"/>
    <x v="1102"/>
    <n v="1454.9"/>
    <n v="5"/>
    <n v="378.27"/>
  </r>
  <r>
    <d v="2016-03-04T00:00:00"/>
    <x v="121"/>
    <x v="2"/>
    <x v="0"/>
    <x v="3"/>
    <x v="1103"/>
    <n v="99.85"/>
    <n v="9"/>
    <n v="-83.21"/>
  </r>
  <r>
    <d v="2016-03-04T00:00:00"/>
    <x v="547"/>
    <x v="26"/>
    <x v="1"/>
    <x v="8"/>
    <x v="891"/>
    <n v="71.12"/>
    <n v="4"/>
    <n v="22.05"/>
  </r>
  <r>
    <d v="2016-03-04T00:00:00"/>
    <x v="547"/>
    <x v="26"/>
    <x v="2"/>
    <x v="6"/>
    <x v="498"/>
    <n v="259.95999999999998"/>
    <n v="4"/>
    <n v="124.78"/>
  </r>
  <r>
    <d v="2016-03-04T00:00:00"/>
    <x v="269"/>
    <x v="0"/>
    <x v="0"/>
    <x v="0"/>
    <x v="758"/>
    <n v="10.27"/>
    <n v="3"/>
    <n v="3.21"/>
  </r>
  <r>
    <d v="2016-04-04T00:00:00"/>
    <x v="5"/>
    <x v="6"/>
    <x v="2"/>
    <x v="6"/>
    <x v="1068"/>
    <n v="149.97"/>
    <n v="3"/>
    <n v="6"/>
  </r>
  <r>
    <d v="2016-04-04T00:00:00"/>
    <x v="5"/>
    <x v="6"/>
    <x v="0"/>
    <x v="0"/>
    <x v="582"/>
    <n v="27.81"/>
    <n v="3"/>
    <n v="13.07"/>
  </r>
  <r>
    <d v="2016-04-04T00:00:00"/>
    <x v="548"/>
    <x v="12"/>
    <x v="0"/>
    <x v="3"/>
    <x v="355"/>
    <n v="588.78"/>
    <n v="2"/>
    <n v="184"/>
  </r>
  <r>
    <d v="2016-04-04T00:00:00"/>
    <x v="139"/>
    <x v="12"/>
    <x v="1"/>
    <x v="8"/>
    <x v="200"/>
    <n v="82.64"/>
    <n v="2"/>
    <n v="7.44"/>
  </r>
  <r>
    <d v="2016-04-04T00:00:00"/>
    <x v="139"/>
    <x v="12"/>
    <x v="0"/>
    <x v="2"/>
    <x v="117"/>
    <n v="31.02"/>
    <n v="2"/>
    <n v="8.07"/>
  </r>
  <r>
    <d v="2016-04-04T00:00:00"/>
    <x v="139"/>
    <x v="12"/>
    <x v="2"/>
    <x v="9"/>
    <x v="952"/>
    <n v="89.97"/>
    <n v="3"/>
    <n v="37.79"/>
  </r>
  <r>
    <d v="2016-05-04T00:00:00"/>
    <x v="75"/>
    <x v="0"/>
    <x v="0"/>
    <x v="2"/>
    <x v="175"/>
    <n v="158.37"/>
    <n v="7"/>
    <n v="13.86"/>
  </r>
  <r>
    <d v="2016-05-04T00:00:00"/>
    <x v="460"/>
    <x v="2"/>
    <x v="2"/>
    <x v="6"/>
    <x v="1104"/>
    <n v="118.78"/>
    <n v="3"/>
    <n v="-27.72"/>
  </r>
  <r>
    <d v="2016-05-04T00:00:00"/>
    <x v="460"/>
    <x v="2"/>
    <x v="0"/>
    <x v="14"/>
    <x v="1105"/>
    <n v="769.18"/>
    <n v="4"/>
    <n v="-163.44999999999999"/>
  </r>
  <r>
    <d v="2016-06-04T00:00:00"/>
    <x v="68"/>
    <x v="41"/>
    <x v="2"/>
    <x v="6"/>
    <x v="1106"/>
    <n v="1294.75"/>
    <n v="5"/>
    <n v="336.64"/>
  </r>
  <r>
    <d v="2016-07-04T00:00:00"/>
    <x v="486"/>
    <x v="3"/>
    <x v="2"/>
    <x v="15"/>
    <x v="1019"/>
    <n v="1199.98"/>
    <n v="3"/>
    <n v="374.99"/>
  </r>
  <r>
    <d v="2016-07-04T00:00:00"/>
    <x v="129"/>
    <x v="12"/>
    <x v="1"/>
    <x v="5"/>
    <x v="423"/>
    <n v="658.75"/>
    <n v="3"/>
    <n v="146.38999999999999"/>
  </r>
  <r>
    <d v="2016-07-04T00:00:00"/>
    <x v="341"/>
    <x v="12"/>
    <x v="0"/>
    <x v="4"/>
    <x v="243"/>
    <n v="3.64"/>
    <n v="2"/>
    <n v="0.98"/>
  </r>
  <r>
    <d v="2016-07-04T00:00:00"/>
    <x v="224"/>
    <x v="11"/>
    <x v="0"/>
    <x v="0"/>
    <x v="1107"/>
    <n v="37.94"/>
    <n v="2"/>
    <n v="18.21"/>
  </r>
  <r>
    <d v="2016-07-04T00:00:00"/>
    <x v="245"/>
    <x v="2"/>
    <x v="0"/>
    <x v="13"/>
    <x v="1108"/>
    <n v="33.53"/>
    <n v="3"/>
    <n v="2.5099999999999998"/>
  </r>
  <r>
    <d v="2016-07-04T00:00:00"/>
    <x v="245"/>
    <x v="2"/>
    <x v="0"/>
    <x v="2"/>
    <x v="1109"/>
    <n v="36.74"/>
    <n v="3"/>
    <n v="3.67"/>
  </r>
  <r>
    <d v="2016-08-04T00:00:00"/>
    <x v="549"/>
    <x v="12"/>
    <x v="1"/>
    <x v="12"/>
    <x v="1110"/>
    <n v="388.7"/>
    <n v="6"/>
    <n v="-4.8600000000000003"/>
  </r>
  <r>
    <d v="2016-08-04T00:00:00"/>
    <x v="549"/>
    <x v="12"/>
    <x v="0"/>
    <x v="11"/>
    <x v="953"/>
    <n v="8.26"/>
    <n v="2"/>
    <n v="3.8"/>
  </r>
  <r>
    <d v="2016-08-04T00:00:00"/>
    <x v="549"/>
    <x v="12"/>
    <x v="0"/>
    <x v="4"/>
    <x v="6"/>
    <n v="17.04"/>
    <n v="4"/>
    <n v="6.99"/>
  </r>
  <r>
    <d v="2016-08-04T00:00:00"/>
    <x v="549"/>
    <x v="12"/>
    <x v="0"/>
    <x v="0"/>
    <x v="1033"/>
    <n v="34.4"/>
    <n v="5"/>
    <n v="15.82"/>
  </r>
  <r>
    <d v="2016-08-04T00:00:00"/>
    <x v="212"/>
    <x v="3"/>
    <x v="0"/>
    <x v="0"/>
    <x v="1111"/>
    <n v="20.04"/>
    <n v="3"/>
    <n v="9.6199999999999992"/>
  </r>
  <r>
    <d v="2016-08-04T00:00:00"/>
    <x v="212"/>
    <x v="3"/>
    <x v="0"/>
    <x v="2"/>
    <x v="44"/>
    <n v="64.959999999999994"/>
    <n v="2"/>
    <n v="2.6"/>
  </r>
  <r>
    <d v="2016-08-04T00:00:00"/>
    <x v="212"/>
    <x v="3"/>
    <x v="0"/>
    <x v="0"/>
    <x v="640"/>
    <n v="12.96"/>
    <n v="2"/>
    <n v="6.22"/>
  </r>
  <r>
    <d v="2016-08-04T00:00:00"/>
    <x v="533"/>
    <x v="0"/>
    <x v="2"/>
    <x v="9"/>
    <x v="1112"/>
    <n v="431.93"/>
    <n v="9"/>
    <n v="64.790000000000006"/>
  </r>
  <r>
    <d v="2016-08-04T00:00:00"/>
    <x v="533"/>
    <x v="0"/>
    <x v="1"/>
    <x v="5"/>
    <x v="757"/>
    <n v="95.98"/>
    <n v="4"/>
    <n v="-4.1100000000000003"/>
  </r>
  <r>
    <d v="2016-08-04T00:00:00"/>
    <x v="533"/>
    <x v="0"/>
    <x v="0"/>
    <x v="3"/>
    <x v="1113"/>
    <n v="1088.79"/>
    <n v="4"/>
    <n v="-1850.95"/>
  </r>
  <r>
    <d v="2016-08-04T00:00:00"/>
    <x v="363"/>
    <x v="16"/>
    <x v="0"/>
    <x v="11"/>
    <x v="1114"/>
    <n v="8.8699999999999992"/>
    <n v="1"/>
    <n v="3.22"/>
  </r>
  <r>
    <d v="2016-08-04T00:00:00"/>
    <x v="363"/>
    <x v="16"/>
    <x v="0"/>
    <x v="3"/>
    <x v="77"/>
    <n v="121.1"/>
    <n v="6"/>
    <n v="-100.92"/>
  </r>
  <r>
    <d v="2016-08-04T00:00:00"/>
    <x v="406"/>
    <x v="3"/>
    <x v="1"/>
    <x v="8"/>
    <x v="1115"/>
    <n v="24.7"/>
    <n v="5"/>
    <n v="10.37"/>
  </r>
  <r>
    <d v="2016-08-04T00:00:00"/>
    <x v="94"/>
    <x v="4"/>
    <x v="0"/>
    <x v="11"/>
    <x v="1116"/>
    <n v="17.920000000000002"/>
    <n v="4"/>
    <n v="8.6"/>
  </r>
  <r>
    <d v="2016-08-04T00:00:00"/>
    <x v="100"/>
    <x v="4"/>
    <x v="1"/>
    <x v="12"/>
    <x v="1117"/>
    <n v="354.9"/>
    <n v="5"/>
    <n v="88.73"/>
  </r>
  <r>
    <d v="2016-08-04T00:00:00"/>
    <x v="109"/>
    <x v="29"/>
    <x v="0"/>
    <x v="7"/>
    <x v="419"/>
    <n v="30"/>
    <n v="6"/>
    <n v="14.4"/>
  </r>
  <r>
    <d v="2016-08-04T00:00:00"/>
    <x v="109"/>
    <x v="29"/>
    <x v="0"/>
    <x v="0"/>
    <x v="1085"/>
    <n v="25.92"/>
    <n v="4"/>
    <n v="12.7"/>
  </r>
  <r>
    <d v="2016-08-04T00:00:00"/>
    <x v="109"/>
    <x v="29"/>
    <x v="1"/>
    <x v="8"/>
    <x v="1118"/>
    <n v="159.91999999999999"/>
    <n v="4"/>
    <n v="31.98"/>
  </r>
  <r>
    <d v="2016-09-04T00:00:00"/>
    <x v="351"/>
    <x v="10"/>
    <x v="0"/>
    <x v="3"/>
    <x v="514"/>
    <n v="35.35"/>
    <n v="9"/>
    <n v="12.82"/>
  </r>
  <r>
    <d v="2016-09-04T00:00:00"/>
    <x v="550"/>
    <x v="18"/>
    <x v="2"/>
    <x v="6"/>
    <x v="1106"/>
    <n v="517.9"/>
    <n v="2"/>
    <n v="134.65"/>
  </r>
  <r>
    <d v="2016-09-04T00:00:00"/>
    <x v="550"/>
    <x v="18"/>
    <x v="0"/>
    <x v="3"/>
    <x v="1119"/>
    <n v="5.28"/>
    <n v="2"/>
    <n v="2.4300000000000002"/>
  </r>
  <r>
    <d v="2016-09-04T00:00:00"/>
    <x v="551"/>
    <x v="3"/>
    <x v="1"/>
    <x v="12"/>
    <x v="1120"/>
    <n v="556.66999999999996"/>
    <n v="5"/>
    <n v="6.55"/>
  </r>
  <r>
    <d v="2016-10-04T00:00:00"/>
    <x v="526"/>
    <x v="16"/>
    <x v="0"/>
    <x v="3"/>
    <x v="374"/>
    <n v="8.9"/>
    <n v="2"/>
    <n v="-6.53"/>
  </r>
  <r>
    <d v="2016-10-04T00:00:00"/>
    <x v="45"/>
    <x v="3"/>
    <x v="0"/>
    <x v="0"/>
    <x v="1121"/>
    <n v="12.96"/>
    <n v="2"/>
    <n v="6.22"/>
  </r>
  <r>
    <d v="2016-10-04T00:00:00"/>
    <x v="45"/>
    <x v="3"/>
    <x v="0"/>
    <x v="3"/>
    <x v="1122"/>
    <n v="23.2"/>
    <n v="5"/>
    <n v="8.1199999999999992"/>
  </r>
  <r>
    <d v="2016-10-04T00:00:00"/>
    <x v="405"/>
    <x v="3"/>
    <x v="0"/>
    <x v="13"/>
    <x v="1035"/>
    <n v="113.76"/>
    <n v="3"/>
    <n v="44.37"/>
  </r>
  <r>
    <d v="2016-10-04T00:00:00"/>
    <x v="405"/>
    <x v="3"/>
    <x v="0"/>
    <x v="2"/>
    <x v="475"/>
    <n v="579.51"/>
    <n v="3"/>
    <n v="81.13"/>
  </r>
  <r>
    <d v="2016-10-04T00:00:00"/>
    <x v="405"/>
    <x v="3"/>
    <x v="0"/>
    <x v="2"/>
    <x v="94"/>
    <n v="150.66"/>
    <n v="9"/>
    <n v="6.03"/>
  </r>
  <r>
    <d v="2016-10-04T00:00:00"/>
    <x v="405"/>
    <x v="3"/>
    <x v="0"/>
    <x v="3"/>
    <x v="1123"/>
    <n v="48.03"/>
    <n v="4"/>
    <n v="15.61"/>
  </r>
  <r>
    <d v="2016-10-04T00:00:00"/>
    <x v="108"/>
    <x v="1"/>
    <x v="0"/>
    <x v="4"/>
    <x v="566"/>
    <n v="13.57"/>
    <n v="4"/>
    <n v="3.22"/>
  </r>
  <r>
    <d v="2016-12-04T00:00:00"/>
    <x v="390"/>
    <x v="6"/>
    <x v="1"/>
    <x v="10"/>
    <x v="126"/>
    <n v="343.92"/>
    <n v="4"/>
    <n v="75.66"/>
  </r>
  <r>
    <d v="2016-12-04T00:00:00"/>
    <x v="390"/>
    <x v="6"/>
    <x v="0"/>
    <x v="0"/>
    <x v="139"/>
    <n v="40.99"/>
    <n v="1"/>
    <n v="20.09"/>
  </r>
  <r>
    <d v="2016-12-04T00:00:00"/>
    <x v="390"/>
    <x v="6"/>
    <x v="0"/>
    <x v="11"/>
    <x v="348"/>
    <n v="63.9"/>
    <n v="5"/>
    <n v="28.76"/>
  </r>
  <r>
    <d v="2016-12-04T00:00:00"/>
    <x v="225"/>
    <x v="3"/>
    <x v="1"/>
    <x v="5"/>
    <x v="941"/>
    <n v="638.29"/>
    <n v="7"/>
    <n v="-31.91"/>
  </r>
  <r>
    <d v="2016-12-04T00:00:00"/>
    <x v="225"/>
    <x v="3"/>
    <x v="0"/>
    <x v="3"/>
    <x v="1124"/>
    <n v="13.21"/>
    <n v="1"/>
    <n v="4.62"/>
  </r>
  <r>
    <d v="2016-12-04T00:00:00"/>
    <x v="552"/>
    <x v="3"/>
    <x v="0"/>
    <x v="0"/>
    <x v="1125"/>
    <n v="19.440000000000001"/>
    <n v="3"/>
    <n v="9.33"/>
  </r>
  <r>
    <d v="2016-12-04T00:00:00"/>
    <x v="552"/>
    <x v="3"/>
    <x v="1"/>
    <x v="5"/>
    <x v="45"/>
    <n v="194.35"/>
    <n v="3"/>
    <n v="-36.44"/>
  </r>
  <r>
    <d v="2016-12-04T00:00:00"/>
    <x v="552"/>
    <x v="3"/>
    <x v="0"/>
    <x v="3"/>
    <x v="713"/>
    <n v="36.619999999999997"/>
    <n v="3"/>
    <n v="13.73"/>
  </r>
  <r>
    <d v="2016-12-04T00:00:00"/>
    <x v="308"/>
    <x v="15"/>
    <x v="0"/>
    <x v="2"/>
    <x v="52"/>
    <n v="129.55000000000001"/>
    <n v="3"/>
    <n v="-22.67"/>
  </r>
  <r>
    <d v="2016-12-04T00:00:00"/>
    <x v="308"/>
    <x v="15"/>
    <x v="0"/>
    <x v="2"/>
    <x v="1126"/>
    <n v="51.98"/>
    <n v="1"/>
    <n v="-5.2"/>
  </r>
  <r>
    <d v="2016-12-04T00:00:00"/>
    <x v="308"/>
    <x v="15"/>
    <x v="0"/>
    <x v="0"/>
    <x v="1127"/>
    <n v="10.27"/>
    <n v="3"/>
    <n v="3.47"/>
  </r>
  <r>
    <d v="2016-01-05T00:00:00"/>
    <x v="551"/>
    <x v="31"/>
    <x v="0"/>
    <x v="1"/>
    <x v="507"/>
    <n v="3.98"/>
    <n v="1"/>
    <n v="1.29"/>
  </r>
  <r>
    <d v="2016-01-05T00:00:00"/>
    <x v="551"/>
    <x v="31"/>
    <x v="1"/>
    <x v="10"/>
    <x v="254"/>
    <n v="370.62"/>
    <n v="3"/>
    <n v="-142.07"/>
  </r>
  <r>
    <d v="2016-01-05T00:00:00"/>
    <x v="551"/>
    <x v="31"/>
    <x v="0"/>
    <x v="3"/>
    <x v="293"/>
    <n v="2.74"/>
    <n v="2"/>
    <n v="-2.0099999999999998"/>
  </r>
  <r>
    <d v="2016-01-05T00:00:00"/>
    <x v="553"/>
    <x v="29"/>
    <x v="0"/>
    <x v="0"/>
    <x v="1128"/>
    <n v="109.92"/>
    <n v="2"/>
    <n v="53.86"/>
  </r>
  <r>
    <d v="2016-01-05T00:00:00"/>
    <x v="553"/>
    <x v="29"/>
    <x v="0"/>
    <x v="0"/>
    <x v="1129"/>
    <n v="19.440000000000001"/>
    <n v="3"/>
    <n v="9.33"/>
  </r>
  <r>
    <d v="2016-01-05T00:00:00"/>
    <x v="553"/>
    <x v="29"/>
    <x v="0"/>
    <x v="4"/>
    <x v="193"/>
    <n v="11.16"/>
    <n v="2"/>
    <n v="4.3499999999999996"/>
  </r>
  <r>
    <d v="2016-02-05T00:00:00"/>
    <x v="538"/>
    <x v="0"/>
    <x v="0"/>
    <x v="4"/>
    <x v="740"/>
    <n v="86.35"/>
    <n v="3"/>
    <n v="5.4"/>
  </r>
  <r>
    <d v="2016-02-05T00:00:00"/>
    <x v="554"/>
    <x v="12"/>
    <x v="0"/>
    <x v="2"/>
    <x v="1130"/>
    <n v="44.94"/>
    <n v="3"/>
    <n v="12.58"/>
  </r>
  <r>
    <d v="2016-02-05T00:00:00"/>
    <x v="554"/>
    <x v="12"/>
    <x v="0"/>
    <x v="3"/>
    <x v="638"/>
    <n v="45.58"/>
    <n v="3"/>
    <n v="15.95"/>
  </r>
  <r>
    <d v="2016-02-05T00:00:00"/>
    <x v="555"/>
    <x v="15"/>
    <x v="1"/>
    <x v="5"/>
    <x v="1131"/>
    <n v="187.06"/>
    <n v="9"/>
    <n v="11.69"/>
  </r>
  <r>
    <d v="2016-02-05T00:00:00"/>
    <x v="481"/>
    <x v="0"/>
    <x v="0"/>
    <x v="2"/>
    <x v="330"/>
    <n v="18.940000000000001"/>
    <n v="3"/>
    <n v="-3.79"/>
  </r>
  <r>
    <d v="2016-02-05T00:00:00"/>
    <x v="481"/>
    <x v="0"/>
    <x v="0"/>
    <x v="2"/>
    <x v="1132"/>
    <n v="12.67"/>
    <n v="3"/>
    <n v="-3.17"/>
  </r>
  <r>
    <d v="2016-02-05T00:00:00"/>
    <x v="481"/>
    <x v="0"/>
    <x v="0"/>
    <x v="1"/>
    <x v="1133"/>
    <n v="5.04"/>
    <n v="2"/>
    <n v="1.76"/>
  </r>
  <r>
    <d v="2016-02-05T00:00:00"/>
    <x v="120"/>
    <x v="0"/>
    <x v="1"/>
    <x v="5"/>
    <x v="471"/>
    <n v="366.74"/>
    <n v="4"/>
    <n v="-110.02"/>
  </r>
  <r>
    <d v="2016-02-05T00:00:00"/>
    <x v="79"/>
    <x v="12"/>
    <x v="1"/>
    <x v="8"/>
    <x v="1134"/>
    <n v="12.56"/>
    <n v="2"/>
    <n v="4.0199999999999996"/>
  </r>
  <r>
    <d v="2016-02-05T00:00:00"/>
    <x v="79"/>
    <x v="12"/>
    <x v="0"/>
    <x v="3"/>
    <x v="270"/>
    <n v="90.48"/>
    <n v="3"/>
    <n v="33.93"/>
  </r>
  <r>
    <d v="2016-02-05T00:00:00"/>
    <x v="79"/>
    <x v="12"/>
    <x v="0"/>
    <x v="0"/>
    <x v="500"/>
    <n v="13.08"/>
    <n v="2"/>
    <n v="6.02"/>
  </r>
  <r>
    <d v="2016-02-05T00:00:00"/>
    <x v="79"/>
    <x v="12"/>
    <x v="1"/>
    <x v="8"/>
    <x v="505"/>
    <n v="214.7"/>
    <n v="5"/>
    <n v="83.73"/>
  </r>
  <r>
    <d v="2016-03-05T00:00:00"/>
    <x v="468"/>
    <x v="1"/>
    <x v="0"/>
    <x v="3"/>
    <x v="1135"/>
    <n v="2.1800000000000002"/>
    <n v="1"/>
    <n v="-3.6"/>
  </r>
  <r>
    <d v="2016-03-05T00:00:00"/>
    <x v="468"/>
    <x v="1"/>
    <x v="0"/>
    <x v="4"/>
    <x v="1136"/>
    <n v="27.38"/>
    <n v="7"/>
    <n v="2.74"/>
  </r>
  <r>
    <d v="2016-03-05T00:00:00"/>
    <x v="468"/>
    <x v="1"/>
    <x v="0"/>
    <x v="13"/>
    <x v="367"/>
    <n v="26.41"/>
    <n v="3"/>
    <n v="-71.3"/>
  </r>
  <r>
    <d v="2016-03-05T00:00:00"/>
    <x v="556"/>
    <x v="16"/>
    <x v="2"/>
    <x v="9"/>
    <x v="589"/>
    <n v="132.52000000000001"/>
    <n v="5"/>
    <n v="34.79"/>
  </r>
  <r>
    <d v="2016-03-05T00:00:00"/>
    <x v="556"/>
    <x v="16"/>
    <x v="0"/>
    <x v="2"/>
    <x v="679"/>
    <n v="195.64"/>
    <n v="5"/>
    <n v="-44.02"/>
  </r>
  <r>
    <d v="2016-03-05T00:00:00"/>
    <x v="556"/>
    <x v="16"/>
    <x v="1"/>
    <x v="8"/>
    <x v="1137"/>
    <n v="51.97"/>
    <n v="2"/>
    <n v="10.39"/>
  </r>
  <r>
    <d v="2016-03-05T00:00:00"/>
    <x v="556"/>
    <x v="16"/>
    <x v="2"/>
    <x v="9"/>
    <x v="987"/>
    <n v="431.98"/>
    <n v="3"/>
    <n v="-75.599999999999994"/>
  </r>
  <r>
    <d v="2016-03-05T00:00:00"/>
    <x v="556"/>
    <x v="16"/>
    <x v="2"/>
    <x v="16"/>
    <x v="1138"/>
    <n v="224.94"/>
    <n v="3"/>
    <n v="-164.95"/>
  </r>
  <r>
    <d v="2016-03-05T00:00:00"/>
    <x v="556"/>
    <x v="16"/>
    <x v="0"/>
    <x v="1"/>
    <x v="1139"/>
    <n v="6"/>
    <n v="2"/>
    <n v="2.1"/>
  </r>
  <r>
    <d v="2016-05-05T00:00:00"/>
    <x v="248"/>
    <x v="5"/>
    <x v="0"/>
    <x v="0"/>
    <x v="256"/>
    <n v="79.14"/>
    <n v="3"/>
    <n v="36.4"/>
  </r>
  <r>
    <d v="2016-05-05T00:00:00"/>
    <x v="557"/>
    <x v="31"/>
    <x v="0"/>
    <x v="0"/>
    <x v="1140"/>
    <n v="14.35"/>
    <n v="3"/>
    <n v="5.2"/>
  </r>
  <r>
    <d v="2016-05-05T00:00:00"/>
    <x v="558"/>
    <x v="3"/>
    <x v="0"/>
    <x v="2"/>
    <x v="281"/>
    <n v="5.98"/>
    <n v="1"/>
    <n v="1.02"/>
  </r>
  <r>
    <d v="2016-05-05T00:00:00"/>
    <x v="558"/>
    <x v="3"/>
    <x v="2"/>
    <x v="6"/>
    <x v="1141"/>
    <n v="246.17"/>
    <n v="3"/>
    <n v="21.54"/>
  </r>
  <r>
    <d v="2016-05-05T00:00:00"/>
    <x v="404"/>
    <x v="3"/>
    <x v="0"/>
    <x v="3"/>
    <x v="1142"/>
    <n v="6.72"/>
    <n v="5"/>
    <n v="2.35"/>
  </r>
  <r>
    <d v="2016-05-05T00:00:00"/>
    <x v="404"/>
    <x v="3"/>
    <x v="1"/>
    <x v="10"/>
    <x v="145"/>
    <n v="298.77999999999997"/>
    <n v="3"/>
    <n v="7.47"/>
  </r>
  <r>
    <d v="2016-05-05T00:00:00"/>
    <x v="547"/>
    <x v="31"/>
    <x v="1"/>
    <x v="8"/>
    <x v="646"/>
    <n v="16.72"/>
    <n v="5"/>
    <n v="3.34"/>
  </r>
  <r>
    <d v="2016-05-05T00:00:00"/>
    <x v="320"/>
    <x v="3"/>
    <x v="1"/>
    <x v="10"/>
    <x v="1143"/>
    <n v="71.09"/>
    <n v="2"/>
    <n v="-1.78"/>
  </r>
  <r>
    <d v="2016-05-05T00:00:00"/>
    <x v="559"/>
    <x v="13"/>
    <x v="1"/>
    <x v="10"/>
    <x v="1144"/>
    <n v="1685.88"/>
    <n v="6"/>
    <n v="320.32"/>
  </r>
  <r>
    <d v="2016-05-05T00:00:00"/>
    <x v="559"/>
    <x v="13"/>
    <x v="0"/>
    <x v="3"/>
    <x v="761"/>
    <n v="5.73"/>
    <n v="2"/>
    <n v="2"/>
  </r>
  <r>
    <d v="2016-05-05T00:00:00"/>
    <x v="198"/>
    <x v="9"/>
    <x v="0"/>
    <x v="0"/>
    <x v="1145"/>
    <n v="93.25"/>
    <n v="4"/>
    <n v="31.47"/>
  </r>
  <r>
    <d v="2016-05-05T00:00:00"/>
    <x v="198"/>
    <x v="9"/>
    <x v="2"/>
    <x v="6"/>
    <x v="1146"/>
    <n v="177.48"/>
    <n v="3"/>
    <n v="19.97"/>
  </r>
  <r>
    <d v="2016-06-05T00:00:00"/>
    <x v="410"/>
    <x v="16"/>
    <x v="0"/>
    <x v="7"/>
    <x v="1147"/>
    <n v="7.22"/>
    <n v="2"/>
    <n v="1.71"/>
  </r>
  <r>
    <d v="2016-06-05T00:00:00"/>
    <x v="410"/>
    <x v="16"/>
    <x v="0"/>
    <x v="0"/>
    <x v="771"/>
    <n v="49.57"/>
    <n v="2"/>
    <n v="15.49"/>
  </r>
  <r>
    <d v="2016-06-05T00:00:00"/>
    <x v="410"/>
    <x v="16"/>
    <x v="1"/>
    <x v="8"/>
    <x v="1148"/>
    <n v="54.71"/>
    <n v="7"/>
    <n v="11.63"/>
  </r>
  <r>
    <d v="2016-06-05T00:00:00"/>
    <x v="499"/>
    <x v="1"/>
    <x v="0"/>
    <x v="3"/>
    <x v="729"/>
    <n v="3.21"/>
    <n v="2"/>
    <n v="-5.29"/>
  </r>
  <r>
    <d v="2016-06-05T00:00:00"/>
    <x v="499"/>
    <x v="1"/>
    <x v="2"/>
    <x v="9"/>
    <x v="329"/>
    <n v="26.18"/>
    <n v="2"/>
    <n v="-3.27"/>
  </r>
  <r>
    <d v="2016-06-05T00:00:00"/>
    <x v="410"/>
    <x v="14"/>
    <x v="0"/>
    <x v="13"/>
    <x v="661"/>
    <n v="54.48"/>
    <n v="1"/>
    <n v="15.25"/>
  </r>
  <r>
    <d v="2016-06-05T00:00:00"/>
    <x v="178"/>
    <x v="3"/>
    <x v="1"/>
    <x v="8"/>
    <x v="1149"/>
    <n v="41.6"/>
    <n v="4"/>
    <n v="14.14"/>
  </r>
  <r>
    <d v="2016-07-05T00:00:00"/>
    <x v="537"/>
    <x v="12"/>
    <x v="0"/>
    <x v="3"/>
    <x v="700"/>
    <n v="85.23"/>
    <n v="7"/>
    <n v="30.9"/>
  </r>
  <r>
    <d v="2016-07-05T00:00:00"/>
    <x v="537"/>
    <x v="12"/>
    <x v="0"/>
    <x v="1"/>
    <x v="430"/>
    <n v="44.4"/>
    <n v="3"/>
    <n v="22.2"/>
  </r>
  <r>
    <d v="2016-07-05T00:00:00"/>
    <x v="537"/>
    <x v="12"/>
    <x v="1"/>
    <x v="5"/>
    <x v="703"/>
    <n v="442.76"/>
    <n v="4"/>
    <n v="59.04"/>
  </r>
  <r>
    <d v="2016-07-05T00:00:00"/>
    <x v="537"/>
    <x v="12"/>
    <x v="2"/>
    <x v="16"/>
    <x v="1150"/>
    <n v="3999.95"/>
    <n v="5"/>
    <n v="1159.99"/>
  </r>
  <r>
    <d v="2016-07-05T00:00:00"/>
    <x v="537"/>
    <x v="12"/>
    <x v="2"/>
    <x v="9"/>
    <x v="344"/>
    <n v="199.95"/>
    <n v="5"/>
    <n v="21.99"/>
  </r>
  <r>
    <d v="2016-07-05T00:00:00"/>
    <x v="537"/>
    <x v="12"/>
    <x v="1"/>
    <x v="8"/>
    <x v="750"/>
    <n v="63.68"/>
    <n v="8"/>
    <n v="28.02"/>
  </r>
  <r>
    <d v="2016-08-05T00:00:00"/>
    <x v="443"/>
    <x v="7"/>
    <x v="1"/>
    <x v="8"/>
    <x v="1151"/>
    <n v="211.96"/>
    <n v="2"/>
    <n v="42.39"/>
  </r>
  <r>
    <d v="2016-08-05T00:00:00"/>
    <x v="36"/>
    <x v="16"/>
    <x v="0"/>
    <x v="2"/>
    <x v="312"/>
    <n v="1006.06"/>
    <n v="3"/>
    <n v="88.03"/>
  </r>
  <r>
    <d v="2016-08-05T00:00:00"/>
    <x v="36"/>
    <x v="16"/>
    <x v="0"/>
    <x v="0"/>
    <x v="99"/>
    <n v="10.69"/>
    <n v="2"/>
    <n v="3.74"/>
  </r>
  <r>
    <d v="2016-08-05T00:00:00"/>
    <x v="36"/>
    <x v="16"/>
    <x v="0"/>
    <x v="0"/>
    <x v="781"/>
    <n v="10.37"/>
    <n v="2"/>
    <n v="3.63"/>
  </r>
  <r>
    <d v="2016-08-05T00:00:00"/>
    <x v="36"/>
    <x v="16"/>
    <x v="0"/>
    <x v="2"/>
    <x v="958"/>
    <n v="25.12"/>
    <n v="2"/>
    <n v="1.57"/>
  </r>
  <r>
    <d v="2016-08-05T00:00:00"/>
    <x v="36"/>
    <x v="16"/>
    <x v="2"/>
    <x v="9"/>
    <x v="198"/>
    <n v="58.11"/>
    <n v="2"/>
    <n v="7.26"/>
  </r>
  <r>
    <d v="2016-08-05T00:00:00"/>
    <x v="168"/>
    <x v="3"/>
    <x v="0"/>
    <x v="0"/>
    <x v="680"/>
    <n v="17.940000000000001"/>
    <n v="3"/>
    <n v="8.07"/>
  </r>
  <r>
    <d v="2016-09-05T00:00:00"/>
    <x v="163"/>
    <x v="10"/>
    <x v="2"/>
    <x v="9"/>
    <x v="1152"/>
    <n v="93.98"/>
    <n v="2"/>
    <n v="13.16"/>
  </r>
  <r>
    <d v="2016-09-05T00:00:00"/>
    <x v="507"/>
    <x v="2"/>
    <x v="0"/>
    <x v="11"/>
    <x v="55"/>
    <n v="9.34"/>
    <n v="1"/>
    <n v="3.5"/>
  </r>
  <r>
    <d v="2016-09-05T00:00:00"/>
    <x v="507"/>
    <x v="2"/>
    <x v="0"/>
    <x v="4"/>
    <x v="106"/>
    <n v="79.36"/>
    <n v="5"/>
    <n v="9.92"/>
  </r>
  <r>
    <d v="2016-09-05T00:00:00"/>
    <x v="377"/>
    <x v="12"/>
    <x v="0"/>
    <x v="4"/>
    <x v="1153"/>
    <n v="8"/>
    <n v="5"/>
    <n v="3.44"/>
  </r>
  <r>
    <d v="2016-09-05T00:00:00"/>
    <x v="164"/>
    <x v="3"/>
    <x v="0"/>
    <x v="0"/>
    <x v="1154"/>
    <n v="32.04"/>
    <n v="4"/>
    <n v="14.42"/>
  </r>
  <r>
    <d v="2016-09-05T00:00:00"/>
    <x v="2"/>
    <x v="0"/>
    <x v="2"/>
    <x v="6"/>
    <x v="510"/>
    <n v="19.14"/>
    <n v="2"/>
    <n v="1.91"/>
  </r>
  <r>
    <d v="2016-09-05T00:00:00"/>
    <x v="560"/>
    <x v="6"/>
    <x v="0"/>
    <x v="4"/>
    <x v="935"/>
    <n v="27.86"/>
    <n v="7"/>
    <n v="9.19"/>
  </r>
  <r>
    <d v="2016-09-05T00:00:00"/>
    <x v="561"/>
    <x v="0"/>
    <x v="0"/>
    <x v="2"/>
    <x v="220"/>
    <n v="856.66"/>
    <n v="6"/>
    <n v="107.08"/>
  </r>
  <r>
    <d v="2016-09-05T00:00:00"/>
    <x v="561"/>
    <x v="0"/>
    <x v="0"/>
    <x v="3"/>
    <x v="123"/>
    <n v="13.18"/>
    <n v="4"/>
    <n v="-20.440000000000001"/>
  </r>
  <r>
    <d v="2016-09-05T00:00:00"/>
    <x v="561"/>
    <x v="0"/>
    <x v="0"/>
    <x v="13"/>
    <x v="1155"/>
    <n v="48.78"/>
    <n v="4"/>
    <n v="-131.72"/>
  </r>
  <r>
    <d v="2016-09-05T00:00:00"/>
    <x v="561"/>
    <x v="0"/>
    <x v="0"/>
    <x v="0"/>
    <x v="1156"/>
    <n v="76.64"/>
    <n v="2"/>
    <n v="26.82"/>
  </r>
  <r>
    <d v="2016-09-05T00:00:00"/>
    <x v="561"/>
    <x v="0"/>
    <x v="0"/>
    <x v="3"/>
    <x v="1157"/>
    <n v="18.53"/>
    <n v="6"/>
    <n v="-27.79"/>
  </r>
  <r>
    <d v="2016-10-05T00:00:00"/>
    <x v="179"/>
    <x v="10"/>
    <x v="0"/>
    <x v="0"/>
    <x v="1140"/>
    <n v="11.96"/>
    <n v="2"/>
    <n v="5.86"/>
  </r>
  <r>
    <d v="2016-10-05T00:00:00"/>
    <x v="449"/>
    <x v="2"/>
    <x v="2"/>
    <x v="6"/>
    <x v="496"/>
    <n v="743.99"/>
    <n v="2"/>
    <n v="-124"/>
  </r>
  <r>
    <d v="2016-10-05T00:00:00"/>
    <x v="178"/>
    <x v="1"/>
    <x v="0"/>
    <x v="11"/>
    <x v="1158"/>
    <n v="7.07"/>
    <n v="2"/>
    <n v="2.39"/>
  </r>
  <r>
    <d v="2016-11-05T00:00:00"/>
    <x v="204"/>
    <x v="3"/>
    <x v="0"/>
    <x v="0"/>
    <x v="680"/>
    <n v="5.98"/>
    <n v="1"/>
    <n v="2.69"/>
  </r>
  <r>
    <d v="2016-12-05T00:00:00"/>
    <x v="562"/>
    <x v="6"/>
    <x v="0"/>
    <x v="4"/>
    <x v="9"/>
    <n v="10.96"/>
    <n v="4"/>
    <n v="2.96"/>
  </r>
  <r>
    <d v="2016-12-05T00:00:00"/>
    <x v="45"/>
    <x v="2"/>
    <x v="0"/>
    <x v="2"/>
    <x v="1014"/>
    <n v="82.37"/>
    <n v="2"/>
    <n v="-19.559999999999999"/>
  </r>
  <r>
    <d v="2016-12-05T00:00:00"/>
    <x v="563"/>
    <x v="10"/>
    <x v="0"/>
    <x v="11"/>
    <x v="1159"/>
    <n v="54.9"/>
    <n v="5"/>
    <n v="26.9"/>
  </r>
  <r>
    <d v="2016-12-05T00:00:00"/>
    <x v="493"/>
    <x v="12"/>
    <x v="1"/>
    <x v="8"/>
    <x v="534"/>
    <n v="10.02"/>
    <n v="3"/>
    <n v="4.41"/>
  </r>
  <r>
    <d v="2016-12-05T00:00:00"/>
    <x v="493"/>
    <x v="12"/>
    <x v="2"/>
    <x v="6"/>
    <x v="152"/>
    <n v="631.96"/>
    <n v="4"/>
    <n v="303.33999999999997"/>
  </r>
  <r>
    <d v="2016-12-05T00:00:00"/>
    <x v="564"/>
    <x v="3"/>
    <x v="2"/>
    <x v="9"/>
    <x v="1160"/>
    <n v="120"/>
    <n v="6"/>
    <n v="46.8"/>
  </r>
  <r>
    <d v="2016-12-05T00:00:00"/>
    <x v="564"/>
    <x v="3"/>
    <x v="0"/>
    <x v="13"/>
    <x v="202"/>
    <n v="8.67"/>
    <n v="1"/>
    <n v="2.34"/>
  </r>
  <r>
    <d v="2016-02-06T00:00:00"/>
    <x v="203"/>
    <x v="2"/>
    <x v="0"/>
    <x v="2"/>
    <x v="425"/>
    <n v="64.78"/>
    <n v="1"/>
    <n v="-12.96"/>
  </r>
  <r>
    <d v="2016-02-06T00:00:00"/>
    <x v="79"/>
    <x v="10"/>
    <x v="0"/>
    <x v="0"/>
    <x v="547"/>
    <n v="30.18"/>
    <n v="3"/>
    <n v="13.88"/>
  </r>
  <r>
    <d v="2016-02-06T00:00:00"/>
    <x v="79"/>
    <x v="10"/>
    <x v="0"/>
    <x v="3"/>
    <x v="181"/>
    <n v="51.65"/>
    <n v="12"/>
    <n v="18.72"/>
  </r>
  <r>
    <d v="2016-02-06T00:00:00"/>
    <x v="79"/>
    <x v="10"/>
    <x v="0"/>
    <x v="3"/>
    <x v="370"/>
    <n v="11.23"/>
    <n v="3"/>
    <n v="3.93"/>
  </r>
  <r>
    <d v="2016-03-06T00:00:00"/>
    <x v="472"/>
    <x v="3"/>
    <x v="1"/>
    <x v="10"/>
    <x v="1143"/>
    <n v="71.09"/>
    <n v="2"/>
    <n v="-1.78"/>
  </r>
  <r>
    <d v="2016-04-06T00:00:00"/>
    <x v="279"/>
    <x v="6"/>
    <x v="0"/>
    <x v="0"/>
    <x v="426"/>
    <n v="75.88"/>
    <n v="2"/>
    <n v="35.659999999999997"/>
  </r>
  <r>
    <d v="2016-04-06T00:00:00"/>
    <x v="180"/>
    <x v="1"/>
    <x v="0"/>
    <x v="0"/>
    <x v="114"/>
    <n v="25.92"/>
    <n v="5"/>
    <n v="9.4"/>
  </r>
  <r>
    <d v="2016-04-06T00:00:00"/>
    <x v="180"/>
    <x v="1"/>
    <x v="1"/>
    <x v="8"/>
    <x v="1161"/>
    <n v="419.68"/>
    <n v="5"/>
    <n v="-356.73"/>
  </r>
  <r>
    <d v="2016-04-06T00:00:00"/>
    <x v="180"/>
    <x v="1"/>
    <x v="1"/>
    <x v="8"/>
    <x v="750"/>
    <n v="11.69"/>
    <n v="3"/>
    <n v="-4.68"/>
  </r>
  <r>
    <d v="2016-04-06T00:00:00"/>
    <x v="180"/>
    <x v="1"/>
    <x v="2"/>
    <x v="6"/>
    <x v="1162"/>
    <n v="31.98"/>
    <n v="2"/>
    <n v="11.19"/>
  </r>
  <r>
    <d v="2016-04-06T00:00:00"/>
    <x v="180"/>
    <x v="1"/>
    <x v="1"/>
    <x v="10"/>
    <x v="846"/>
    <n v="177.23"/>
    <n v="5"/>
    <n v="-120.51"/>
  </r>
  <r>
    <d v="2016-04-06T00:00:00"/>
    <x v="180"/>
    <x v="1"/>
    <x v="1"/>
    <x v="8"/>
    <x v="1163"/>
    <n v="4.04"/>
    <n v="3"/>
    <n v="-2.83"/>
  </r>
  <r>
    <d v="2016-04-06T00:00:00"/>
    <x v="180"/>
    <x v="1"/>
    <x v="0"/>
    <x v="4"/>
    <x v="121"/>
    <n v="7.41"/>
    <n v="2"/>
    <n v="1.2"/>
  </r>
  <r>
    <d v="2016-04-06T00:00:00"/>
    <x v="565"/>
    <x v="12"/>
    <x v="0"/>
    <x v="0"/>
    <x v="177"/>
    <n v="14.94"/>
    <n v="3"/>
    <n v="7.02"/>
  </r>
  <r>
    <d v="2016-04-06T00:00:00"/>
    <x v="565"/>
    <x v="12"/>
    <x v="2"/>
    <x v="16"/>
    <x v="1164"/>
    <n v="1349.85"/>
    <n v="3"/>
    <n v="364.46"/>
  </r>
  <r>
    <d v="2016-04-06T00:00:00"/>
    <x v="565"/>
    <x v="12"/>
    <x v="1"/>
    <x v="12"/>
    <x v="1165"/>
    <n v="136.78"/>
    <n v="1"/>
    <n v="5.13"/>
  </r>
  <r>
    <d v="2016-04-06T00:00:00"/>
    <x v="565"/>
    <x v="12"/>
    <x v="1"/>
    <x v="8"/>
    <x v="599"/>
    <n v="61.12"/>
    <n v="4"/>
    <n v="20.78"/>
  </r>
  <r>
    <d v="2016-05-06T00:00:00"/>
    <x v="82"/>
    <x v="2"/>
    <x v="0"/>
    <x v="2"/>
    <x v="1166"/>
    <n v="124.61"/>
    <n v="4"/>
    <n v="-23.36"/>
  </r>
  <r>
    <d v="2016-05-06T00:00:00"/>
    <x v="82"/>
    <x v="2"/>
    <x v="0"/>
    <x v="1"/>
    <x v="1133"/>
    <n v="7.56"/>
    <n v="3"/>
    <n v="2.65"/>
  </r>
  <r>
    <d v="2016-05-06T00:00:00"/>
    <x v="566"/>
    <x v="7"/>
    <x v="0"/>
    <x v="2"/>
    <x v="622"/>
    <n v="360.38"/>
    <n v="2"/>
    <n v="93.7"/>
  </r>
  <r>
    <d v="2016-05-06T00:00:00"/>
    <x v="566"/>
    <x v="7"/>
    <x v="0"/>
    <x v="4"/>
    <x v="974"/>
    <n v="11.16"/>
    <n v="2"/>
    <n v="2.79"/>
  </r>
  <r>
    <d v="2016-05-06T00:00:00"/>
    <x v="566"/>
    <x v="7"/>
    <x v="0"/>
    <x v="1"/>
    <x v="559"/>
    <n v="14.94"/>
    <n v="3"/>
    <n v="6.87"/>
  </r>
  <r>
    <d v="2016-05-06T00:00:00"/>
    <x v="43"/>
    <x v="3"/>
    <x v="0"/>
    <x v="3"/>
    <x v="107"/>
    <n v="21.55"/>
    <n v="6"/>
    <n v="7"/>
  </r>
  <r>
    <d v="2016-05-06T00:00:00"/>
    <x v="43"/>
    <x v="3"/>
    <x v="0"/>
    <x v="13"/>
    <x v="215"/>
    <n v="58.24"/>
    <n v="4"/>
    <n v="15.72"/>
  </r>
  <r>
    <d v="2016-05-06T00:00:00"/>
    <x v="504"/>
    <x v="10"/>
    <x v="0"/>
    <x v="14"/>
    <x v="316"/>
    <n v="61.38"/>
    <n v="6"/>
    <n v="15.96"/>
  </r>
  <r>
    <d v="2016-06-06T00:00:00"/>
    <x v="300"/>
    <x v="1"/>
    <x v="2"/>
    <x v="6"/>
    <x v="1141"/>
    <n v="328.22"/>
    <n v="4"/>
    <n v="28.72"/>
  </r>
  <r>
    <d v="2016-06-06T00:00:00"/>
    <x v="24"/>
    <x v="20"/>
    <x v="0"/>
    <x v="2"/>
    <x v="988"/>
    <n v="714.3"/>
    <n v="5"/>
    <n v="207.15"/>
  </r>
  <r>
    <d v="2016-06-06T00:00:00"/>
    <x v="567"/>
    <x v="20"/>
    <x v="0"/>
    <x v="0"/>
    <x v="1003"/>
    <n v="105.52"/>
    <n v="4"/>
    <n v="48.54"/>
  </r>
  <r>
    <d v="2016-06-06T00:00:00"/>
    <x v="406"/>
    <x v="29"/>
    <x v="2"/>
    <x v="9"/>
    <x v="952"/>
    <n v="179.94"/>
    <n v="6"/>
    <n v="75.569999999999993"/>
  </r>
  <r>
    <d v="2016-06-06T00:00:00"/>
    <x v="406"/>
    <x v="29"/>
    <x v="2"/>
    <x v="9"/>
    <x v="461"/>
    <n v="26.85"/>
    <n v="3"/>
    <n v="5.0999999999999996"/>
  </r>
  <r>
    <d v="2016-06-06T00:00:00"/>
    <x v="406"/>
    <x v="29"/>
    <x v="2"/>
    <x v="9"/>
    <x v="1167"/>
    <n v="323.37"/>
    <n v="3"/>
    <n v="129.35"/>
  </r>
  <r>
    <d v="2016-06-06T00:00:00"/>
    <x v="406"/>
    <x v="29"/>
    <x v="0"/>
    <x v="0"/>
    <x v="1168"/>
    <n v="59.94"/>
    <n v="3"/>
    <n v="28.17"/>
  </r>
  <r>
    <d v="2016-06-06T00:00:00"/>
    <x v="406"/>
    <x v="29"/>
    <x v="0"/>
    <x v="3"/>
    <x v="1169"/>
    <n v="64.14"/>
    <n v="3"/>
    <n v="30.79"/>
  </r>
  <r>
    <d v="2016-06-06T00:00:00"/>
    <x v="406"/>
    <x v="29"/>
    <x v="0"/>
    <x v="3"/>
    <x v="1170"/>
    <n v="11.67"/>
    <n v="3"/>
    <n v="5.6"/>
  </r>
  <r>
    <d v="2016-06-06T00:00:00"/>
    <x v="406"/>
    <x v="29"/>
    <x v="0"/>
    <x v="0"/>
    <x v="1171"/>
    <n v="12.96"/>
    <n v="2"/>
    <n v="6.22"/>
  </r>
  <r>
    <d v="2016-06-06T00:00:00"/>
    <x v="111"/>
    <x v="3"/>
    <x v="0"/>
    <x v="1"/>
    <x v="1011"/>
    <n v="22.05"/>
    <n v="7"/>
    <n v="10.58"/>
  </r>
  <r>
    <d v="2016-06-06T00:00:00"/>
    <x v="111"/>
    <x v="3"/>
    <x v="0"/>
    <x v="0"/>
    <x v="1172"/>
    <n v="99.9"/>
    <n v="5"/>
    <n v="46.95"/>
  </r>
  <r>
    <d v="2016-06-06T00:00:00"/>
    <x v="5"/>
    <x v="3"/>
    <x v="2"/>
    <x v="6"/>
    <x v="1173"/>
    <n v="3023.93"/>
    <n v="9"/>
    <n v="226.79"/>
  </r>
  <r>
    <d v="2016-06-06T00:00:00"/>
    <x v="5"/>
    <x v="3"/>
    <x v="2"/>
    <x v="9"/>
    <x v="434"/>
    <n v="26.96"/>
    <n v="2"/>
    <n v="3.77"/>
  </r>
  <r>
    <d v="2016-06-06T00:00:00"/>
    <x v="5"/>
    <x v="3"/>
    <x v="2"/>
    <x v="6"/>
    <x v="458"/>
    <n v="477.6"/>
    <n v="3"/>
    <n v="161.19"/>
  </r>
  <r>
    <d v="2016-06-06T00:00:00"/>
    <x v="568"/>
    <x v="16"/>
    <x v="1"/>
    <x v="8"/>
    <x v="1174"/>
    <n v="466.32"/>
    <n v="3"/>
    <n v="34.97"/>
  </r>
  <r>
    <d v="2016-06-06T00:00:00"/>
    <x v="568"/>
    <x v="16"/>
    <x v="1"/>
    <x v="8"/>
    <x v="1175"/>
    <n v="82.64"/>
    <n v="2"/>
    <n v="0"/>
  </r>
  <r>
    <d v="2016-07-06T00:00:00"/>
    <x v="569"/>
    <x v="12"/>
    <x v="0"/>
    <x v="0"/>
    <x v="140"/>
    <n v="32.4"/>
    <n v="5"/>
    <n v="15.55"/>
  </r>
  <r>
    <d v="2016-07-06T00:00:00"/>
    <x v="360"/>
    <x v="3"/>
    <x v="0"/>
    <x v="3"/>
    <x v="965"/>
    <n v="4.78"/>
    <n v="1"/>
    <n v="1.55"/>
  </r>
  <r>
    <d v="2016-07-06T00:00:00"/>
    <x v="360"/>
    <x v="3"/>
    <x v="0"/>
    <x v="0"/>
    <x v="981"/>
    <n v="4.7300000000000004"/>
    <n v="1"/>
    <n v="2.3199999999999998"/>
  </r>
  <r>
    <d v="2016-07-06T00:00:00"/>
    <x v="570"/>
    <x v="2"/>
    <x v="0"/>
    <x v="7"/>
    <x v="418"/>
    <n v="9.65"/>
    <n v="6"/>
    <n v="3.5"/>
  </r>
  <r>
    <d v="2016-09-06T00:00:00"/>
    <x v="98"/>
    <x v="3"/>
    <x v="2"/>
    <x v="6"/>
    <x v="1146"/>
    <n v="177.48"/>
    <n v="3"/>
    <n v="19.97"/>
  </r>
  <r>
    <d v="2016-09-06T00:00:00"/>
    <x v="571"/>
    <x v="9"/>
    <x v="2"/>
    <x v="16"/>
    <x v="1176"/>
    <n v="695.7"/>
    <n v="2"/>
    <n v="-27.83"/>
  </r>
  <r>
    <d v="2016-09-06T00:00:00"/>
    <x v="572"/>
    <x v="3"/>
    <x v="1"/>
    <x v="5"/>
    <x v="462"/>
    <n v="122.35"/>
    <n v="3"/>
    <n v="13.76"/>
  </r>
  <r>
    <d v="2016-09-06T00:00:00"/>
    <x v="276"/>
    <x v="28"/>
    <x v="1"/>
    <x v="10"/>
    <x v="1177"/>
    <n v="692.94"/>
    <n v="3"/>
    <n v="173.24"/>
  </r>
  <r>
    <d v="2016-10-06T00:00:00"/>
    <x v="573"/>
    <x v="3"/>
    <x v="0"/>
    <x v="1"/>
    <x v="1100"/>
    <n v="20.7"/>
    <n v="2"/>
    <n v="9.94"/>
  </r>
  <r>
    <d v="2016-10-06T00:00:00"/>
    <x v="573"/>
    <x v="3"/>
    <x v="1"/>
    <x v="10"/>
    <x v="1178"/>
    <n v="1335.68"/>
    <n v="4"/>
    <n v="-217.05"/>
  </r>
  <r>
    <d v="2016-10-06T00:00:00"/>
    <x v="573"/>
    <x v="3"/>
    <x v="0"/>
    <x v="0"/>
    <x v="140"/>
    <n v="32.4"/>
    <n v="5"/>
    <n v="15.55"/>
  </r>
  <r>
    <d v="2016-10-06T00:00:00"/>
    <x v="521"/>
    <x v="2"/>
    <x v="0"/>
    <x v="1"/>
    <x v="1179"/>
    <n v="23.62"/>
    <n v="8"/>
    <n v="7.97"/>
  </r>
  <r>
    <d v="2016-11-06T00:00:00"/>
    <x v="54"/>
    <x v="0"/>
    <x v="0"/>
    <x v="3"/>
    <x v="1142"/>
    <n v="1.34"/>
    <n v="4"/>
    <n v="-2.15"/>
  </r>
  <r>
    <d v="2016-11-06T00:00:00"/>
    <x v="54"/>
    <x v="0"/>
    <x v="0"/>
    <x v="3"/>
    <x v="72"/>
    <n v="8.27"/>
    <n v="4"/>
    <n v="-13.65"/>
  </r>
  <r>
    <d v="2016-11-06T00:00:00"/>
    <x v="54"/>
    <x v="0"/>
    <x v="1"/>
    <x v="8"/>
    <x v="137"/>
    <n v="12.54"/>
    <n v="7"/>
    <n v="-9.09"/>
  </r>
  <r>
    <d v="2016-11-06T00:00:00"/>
    <x v="574"/>
    <x v="12"/>
    <x v="2"/>
    <x v="9"/>
    <x v="724"/>
    <n v="239.97"/>
    <n v="3"/>
    <n v="71.989999999999995"/>
  </r>
  <r>
    <d v="2016-11-06T00:00:00"/>
    <x v="74"/>
    <x v="10"/>
    <x v="0"/>
    <x v="1"/>
    <x v="1032"/>
    <n v="14.62"/>
    <n v="2"/>
    <n v="6.87"/>
  </r>
  <r>
    <d v="2016-11-06T00:00:00"/>
    <x v="74"/>
    <x v="10"/>
    <x v="0"/>
    <x v="3"/>
    <x v="41"/>
    <n v="53.98"/>
    <n v="14"/>
    <n v="17.54"/>
  </r>
  <r>
    <d v="2016-11-06T00:00:00"/>
    <x v="74"/>
    <x v="10"/>
    <x v="2"/>
    <x v="9"/>
    <x v="1180"/>
    <n v="389.97"/>
    <n v="3"/>
    <n v="132.59"/>
  </r>
  <r>
    <d v="2016-11-06T00:00:00"/>
    <x v="9"/>
    <x v="3"/>
    <x v="1"/>
    <x v="10"/>
    <x v="643"/>
    <n v="902.71"/>
    <n v="3"/>
    <n v="33.85"/>
  </r>
  <r>
    <d v="2016-12-06T00:00:00"/>
    <x v="575"/>
    <x v="3"/>
    <x v="0"/>
    <x v="1"/>
    <x v="305"/>
    <n v="14.62"/>
    <n v="2"/>
    <n v="6.87"/>
  </r>
  <r>
    <d v="2016-12-06T00:00:00"/>
    <x v="576"/>
    <x v="22"/>
    <x v="0"/>
    <x v="13"/>
    <x v="1181"/>
    <n v="208.16"/>
    <n v="1"/>
    <n v="56.2"/>
  </r>
  <r>
    <d v="2016-12-06T00:00:00"/>
    <x v="576"/>
    <x v="22"/>
    <x v="0"/>
    <x v="3"/>
    <x v="1182"/>
    <n v="16.739999999999998"/>
    <n v="3"/>
    <n v="8.0399999999999991"/>
  </r>
  <r>
    <d v="2016-12-06T00:00:00"/>
    <x v="110"/>
    <x v="7"/>
    <x v="1"/>
    <x v="8"/>
    <x v="848"/>
    <n v="47.04"/>
    <n v="3"/>
    <n v="18.350000000000001"/>
  </r>
  <r>
    <d v="2016-12-06T00:00:00"/>
    <x v="110"/>
    <x v="7"/>
    <x v="0"/>
    <x v="3"/>
    <x v="245"/>
    <n v="30.84"/>
    <n v="4"/>
    <n v="13.88"/>
  </r>
  <r>
    <d v="2016-12-06T00:00:00"/>
    <x v="110"/>
    <x v="7"/>
    <x v="0"/>
    <x v="2"/>
    <x v="625"/>
    <n v="226.56"/>
    <n v="6"/>
    <n v="63.44"/>
  </r>
  <r>
    <d v="2016-12-06T00:00:00"/>
    <x v="110"/>
    <x v="7"/>
    <x v="0"/>
    <x v="11"/>
    <x v="348"/>
    <n v="115.02"/>
    <n v="9"/>
    <n v="51.76"/>
  </r>
  <r>
    <d v="2016-12-06T00:00:00"/>
    <x v="110"/>
    <x v="7"/>
    <x v="2"/>
    <x v="6"/>
    <x v="924"/>
    <n v="68.040000000000006"/>
    <n v="7"/>
    <n v="19.73"/>
  </r>
  <r>
    <d v="2016-12-06T00:00:00"/>
    <x v="422"/>
    <x v="1"/>
    <x v="2"/>
    <x v="16"/>
    <x v="1183"/>
    <n v="1007.98"/>
    <n v="3"/>
    <n v="43.2"/>
  </r>
  <r>
    <d v="2016-12-06T00:00:00"/>
    <x v="422"/>
    <x v="1"/>
    <x v="0"/>
    <x v="0"/>
    <x v="868"/>
    <n v="313.49"/>
    <n v="7"/>
    <n v="113.64"/>
  </r>
  <r>
    <d v="2016-12-06T00:00:00"/>
    <x v="577"/>
    <x v="1"/>
    <x v="0"/>
    <x v="0"/>
    <x v="984"/>
    <n v="23.12"/>
    <n v="5"/>
    <n v="8.3800000000000008"/>
  </r>
  <r>
    <d v="2016-12-06T00:00:00"/>
    <x v="468"/>
    <x v="12"/>
    <x v="0"/>
    <x v="0"/>
    <x v="1184"/>
    <n v="92.94"/>
    <n v="3"/>
    <n v="41.82"/>
  </r>
  <r>
    <d v="2016-12-06T00:00:00"/>
    <x v="468"/>
    <x v="12"/>
    <x v="0"/>
    <x v="13"/>
    <x v="618"/>
    <n v="52.56"/>
    <n v="3"/>
    <n v="18.399999999999999"/>
  </r>
  <r>
    <d v="2016-12-06T00:00:00"/>
    <x v="253"/>
    <x v="3"/>
    <x v="0"/>
    <x v="0"/>
    <x v="1184"/>
    <n v="185.88"/>
    <n v="6"/>
    <n v="83.65"/>
  </r>
  <r>
    <d v="2016-12-06T00:00:00"/>
    <x v="253"/>
    <x v="3"/>
    <x v="0"/>
    <x v="0"/>
    <x v="1185"/>
    <n v="12.96"/>
    <n v="2"/>
    <n v="6.22"/>
  </r>
  <r>
    <d v="2016-12-06T00:00:00"/>
    <x v="578"/>
    <x v="0"/>
    <x v="0"/>
    <x v="13"/>
    <x v="711"/>
    <n v="64.38"/>
    <n v="4"/>
    <n v="-160.96"/>
  </r>
  <r>
    <d v="2016-12-06T00:00:00"/>
    <x v="578"/>
    <x v="0"/>
    <x v="1"/>
    <x v="8"/>
    <x v="1186"/>
    <n v="6.98"/>
    <n v="2"/>
    <n v="-4.54"/>
  </r>
  <r>
    <d v="2016-12-06T00:00:00"/>
    <x v="578"/>
    <x v="0"/>
    <x v="0"/>
    <x v="4"/>
    <x v="428"/>
    <n v="11.26"/>
    <n v="8"/>
    <n v="3.94"/>
  </r>
  <r>
    <d v="2016-12-06T00:00:00"/>
    <x v="578"/>
    <x v="0"/>
    <x v="0"/>
    <x v="0"/>
    <x v="1187"/>
    <n v="15.55"/>
    <n v="3"/>
    <n v="5.64"/>
  </r>
  <r>
    <d v="2016-12-06T00:00:00"/>
    <x v="578"/>
    <x v="0"/>
    <x v="1"/>
    <x v="5"/>
    <x v="491"/>
    <n v="379.37"/>
    <n v="2"/>
    <n v="-119.23"/>
  </r>
  <r>
    <d v="2016-12-06T00:00:00"/>
    <x v="578"/>
    <x v="0"/>
    <x v="0"/>
    <x v="2"/>
    <x v="317"/>
    <n v="67.540000000000006"/>
    <n v="9"/>
    <n v="6.75"/>
  </r>
  <r>
    <d v="2016-12-06T00:00:00"/>
    <x v="578"/>
    <x v="0"/>
    <x v="0"/>
    <x v="3"/>
    <x v="1188"/>
    <n v="1.52"/>
    <n v="2"/>
    <n v="-2.67"/>
  </r>
  <r>
    <d v="2016-01-07T00:00:00"/>
    <x v="579"/>
    <x v="17"/>
    <x v="0"/>
    <x v="3"/>
    <x v="836"/>
    <n v="14.2"/>
    <n v="2"/>
    <n v="6.53"/>
  </r>
  <r>
    <d v="2016-01-07T00:00:00"/>
    <x v="579"/>
    <x v="17"/>
    <x v="0"/>
    <x v="0"/>
    <x v="433"/>
    <n v="12.96"/>
    <n v="2"/>
    <n v="6.22"/>
  </r>
  <r>
    <d v="2016-01-07T00:00:00"/>
    <x v="579"/>
    <x v="17"/>
    <x v="0"/>
    <x v="3"/>
    <x v="1189"/>
    <n v="58.34"/>
    <n v="2"/>
    <n v="28"/>
  </r>
  <r>
    <d v="2016-01-07T00:00:00"/>
    <x v="346"/>
    <x v="30"/>
    <x v="2"/>
    <x v="15"/>
    <x v="902"/>
    <n v="1499.95"/>
    <n v="5"/>
    <n v="449.99"/>
  </r>
  <r>
    <d v="2016-01-07T00:00:00"/>
    <x v="495"/>
    <x v="12"/>
    <x v="0"/>
    <x v="1"/>
    <x v="1190"/>
    <n v="30.53"/>
    <n v="1"/>
    <n v="14.04"/>
  </r>
  <r>
    <d v="2016-01-07T00:00:00"/>
    <x v="495"/>
    <x v="12"/>
    <x v="2"/>
    <x v="9"/>
    <x v="1191"/>
    <n v="30.84"/>
    <n v="3"/>
    <n v="6.17"/>
  </r>
  <r>
    <d v="2016-01-07T00:00:00"/>
    <x v="495"/>
    <x v="12"/>
    <x v="0"/>
    <x v="0"/>
    <x v="1192"/>
    <n v="75.06"/>
    <n v="9"/>
    <n v="33.78"/>
  </r>
  <r>
    <d v="2016-01-07T00:00:00"/>
    <x v="157"/>
    <x v="10"/>
    <x v="0"/>
    <x v="3"/>
    <x v="95"/>
    <n v="2.5"/>
    <n v="1"/>
    <n v="0.9"/>
  </r>
  <r>
    <d v="2016-02-07T00:00:00"/>
    <x v="443"/>
    <x v="3"/>
    <x v="1"/>
    <x v="5"/>
    <x v="302"/>
    <n v="195.18"/>
    <n v="1"/>
    <n v="19.52"/>
  </r>
  <r>
    <d v="2016-02-07T00:00:00"/>
    <x v="580"/>
    <x v="6"/>
    <x v="0"/>
    <x v="4"/>
    <x v="1193"/>
    <n v="7.7"/>
    <n v="2"/>
    <n v="3.16"/>
  </r>
  <r>
    <d v="2016-02-07T00:00:00"/>
    <x v="253"/>
    <x v="0"/>
    <x v="1"/>
    <x v="5"/>
    <x v="568"/>
    <n v="528.42999999999995"/>
    <n v="5"/>
    <n v="0"/>
  </r>
  <r>
    <d v="2016-02-07T00:00:00"/>
    <x v="253"/>
    <x v="0"/>
    <x v="0"/>
    <x v="0"/>
    <x v="1030"/>
    <n v="41.47"/>
    <n v="8"/>
    <n v="14.52"/>
  </r>
  <r>
    <d v="2016-03-07T00:00:00"/>
    <x v="581"/>
    <x v="3"/>
    <x v="0"/>
    <x v="0"/>
    <x v="291"/>
    <n v="12.96"/>
    <n v="2"/>
    <n v="6.22"/>
  </r>
  <r>
    <d v="2016-03-07T00:00:00"/>
    <x v="581"/>
    <x v="3"/>
    <x v="0"/>
    <x v="7"/>
    <x v="936"/>
    <n v="3.96"/>
    <n v="2"/>
    <n v="0.08"/>
  </r>
  <r>
    <d v="2016-03-07T00:00:00"/>
    <x v="489"/>
    <x v="12"/>
    <x v="0"/>
    <x v="13"/>
    <x v="1194"/>
    <n v="706.86"/>
    <n v="7"/>
    <n v="197.92"/>
  </r>
  <r>
    <d v="2016-03-07T00:00:00"/>
    <x v="45"/>
    <x v="2"/>
    <x v="0"/>
    <x v="0"/>
    <x v="1195"/>
    <n v="123.92"/>
    <n v="5"/>
    <n v="38.729999999999997"/>
  </r>
  <r>
    <d v="2016-04-07T00:00:00"/>
    <x v="289"/>
    <x v="3"/>
    <x v="1"/>
    <x v="8"/>
    <x v="596"/>
    <n v="25.4"/>
    <n v="5"/>
    <n v="8.64"/>
  </r>
  <r>
    <d v="2016-04-07T00:00:00"/>
    <x v="289"/>
    <x v="3"/>
    <x v="0"/>
    <x v="11"/>
    <x v="1196"/>
    <n v="43.96"/>
    <n v="2"/>
    <n v="20.66"/>
  </r>
  <r>
    <d v="2016-04-07T00:00:00"/>
    <x v="289"/>
    <x v="3"/>
    <x v="1"/>
    <x v="12"/>
    <x v="688"/>
    <n v="1279.17"/>
    <n v="5"/>
    <n v="225.74"/>
  </r>
  <r>
    <d v="2016-04-07T00:00:00"/>
    <x v="289"/>
    <x v="3"/>
    <x v="0"/>
    <x v="2"/>
    <x v="64"/>
    <n v="27.92"/>
    <n v="4"/>
    <n v="0.56000000000000005"/>
  </r>
  <r>
    <d v="2016-04-07T00:00:00"/>
    <x v="198"/>
    <x v="10"/>
    <x v="1"/>
    <x v="8"/>
    <x v="596"/>
    <n v="25.4"/>
    <n v="5"/>
    <n v="8.64"/>
  </r>
  <r>
    <d v="2016-04-07T00:00:00"/>
    <x v="198"/>
    <x v="10"/>
    <x v="2"/>
    <x v="6"/>
    <x v="1146"/>
    <n v="177.48"/>
    <n v="3"/>
    <n v="19.97"/>
  </r>
  <r>
    <d v="2016-04-07T00:00:00"/>
    <x v="198"/>
    <x v="10"/>
    <x v="2"/>
    <x v="6"/>
    <x v="1197"/>
    <n v="71.98"/>
    <n v="3"/>
    <n v="9"/>
  </r>
  <r>
    <d v="2016-07-07T00:00:00"/>
    <x v="485"/>
    <x v="9"/>
    <x v="0"/>
    <x v="14"/>
    <x v="1198"/>
    <n v="45.58"/>
    <n v="7"/>
    <n v="5.13"/>
  </r>
  <r>
    <d v="2016-07-07T00:00:00"/>
    <x v="100"/>
    <x v="3"/>
    <x v="1"/>
    <x v="8"/>
    <x v="276"/>
    <n v="215.65"/>
    <n v="5"/>
    <n v="73.319999999999993"/>
  </r>
  <r>
    <d v="2016-07-07T00:00:00"/>
    <x v="582"/>
    <x v="1"/>
    <x v="1"/>
    <x v="8"/>
    <x v="1199"/>
    <n v="60.29"/>
    <n v="8"/>
    <n v="-27.13"/>
  </r>
  <r>
    <d v="2016-07-07T00:00:00"/>
    <x v="582"/>
    <x v="1"/>
    <x v="0"/>
    <x v="7"/>
    <x v="406"/>
    <n v="2.63"/>
    <n v="1"/>
    <n v="0.82"/>
  </r>
  <r>
    <d v="2016-07-07T00:00:00"/>
    <x v="582"/>
    <x v="1"/>
    <x v="0"/>
    <x v="0"/>
    <x v="807"/>
    <n v="23.69"/>
    <n v="9"/>
    <n v="7.7"/>
  </r>
  <r>
    <d v="2016-07-07T00:00:00"/>
    <x v="582"/>
    <x v="1"/>
    <x v="1"/>
    <x v="5"/>
    <x v="841"/>
    <n v="253.37"/>
    <n v="2"/>
    <n v="-14.48"/>
  </r>
  <r>
    <d v="2016-07-07T00:00:00"/>
    <x v="583"/>
    <x v="3"/>
    <x v="1"/>
    <x v="5"/>
    <x v="1200"/>
    <n v="287.97000000000003"/>
    <n v="4"/>
    <n v="-3.6"/>
  </r>
  <r>
    <d v="2016-07-07T00:00:00"/>
    <x v="583"/>
    <x v="3"/>
    <x v="2"/>
    <x v="15"/>
    <x v="698"/>
    <n v="2799.96"/>
    <n v="5"/>
    <n v="944.99"/>
  </r>
  <r>
    <d v="2016-07-07T00:00:00"/>
    <x v="583"/>
    <x v="3"/>
    <x v="0"/>
    <x v="0"/>
    <x v="606"/>
    <n v="48.94"/>
    <n v="1"/>
    <n v="24.47"/>
  </r>
  <r>
    <d v="2016-07-07T00:00:00"/>
    <x v="584"/>
    <x v="2"/>
    <x v="0"/>
    <x v="1"/>
    <x v="979"/>
    <n v="10.08"/>
    <n v="2"/>
    <n v="3.28"/>
  </r>
  <r>
    <d v="2016-07-07T00:00:00"/>
    <x v="584"/>
    <x v="2"/>
    <x v="2"/>
    <x v="6"/>
    <x v="322"/>
    <n v="59.99"/>
    <n v="1"/>
    <n v="-13"/>
  </r>
  <r>
    <d v="2016-07-07T00:00:00"/>
    <x v="584"/>
    <x v="2"/>
    <x v="0"/>
    <x v="3"/>
    <x v="1188"/>
    <n v="5.72"/>
    <n v="5"/>
    <n v="-4.76"/>
  </r>
  <r>
    <d v="2016-07-07T00:00:00"/>
    <x v="584"/>
    <x v="2"/>
    <x v="0"/>
    <x v="3"/>
    <x v="785"/>
    <n v="9.42"/>
    <n v="5"/>
    <n v="-7.85"/>
  </r>
  <r>
    <d v="2016-07-07T00:00:00"/>
    <x v="389"/>
    <x v="30"/>
    <x v="0"/>
    <x v="0"/>
    <x v="140"/>
    <n v="12.96"/>
    <n v="2"/>
    <n v="6.22"/>
  </r>
  <r>
    <d v="2016-07-07T00:00:00"/>
    <x v="389"/>
    <x v="30"/>
    <x v="0"/>
    <x v="4"/>
    <x v="331"/>
    <n v="45.98"/>
    <n v="2"/>
    <n v="12.87"/>
  </r>
  <r>
    <d v="2016-08-07T00:00:00"/>
    <x v="567"/>
    <x v="0"/>
    <x v="2"/>
    <x v="6"/>
    <x v="1201"/>
    <n v="863.64"/>
    <n v="9"/>
    <n v="107.96"/>
  </r>
  <r>
    <d v="2016-08-07T00:00:00"/>
    <x v="567"/>
    <x v="0"/>
    <x v="0"/>
    <x v="4"/>
    <x v="69"/>
    <n v="47.62"/>
    <n v="3"/>
    <n v="3.57"/>
  </r>
  <r>
    <d v="2016-08-07T00:00:00"/>
    <x v="585"/>
    <x v="19"/>
    <x v="0"/>
    <x v="3"/>
    <x v="1202"/>
    <n v="19.97"/>
    <n v="2"/>
    <n v="-13.31"/>
  </r>
  <r>
    <d v="2016-08-07T00:00:00"/>
    <x v="585"/>
    <x v="19"/>
    <x v="0"/>
    <x v="2"/>
    <x v="281"/>
    <n v="33.49"/>
    <n v="7"/>
    <n v="-1.26"/>
  </r>
  <r>
    <d v="2016-08-07T00:00:00"/>
    <x v="585"/>
    <x v="19"/>
    <x v="0"/>
    <x v="3"/>
    <x v="814"/>
    <n v="8.74"/>
    <n v="4"/>
    <n v="-6.12"/>
  </r>
  <r>
    <d v="2016-08-07T00:00:00"/>
    <x v="585"/>
    <x v="19"/>
    <x v="1"/>
    <x v="5"/>
    <x v="410"/>
    <n v="662.88"/>
    <n v="3"/>
    <n v="74.569999999999993"/>
  </r>
  <r>
    <d v="2016-08-07T00:00:00"/>
    <x v="215"/>
    <x v="10"/>
    <x v="2"/>
    <x v="6"/>
    <x v="1203"/>
    <n v="107.98"/>
    <n v="1"/>
    <n v="9.4499999999999993"/>
  </r>
  <r>
    <d v="2016-08-07T00:00:00"/>
    <x v="215"/>
    <x v="10"/>
    <x v="0"/>
    <x v="3"/>
    <x v="120"/>
    <n v="19.3"/>
    <n v="3"/>
    <n v="6.03"/>
  </r>
  <r>
    <d v="2016-08-07T00:00:00"/>
    <x v="547"/>
    <x v="9"/>
    <x v="2"/>
    <x v="6"/>
    <x v="1204"/>
    <n v="823.96"/>
    <n v="5"/>
    <n v="51.5"/>
  </r>
  <r>
    <d v="2016-08-07T00:00:00"/>
    <x v="547"/>
    <x v="9"/>
    <x v="0"/>
    <x v="0"/>
    <x v="1205"/>
    <n v="15.98"/>
    <n v="2"/>
    <n v="5"/>
  </r>
  <r>
    <d v="2016-08-07T00:00:00"/>
    <x v="586"/>
    <x v="40"/>
    <x v="0"/>
    <x v="0"/>
    <x v="160"/>
    <n v="12.96"/>
    <n v="2"/>
    <n v="6.22"/>
  </r>
  <r>
    <d v="2016-09-07T00:00:00"/>
    <x v="513"/>
    <x v="12"/>
    <x v="1"/>
    <x v="5"/>
    <x v="334"/>
    <n v="408.01"/>
    <n v="2"/>
    <n v="72.53"/>
  </r>
  <r>
    <d v="2016-09-07T00:00:00"/>
    <x v="513"/>
    <x v="12"/>
    <x v="1"/>
    <x v="8"/>
    <x v="200"/>
    <n v="165.28"/>
    <n v="4"/>
    <n v="14.88"/>
  </r>
  <r>
    <d v="2016-10-07T00:00:00"/>
    <x v="327"/>
    <x v="23"/>
    <x v="0"/>
    <x v="2"/>
    <x v="862"/>
    <n v="16.77"/>
    <n v="2"/>
    <n v="1.47"/>
  </r>
  <r>
    <d v="2016-10-07T00:00:00"/>
    <x v="316"/>
    <x v="0"/>
    <x v="0"/>
    <x v="2"/>
    <x v="691"/>
    <n v="338.04"/>
    <n v="3"/>
    <n v="-33.799999999999997"/>
  </r>
  <r>
    <d v="2016-10-07T00:00:00"/>
    <x v="316"/>
    <x v="0"/>
    <x v="0"/>
    <x v="4"/>
    <x v="211"/>
    <n v="154.24"/>
    <n v="4"/>
    <n v="17.350000000000001"/>
  </r>
  <r>
    <d v="2016-10-07T00:00:00"/>
    <x v="157"/>
    <x v="23"/>
    <x v="0"/>
    <x v="3"/>
    <x v="216"/>
    <n v="44.86"/>
    <n v="6"/>
    <n v="-35.880000000000003"/>
  </r>
  <r>
    <d v="2016-10-07T00:00:00"/>
    <x v="253"/>
    <x v="2"/>
    <x v="2"/>
    <x v="16"/>
    <x v="1206"/>
    <n v="341.99"/>
    <n v="3"/>
    <n v="-319.19"/>
  </r>
  <r>
    <d v="2016-12-07T00:00:00"/>
    <x v="501"/>
    <x v="3"/>
    <x v="2"/>
    <x v="6"/>
    <x v="695"/>
    <n v="95.76"/>
    <n v="6"/>
    <n v="7.18"/>
  </r>
  <r>
    <d v="2016-01-08T00:00:00"/>
    <x v="587"/>
    <x v="0"/>
    <x v="0"/>
    <x v="0"/>
    <x v="177"/>
    <n v="19.649999999999999"/>
    <n v="2"/>
    <n v="6.63"/>
  </r>
  <r>
    <d v="2016-01-08T00:00:00"/>
    <x v="127"/>
    <x v="3"/>
    <x v="2"/>
    <x v="6"/>
    <x v="1092"/>
    <n v="1039.73"/>
    <n v="2"/>
    <n v="90.98"/>
  </r>
  <r>
    <d v="2016-01-08T00:00:00"/>
    <x v="127"/>
    <x v="3"/>
    <x v="0"/>
    <x v="13"/>
    <x v="246"/>
    <n v="45.96"/>
    <n v="2"/>
    <n v="13.79"/>
  </r>
  <r>
    <d v="2016-01-08T00:00:00"/>
    <x v="505"/>
    <x v="2"/>
    <x v="1"/>
    <x v="8"/>
    <x v="1207"/>
    <n v="19.309999999999999"/>
    <n v="2"/>
    <n v="3.14"/>
  </r>
  <r>
    <d v="2016-02-08T00:00:00"/>
    <x v="582"/>
    <x v="3"/>
    <x v="1"/>
    <x v="10"/>
    <x v="1208"/>
    <n v="136.46"/>
    <n v="2"/>
    <n v="15.35"/>
  </r>
  <r>
    <d v="2016-02-08T00:00:00"/>
    <x v="582"/>
    <x v="3"/>
    <x v="2"/>
    <x v="6"/>
    <x v="1209"/>
    <n v="333.58"/>
    <n v="3"/>
    <n v="33.36"/>
  </r>
  <r>
    <d v="2016-02-08T00:00:00"/>
    <x v="582"/>
    <x v="3"/>
    <x v="0"/>
    <x v="3"/>
    <x v="1210"/>
    <n v="12.54"/>
    <n v="2"/>
    <n v="4.7"/>
  </r>
  <r>
    <d v="2016-03-08T00:00:00"/>
    <x v="588"/>
    <x v="34"/>
    <x v="0"/>
    <x v="11"/>
    <x v="907"/>
    <n v="81.540000000000006"/>
    <n v="3"/>
    <n v="38.32"/>
  </r>
  <r>
    <d v="2016-03-08T00:00:00"/>
    <x v="588"/>
    <x v="34"/>
    <x v="2"/>
    <x v="9"/>
    <x v="1211"/>
    <n v="167.28"/>
    <n v="12"/>
    <n v="23.42"/>
  </r>
  <r>
    <d v="2016-04-08T00:00:00"/>
    <x v="589"/>
    <x v="6"/>
    <x v="0"/>
    <x v="14"/>
    <x v="741"/>
    <n v="35.06"/>
    <n v="2"/>
    <n v="10.52"/>
  </r>
  <r>
    <d v="2016-04-08T00:00:00"/>
    <x v="589"/>
    <x v="6"/>
    <x v="0"/>
    <x v="1"/>
    <x v="957"/>
    <n v="4.13"/>
    <n v="1"/>
    <n v="1.9"/>
  </r>
  <r>
    <d v="2016-04-08T00:00:00"/>
    <x v="589"/>
    <x v="6"/>
    <x v="1"/>
    <x v="8"/>
    <x v="271"/>
    <n v="109.8"/>
    <n v="9"/>
    <n v="46.12"/>
  </r>
  <r>
    <d v="2016-04-08T00:00:00"/>
    <x v="589"/>
    <x v="6"/>
    <x v="0"/>
    <x v="1"/>
    <x v="1212"/>
    <n v="9.82"/>
    <n v="2"/>
    <n v="4.8099999999999996"/>
  </r>
  <r>
    <d v="2016-04-08T00:00:00"/>
    <x v="590"/>
    <x v="1"/>
    <x v="0"/>
    <x v="3"/>
    <x v="827"/>
    <n v="3.98"/>
    <n v="5"/>
    <n v="-6.57"/>
  </r>
  <r>
    <d v="2016-04-08T00:00:00"/>
    <x v="591"/>
    <x v="3"/>
    <x v="2"/>
    <x v="6"/>
    <x v="244"/>
    <n v="302.38"/>
    <n v="2"/>
    <n v="30.24"/>
  </r>
  <r>
    <d v="2016-04-08T00:00:00"/>
    <x v="591"/>
    <x v="3"/>
    <x v="0"/>
    <x v="3"/>
    <x v="38"/>
    <n v="20.95"/>
    <n v="3"/>
    <n v="7.07"/>
  </r>
  <r>
    <d v="2016-04-08T00:00:00"/>
    <x v="591"/>
    <x v="3"/>
    <x v="0"/>
    <x v="3"/>
    <x v="1213"/>
    <n v="11.78"/>
    <n v="3"/>
    <n v="3.98"/>
  </r>
  <r>
    <d v="2016-05-08T00:00:00"/>
    <x v="520"/>
    <x v="22"/>
    <x v="0"/>
    <x v="4"/>
    <x v="1214"/>
    <n v="197.05"/>
    <n v="7"/>
    <n v="59.12"/>
  </r>
  <r>
    <d v="2016-06-08T00:00:00"/>
    <x v="50"/>
    <x v="12"/>
    <x v="0"/>
    <x v="0"/>
    <x v="177"/>
    <n v="70.88"/>
    <n v="2"/>
    <n v="33.31"/>
  </r>
  <r>
    <d v="2016-06-08T00:00:00"/>
    <x v="173"/>
    <x v="3"/>
    <x v="2"/>
    <x v="6"/>
    <x v="1002"/>
    <n v="211.17"/>
    <n v="4"/>
    <n v="18.48"/>
  </r>
  <r>
    <d v="2016-06-08T00:00:00"/>
    <x v="592"/>
    <x v="12"/>
    <x v="0"/>
    <x v="4"/>
    <x v="6"/>
    <n v="38.340000000000003"/>
    <n v="9"/>
    <n v="15.72"/>
  </r>
  <r>
    <d v="2016-07-08T00:00:00"/>
    <x v="593"/>
    <x v="10"/>
    <x v="2"/>
    <x v="9"/>
    <x v="1215"/>
    <n v="179.97"/>
    <n v="3"/>
    <n v="86.39"/>
  </r>
  <r>
    <d v="2016-08-08T00:00:00"/>
    <x v="241"/>
    <x v="0"/>
    <x v="0"/>
    <x v="7"/>
    <x v="527"/>
    <n v="11.17"/>
    <n v="4"/>
    <n v="3.63"/>
  </r>
  <r>
    <d v="2016-08-08T00:00:00"/>
    <x v="241"/>
    <x v="0"/>
    <x v="0"/>
    <x v="0"/>
    <x v="1216"/>
    <n v="53.95"/>
    <n v="3"/>
    <n v="17.53"/>
  </r>
  <r>
    <d v="2016-08-08T00:00:00"/>
    <x v="466"/>
    <x v="32"/>
    <x v="0"/>
    <x v="7"/>
    <x v="12"/>
    <n v="23.34"/>
    <n v="3"/>
    <n v="0.23"/>
  </r>
  <r>
    <d v="2016-08-08T00:00:00"/>
    <x v="431"/>
    <x v="3"/>
    <x v="1"/>
    <x v="10"/>
    <x v="1217"/>
    <n v="513.02"/>
    <n v="2"/>
    <n v="12.83"/>
  </r>
  <r>
    <d v="2016-08-08T00:00:00"/>
    <x v="431"/>
    <x v="3"/>
    <x v="0"/>
    <x v="13"/>
    <x v="733"/>
    <n v="487.92"/>
    <n v="6"/>
    <n v="136.62"/>
  </r>
  <r>
    <d v="2016-08-08T00:00:00"/>
    <x v="431"/>
    <x v="3"/>
    <x v="0"/>
    <x v="3"/>
    <x v="874"/>
    <n v="15.24"/>
    <n v="5"/>
    <n v="5.33"/>
  </r>
  <r>
    <d v="2016-08-08T00:00:00"/>
    <x v="438"/>
    <x v="34"/>
    <x v="0"/>
    <x v="0"/>
    <x v="1218"/>
    <n v="10.56"/>
    <n v="2"/>
    <n v="4.75"/>
  </r>
  <r>
    <d v="2016-09-08T00:00:00"/>
    <x v="243"/>
    <x v="15"/>
    <x v="0"/>
    <x v="0"/>
    <x v="561"/>
    <n v="30.82"/>
    <n v="9"/>
    <n v="9.6300000000000008"/>
  </r>
  <r>
    <d v="2016-09-08T00:00:00"/>
    <x v="243"/>
    <x v="15"/>
    <x v="2"/>
    <x v="6"/>
    <x v="1219"/>
    <n v="44.78"/>
    <n v="2"/>
    <n v="4.4800000000000004"/>
  </r>
  <r>
    <d v="2016-09-08T00:00:00"/>
    <x v="243"/>
    <x v="15"/>
    <x v="0"/>
    <x v="13"/>
    <x v="411"/>
    <n v="569.54"/>
    <n v="4"/>
    <n v="64.069999999999993"/>
  </r>
  <r>
    <d v="2016-09-08T00:00:00"/>
    <x v="144"/>
    <x v="31"/>
    <x v="0"/>
    <x v="3"/>
    <x v="295"/>
    <n v="4.34"/>
    <n v="3"/>
    <n v="-3.04"/>
  </r>
  <r>
    <d v="2016-09-08T00:00:00"/>
    <x v="144"/>
    <x v="31"/>
    <x v="0"/>
    <x v="3"/>
    <x v="1220"/>
    <n v="11.88"/>
    <n v="5"/>
    <n v="-7.92"/>
  </r>
  <r>
    <d v="2016-11-08T00:00:00"/>
    <x v="594"/>
    <x v="34"/>
    <x v="0"/>
    <x v="0"/>
    <x v="912"/>
    <n v="32.4"/>
    <n v="5"/>
    <n v="15.55"/>
  </r>
  <r>
    <d v="2016-11-08T00:00:00"/>
    <x v="594"/>
    <x v="34"/>
    <x v="0"/>
    <x v="3"/>
    <x v="965"/>
    <n v="41.86"/>
    <n v="7"/>
    <n v="19.260000000000002"/>
  </r>
  <r>
    <d v="2016-11-08T00:00:00"/>
    <x v="594"/>
    <x v="34"/>
    <x v="0"/>
    <x v="3"/>
    <x v="1221"/>
    <n v="77.56"/>
    <n v="2"/>
    <n v="35.68"/>
  </r>
  <r>
    <d v="2016-12-08T00:00:00"/>
    <x v="370"/>
    <x v="42"/>
    <x v="0"/>
    <x v="0"/>
    <x v="149"/>
    <n v="6.48"/>
    <n v="1"/>
    <n v="3.11"/>
  </r>
  <r>
    <d v="2016-12-08T00:00:00"/>
    <x v="553"/>
    <x v="0"/>
    <x v="2"/>
    <x v="9"/>
    <x v="1222"/>
    <n v="1399.94"/>
    <n v="7"/>
    <n v="52.5"/>
  </r>
  <r>
    <d v="2016-12-08T00:00:00"/>
    <x v="139"/>
    <x v="12"/>
    <x v="1"/>
    <x v="5"/>
    <x v="45"/>
    <n v="145.76"/>
    <n v="2"/>
    <n v="-8.1"/>
  </r>
  <r>
    <d v="2016-12-08T00:00:00"/>
    <x v="326"/>
    <x v="9"/>
    <x v="1"/>
    <x v="10"/>
    <x v="1223"/>
    <n v="562.29"/>
    <n v="7"/>
    <n v="-255.59"/>
  </r>
  <r>
    <d v="2016-12-08T00:00:00"/>
    <x v="193"/>
    <x v="12"/>
    <x v="1"/>
    <x v="10"/>
    <x v="752"/>
    <n v="209.15"/>
    <n v="2"/>
    <n v="-66.23"/>
  </r>
  <r>
    <d v="2016-12-08T00:00:00"/>
    <x v="193"/>
    <x v="12"/>
    <x v="0"/>
    <x v="2"/>
    <x v="83"/>
    <n v="1591.02"/>
    <n v="6"/>
    <n v="286.38"/>
  </r>
  <r>
    <d v="2016-12-08T00:00:00"/>
    <x v="14"/>
    <x v="2"/>
    <x v="0"/>
    <x v="4"/>
    <x v="1224"/>
    <n v="37.31"/>
    <n v="4"/>
    <n v="2.8"/>
  </r>
  <r>
    <d v="2016-01-09T00:00:00"/>
    <x v="595"/>
    <x v="12"/>
    <x v="2"/>
    <x v="9"/>
    <x v="1225"/>
    <n v="6.79"/>
    <n v="1"/>
    <n v="2.31"/>
  </r>
  <r>
    <d v="2016-01-09T00:00:00"/>
    <x v="595"/>
    <x v="12"/>
    <x v="0"/>
    <x v="0"/>
    <x v="292"/>
    <n v="24.56"/>
    <n v="2"/>
    <n v="11.54"/>
  </r>
  <r>
    <d v="2016-01-09T00:00:00"/>
    <x v="595"/>
    <x v="12"/>
    <x v="0"/>
    <x v="3"/>
    <x v="874"/>
    <n v="3.05"/>
    <n v="1"/>
    <n v="1.07"/>
  </r>
  <r>
    <d v="2016-01-09T00:00:00"/>
    <x v="595"/>
    <x v="12"/>
    <x v="0"/>
    <x v="0"/>
    <x v="292"/>
    <n v="49.12"/>
    <n v="4"/>
    <n v="23.09"/>
  </r>
  <r>
    <d v="2016-01-09T00:00:00"/>
    <x v="595"/>
    <x v="12"/>
    <x v="0"/>
    <x v="3"/>
    <x v="1113"/>
    <n v="4355.17"/>
    <n v="4"/>
    <n v="1415.43"/>
  </r>
  <r>
    <d v="2016-01-09T00:00:00"/>
    <x v="561"/>
    <x v="3"/>
    <x v="0"/>
    <x v="11"/>
    <x v="861"/>
    <n v="21.88"/>
    <n v="2"/>
    <n v="10.94"/>
  </r>
  <r>
    <d v="2016-01-09T00:00:00"/>
    <x v="489"/>
    <x v="2"/>
    <x v="0"/>
    <x v="0"/>
    <x v="1226"/>
    <n v="30.48"/>
    <n v="6"/>
    <n v="9.91"/>
  </r>
  <r>
    <d v="2016-01-09T00:00:00"/>
    <x v="489"/>
    <x v="2"/>
    <x v="2"/>
    <x v="6"/>
    <x v="1227"/>
    <n v="23.99"/>
    <n v="2"/>
    <n v="-4.8"/>
  </r>
  <r>
    <d v="2016-01-09T00:00:00"/>
    <x v="489"/>
    <x v="2"/>
    <x v="0"/>
    <x v="7"/>
    <x v="22"/>
    <n v="16.690000000000001"/>
    <n v="7"/>
    <n v="5.42"/>
  </r>
  <r>
    <d v="2016-01-09T00:00:00"/>
    <x v="94"/>
    <x v="12"/>
    <x v="2"/>
    <x v="9"/>
    <x v="21"/>
    <n v="468.9"/>
    <n v="6"/>
    <n v="206.32"/>
  </r>
  <r>
    <d v="2016-01-09T00:00:00"/>
    <x v="94"/>
    <x v="12"/>
    <x v="2"/>
    <x v="9"/>
    <x v="155"/>
    <n v="72.48"/>
    <n v="2"/>
    <n v="30.44"/>
  </r>
  <r>
    <d v="2016-01-09T00:00:00"/>
    <x v="94"/>
    <x v="12"/>
    <x v="0"/>
    <x v="14"/>
    <x v="584"/>
    <n v="10.95"/>
    <n v="3"/>
    <n v="3.29"/>
  </r>
  <r>
    <d v="2016-01-09T00:00:00"/>
    <x v="94"/>
    <x v="12"/>
    <x v="1"/>
    <x v="8"/>
    <x v="14"/>
    <n v="191.82"/>
    <n v="3"/>
    <n v="61.38"/>
  </r>
  <r>
    <d v="2016-01-09T00:00:00"/>
    <x v="283"/>
    <x v="18"/>
    <x v="0"/>
    <x v="3"/>
    <x v="41"/>
    <n v="24.1"/>
    <n v="5"/>
    <n v="11.09"/>
  </r>
  <r>
    <d v="2016-01-09T00:00:00"/>
    <x v="283"/>
    <x v="18"/>
    <x v="2"/>
    <x v="6"/>
    <x v="1084"/>
    <n v="8.7799999999999994"/>
    <n v="1"/>
    <n v="2.2799999999999998"/>
  </r>
  <r>
    <d v="2016-01-09T00:00:00"/>
    <x v="283"/>
    <x v="18"/>
    <x v="0"/>
    <x v="13"/>
    <x v="1228"/>
    <n v="376.74"/>
    <n v="4"/>
    <n v="71.16"/>
  </r>
  <r>
    <d v="2016-01-09T00:00:00"/>
    <x v="283"/>
    <x v="18"/>
    <x v="0"/>
    <x v="3"/>
    <x v="913"/>
    <n v="29.52"/>
    <n v="4"/>
    <n v="14.46"/>
  </r>
  <r>
    <d v="2016-01-09T00:00:00"/>
    <x v="283"/>
    <x v="18"/>
    <x v="0"/>
    <x v="4"/>
    <x v="1229"/>
    <n v="11.96"/>
    <n v="2"/>
    <n v="2.99"/>
  </r>
  <r>
    <d v="2016-01-09T00:00:00"/>
    <x v="283"/>
    <x v="18"/>
    <x v="0"/>
    <x v="3"/>
    <x v="956"/>
    <n v="26.4"/>
    <n v="5"/>
    <n v="12.67"/>
  </r>
  <r>
    <d v="2016-01-09T00:00:00"/>
    <x v="596"/>
    <x v="3"/>
    <x v="0"/>
    <x v="11"/>
    <x v="348"/>
    <n v="12.78"/>
    <n v="1"/>
    <n v="5.75"/>
  </r>
  <r>
    <d v="2016-02-09T00:00:00"/>
    <x v="279"/>
    <x v="12"/>
    <x v="0"/>
    <x v="4"/>
    <x v="548"/>
    <n v="75.48"/>
    <n v="2"/>
    <n v="19.62"/>
  </r>
  <r>
    <d v="2016-02-09T00:00:00"/>
    <x v="279"/>
    <x v="12"/>
    <x v="1"/>
    <x v="8"/>
    <x v="386"/>
    <n v="39.979999999999997"/>
    <n v="2"/>
    <n v="10"/>
  </r>
  <r>
    <d v="2016-02-09T00:00:00"/>
    <x v="163"/>
    <x v="8"/>
    <x v="0"/>
    <x v="7"/>
    <x v="466"/>
    <n v="1.81"/>
    <n v="1"/>
    <n v="0.65"/>
  </r>
  <r>
    <d v="2016-02-09T00:00:00"/>
    <x v="163"/>
    <x v="8"/>
    <x v="0"/>
    <x v="3"/>
    <x v="546"/>
    <n v="8.26"/>
    <n v="2"/>
    <n v="3.88"/>
  </r>
  <r>
    <d v="2016-02-09T00:00:00"/>
    <x v="197"/>
    <x v="3"/>
    <x v="0"/>
    <x v="2"/>
    <x v="117"/>
    <n v="46.53"/>
    <n v="3"/>
    <n v="12.1"/>
  </r>
  <r>
    <d v="2016-02-09T00:00:00"/>
    <x v="302"/>
    <x v="1"/>
    <x v="0"/>
    <x v="1"/>
    <x v="305"/>
    <n v="29.24"/>
    <n v="5"/>
    <n v="9.8699999999999992"/>
  </r>
  <r>
    <d v="2016-02-09T00:00:00"/>
    <x v="302"/>
    <x v="1"/>
    <x v="0"/>
    <x v="2"/>
    <x v="621"/>
    <n v="35.17"/>
    <n v="2"/>
    <n v="-8.35"/>
  </r>
  <r>
    <d v="2016-02-09T00:00:00"/>
    <x v="302"/>
    <x v="1"/>
    <x v="2"/>
    <x v="16"/>
    <x v="1230"/>
    <n v="1362.9"/>
    <n v="3"/>
    <n v="-19.47"/>
  </r>
  <r>
    <d v="2016-02-09T00:00:00"/>
    <x v="221"/>
    <x v="1"/>
    <x v="1"/>
    <x v="8"/>
    <x v="895"/>
    <n v="84.27"/>
    <n v="2"/>
    <n v="-75.84"/>
  </r>
  <r>
    <d v="2016-02-09T00:00:00"/>
    <x v="585"/>
    <x v="15"/>
    <x v="0"/>
    <x v="3"/>
    <x v="1135"/>
    <n v="22.91"/>
    <n v="7"/>
    <n v="-17.57"/>
  </r>
  <r>
    <d v="2016-02-09T00:00:00"/>
    <x v="585"/>
    <x v="15"/>
    <x v="0"/>
    <x v="13"/>
    <x v="1231"/>
    <n v="309.45999999999998"/>
    <n v="9"/>
    <n v="34.81"/>
  </r>
  <r>
    <d v="2016-02-09T00:00:00"/>
    <x v="585"/>
    <x v="15"/>
    <x v="0"/>
    <x v="4"/>
    <x v="59"/>
    <n v="19.46"/>
    <n v="4"/>
    <n v="3.4"/>
  </r>
  <r>
    <d v="2016-02-09T00:00:00"/>
    <x v="585"/>
    <x v="15"/>
    <x v="1"/>
    <x v="10"/>
    <x v="517"/>
    <n v="472.52"/>
    <n v="3"/>
    <n v="-149.63"/>
  </r>
  <r>
    <d v="2016-02-09T00:00:00"/>
    <x v="585"/>
    <x v="15"/>
    <x v="2"/>
    <x v="9"/>
    <x v="1232"/>
    <n v="1012.68"/>
    <n v="3"/>
    <n v="303.8"/>
  </r>
  <r>
    <d v="2016-02-09T00:00:00"/>
    <x v="585"/>
    <x v="15"/>
    <x v="0"/>
    <x v="3"/>
    <x v="877"/>
    <n v="17.22"/>
    <n v="5"/>
    <n v="-12.63"/>
  </r>
  <r>
    <d v="2016-02-09T00:00:00"/>
    <x v="350"/>
    <x v="10"/>
    <x v="2"/>
    <x v="15"/>
    <x v="1019"/>
    <n v="999.98"/>
    <n v="2"/>
    <n v="449.99"/>
  </r>
  <r>
    <d v="2016-02-09T00:00:00"/>
    <x v="569"/>
    <x v="0"/>
    <x v="0"/>
    <x v="3"/>
    <x v="626"/>
    <n v="8.61"/>
    <n v="8"/>
    <n v="-13.34"/>
  </r>
  <r>
    <d v="2016-02-09T00:00:00"/>
    <x v="569"/>
    <x v="0"/>
    <x v="2"/>
    <x v="9"/>
    <x v="1051"/>
    <n v="159.56"/>
    <n v="5"/>
    <n v="33.909999999999997"/>
  </r>
  <r>
    <d v="2016-02-09T00:00:00"/>
    <x v="201"/>
    <x v="10"/>
    <x v="1"/>
    <x v="5"/>
    <x v="1200"/>
    <n v="215.98"/>
    <n v="3"/>
    <n v="-2.7"/>
  </r>
  <r>
    <d v="2016-02-09T00:00:00"/>
    <x v="201"/>
    <x v="10"/>
    <x v="0"/>
    <x v="11"/>
    <x v="1196"/>
    <n v="65.94"/>
    <n v="3"/>
    <n v="30.99"/>
  </r>
  <r>
    <d v="2016-02-09T00:00:00"/>
    <x v="169"/>
    <x v="3"/>
    <x v="1"/>
    <x v="8"/>
    <x v="1233"/>
    <n v="94.68"/>
    <n v="9"/>
    <n v="31.24"/>
  </r>
  <r>
    <d v="2016-02-09T00:00:00"/>
    <x v="169"/>
    <x v="3"/>
    <x v="0"/>
    <x v="2"/>
    <x v="330"/>
    <n v="23.67"/>
    <n v="3"/>
    <n v="0.95"/>
  </r>
  <r>
    <d v="2016-02-09T00:00:00"/>
    <x v="169"/>
    <x v="3"/>
    <x v="2"/>
    <x v="6"/>
    <x v="353"/>
    <n v="1091.17"/>
    <n v="4"/>
    <n v="68.2"/>
  </r>
  <r>
    <d v="2016-02-09T00:00:00"/>
    <x v="169"/>
    <x v="3"/>
    <x v="0"/>
    <x v="4"/>
    <x v="1234"/>
    <n v="18.690000000000001"/>
    <n v="7"/>
    <n v="5.23"/>
  </r>
  <r>
    <d v="2016-02-09T00:00:00"/>
    <x v="169"/>
    <x v="3"/>
    <x v="1"/>
    <x v="10"/>
    <x v="247"/>
    <n v="568.73"/>
    <n v="3"/>
    <n v="28.44"/>
  </r>
  <r>
    <d v="2016-02-09T00:00:00"/>
    <x v="169"/>
    <x v="3"/>
    <x v="0"/>
    <x v="3"/>
    <x v="1004"/>
    <n v="7.31"/>
    <n v="1"/>
    <n v="2.56"/>
  </r>
  <r>
    <d v="2016-03-09T00:00:00"/>
    <x v="52"/>
    <x v="2"/>
    <x v="0"/>
    <x v="3"/>
    <x v="847"/>
    <n v="1141.47"/>
    <n v="5"/>
    <n v="-760.98"/>
  </r>
  <r>
    <d v="2016-03-09T00:00:00"/>
    <x v="52"/>
    <x v="2"/>
    <x v="2"/>
    <x v="6"/>
    <x v="784"/>
    <n v="280.77999999999997"/>
    <n v="3"/>
    <n v="-46.8"/>
  </r>
  <r>
    <d v="2016-03-09T00:00:00"/>
    <x v="256"/>
    <x v="1"/>
    <x v="1"/>
    <x v="8"/>
    <x v="1235"/>
    <n v="83.95"/>
    <n v="3"/>
    <n v="-90.25"/>
  </r>
  <r>
    <d v="2016-03-09T00:00:00"/>
    <x v="121"/>
    <x v="1"/>
    <x v="0"/>
    <x v="3"/>
    <x v="685"/>
    <n v="8.81"/>
    <n v="3"/>
    <n v="-14.97"/>
  </r>
  <r>
    <d v="2016-03-09T00:00:00"/>
    <x v="45"/>
    <x v="27"/>
    <x v="0"/>
    <x v="0"/>
    <x v="1033"/>
    <n v="48.16"/>
    <n v="7"/>
    <n v="22.15"/>
  </r>
  <r>
    <d v="2016-03-09T00:00:00"/>
    <x v="344"/>
    <x v="8"/>
    <x v="0"/>
    <x v="2"/>
    <x v="1236"/>
    <n v="54.5"/>
    <n v="5"/>
    <n v="14.17"/>
  </r>
  <r>
    <d v="2016-03-09T00:00:00"/>
    <x v="315"/>
    <x v="21"/>
    <x v="0"/>
    <x v="3"/>
    <x v="1135"/>
    <n v="87.28"/>
    <n v="8"/>
    <n v="41.02"/>
  </r>
  <r>
    <d v="2016-03-09T00:00:00"/>
    <x v="551"/>
    <x v="39"/>
    <x v="1"/>
    <x v="12"/>
    <x v="872"/>
    <n v="344.94"/>
    <n v="3"/>
    <n v="31.04"/>
  </r>
  <r>
    <d v="2016-03-09T00:00:00"/>
    <x v="551"/>
    <x v="39"/>
    <x v="1"/>
    <x v="8"/>
    <x v="831"/>
    <n v="14.76"/>
    <n v="2"/>
    <n v="4.28"/>
  </r>
  <r>
    <d v="2016-03-09T00:00:00"/>
    <x v="551"/>
    <x v="39"/>
    <x v="0"/>
    <x v="3"/>
    <x v="718"/>
    <n v="12.76"/>
    <n v="2"/>
    <n v="5.87"/>
  </r>
  <r>
    <d v="2016-03-09T00:00:00"/>
    <x v="551"/>
    <x v="39"/>
    <x v="0"/>
    <x v="1"/>
    <x v="1032"/>
    <n v="58.48"/>
    <n v="8"/>
    <n v="27.49"/>
  </r>
  <r>
    <d v="2016-03-09T00:00:00"/>
    <x v="597"/>
    <x v="1"/>
    <x v="1"/>
    <x v="12"/>
    <x v="1237"/>
    <n v="198.74"/>
    <n v="4"/>
    <n v="0"/>
  </r>
  <r>
    <d v="2016-03-09T00:00:00"/>
    <x v="494"/>
    <x v="16"/>
    <x v="0"/>
    <x v="0"/>
    <x v="1238"/>
    <n v="30.96"/>
    <n v="6"/>
    <n v="11.22"/>
  </r>
  <r>
    <d v="2016-04-09T00:00:00"/>
    <x v="155"/>
    <x v="0"/>
    <x v="0"/>
    <x v="4"/>
    <x v="731"/>
    <n v="3.91"/>
    <n v="1"/>
    <n v="1.03"/>
  </r>
  <r>
    <d v="2016-04-09T00:00:00"/>
    <x v="155"/>
    <x v="0"/>
    <x v="0"/>
    <x v="4"/>
    <x v="84"/>
    <n v="62.38"/>
    <n v="3"/>
    <n v="7.02"/>
  </r>
  <r>
    <d v="2016-04-09T00:00:00"/>
    <x v="190"/>
    <x v="12"/>
    <x v="1"/>
    <x v="8"/>
    <x v="875"/>
    <n v="63.94"/>
    <n v="1"/>
    <n v="24.94"/>
  </r>
  <r>
    <d v="2016-04-09T00:00:00"/>
    <x v="190"/>
    <x v="12"/>
    <x v="0"/>
    <x v="3"/>
    <x v="1054"/>
    <n v="60.6"/>
    <n v="5"/>
    <n v="20.45"/>
  </r>
  <r>
    <d v="2016-04-09T00:00:00"/>
    <x v="190"/>
    <x v="12"/>
    <x v="0"/>
    <x v="14"/>
    <x v="1239"/>
    <n v="22.72"/>
    <n v="4"/>
    <n v="6.59"/>
  </r>
  <r>
    <d v="2016-04-09T00:00:00"/>
    <x v="17"/>
    <x v="31"/>
    <x v="0"/>
    <x v="0"/>
    <x v="609"/>
    <n v="12.19"/>
    <n v="3"/>
    <n v="4.1100000000000003"/>
  </r>
  <r>
    <d v="2016-04-09T00:00:00"/>
    <x v="17"/>
    <x v="31"/>
    <x v="0"/>
    <x v="13"/>
    <x v="661"/>
    <n v="87.17"/>
    <n v="2"/>
    <n v="8.7200000000000006"/>
  </r>
  <r>
    <d v="2016-04-09T00:00:00"/>
    <x v="17"/>
    <x v="31"/>
    <x v="0"/>
    <x v="4"/>
    <x v="161"/>
    <n v="31.74"/>
    <n v="2"/>
    <n v="8.33"/>
  </r>
  <r>
    <d v="2016-04-09T00:00:00"/>
    <x v="289"/>
    <x v="5"/>
    <x v="1"/>
    <x v="8"/>
    <x v="669"/>
    <n v="42.6"/>
    <n v="3"/>
    <n v="16.61"/>
  </r>
  <r>
    <d v="2016-04-09T00:00:00"/>
    <x v="289"/>
    <x v="5"/>
    <x v="0"/>
    <x v="3"/>
    <x v="638"/>
    <n v="113.94"/>
    <n v="6"/>
    <n v="54.69"/>
  </r>
  <r>
    <d v="2016-04-09T00:00:00"/>
    <x v="289"/>
    <x v="5"/>
    <x v="0"/>
    <x v="2"/>
    <x v="44"/>
    <n v="129.91999999999999"/>
    <n v="4"/>
    <n v="5.2"/>
  </r>
  <r>
    <d v="2016-04-09T00:00:00"/>
    <x v="289"/>
    <x v="5"/>
    <x v="0"/>
    <x v="4"/>
    <x v="428"/>
    <n v="5.28"/>
    <n v="3"/>
    <n v="2.5299999999999998"/>
  </r>
  <r>
    <d v="2016-04-09T00:00:00"/>
    <x v="60"/>
    <x v="28"/>
    <x v="0"/>
    <x v="2"/>
    <x v="220"/>
    <n v="535.41"/>
    <n v="3"/>
    <n v="160.62"/>
  </r>
  <r>
    <d v="2016-04-09T00:00:00"/>
    <x v="2"/>
    <x v="14"/>
    <x v="0"/>
    <x v="11"/>
    <x v="55"/>
    <n v="16.559999999999999"/>
    <n v="2"/>
    <n v="7.78"/>
  </r>
  <r>
    <d v="2016-04-09T00:00:00"/>
    <x v="2"/>
    <x v="14"/>
    <x v="2"/>
    <x v="9"/>
    <x v="186"/>
    <n v="279.95"/>
    <n v="5"/>
    <n v="67.19"/>
  </r>
  <r>
    <d v="2016-04-09T00:00:00"/>
    <x v="275"/>
    <x v="29"/>
    <x v="0"/>
    <x v="0"/>
    <x v="849"/>
    <n v="239.5"/>
    <n v="5"/>
    <n v="114.96"/>
  </r>
  <r>
    <d v="2016-04-09T00:00:00"/>
    <x v="598"/>
    <x v="3"/>
    <x v="1"/>
    <x v="8"/>
    <x v="1240"/>
    <n v="24.27"/>
    <n v="3"/>
    <n v="8.74"/>
  </r>
  <r>
    <d v="2016-04-09T00:00:00"/>
    <x v="598"/>
    <x v="3"/>
    <x v="2"/>
    <x v="15"/>
    <x v="698"/>
    <n v="2799.96"/>
    <n v="5"/>
    <n v="944.99"/>
  </r>
  <r>
    <d v="2016-05-09T00:00:00"/>
    <x v="513"/>
    <x v="2"/>
    <x v="1"/>
    <x v="8"/>
    <x v="819"/>
    <n v="82.8"/>
    <n v="2"/>
    <n v="10.35"/>
  </r>
  <r>
    <d v="2016-05-09T00:00:00"/>
    <x v="277"/>
    <x v="18"/>
    <x v="1"/>
    <x v="8"/>
    <x v="217"/>
    <n v="12.22"/>
    <n v="1"/>
    <n v="3.67"/>
  </r>
  <r>
    <d v="2016-05-09T00:00:00"/>
    <x v="277"/>
    <x v="18"/>
    <x v="0"/>
    <x v="2"/>
    <x v="1126"/>
    <n v="194.94"/>
    <n v="3"/>
    <n v="23.39"/>
  </r>
  <r>
    <d v="2016-05-09T00:00:00"/>
    <x v="277"/>
    <x v="18"/>
    <x v="0"/>
    <x v="2"/>
    <x v="1241"/>
    <n v="70.95"/>
    <n v="3"/>
    <n v="20.58"/>
  </r>
  <r>
    <d v="2016-05-09T00:00:00"/>
    <x v="277"/>
    <x v="18"/>
    <x v="0"/>
    <x v="0"/>
    <x v="641"/>
    <n v="91.36"/>
    <n v="4"/>
    <n v="42.03"/>
  </r>
  <r>
    <d v="2016-05-09T00:00:00"/>
    <x v="277"/>
    <x v="18"/>
    <x v="1"/>
    <x v="5"/>
    <x v="865"/>
    <n v="242.94"/>
    <n v="3"/>
    <n v="29.15"/>
  </r>
  <r>
    <d v="2016-05-09T00:00:00"/>
    <x v="277"/>
    <x v="18"/>
    <x v="0"/>
    <x v="1"/>
    <x v="903"/>
    <n v="22.05"/>
    <n v="7"/>
    <n v="10.58"/>
  </r>
  <r>
    <d v="2016-05-09T00:00:00"/>
    <x v="285"/>
    <x v="42"/>
    <x v="2"/>
    <x v="6"/>
    <x v="573"/>
    <n v="278.39999999999998"/>
    <n v="3"/>
    <n v="80.739999999999995"/>
  </r>
  <r>
    <d v="2016-05-09T00:00:00"/>
    <x v="410"/>
    <x v="36"/>
    <x v="0"/>
    <x v="4"/>
    <x v="740"/>
    <n v="107.94"/>
    <n v="3"/>
    <n v="26.99"/>
  </r>
  <r>
    <d v="2016-05-09T00:00:00"/>
    <x v="348"/>
    <x v="0"/>
    <x v="1"/>
    <x v="5"/>
    <x v="239"/>
    <n v="347.8"/>
    <n v="7"/>
    <n v="-24.84"/>
  </r>
  <r>
    <d v="2016-05-09T00:00:00"/>
    <x v="161"/>
    <x v="3"/>
    <x v="2"/>
    <x v="9"/>
    <x v="801"/>
    <n v="116"/>
    <n v="8"/>
    <n v="29"/>
  </r>
  <r>
    <d v="2016-05-09T00:00:00"/>
    <x v="599"/>
    <x v="2"/>
    <x v="0"/>
    <x v="3"/>
    <x v="1242"/>
    <n v="9.56"/>
    <n v="5"/>
    <n v="-7.33"/>
  </r>
  <r>
    <d v="2016-05-09T00:00:00"/>
    <x v="404"/>
    <x v="31"/>
    <x v="0"/>
    <x v="11"/>
    <x v="55"/>
    <n v="23.47"/>
    <n v="3"/>
    <n v="7.63"/>
  </r>
  <r>
    <d v="2016-05-09T00:00:00"/>
    <x v="404"/>
    <x v="31"/>
    <x v="0"/>
    <x v="3"/>
    <x v="277"/>
    <n v="86.06"/>
    <n v="7"/>
    <n v="-63.11"/>
  </r>
  <r>
    <d v="2016-05-09T00:00:00"/>
    <x v="404"/>
    <x v="31"/>
    <x v="2"/>
    <x v="6"/>
    <x v="1243"/>
    <n v="108.78"/>
    <n v="2"/>
    <n v="6.8"/>
  </r>
  <r>
    <d v="2016-05-09T00:00:00"/>
    <x v="404"/>
    <x v="31"/>
    <x v="0"/>
    <x v="0"/>
    <x v="57"/>
    <n v="10.27"/>
    <n v="3"/>
    <n v="3.21"/>
  </r>
  <r>
    <d v="2016-05-09T00:00:00"/>
    <x v="144"/>
    <x v="0"/>
    <x v="0"/>
    <x v="13"/>
    <x v="1228"/>
    <n v="62.79"/>
    <n v="3"/>
    <n v="-166.39"/>
  </r>
  <r>
    <d v="2016-05-09T00:00:00"/>
    <x v="144"/>
    <x v="0"/>
    <x v="0"/>
    <x v="7"/>
    <x v="809"/>
    <n v="28.44"/>
    <n v="9"/>
    <n v="4.2699999999999996"/>
  </r>
  <r>
    <d v="2016-05-09T00:00:00"/>
    <x v="177"/>
    <x v="3"/>
    <x v="0"/>
    <x v="0"/>
    <x v="1244"/>
    <n v="96.08"/>
    <n v="2"/>
    <n v="46.12"/>
  </r>
  <r>
    <d v="2016-05-09T00:00:00"/>
    <x v="177"/>
    <x v="3"/>
    <x v="0"/>
    <x v="3"/>
    <x v="397"/>
    <n v="11.68"/>
    <n v="2"/>
    <n v="3.94"/>
  </r>
  <r>
    <d v="2016-05-09T00:00:00"/>
    <x v="177"/>
    <x v="3"/>
    <x v="0"/>
    <x v="7"/>
    <x v="1245"/>
    <n v="4.3600000000000003"/>
    <n v="2"/>
    <n v="1.79"/>
  </r>
  <r>
    <d v="2016-05-09T00:00:00"/>
    <x v="137"/>
    <x v="0"/>
    <x v="0"/>
    <x v="0"/>
    <x v="912"/>
    <n v="25.92"/>
    <n v="5"/>
    <n v="9.07"/>
  </r>
  <r>
    <d v="2016-05-09T00:00:00"/>
    <x v="137"/>
    <x v="0"/>
    <x v="0"/>
    <x v="7"/>
    <x v="22"/>
    <n v="15.81"/>
    <n v="8"/>
    <n v="5.34"/>
  </r>
  <r>
    <d v="2016-05-09T00:00:00"/>
    <x v="137"/>
    <x v="0"/>
    <x v="0"/>
    <x v="0"/>
    <x v="1046"/>
    <n v="10.37"/>
    <n v="2"/>
    <n v="3.76"/>
  </r>
  <r>
    <d v="2016-05-09T00:00:00"/>
    <x v="600"/>
    <x v="12"/>
    <x v="0"/>
    <x v="0"/>
    <x v="853"/>
    <n v="192.16"/>
    <n v="4"/>
    <n v="92.24"/>
  </r>
  <r>
    <d v="2016-05-09T00:00:00"/>
    <x v="220"/>
    <x v="0"/>
    <x v="0"/>
    <x v="2"/>
    <x v="1166"/>
    <n v="93.46"/>
    <n v="3"/>
    <n v="-17.52"/>
  </r>
  <r>
    <d v="2016-05-09T00:00:00"/>
    <x v="324"/>
    <x v="6"/>
    <x v="0"/>
    <x v="1"/>
    <x v="840"/>
    <n v="25.06"/>
    <n v="2"/>
    <n v="11.78"/>
  </r>
  <r>
    <d v="2016-05-09T00:00:00"/>
    <x v="324"/>
    <x v="6"/>
    <x v="1"/>
    <x v="10"/>
    <x v="232"/>
    <n v="1652.94"/>
    <n v="3"/>
    <n v="314.06"/>
  </r>
  <r>
    <d v="2016-05-09T00:00:00"/>
    <x v="495"/>
    <x v="1"/>
    <x v="0"/>
    <x v="0"/>
    <x v="1246"/>
    <n v="9.25"/>
    <n v="2"/>
    <n v="3.35"/>
  </r>
  <r>
    <d v="2016-05-09T00:00:00"/>
    <x v="270"/>
    <x v="16"/>
    <x v="0"/>
    <x v="3"/>
    <x v="1247"/>
    <n v="8.9499999999999993"/>
    <n v="2"/>
    <n v="-7.46"/>
  </r>
  <r>
    <d v="2016-05-09T00:00:00"/>
    <x v="270"/>
    <x v="16"/>
    <x v="0"/>
    <x v="3"/>
    <x v="910"/>
    <n v="8.86"/>
    <n v="6"/>
    <n v="-6.49"/>
  </r>
  <r>
    <d v="2016-05-09T00:00:00"/>
    <x v="270"/>
    <x v="16"/>
    <x v="1"/>
    <x v="5"/>
    <x v="74"/>
    <n v="85.25"/>
    <n v="2"/>
    <n v="-1.22"/>
  </r>
  <r>
    <d v="2016-05-09T00:00:00"/>
    <x v="294"/>
    <x v="0"/>
    <x v="1"/>
    <x v="8"/>
    <x v="528"/>
    <n v="21.2"/>
    <n v="3"/>
    <n v="-11.66"/>
  </r>
  <r>
    <d v="2016-05-09T00:00:00"/>
    <x v="572"/>
    <x v="2"/>
    <x v="1"/>
    <x v="8"/>
    <x v="1240"/>
    <n v="58.25"/>
    <n v="9"/>
    <n v="11.65"/>
  </r>
  <r>
    <d v="2016-05-09T00:00:00"/>
    <x v="572"/>
    <x v="2"/>
    <x v="1"/>
    <x v="5"/>
    <x v="1248"/>
    <n v="71.25"/>
    <n v="2"/>
    <n v="-19.34"/>
  </r>
  <r>
    <d v="2016-05-09T00:00:00"/>
    <x v="572"/>
    <x v="2"/>
    <x v="0"/>
    <x v="4"/>
    <x v="321"/>
    <n v="7.87"/>
    <n v="3"/>
    <n v="0.59"/>
  </r>
  <r>
    <d v="2016-05-09T00:00:00"/>
    <x v="572"/>
    <x v="2"/>
    <x v="1"/>
    <x v="5"/>
    <x v="1249"/>
    <n v="887.27"/>
    <n v="3"/>
    <n v="-63.38"/>
  </r>
  <r>
    <d v="2016-05-09T00:00:00"/>
    <x v="601"/>
    <x v="12"/>
    <x v="2"/>
    <x v="6"/>
    <x v="191"/>
    <n v="43.6"/>
    <n v="4"/>
    <n v="12.21"/>
  </r>
  <r>
    <d v="2016-06-09T00:00:00"/>
    <x v="602"/>
    <x v="28"/>
    <x v="0"/>
    <x v="13"/>
    <x v="1250"/>
    <n v="77.88"/>
    <n v="6"/>
    <n v="22.59"/>
  </r>
  <r>
    <d v="2016-06-09T00:00:00"/>
    <x v="603"/>
    <x v="12"/>
    <x v="2"/>
    <x v="9"/>
    <x v="1041"/>
    <n v="31.86"/>
    <n v="2"/>
    <n v="11.15"/>
  </r>
  <r>
    <d v="2016-06-09T00:00:00"/>
    <x v="603"/>
    <x v="12"/>
    <x v="1"/>
    <x v="12"/>
    <x v="688"/>
    <n v="722.35"/>
    <n v="3"/>
    <n v="90.29"/>
  </r>
  <r>
    <d v="2016-06-09T00:00:00"/>
    <x v="396"/>
    <x v="15"/>
    <x v="0"/>
    <x v="11"/>
    <x v="990"/>
    <n v="95.95"/>
    <n v="3"/>
    <n v="29.99"/>
  </r>
  <r>
    <d v="2016-06-09T00:00:00"/>
    <x v="396"/>
    <x v="15"/>
    <x v="0"/>
    <x v="3"/>
    <x v="1023"/>
    <n v="3.2"/>
    <n v="2"/>
    <n v="-2.46"/>
  </r>
  <r>
    <d v="2016-06-09T00:00:00"/>
    <x v="604"/>
    <x v="0"/>
    <x v="0"/>
    <x v="2"/>
    <x v="919"/>
    <n v="10.78"/>
    <n v="1"/>
    <n v="0.81"/>
  </r>
  <r>
    <d v="2016-06-09T00:00:00"/>
    <x v="486"/>
    <x v="0"/>
    <x v="0"/>
    <x v="0"/>
    <x v="432"/>
    <n v="41.92"/>
    <n v="4"/>
    <n v="15.2"/>
  </r>
  <r>
    <d v="2016-06-09T00:00:00"/>
    <x v="486"/>
    <x v="0"/>
    <x v="2"/>
    <x v="6"/>
    <x v="1251"/>
    <n v="329.58"/>
    <n v="2"/>
    <n v="37.08"/>
  </r>
  <r>
    <d v="2016-08-09T00:00:00"/>
    <x v="373"/>
    <x v="0"/>
    <x v="0"/>
    <x v="2"/>
    <x v="1130"/>
    <n v="35.950000000000003"/>
    <n v="3"/>
    <n v="3.6"/>
  </r>
  <r>
    <d v="2016-08-09T00:00:00"/>
    <x v="373"/>
    <x v="0"/>
    <x v="1"/>
    <x v="12"/>
    <x v="980"/>
    <n v="2396.27"/>
    <n v="4"/>
    <n v="-317.14999999999998"/>
  </r>
  <r>
    <d v="2016-08-09T00:00:00"/>
    <x v="373"/>
    <x v="0"/>
    <x v="0"/>
    <x v="2"/>
    <x v="79"/>
    <n v="131.13999999999999"/>
    <n v="4"/>
    <n v="-32.78"/>
  </r>
  <r>
    <d v="2016-08-09T00:00:00"/>
    <x v="373"/>
    <x v="0"/>
    <x v="2"/>
    <x v="9"/>
    <x v="1252"/>
    <n v="57.58"/>
    <n v="2"/>
    <n v="0.72"/>
  </r>
  <r>
    <d v="2016-08-09T00:00:00"/>
    <x v="68"/>
    <x v="3"/>
    <x v="0"/>
    <x v="3"/>
    <x v="1253"/>
    <n v="33.020000000000003"/>
    <n v="2"/>
    <n v="11.56"/>
  </r>
  <r>
    <d v="2016-08-09T00:00:00"/>
    <x v="68"/>
    <x v="3"/>
    <x v="0"/>
    <x v="3"/>
    <x v="1254"/>
    <n v="67.14"/>
    <n v="4"/>
    <n v="23.5"/>
  </r>
  <r>
    <d v="2016-08-09T00:00:00"/>
    <x v="32"/>
    <x v="20"/>
    <x v="1"/>
    <x v="12"/>
    <x v="1036"/>
    <n v="173.94"/>
    <n v="3"/>
    <n v="13.92"/>
  </r>
  <r>
    <d v="2016-08-09T00:00:00"/>
    <x v="32"/>
    <x v="20"/>
    <x v="0"/>
    <x v="1"/>
    <x v="1255"/>
    <n v="14.76"/>
    <n v="4"/>
    <n v="6.94"/>
  </r>
  <r>
    <d v="2016-08-09T00:00:00"/>
    <x v="74"/>
    <x v="1"/>
    <x v="1"/>
    <x v="8"/>
    <x v="528"/>
    <n v="14.14"/>
    <n v="2"/>
    <n v="-7.77"/>
  </r>
  <r>
    <d v="2016-08-09T00:00:00"/>
    <x v="74"/>
    <x v="1"/>
    <x v="1"/>
    <x v="10"/>
    <x v="886"/>
    <n v="601.47"/>
    <n v="3"/>
    <n v="-300.74"/>
  </r>
  <r>
    <d v="2016-08-09T00:00:00"/>
    <x v="605"/>
    <x v="12"/>
    <x v="0"/>
    <x v="13"/>
    <x v="1256"/>
    <n v="207.48"/>
    <n v="1"/>
    <n v="62.24"/>
  </r>
  <r>
    <d v="2016-08-09T00:00:00"/>
    <x v="55"/>
    <x v="0"/>
    <x v="0"/>
    <x v="4"/>
    <x v="251"/>
    <n v="70.37"/>
    <n v="2"/>
    <n v="6.16"/>
  </r>
  <r>
    <d v="2016-08-09T00:00:00"/>
    <x v="55"/>
    <x v="0"/>
    <x v="2"/>
    <x v="6"/>
    <x v="1257"/>
    <n v="59.96"/>
    <n v="5"/>
    <n v="21.74"/>
  </r>
  <r>
    <d v="2016-08-09T00:00:00"/>
    <x v="563"/>
    <x v="15"/>
    <x v="2"/>
    <x v="9"/>
    <x v="415"/>
    <n v="35.17"/>
    <n v="4"/>
    <n v="8.35"/>
  </r>
  <r>
    <d v="2016-08-09T00:00:00"/>
    <x v="563"/>
    <x v="15"/>
    <x v="0"/>
    <x v="0"/>
    <x v="1258"/>
    <n v="64.7"/>
    <n v="3"/>
    <n v="23.46"/>
  </r>
  <r>
    <d v="2016-08-09T00:00:00"/>
    <x v="66"/>
    <x v="3"/>
    <x v="1"/>
    <x v="10"/>
    <x v="1259"/>
    <n v="146.04"/>
    <n v="1"/>
    <n v="-12.78"/>
  </r>
  <r>
    <d v="2016-08-09T00:00:00"/>
    <x v="285"/>
    <x v="10"/>
    <x v="1"/>
    <x v="8"/>
    <x v="276"/>
    <n v="43.13"/>
    <n v="1"/>
    <n v="14.66"/>
  </r>
  <r>
    <d v="2016-08-09T00:00:00"/>
    <x v="285"/>
    <x v="10"/>
    <x v="0"/>
    <x v="0"/>
    <x v="1260"/>
    <n v="30.87"/>
    <n v="7"/>
    <n v="14.2"/>
  </r>
  <r>
    <d v="2016-08-09T00:00:00"/>
    <x v="568"/>
    <x v="3"/>
    <x v="0"/>
    <x v="4"/>
    <x v="1261"/>
    <n v="14.88"/>
    <n v="2"/>
    <n v="3.72"/>
  </r>
  <r>
    <d v="2016-08-09T00:00:00"/>
    <x v="568"/>
    <x v="3"/>
    <x v="0"/>
    <x v="0"/>
    <x v="1262"/>
    <n v="34.24"/>
    <n v="8"/>
    <n v="15.41"/>
  </r>
  <r>
    <d v="2016-08-09T00:00:00"/>
    <x v="568"/>
    <x v="3"/>
    <x v="0"/>
    <x v="2"/>
    <x v="1094"/>
    <n v="261.74"/>
    <n v="2"/>
    <n v="65.44"/>
  </r>
  <r>
    <d v="2016-09-09T00:00:00"/>
    <x v="606"/>
    <x v="12"/>
    <x v="0"/>
    <x v="3"/>
    <x v="530"/>
    <n v="14.62"/>
    <n v="2"/>
    <n v="5.48"/>
  </r>
  <r>
    <d v="2016-09-09T00:00:00"/>
    <x v="261"/>
    <x v="3"/>
    <x v="0"/>
    <x v="3"/>
    <x v="43"/>
    <n v="55.36"/>
    <n v="4"/>
    <n v="18.68"/>
  </r>
  <r>
    <d v="2016-09-09T00:00:00"/>
    <x v="545"/>
    <x v="0"/>
    <x v="1"/>
    <x v="8"/>
    <x v="1263"/>
    <n v="15.01"/>
    <n v="4"/>
    <n v="-12.01"/>
  </r>
  <r>
    <d v="2016-10-09T00:00:00"/>
    <x v="413"/>
    <x v="12"/>
    <x v="0"/>
    <x v="2"/>
    <x v="1264"/>
    <n v="59.48"/>
    <n v="2"/>
    <n v="8.92"/>
  </r>
  <r>
    <d v="2016-10-09T00:00:00"/>
    <x v="413"/>
    <x v="12"/>
    <x v="0"/>
    <x v="0"/>
    <x v="1265"/>
    <n v="6.69"/>
    <n v="1"/>
    <n v="3.08"/>
  </r>
  <r>
    <d v="2016-10-09T00:00:00"/>
    <x v="382"/>
    <x v="31"/>
    <x v="0"/>
    <x v="4"/>
    <x v="1214"/>
    <n v="67.56"/>
    <n v="3"/>
    <n v="8.4499999999999993"/>
  </r>
  <r>
    <d v="2016-10-09T00:00:00"/>
    <x v="42"/>
    <x v="0"/>
    <x v="1"/>
    <x v="10"/>
    <x v="126"/>
    <n v="300.93"/>
    <n v="5"/>
    <n v="-34.39"/>
  </r>
  <r>
    <d v="2016-10-09T00:00:00"/>
    <x v="42"/>
    <x v="0"/>
    <x v="2"/>
    <x v="6"/>
    <x v="290"/>
    <n v="719.96"/>
    <n v="5"/>
    <n v="54"/>
  </r>
  <r>
    <d v="2016-10-09T00:00:00"/>
    <x v="485"/>
    <x v="9"/>
    <x v="2"/>
    <x v="6"/>
    <x v="573"/>
    <n v="519.67999999999995"/>
    <n v="7"/>
    <n v="58.46"/>
  </r>
  <r>
    <d v="2016-10-09T00:00:00"/>
    <x v="538"/>
    <x v="10"/>
    <x v="0"/>
    <x v="1"/>
    <x v="1179"/>
    <n v="7.38"/>
    <n v="2"/>
    <n v="3.47"/>
  </r>
  <r>
    <d v="2016-10-09T00:00:00"/>
    <x v="538"/>
    <x v="10"/>
    <x v="0"/>
    <x v="3"/>
    <x v="176"/>
    <n v="14.26"/>
    <n v="3"/>
    <n v="4.46"/>
  </r>
  <r>
    <d v="2016-10-09T00:00:00"/>
    <x v="538"/>
    <x v="10"/>
    <x v="0"/>
    <x v="0"/>
    <x v="139"/>
    <n v="81.98"/>
    <n v="2"/>
    <n v="40.17"/>
  </r>
  <r>
    <d v="2016-10-09T00:00:00"/>
    <x v="538"/>
    <x v="10"/>
    <x v="0"/>
    <x v="3"/>
    <x v="1124"/>
    <n v="39.619999999999997"/>
    <n v="3"/>
    <n v="13.87"/>
  </r>
  <r>
    <d v="2016-10-09T00:00:00"/>
    <x v="482"/>
    <x v="3"/>
    <x v="0"/>
    <x v="3"/>
    <x v="1266"/>
    <n v="276.77999999999997"/>
    <n v="2"/>
    <n v="89.95"/>
  </r>
  <r>
    <d v="2016-11-09T00:00:00"/>
    <x v="462"/>
    <x v="3"/>
    <x v="0"/>
    <x v="0"/>
    <x v="765"/>
    <n v="7.61"/>
    <n v="1"/>
    <n v="3.58"/>
  </r>
  <r>
    <d v="2016-11-09T00:00:00"/>
    <x v="462"/>
    <x v="3"/>
    <x v="2"/>
    <x v="9"/>
    <x v="1267"/>
    <n v="3347.37"/>
    <n v="13"/>
    <n v="636"/>
  </r>
  <r>
    <d v="2016-11-09T00:00:00"/>
    <x v="90"/>
    <x v="2"/>
    <x v="0"/>
    <x v="0"/>
    <x v="1268"/>
    <n v="8.4499999999999993"/>
    <n v="2"/>
    <n v="2.64"/>
  </r>
  <r>
    <d v="2016-11-09T00:00:00"/>
    <x v="90"/>
    <x v="2"/>
    <x v="2"/>
    <x v="6"/>
    <x v="483"/>
    <n v="728.95"/>
    <n v="9"/>
    <n v="-157.94"/>
  </r>
  <r>
    <d v="2016-11-09T00:00:00"/>
    <x v="157"/>
    <x v="16"/>
    <x v="0"/>
    <x v="3"/>
    <x v="216"/>
    <n v="22.43"/>
    <n v="3"/>
    <n v="-17.940000000000001"/>
  </r>
  <r>
    <d v="2016-11-09T00:00:00"/>
    <x v="157"/>
    <x v="16"/>
    <x v="0"/>
    <x v="2"/>
    <x v="317"/>
    <n v="37.520000000000003"/>
    <n v="5"/>
    <n v="3.75"/>
  </r>
  <r>
    <d v="2016-11-09T00:00:00"/>
    <x v="241"/>
    <x v="6"/>
    <x v="2"/>
    <x v="15"/>
    <x v="736"/>
    <n v="1599.92"/>
    <n v="8"/>
    <n v="751.96"/>
  </r>
  <r>
    <d v="2016-11-09T00:00:00"/>
    <x v="241"/>
    <x v="6"/>
    <x v="0"/>
    <x v="11"/>
    <x v="1114"/>
    <n v="11.09"/>
    <n v="1"/>
    <n v="5.43"/>
  </r>
  <r>
    <d v="2016-11-09T00:00:00"/>
    <x v="487"/>
    <x v="3"/>
    <x v="0"/>
    <x v="2"/>
    <x v="565"/>
    <n v="332.94"/>
    <n v="3"/>
    <n v="6.66"/>
  </r>
  <r>
    <d v="2016-11-09T00:00:00"/>
    <x v="487"/>
    <x v="3"/>
    <x v="0"/>
    <x v="3"/>
    <x v="216"/>
    <n v="39.869999999999997"/>
    <n v="2"/>
    <n v="12.96"/>
  </r>
  <r>
    <d v="2016-11-09T00:00:00"/>
    <x v="168"/>
    <x v="36"/>
    <x v="2"/>
    <x v="6"/>
    <x v="1076"/>
    <n v="224.75"/>
    <n v="5"/>
    <n v="62.93"/>
  </r>
  <r>
    <d v="2016-11-09T00:00:00"/>
    <x v="481"/>
    <x v="1"/>
    <x v="0"/>
    <x v="1"/>
    <x v="775"/>
    <n v="6"/>
    <n v="2"/>
    <n v="2.1"/>
  </r>
  <r>
    <d v="2016-11-09T00:00:00"/>
    <x v="481"/>
    <x v="1"/>
    <x v="0"/>
    <x v="3"/>
    <x v="1269"/>
    <n v="1.91"/>
    <n v="3"/>
    <n v="-3.24"/>
  </r>
  <r>
    <d v="2016-11-09T00:00:00"/>
    <x v="591"/>
    <x v="23"/>
    <x v="0"/>
    <x v="4"/>
    <x v="1270"/>
    <n v="2.91"/>
    <n v="2"/>
    <n v="0.91"/>
  </r>
  <r>
    <d v="2016-11-09T00:00:00"/>
    <x v="591"/>
    <x v="23"/>
    <x v="0"/>
    <x v="0"/>
    <x v="1271"/>
    <n v="20.74"/>
    <n v="4"/>
    <n v="7.26"/>
  </r>
  <r>
    <d v="2016-11-09T00:00:00"/>
    <x v="591"/>
    <x v="23"/>
    <x v="0"/>
    <x v="0"/>
    <x v="356"/>
    <n v="9.57"/>
    <n v="2"/>
    <n v="2.99"/>
  </r>
  <r>
    <d v="2016-11-09T00:00:00"/>
    <x v="305"/>
    <x v="0"/>
    <x v="0"/>
    <x v="11"/>
    <x v="614"/>
    <n v="99.57"/>
    <n v="2"/>
    <n v="33.6"/>
  </r>
  <r>
    <d v="2016-12-09T00:00:00"/>
    <x v="518"/>
    <x v="19"/>
    <x v="1"/>
    <x v="8"/>
    <x v="131"/>
    <n v="15.14"/>
    <n v="4"/>
    <n v="3.59"/>
  </r>
  <r>
    <d v="2016-12-09T00:00:00"/>
    <x v="518"/>
    <x v="19"/>
    <x v="1"/>
    <x v="5"/>
    <x v="788"/>
    <n v="466.77"/>
    <n v="2"/>
    <n v="52.51"/>
  </r>
  <r>
    <d v="2016-12-09T00:00:00"/>
    <x v="518"/>
    <x v="19"/>
    <x v="1"/>
    <x v="8"/>
    <x v="1272"/>
    <n v="15.23"/>
    <n v="1"/>
    <n v="1.71"/>
  </r>
  <r>
    <d v="2016-12-09T00:00:00"/>
    <x v="518"/>
    <x v="19"/>
    <x v="0"/>
    <x v="1"/>
    <x v="607"/>
    <n v="6.26"/>
    <n v="3"/>
    <n v="2.04"/>
  </r>
  <r>
    <d v="2016-12-09T00:00:00"/>
    <x v="341"/>
    <x v="10"/>
    <x v="0"/>
    <x v="7"/>
    <x v="527"/>
    <n v="10.47"/>
    <n v="3"/>
    <n v="4.82"/>
  </r>
  <r>
    <d v="2016-12-09T00:00:00"/>
    <x v="341"/>
    <x v="10"/>
    <x v="0"/>
    <x v="1"/>
    <x v="1179"/>
    <n v="11.07"/>
    <n v="3"/>
    <n v="5.2"/>
  </r>
  <r>
    <d v="2016-12-09T00:00:00"/>
    <x v="341"/>
    <x v="10"/>
    <x v="0"/>
    <x v="3"/>
    <x v="1273"/>
    <n v="20.7"/>
    <n v="4"/>
    <n v="7.76"/>
  </r>
  <r>
    <d v="2016-12-09T00:00:00"/>
    <x v="519"/>
    <x v="6"/>
    <x v="2"/>
    <x v="9"/>
    <x v="1274"/>
    <n v="20.7"/>
    <n v="3"/>
    <n v="1.66"/>
  </r>
  <r>
    <d v="2016-12-09T00:00:00"/>
    <x v="519"/>
    <x v="6"/>
    <x v="0"/>
    <x v="7"/>
    <x v="22"/>
    <n v="11.34"/>
    <n v="3"/>
    <n v="5.22"/>
  </r>
  <r>
    <d v="2016-12-09T00:00:00"/>
    <x v="519"/>
    <x v="6"/>
    <x v="0"/>
    <x v="2"/>
    <x v="737"/>
    <n v="67.900000000000006"/>
    <n v="5"/>
    <n v="0.68"/>
  </r>
  <r>
    <d v="2016-12-09T00:00:00"/>
    <x v="519"/>
    <x v="6"/>
    <x v="1"/>
    <x v="5"/>
    <x v="948"/>
    <n v="1059.1199999999999"/>
    <n v="4"/>
    <n v="307.14"/>
  </r>
  <r>
    <d v="2016-12-09T00:00:00"/>
    <x v="485"/>
    <x v="18"/>
    <x v="0"/>
    <x v="0"/>
    <x v="1275"/>
    <n v="68.52"/>
    <n v="3"/>
    <n v="31.52"/>
  </r>
  <r>
    <d v="2016-12-09T00:00:00"/>
    <x v="422"/>
    <x v="19"/>
    <x v="2"/>
    <x v="6"/>
    <x v="615"/>
    <n v="146.94999999999999"/>
    <n v="3"/>
    <n v="9.18"/>
  </r>
  <r>
    <d v="2016-12-09T00:00:00"/>
    <x v="422"/>
    <x v="19"/>
    <x v="1"/>
    <x v="5"/>
    <x v="1131"/>
    <n v="83.14"/>
    <n v="4"/>
    <n v="5.2"/>
  </r>
  <r>
    <d v="2016-12-09T00:00:00"/>
    <x v="607"/>
    <x v="12"/>
    <x v="1"/>
    <x v="8"/>
    <x v="1276"/>
    <n v="40.479999999999997"/>
    <n v="2"/>
    <n v="14.57"/>
  </r>
  <r>
    <d v="2016-01-10T00:00:00"/>
    <x v="534"/>
    <x v="3"/>
    <x v="1"/>
    <x v="5"/>
    <x v="39"/>
    <n v="194.85"/>
    <n v="4"/>
    <n v="12.18"/>
  </r>
  <r>
    <d v="2016-01-10T00:00:00"/>
    <x v="215"/>
    <x v="26"/>
    <x v="2"/>
    <x v="6"/>
    <x v="394"/>
    <n v="69.900000000000006"/>
    <n v="2"/>
    <n v="18.87"/>
  </r>
  <r>
    <d v="2016-01-10T00:00:00"/>
    <x v="215"/>
    <x v="26"/>
    <x v="1"/>
    <x v="8"/>
    <x v="482"/>
    <n v="41.85"/>
    <n v="5"/>
    <n v="10.88"/>
  </r>
  <r>
    <d v="2016-01-10T00:00:00"/>
    <x v="98"/>
    <x v="12"/>
    <x v="1"/>
    <x v="10"/>
    <x v="232"/>
    <n v="330.59"/>
    <n v="1"/>
    <n v="-115.71"/>
  </r>
  <r>
    <d v="2016-01-10T00:00:00"/>
    <x v="608"/>
    <x v="0"/>
    <x v="2"/>
    <x v="9"/>
    <x v="589"/>
    <n v="79.510000000000005"/>
    <n v="3"/>
    <n v="20.87"/>
  </r>
  <r>
    <d v="2016-01-10T00:00:00"/>
    <x v="608"/>
    <x v="0"/>
    <x v="0"/>
    <x v="0"/>
    <x v="177"/>
    <n v="28.35"/>
    <n v="1"/>
    <n v="9.57"/>
  </r>
  <r>
    <d v="2016-01-10T00:00:00"/>
    <x v="149"/>
    <x v="9"/>
    <x v="0"/>
    <x v="3"/>
    <x v="107"/>
    <n v="5.39"/>
    <n v="4"/>
    <n v="-4.49"/>
  </r>
  <r>
    <d v="2016-01-10T00:00:00"/>
    <x v="149"/>
    <x v="9"/>
    <x v="0"/>
    <x v="4"/>
    <x v="1029"/>
    <n v="30.98"/>
    <n v="8"/>
    <n v="5.03"/>
  </r>
  <r>
    <d v="2016-02-10T00:00:00"/>
    <x v="609"/>
    <x v="12"/>
    <x v="0"/>
    <x v="13"/>
    <x v="443"/>
    <n v="61.44"/>
    <n v="3"/>
    <n v="16.59"/>
  </r>
  <r>
    <d v="2016-02-10T00:00:00"/>
    <x v="568"/>
    <x v="23"/>
    <x v="0"/>
    <x v="3"/>
    <x v="450"/>
    <n v="54.79"/>
    <n v="6"/>
    <n v="-40.18"/>
  </r>
  <r>
    <d v="2016-02-10T00:00:00"/>
    <x v="273"/>
    <x v="26"/>
    <x v="0"/>
    <x v="2"/>
    <x v="35"/>
    <n v="32.479999999999997"/>
    <n v="2"/>
    <n v="4.87"/>
  </r>
  <r>
    <d v="2016-02-10T00:00:00"/>
    <x v="273"/>
    <x v="26"/>
    <x v="2"/>
    <x v="15"/>
    <x v="1277"/>
    <n v="17499.95"/>
    <n v="5"/>
    <n v="8399.98"/>
  </r>
  <r>
    <d v="2016-02-10T00:00:00"/>
    <x v="273"/>
    <x v="26"/>
    <x v="0"/>
    <x v="3"/>
    <x v="355"/>
    <n v="735.98"/>
    <n v="2"/>
    <n v="331.19"/>
  </r>
  <r>
    <d v="2016-02-10T00:00:00"/>
    <x v="273"/>
    <x v="26"/>
    <x v="0"/>
    <x v="3"/>
    <x v="514"/>
    <n v="34.369999999999997"/>
    <n v="7"/>
    <n v="16.84"/>
  </r>
  <r>
    <d v="2016-02-10T00:00:00"/>
    <x v="273"/>
    <x v="26"/>
    <x v="0"/>
    <x v="4"/>
    <x v="1278"/>
    <n v="33.96"/>
    <n v="2"/>
    <n v="9.51"/>
  </r>
  <r>
    <d v="2016-03-10T00:00:00"/>
    <x v="104"/>
    <x v="0"/>
    <x v="0"/>
    <x v="11"/>
    <x v="55"/>
    <n v="15.65"/>
    <n v="2"/>
    <n v="5.09"/>
  </r>
  <r>
    <d v="2016-03-10T00:00:00"/>
    <x v="89"/>
    <x v="12"/>
    <x v="1"/>
    <x v="5"/>
    <x v="1279"/>
    <n v="599.29"/>
    <n v="6"/>
    <n v="93.22"/>
  </r>
  <r>
    <d v="2016-03-10T00:00:00"/>
    <x v="338"/>
    <x v="0"/>
    <x v="1"/>
    <x v="8"/>
    <x v="1272"/>
    <n v="38.08"/>
    <n v="5"/>
    <n v="-29.51"/>
  </r>
  <r>
    <d v="2016-03-10T00:00:00"/>
    <x v="545"/>
    <x v="3"/>
    <x v="0"/>
    <x v="1"/>
    <x v="467"/>
    <n v="6.16"/>
    <n v="2"/>
    <n v="2.96"/>
  </r>
  <r>
    <d v="2016-03-10T00:00:00"/>
    <x v="545"/>
    <x v="3"/>
    <x v="1"/>
    <x v="5"/>
    <x v="7"/>
    <n v="915.14"/>
    <n v="4"/>
    <n v="102.95"/>
  </r>
  <r>
    <d v="2016-03-10T00:00:00"/>
    <x v="545"/>
    <x v="3"/>
    <x v="0"/>
    <x v="0"/>
    <x v="1262"/>
    <n v="8.56"/>
    <n v="2"/>
    <n v="3.85"/>
  </r>
  <r>
    <d v="2016-03-10T00:00:00"/>
    <x v="545"/>
    <x v="3"/>
    <x v="0"/>
    <x v="0"/>
    <x v="73"/>
    <n v="97.82"/>
    <n v="2"/>
    <n v="45.98"/>
  </r>
  <r>
    <d v="2016-04-10T00:00:00"/>
    <x v="603"/>
    <x v="0"/>
    <x v="0"/>
    <x v="11"/>
    <x v="1280"/>
    <n v="59.75"/>
    <n v="7"/>
    <n v="19.420000000000002"/>
  </r>
  <r>
    <d v="2016-04-10T00:00:00"/>
    <x v="424"/>
    <x v="40"/>
    <x v="0"/>
    <x v="3"/>
    <x v="1281"/>
    <n v="30.4"/>
    <n v="1"/>
    <n v="13.98"/>
  </r>
  <r>
    <d v="2016-04-10T00:00:00"/>
    <x v="424"/>
    <x v="40"/>
    <x v="2"/>
    <x v="15"/>
    <x v="185"/>
    <n v="5399.91"/>
    <n v="9"/>
    <n v="2591.96"/>
  </r>
  <r>
    <d v="2016-04-10T00:00:00"/>
    <x v="424"/>
    <x v="40"/>
    <x v="0"/>
    <x v="2"/>
    <x v="1282"/>
    <n v="119.1"/>
    <n v="3"/>
    <n v="34.54"/>
  </r>
  <r>
    <d v="2016-04-10T00:00:00"/>
    <x v="7"/>
    <x v="39"/>
    <x v="1"/>
    <x v="10"/>
    <x v="1283"/>
    <n v="239.37"/>
    <n v="2"/>
    <n v="-23.94"/>
  </r>
  <r>
    <d v="2016-04-10T00:00:00"/>
    <x v="50"/>
    <x v="9"/>
    <x v="2"/>
    <x v="6"/>
    <x v="627"/>
    <n v="52.68"/>
    <n v="3"/>
    <n v="19.760000000000002"/>
  </r>
  <r>
    <d v="2016-04-10T00:00:00"/>
    <x v="50"/>
    <x v="9"/>
    <x v="1"/>
    <x v="8"/>
    <x v="1284"/>
    <n v="11.57"/>
    <n v="3"/>
    <n v="2.6"/>
  </r>
  <r>
    <d v="2016-06-10T00:00:00"/>
    <x v="394"/>
    <x v="34"/>
    <x v="0"/>
    <x v="3"/>
    <x v="748"/>
    <n v="28.85"/>
    <n v="5"/>
    <n v="14.43"/>
  </r>
  <r>
    <d v="2016-06-10T00:00:00"/>
    <x v="596"/>
    <x v="19"/>
    <x v="2"/>
    <x v="16"/>
    <x v="1285"/>
    <n v="703.71"/>
    <n v="6"/>
    <n v="-938.28"/>
  </r>
  <r>
    <d v="2016-06-10T00:00:00"/>
    <x v="596"/>
    <x v="19"/>
    <x v="0"/>
    <x v="3"/>
    <x v="1247"/>
    <n v="17.899999999999999"/>
    <n v="4"/>
    <n v="-14.92"/>
  </r>
  <r>
    <d v="2016-06-10T00:00:00"/>
    <x v="596"/>
    <x v="19"/>
    <x v="0"/>
    <x v="3"/>
    <x v="1286"/>
    <n v="11.98"/>
    <n v="4"/>
    <n v="-9.18"/>
  </r>
  <r>
    <d v="2016-06-10T00:00:00"/>
    <x v="596"/>
    <x v="19"/>
    <x v="2"/>
    <x v="9"/>
    <x v="1031"/>
    <n v="67.959999999999994"/>
    <n v="5"/>
    <n v="0.85"/>
  </r>
  <r>
    <d v="2016-07-10T00:00:00"/>
    <x v="309"/>
    <x v="3"/>
    <x v="0"/>
    <x v="3"/>
    <x v="813"/>
    <n v="27.26"/>
    <n v="2"/>
    <n v="8.86"/>
  </r>
  <r>
    <d v="2016-07-10T00:00:00"/>
    <x v="610"/>
    <x v="10"/>
    <x v="2"/>
    <x v="16"/>
    <x v="828"/>
    <n v="837.6"/>
    <n v="3"/>
    <n v="62.82"/>
  </r>
  <r>
    <d v="2016-07-10T00:00:00"/>
    <x v="554"/>
    <x v="3"/>
    <x v="0"/>
    <x v="0"/>
    <x v="634"/>
    <n v="10.56"/>
    <n v="2"/>
    <n v="5.07"/>
  </r>
  <r>
    <d v="2016-07-10T00:00:00"/>
    <x v="578"/>
    <x v="2"/>
    <x v="0"/>
    <x v="1"/>
    <x v="1287"/>
    <n v="4.93"/>
    <n v="2"/>
    <n v="1.72"/>
  </r>
  <r>
    <d v="2016-07-10T00:00:00"/>
    <x v="361"/>
    <x v="10"/>
    <x v="0"/>
    <x v="7"/>
    <x v="12"/>
    <n v="93.36"/>
    <n v="12"/>
    <n v="0.93"/>
  </r>
  <r>
    <d v="2016-08-10T00:00:00"/>
    <x v="611"/>
    <x v="0"/>
    <x v="1"/>
    <x v="8"/>
    <x v="945"/>
    <n v="51.71"/>
    <n v="8"/>
    <n v="-32.32"/>
  </r>
  <r>
    <d v="2016-08-10T00:00:00"/>
    <x v="612"/>
    <x v="3"/>
    <x v="0"/>
    <x v="0"/>
    <x v="1195"/>
    <n v="61.96"/>
    <n v="2"/>
    <n v="27.88"/>
  </r>
  <r>
    <d v="2016-08-10T00:00:00"/>
    <x v="613"/>
    <x v="0"/>
    <x v="0"/>
    <x v="1"/>
    <x v="840"/>
    <n v="60.14"/>
    <n v="6"/>
    <n v="20.3"/>
  </r>
  <r>
    <d v="2016-08-10T00:00:00"/>
    <x v="423"/>
    <x v="15"/>
    <x v="0"/>
    <x v="2"/>
    <x v="1288"/>
    <n v="387.72"/>
    <n v="5"/>
    <n v="-67.849999999999994"/>
  </r>
  <r>
    <d v="2016-09-10T00:00:00"/>
    <x v="451"/>
    <x v="16"/>
    <x v="2"/>
    <x v="6"/>
    <x v="1072"/>
    <n v="23.98"/>
    <n v="4"/>
    <n v="-15.58"/>
  </r>
  <r>
    <d v="2016-09-10T00:00:00"/>
    <x v="614"/>
    <x v="2"/>
    <x v="0"/>
    <x v="0"/>
    <x v="100"/>
    <n v="19.14"/>
    <n v="4"/>
    <n v="5.98"/>
  </r>
  <r>
    <d v="2016-09-10T00:00:00"/>
    <x v="614"/>
    <x v="2"/>
    <x v="1"/>
    <x v="8"/>
    <x v="1289"/>
    <n v="332.83"/>
    <n v="4"/>
    <n v="-24.96"/>
  </r>
  <r>
    <d v="2016-09-10T00:00:00"/>
    <x v="476"/>
    <x v="23"/>
    <x v="0"/>
    <x v="4"/>
    <x v="674"/>
    <n v="1.41"/>
    <n v="1"/>
    <n v="0.16"/>
  </r>
  <r>
    <d v="2016-09-10T00:00:00"/>
    <x v="476"/>
    <x v="23"/>
    <x v="1"/>
    <x v="8"/>
    <x v="1151"/>
    <n v="169.57"/>
    <n v="2"/>
    <n v="0"/>
  </r>
  <r>
    <d v="2016-10-10T00:00:00"/>
    <x v="517"/>
    <x v="15"/>
    <x v="0"/>
    <x v="14"/>
    <x v="125"/>
    <n v="20.61"/>
    <n v="2"/>
    <n v="-4.38"/>
  </r>
  <r>
    <d v="2016-10-10T00:00:00"/>
    <x v="517"/>
    <x v="15"/>
    <x v="0"/>
    <x v="3"/>
    <x v="235"/>
    <n v="4.0999999999999996"/>
    <n v="3"/>
    <n v="-2.73"/>
  </r>
  <r>
    <d v="2016-10-10T00:00:00"/>
    <x v="439"/>
    <x v="19"/>
    <x v="1"/>
    <x v="12"/>
    <x v="1290"/>
    <n v="90.88"/>
    <n v="3"/>
    <n v="-190.85"/>
  </r>
  <r>
    <d v="2016-10-10T00:00:00"/>
    <x v="439"/>
    <x v="19"/>
    <x v="2"/>
    <x v="6"/>
    <x v="480"/>
    <n v="15.99"/>
    <n v="1"/>
    <n v="-3"/>
  </r>
  <r>
    <d v="2016-10-10T00:00:00"/>
    <x v="439"/>
    <x v="19"/>
    <x v="1"/>
    <x v="5"/>
    <x v="1291"/>
    <n v="120.78"/>
    <n v="1"/>
    <n v="13.59"/>
  </r>
  <r>
    <d v="2016-10-10T00:00:00"/>
    <x v="266"/>
    <x v="0"/>
    <x v="1"/>
    <x v="8"/>
    <x v="1292"/>
    <n v="14"/>
    <n v="4"/>
    <n v="-6.3"/>
  </r>
  <r>
    <d v="2016-10-10T00:00:00"/>
    <x v="266"/>
    <x v="0"/>
    <x v="0"/>
    <x v="3"/>
    <x v="277"/>
    <n v="16.39"/>
    <n v="2"/>
    <n v="-26.23"/>
  </r>
  <r>
    <d v="2016-11-10T00:00:00"/>
    <x v="138"/>
    <x v="1"/>
    <x v="0"/>
    <x v="4"/>
    <x v="588"/>
    <n v="5.34"/>
    <n v="2"/>
    <n v="0.67"/>
  </r>
  <r>
    <d v="2016-11-10T00:00:00"/>
    <x v="138"/>
    <x v="1"/>
    <x v="0"/>
    <x v="4"/>
    <x v="1293"/>
    <n v="27.72"/>
    <n v="3"/>
    <n v="3.47"/>
  </r>
  <r>
    <d v="2016-01-11T00:00:00"/>
    <x v="498"/>
    <x v="6"/>
    <x v="2"/>
    <x v="6"/>
    <x v="191"/>
    <n v="21.8"/>
    <n v="2"/>
    <n v="6.1"/>
  </r>
  <r>
    <d v="2016-01-11T00:00:00"/>
    <x v="498"/>
    <x v="6"/>
    <x v="0"/>
    <x v="11"/>
    <x v="487"/>
    <n v="251.79"/>
    <n v="3"/>
    <n v="118.34"/>
  </r>
  <r>
    <d v="2016-01-11T00:00:00"/>
    <x v="326"/>
    <x v="0"/>
    <x v="0"/>
    <x v="2"/>
    <x v="1294"/>
    <n v="111.67"/>
    <n v="9"/>
    <n v="6.98"/>
  </r>
  <r>
    <d v="2016-01-11T00:00:00"/>
    <x v="234"/>
    <x v="1"/>
    <x v="2"/>
    <x v="9"/>
    <x v="325"/>
    <n v="68.11"/>
    <n v="3"/>
    <n v="17.88"/>
  </r>
  <r>
    <d v="2016-03-11T00:00:00"/>
    <x v="36"/>
    <x v="42"/>
    <x v="0"/>
    <x v="4"/>
    <x v="424"/>
    <n v="75.959999999999994"/>
    <n v="2"/>
    <n v="22.79"/>
  </r>
  <r>
    <d v="2016-03-11T00:00:00"/>
    <x v="36"/>
    <x v="42"/>
    <x v="0"/>
    <x v="3"/>
    <x v="166"/>
    <n v="27.24"/>
    <n v="6"/>
    <n v="13.35"/>
  </r>
  <r>
    <d v="2016-03-11T00:00:00"/>
    <x v="341"/>
    <x v="10"/>
    <x v="0"/>
    <x v="4"/>
    <x v="1295"/>
    <n v="8.82"/>
    <n v="3"/>
    <n v="2.38"/>
  </r>
  <r>
    <d v="2016-03-11T00:00:00"/>
    <x v="615"/>
    <x v="3"/>
    <x v="1"/>
    <x v="5"/>
    <x v="1296"/>
    <n v="217.58"/>
    <n v="2"/>
    <n v="-29.92"/>
  </r>
  <r>
    <d v="2016-03-11T00:00:00"/>
    <x v="615"/>
    <x v="3"/>
    <x v="2"/>
    <x v="9"/>
    <x v="1297"/>
    <n v="82.95"/>
    <n v="5"/>
    <n v="29.03"/>
  </r>
  <r>
    <d v="2016-03-11T00:00:00"/>
    <x v="615"/>
    <x v="3"/>
    <x v="0"/>
    <x v="1"/>
    <x v="840"/>
    <n v="87.71"/>
    <n v="7"/>
    <n v="41.22"/>
  </r>
  <r>
    <d v="2016-03-11T00:00:00"/>
    <x v="615"/>
    <x v="3"/>
    <x v="0"/>
    <x v="13"/>
    <x v="1298"/>
    <n v="1101.48"/>
    <n v="4"/>
    <n v="429.58"/>
  </r>
  <r>
    <d v="2016-03-11T00:00:00"/>
    <x v="280"/>
    <x v="5"/>
    <x v="0"/>
    <x v="7"/>
    <x v="419"/>
    <n v="20"/>
    <n v="4"/>
    <n v="9.6"/>
  </r>
  <r>
    <d v="2016-03-11T00:00:00"/>
    <x v="280"/>
    <x v="5"/>
    <x v="0"/>
    <x v="4"/>
    <x v="91"/>
    <n v="7.98"/>
    <n v="3"/>
    <n v="2.0699999999999998"/>
  </r>
  <r>
    <d v="2016-03-11T00:00:00"/>
    <x v="280"/>
    <x v="5"/>
    <x v="1"/>
    <x v="8"/>
    <x v="1284"/>
    <n v="24.1"/>
    <n v="5"/>
    <n v="9.16"/>
  </r>
  <r>
    <d v="2016-03-11T00:00:00"/>
    <x v="280"/>
    <x v="5"/>
    <x v="0"/>
    <x v="4"/>
    <x v="1299"/>
    <n v="8.75"/>
    <n v="1"/>
    <n v="2.63"/>
  </r>
  <r>
    <d v="2016-03-11T00:00:00"/>
    <x v="280"/>
    <x v="5"/>
    <x v="1"/>
    <x v="10"/>
    <x v="1144"/>
    <n v="842.94"/>
    <n v="3"/>
    <n v="160.16"/>
  </r>
  <r>
    <d v="2016-03-11T00:00:00"/>
    <x v="234"/>
    <x v="3"/>
    <x v="0"/>
    <x v="7"/>
    <x v="86"/>
    <n v="15.26"/>
    <n v="7"/>
    <n v="5.04"/>
  </r>
  <r>
    <d v="2016-03-11T00:00:00"/>
    <x v="234"/>
    <x v="3"/>
    <x v="0"/>
    <x v="13"/>
    <x v="1300"/>
    <n v="43.32"/>
    <n v="2"/>
    <n v="14.3"/>
  </r>
  <r>
    <d v="2016-03-11T00:00:00"/>
    <x v="234"/>
    <x v="3"/>
    <x v="0"/>
    <x v="3"/>
    <x v="166"/>
    <n v="43.58"/>
    <n v="12"/>
    <n v="15.8"/>
  </r>
  <r>
    <d v="2016-03-11T00:00:00"/>
    <x v="234"/>
    <x v="3"/>
    <x v="0"/>
    <x v="0"/>
    <x v="1301"/>
    <n v="116.28"/>
    <n v="3"/>
    <n v="56.98"/>
  </r>
  <r>
    <d v="2016-03-11T00:00:00"/>
    <x v="234"/>
    <x v="3"/>
    <x v="0"/>
    <x v="3"/>
    <x v="1302"/>
    <n v="9.3000000000000007"/>
    <n v="2"/>
    <n v="3.02"/>
  </r>
  <r>
    <d v="2016-03-11T00:00:00"/>
    <x v="234"/>
    <x v="3"/>
    <x v="0"/>
    <x v="0"/>
    <x v="1303"/>
    <n v="19.440000000000001"/>
    <n v="3"/>
    <n v="9.33"/>
  </r>
  <r>
    <d v="2016-03-11T00:00:00"/>
    <x v="234"/>
    <x v="3"/>
    <x v="0"/>
    <x v="0"/>
    <x v="1304"/>
    <n v="314.55"/>
    <n v="3"/>
    <n v="150.97999999999999"/>
  </r>
  <r>
    <d v="2016-03-11T00:00:00"/>
    <x v="557"/>
    <x v="0"/>
    <x v="0"/>
    <x v="0"/>
    <x v="984"/>
    <n v="9.25"/>
    <n v="2"/>
    <n v="3.35"/>
  </r>
  <r>
    <d v="2016-03-11T00:00:00"/>
    <x v="375"/>
    <x v="35"/>
    <x v="0"/>
    <x v="3"/>
    <x v="1012"/>
    <n v="4.16"/>
    <n v="7"/>
    <n v="-3.47"/>
  </r>
  <r>
    <d v="2016-03-11T00:00:00"/>
    <x v="375"/>
    <x v="35"/>
    <x v="2"/>
    <x v="16"/>
    <x v="1305"/>
    <n v="179.99"/>
    <n v="3"/>
    <n v="-251.99"/>
  </r>
  <r>
    <d v="2016-03-11T00:00:00"/>
    <x v="400"/>
    <x v="2"/>
    <x v="2"/>
    <x v="9"/>
    <x v="525"/>
    <n v="72"/>
    <n v="1"/>
    <n v="14.4"/>
  </r>
  <r>
    <d v="2016-03-11T00:00:00"/>
    <x v="400"/>
    <x v="2"/>
    <x v="1"/>
    <x v="5"/>
    <x v="1306"/>
    <n v="470.16"/>
    <n v="7"/>
    <n v="-13.43"/>
  </r>
  <r>
    <d v="2016-04-11T00:00:00"/>
    <x v="300"/>
    <x v="5"/>
    <x v="0"/>
    <x v="7"/>
    <x v="1307"/>
    <n v="10.74"/>
    <n v="3"/>
    <n v="5.26"/>
  </r>
  <r>
    <d v="2016-04-11T00:00:00"/>
    <x v="616"/>
    <x v="10"/>
    <x v="1"/>
    <x v="8"/>
    <x v="1235"/>
    <n v="209.88"/>
    <n v="3"/>
    <n v="35.68"/>
  </r>
  <r>
    <d v="2016-04-11T00:00:00"/>
    <x v="202"/>
    <x v="3"/>
    <x v="1"/>
    <x v="8"/>
    <x v="105"/>
    <n v="38.29"/>
    <n v="7"/>
    <n v="16.46"/>
  </r>
  <r>
    <d v="2016-04-11T00:00:00"/>
    <x v="359"/>
    <x v="3"/>
    <x v="0"/>
    <x v="4"/>
    <x v="211"/>
    <n v="192.8"/>
    <n v="4"/>
    <n v="55.91"/>
  </r>
  <r>
    <d v="2016-04-11T00:00:00"/>
    <x v="338"/>
    <x v="35"/>
    <x v="0"/>
    <x v="14"/>
    <x v="1308"/>
    <n v="17.579999999999998"/>
    <n v="7"/>
    <n v="-4.18"/>
  </r>
  <r>
    <d v="2016-04-11T00:00:00"/>
    <x v="338"/>
    <x v="35"/>
    <x v="1"/>
    <x v="5"/>
    <x v="471"/>
    <n v="104.78"/>
    <n v="1"/>
    <n v="-14.41"/>
  </r>
  <r>
    <d v="2016-04-11T00:00:00"/>
    <x v="338"/>
    <x v="35"/>
    <x v="0"/>
    <x v="0"/>
    <x v="194"/>
    <n v="47.95"/>
    <n v="3"/>
    <n v="16.78"/>
  </r>
  <r>
    <d v="2016-04-11T00:00:00"/>
    <x v="338"/>
    <x v="35"/>
    <x v="1"/>
    <x v="5"/>
    <x v="491"/>
    <n v="650.35"/>
    <n v="3"/>
    <n v="-97.55"/>
  </r>
  <r>
    <d v="2016-04-11T00:00:00"/>
    <x v="338"/>
    <x v="35"/>
    <x v="0"/>
    <x v="1"/>
    <x v="258"/>
    <n v="629.17999999999995"/>
    <n v="8"/>
    <n v="228.08"/>
  </r>
  <r>
    <d v="2016-04-11T00:00:00"/>
    <x v="338"/>
    <x v="35"/>
    <x v="0"/>
    <x v="0"/>
    <x v="1309"/>
    <n v="15.18"/>
    <n v="1"/>
    <n v="5.31"/>
  </r>
  <r>
    <d v="2016-04-11T00:00:00"/>
    <x v="520"/>
    <x v="9"/>
    <x v="1"/>
    <x v="8"/>
    <x v="1233"/>
    <n v="50.5"/>
    <n v="6"/>
    <n v="8.2100000000000009"/>
  </r>
  <r>
    <d v="2016-04-11T00:00:00"/>
    <x v="124"/>
    <x v="3"/>
    <x v="0"/>
    <x v="3"/>
    <x v="295"/>
    <n v="7.71"/>
    <n v="2"/>
    <n v="2.8"/>
  </r>
  <r>
    <d v="2016-04-11T00:00:00"/>
    <x v="124"/>
    <x v="3"/>
    <x v="0"/>
    <x v="3"/>
    <x v="506"/>
    <n v="4.18"/>
    <n v="1"/>
    <n v="1.31"/>
  </r>
  <r>
    <d v="2016-04-11T00:00:00"/>
    <x v="124"/>
    <x v="3"/>
    <x v="0"/>
    <x v="0"/>
    <x v="365"/>
    <n v="38.880000000000003"/>
    <n v="6"/>
    <n v="18.66"/>
  </r>
  <r>
    <d v="2016-04-11T00:00:00"/>
    <x v="602"/>
    <x v="15"/>
    <x v="0"/>
    <x v="2"/>
    <x v="175"/>
    <n v="45.25"/>
    <n v="2"/>
    <n v="3.96"/>
  </r>
  <r>
    <d v="2016-04-11T00:00:00"/>
    <x v="602"/>
    <x v="15"/>
    <x v="1"/>
    <x v="10"/>
    <x v="1223"/>
    <n v="876.3"/>
    <n v="10"/>
    <n v="-292.10000000000002"/>
  </r>
  <r>
    <d v="2016-04-11T00:00:00"/>
    <x v="602"/>
    <x v="15"/>
    <x v="0"/>
    <x v="14"/>
    <x v="1310"/>
    <n v="185.38"/>
    <n v="2"/>
    <n v="-34.76"/>
  </r>
  <r>
    <d v="2016-04-11T00:00:00"/>
    <x v="554"/>
    <x v="3"/>
    <x v="2"/>
    <x v="16"/>
    <x v="1311"/>
    <n v="686.4"/>
    <n v="2"/>
    <n v="77.22"/>
  </r>
  <r>
    <d v="2016-04-11T00:00:00"/>
    <x v="313"/>
    <x v="0"/>
    <x v="1"/>
    <x v="8"/>
    <x v="1005"/>
    <n v="11.38"/>
    <n v="3"/>
    <n v="-5.69"/>
  </r>
  <r>
    <d v="2016-04-11T00:00:00"/>
    <x v="313"/>
    <x v="0"/>
    <x v="1"/>
    <x v="8"/>
    <x v="200"/>
    <n v="66.11"/>
    <n v="4"/>
    <n v="-84.29"/>
  </r>
  <r>
    <d v="2016-05-11T00:00:00"/>
    <x v="449"/>
    <x v="3"/>
    <x v="0"/>
    <x v="3"/>
    <x v="1312"/>
    <n v="29.12"/>
    <n v="5"/>
    <n v="9.83"/>
  </r>
  <r>
    <d v="2016-05-11T00:00:00"/>
    <x v="616"/>
    <x v="2"/>
    <x v="2"/>
    <x v="6"/>
    <x v="1313"/>
    <n v="23.99"/>
    <n v="2"/>
    <n v="-15.99"/>
  </r>
  <r>
    <d v="2016-05-11T00:00:00"/>
    <x v="138"/>
    <x v="0"/>
    <x v="1"/>
    <x v="10"/>
    <x v="727"/>
    <n v="863.13"/>
    <n v="8"/>
    <n v="-160.30000000000001"/>
  </r>
  <r>
    <d v="2016-05-11T00:00:00"/>
    <x v="138"/>
    <x v="0"/>
    <x v="0"/>
    <x v="3"/>
    <x v="176"/>
    <n v="3.56"/>
    <n v="3"/>
    <n v="-6.24"/>
  </r>
  <r>
    <d v="2016-05-11T00:00:00"/>
    <x v="138"/>
    <x v="0"/>
    <x v="1"/>
    <x v="12"/>
    <x v="1314"/>
    <n v="956.66"/>
    <n v="7"/>
    <n v="-225.1"/>
  </r>
  <r>
    <d v="2016-05-11T00:00:00"/>
    <x v="138"/>
    <x v="0"/>
    <x v="0"/>
    <x v="3"/>
    <x v="1254"/>
    <n v="12.59"/>
    <n v="3"/>
    <n v="-20.14"/>
  </r>
  <r>
    <d v="2016-05-11T00:00:00"/>
    <x v="138"/>
    <x v="0"/>
    <x v="2"/>
    <x v="9"/>
    <x v="1315"/>
    <n v="171.96"/>
    <n v="5"/>
    <n v="45.14"/>
  </r>
  <r>
    <d v="2016-05-11T00:00:00"/>
    <x v="617"/>
    <x v="26"/>
    <x v="0"/>
    <x v="3"/>
    <x v="1254"/>
    <n v="104.9"/>
    <n v="5"/>
    <n v="50.35"/>
  </r>
  <r>
    <d v="2016-05-11T00:00:00"/>
    <x v="617"/>
    <x v="26"/>
    <x v="0"/>
    <x v="4"/>
    <x v="161"/>
    <n v="39.68"/>
    <n v="2"/>
    <n v="16.27"/>
  </r>
  <r>
    <d v="2016-05-11T00:00:00"/>
    <x v="617"/>
    <x v="26"/>
    <x v="0"/>
    <x v="1"/>
    <x v="899"/>
    <n v="51.75"/>
    <n v="5"/>
    <n v="24.84"/>
  </r>
  <r>
    <d v="2016-05-11T00:00:00"/>
    <x v="177"/>
    <x v="3"/>
    <x v="0"/>
    <x v="3"/>
    <x v="1202"/>
    <n v="53.25"/>
    <n v="2"/>
    <n v="19.97"/>
  </r>
  <r>
    <d v="2016-05-11T00:00:00"/>
    <x v="352"/>
    <x v="0"/>
    <x v="0"/>
    <x v="1"/>
    <x v="92"/>
    <n v="11.84"/>
    <n v="1"/>
    <n v="4.4400000000000004"/>
  </r>
  <r>
    <d v="2016-05-11T00:00:00"/>
    <x v="193"/>
    <x v="10"/>
    <x v="2"/>
    <x v="9"/>
    <x v="1316"/>
    <n v="479.72"/>
    <n v="4"/>
    <n v="52.77"/>
  </r>
  <r>
    <d v="2016-05-11T00:00:00"/>
    <x v="316"/>
    <x v="3"/>
    <x v="2"/>
    <x v="9"/>
    <x v="884"/>
    <n v="72"/>
    <n v="4"/>
    <n v="12.96"/>
  </r>
  <r>
    <d v="2016-05-11T00:00:00"/>
    <x v="316"/>
    <x v="3"/>
    <x v="1"/>
    <x v="5"/>
    <x v="1317"/>
    <n v="113.89"/>
    <n v="2"/>
    <n v="9.9700000000000006"/>
  </r>
  <r>
    <d v="2016-05-11T00:00:00"/>
    <x v="316"/>
    <x v="3"/>
    <x v="0"/>
    <x v="11"/>
    <x v="190"/>
    <n v="158.13"/>
    <n v="3"/>
    <n v="77.48"/>
  </r>
  <r>
    <d v="2016-05-11T00:00:00"/>
    <x v="218"/>
    <x v="6"/>
    <x v="1"/>
    <x v="8"/>
    <x v="393"/>
    <n v="273.95999999999998"/>
    <n v="2"/>
    <n v="71.23"/>
  </r>
  <r>
    <d v="2016-05-11T00:00:00"/>
    <x v="218"/>
    <x v="6"/>
    <x v="2"/>
    <x v="9"/>
    <x v="917"/>
    <n v="89.97"/>
    <n v="3"/>
    <n v="18.89"/>
  </r>
  <r>
    <d v="2016-05-11T00:00:00"/>
    <x v="218"/>
    <x v="6"/>
    <x v="1"/>
    <x v="8"/>
    <x v="1318"/>
    <n v="756.8"/>
    <n v="5"/>
    <n v="75.680000000000007"/>
  </r>
  <r>
    <d v="2016-06-11T00:00:00"/>
    <x v="618"/>
    <x v="3"/>
    <x v="1"/>
    <x v="5"/>
    <x v="1248"/>
    <n v="81.42"/>
    <n v="2"/>
    <n v="-9.16"/>
  </r>
  <r>
    <d v="2016-06-11T00:00:00"/>
    <x v="618"/>
    <x v="3"/>
    <x v="1"/>
    <x v="8"/>
    <x v="1083"/>
    <n v="238.56"/>
    <n v="3"/>
    <n v="26.24"/>
  </r>
  <r>
    <d v="2016-06-11T00:00:00"/>
    <x v="619"/>
    <x v="9"/>
    <x v="1"/>
    <x v="5"/>
    <x v="927"/>
    <n v="207.98"/>
    <n v="2"/>
    <n v="-28.6"/>
  </r>
  <r>
    <d v="2016-06-11T00:00:00"/>
    <x v="619"/>
    <x v="9"/>
    <x v="0"/>
    <x v="0"/>
    <x v="1319"/>
    <n v="36.11"/>
    <n v="2"/>
    <n v="12.64"/>
  </r>
  <r>
    <d v="2016-06-11T00:00:00"/>
    <x v="619"/>
    <x v="9"/>
    <x v="1"/>
    <x v="8"/>
    <x v="972"/>
    <n v="35.57"/>
    <n v="2"/>
    <n v="5.78"/>
  </r>
  <r>
    <d v="2016-06-11T00:00:00"/>
    <x v="619"/>
    <x v="9"/>
    <x v="0"/>
    <x v="0"/>
    <x v="112"/>
    <n v="88.77"/>
    <n v="2"/>
    <n v="31.07"/>
  </r>
  <r>
    <d v="2016-06-11T00:00:00"/>
    <x v="398"/>
    <x v="3"/>
    <x v="0"/>
    <x v="2"/>
    <x v="175"/>
    <n v="84.84"/>
    <n v="3"/>
    <n v="22.91"/>
  </r>
  <r>
    <d v="2016-07-11T00:00:00"/>
    <x v="389"/>
    <x v="10"/>
    <x v="0"/>
    <x v="3"/>
    <x v="1320"/>
    <n v="27.68"/>
    <n v="2"/>
    <n v="9.69"/>
  </r>
  <r>
    <d v="2016-07-11T00:00:00"/>
    <x v="415"/>
    <x v="3"/>
    <x v="0"/>
    <x v="3"/>
    <x v="167"/>
    <n v="37.44"/>
    <n v="4"/>
    <n v="11.7"/>
  </r>
  <r>
    <d v="2016-07-11T00:00:00"/>
    <x v="415"/>
    <x v="3"/>
    <x v="0"/>
    <x v="3"/>
    <x v="1321"/>
    <n v="26.98"/>
    <n v="4"/>
    <n v="8.77"/>
  </r>
  <r>
    <d v="2016-07-11T00:00:00"/>
    <x v="415"/>
    <x v="3"/>
    <x v="0"/>
    <x v="14"/>
    <x v="1239"/>
    <n v="11.36"/>
    <n v="2"/>
    <n v="3.29"/>
  </r>
  <r>
    <d v="2016-07-11T00:00:00"/>
    <x v="415"/>
    <x v="3"/>
    <x v="0"/>
    <x v="1"/>
    <x v="1032"/>
    <n v="14.62"/>
    <n v="2"/>
    <n v="6.87"/>
  </r>
  <r>
    <d v="2016-07-11T00:00:00"/>
    <x v="318"/>
    <x v="3"/>
    <x v="1"/>
    <x v="8"/>
    <x v="1115"/>
    <n v="14.82"/>
    <n v="3"/>
    <n v="6.22"/>
  </r>
  <r>
    <d v="2016-07-11T00:00:00"/>
    <x v="262"/>
    <x v="16"/>
    <x v="2"/>
    <x v="9"/>
    <x v="472"/>
    <n v="119.98"/>
    <n v="3"/>
    <n v="22.5"/>
  </r>
  <r>
    <d v="2016-07-11T00:00:00"/>
    <x v="554"/>
    <x v="11"/>
    <x v="0"/>
    <x v="7"/>
    <x v="962"/>
    <n v="14.96"/>
    <n v="4"/>
    <n v="0.3"/>
  </r>
  <r>
    <d v="2016-07-11T00:00:00"/>
    <x v="620"/>
    <x v="3"/>
    <x v="0"/>
    <x v="0"/>
    <x v="1238"/>
    <n v="12.9"/>
    <n v="2"/>
    <n v="6.32"/>
  </r>
  <r>
    <d v="2016-07-11T00:00:00"/>
    <x v="617"/>
    <x v="44"/>
    <x v="1"/>
    <x v="5"/>
    <x v="992"/>
    <n v="1603.14"/>
    <n v="4"/>
    <n v="100.2"/>
  </r>
  <r>
    <d v="2016-07-11T00:00:00"/>
    <x v="222"/>
    <x v="12"/>
    <x v="2"/>
    <x v="6"/>
    <x v="154"/>
    <n v="263.95999999999998"/>
    <n v="4"/>
    <n v="71.27"/>
  </r>
  <r>
    <d v="2016-07-11T00:00:00"/>
    <x v="222"/>
    <x v="12"/>
    <x v="2"/>
    <x v="6"/>
    <x v="610"/>
    <n v="359.97"/>
    <n v="3"/>
    <n v="100.79"/>
  </r>
  <r>
    <d v="2016-07-11T00:00:00"/>
    <x v="222"/>
    <x v="12"/>
    <x v="0"/>
    <x v="0"/>
    <x v="1322"/>
    <n v="12.96"/>
    <n v="2"/>
    <n v="6.22"/>
  </r>
  <r>
    <d v="2016-07-11T00:00:00"/>
    <x v="222"/>
    <x v="12"/>
    <x v="0"/>
    <x v="2"/>
    <x v="1166"/>
    <n v="116.82"/>
    <n v="3"/>
    <n v="5.84"/>
  </r>
  <r>
    <d v="2016-07-11T00:00:00"/>
    <x v="222"/>
    <x v="12"/>
    <x v="0"/>
    <x v="3"/>
    <x v="1266"/>
    <n v="276.77999999999997"/>
    <n v="2"/>
    <n v="89.95"/>
  </r>
  <r>
    <d v="2016-07-11T00:00:00"/>
    <x v="133"/>
    <x v="0"/>
    <x v="1"/>
    <x v="8"/>
    <x v="1323"/>
    <n v="44.46"/>
    <n v="5"/>
    <n v="-17.78"/>
  </r>
  <r>
    <d v="2016-07-11T00:00:00"/>
    <x v="133"/>
    <x v="0"/>
    <x v="0"/>
    <x v="2"/>
    <x v="1094"/>
    <n v="314.08999999999997"/>
    <n v="3"/>
    <n v="19.63"/>
  </r>
  <r>
    <d v="2016-07-11T00:00:00"/>
    <x v="161"/>
    <x v="3"/>
    <x v="2"/>
    <x v="9"/>
    <x v="265"/>
    <n v="479.97"/>
    <n v="3"/>
    <n v="163.19"/>
  </r>
  <r>
    <d v="2016-07-11T00:00:00"/>
    <x v="621"/>
    <x v="3"/>
    <x v="0"/>
    <x v="3"/>
    <x v="1324"/>
    <n v="57.58"/>
    <n v="2"/>
    <n v="20.149999999999999"/>
  </r>
  <r>
    <d v="2016-08-11T00:00:00"/>
    <x v="622"/>
    <x v="5"/>
    <x v="1"/>
    <x v="12"/>
    <x v="1120"/>
    <n v="261.95999999999998"/>
    <n v="2"/>
    <n v="41.91"/>
  </r>
  <r>
    <d v="2016-08-11T00:00:00"/>
    <x v="622"/>
    <x v="5"/>
    <x v="1"/>
    <x v="5"/>
    <x v="423"/>
    <n v="731.94"/>
    <n v="3"/>
    <n v="219.58"/>
  </r>
  <r>
    <d v="2016-09-11T00:00:00"/>
    <x v="623"/>
    <x v="3"/>
    <x v="2"/>
    <x v="9"/>
    <x v="70"/>
    <n v="479.97"/>
    <n v="3"/>
    <n v="177.59"/>
  </r>
  <r>
    <d v="2016-10-11T00:00:00"/>
    <x v="624"/>
    <x v="3"/>
    <x v="0"/>
    <x v="2"/>
    <x v="617"/>
    <n v="155.82"/>
    <n v="7"/>
    <n v="42.07"/>
  </r>
  <r>
    <d v="2016-10-11T00:00:00"/>
    <x v="624"/>
    <x v="3"/>
    <x v="0"/>
    <x v="3"/>
    <x v="1189"/>
    <n v="70.010000000000005"/>
    <n v="3"/>
    <n v="24.5"/>
  </r>
  <r>
    <d v="2016-10-11T00:00:00"/>
    <x v="435"/>
    <x v="3"/>
    <x v="0"/>
    <x v="3"/>
    <x v="546"/>
    <n v="13.22"/>
    <n v="4"/>
    <n v="4.46"/>
  </r>
  <r>
    <d v="2016-10-11T00:00:00"/>
    <x v="435"/>
    <x v="3"/>
    <x v="0"/>
    <x v="0"/>
    <x v="1325"/>
    <n v="32.4"/>
    <n v="5"/>
    <n v="15.55"/>
  </r>
  <r>
    <d v="2016-10-11T00:00:00"/>
    <x v="625"/>
    <x v="4"/>
    <x v="0"/>
    <x v="4"/>
    <x v="1229"/>
    <n v="41.86"/>
    <n v="7"/>
    <n v="10.47"/>
  </r>
  <r>
    <d v="2016-10-11T00:00:00"/>
    <x v="97"/>
    <x v="16"/>
    <x v="0"/>
    <x v="14"/>
    <x v="252"/>
    <n v="14.72"/>
    <n v="5"/>
    <n v="-3.31"/>
  </r>
  <r>
    <d v="2016-10-11T00:00:00"/>
    <x v="97"/>
    <x v="16"/>
    <x v="0"/>
    <x v="2"/>
    <x v="35"/>
    <n v="38.979999999999997"/>
    <n v="3"/>
    <n v="-2.44"/>
  </r>
  <r>
    <d v="2016-10-11T00:00:00"/>
    <x v="208"/>
    <x v="16"/>
    <x v="0"/>
    <x v="1"/>
    <x v="851"/>
    <n v="9.2200000000000006"/>
    <n v="4"/>
    <n v="3.34"/>
  </r>
  <r>
    <d v="2016-10-11T00:00:00"/>
    <x v="208"/>
    <x v="16"/>
    <x v="2"/>
    <x v="6"/>
    <x v="249"/>
    <n v="41.96"/>
    <n v="7"/>
    <n v="-9.7899999999999991"/>
  </r>
  <r>
    <d v="2016-10-11T00:00:00"/>
    <x v="208"/>
    <x v="16"/>
    <x v="0"/>
    <x v="0"/>
    <x v="583"/>
    <n v="89.57"/>
    <n v="2"/>
    <n v="32.47"/>
  </r>
  <r>
    <d v="2016-10-11T00:00:00"/>
    <x v="208"/>
    <x v="16"/>
    <x v="0"/>
    <x v="0"/>
    <x v="582"/>
    <n v="22.25"/>
    <n v="3"/>
    <n v="7.51"/>
  </r>
  <r>
    <d v="2016-10-11T00:00:00"/>
    <x v="208"/>
    <x v="16"/>
    <x v="0"/>
    <x v="13"/>
    <x v="1228"/>
    <n v="334.88"/>
    <n v="4"/>
    <n v="29.3"/>
  </r>
  <r>
    <d v="2016-10-11T00:00:00"/>
    <x v="208"/>
    <x v="16"/>
    <x v="1"/>
    <x v="8"/>
    <x v="388"/>
    <n v="148.29"/>
    <n v="7"/>
    <n v="29.66"/>
  </r>
  <r>
    <d v="2016-10-11T00:00:00"/>
    <x v="208"/>
    <x v="16"/>
    <x v="0"/>
    <x v="0"/>
    <x v="1326"/>
    <n v="4.62"/>
    <n v="1"/>
    <n v="1.68"/>
  </r>
  <r>
    <d v="2016-10-11T00:00:00"/>
    <x v="208"/>
    <x v="16"/>
    <x v="2"/>
    <x v="9"/>
    <x v="933"/>
    <n v="178.92"/>
    <n v="7"/>
    <n v="-29.07"/>
  </r>
  <r>
    <d v="2016-10-11T00:00:00"/>
    <x v="208"/>
    <x v="16"/>
    <x v="0"/>
    <x v="3"/>
    <x v="1202"/>
    <n v="69.89"/>
    <n v="7"/>
    <n v="-46.59"/>
  </r>
  <r>
    <d v="2016-10-11T00:00:00"/>
    <x v="132"/>
    <x v="0"/>
    <x v="2"/>
    <x v="9"/>
    <x v="670"/>
    <n v="279.94"/>
    <n v="7"/>
    <n v="48.99"/>
  </r>
  <r>
    <d v="2016-10-11T00:00:00"/>
    <x v="403"/>
    <x v="14"/>
    <x v="1"/>
    <x v="8"/>
    <x v="1327"/>
    <n v="37.299999999999997"/>
    <n v="2"/>
    <n v="17.16"/>
  </r>
  <r>
    <d v="2016-10-11T00:00:00"/>
    <x v="403"/>
    <x v="14"/>
    <x v="0"/>
    <x v="3"/>
    <x v="277"/>
    <n v="81.96"/>
    <n v="2"/>
    <n v="39.340000000000003"/>
  </r>
  <r>
    <d v="2016-10-11T00:00:00"/>
    <x v="314"/>
    <x v="12"/>
    <x v="0"/>
    <x v="3"/>
    <x v="1328"/>
    <n v="20.37"/>
    <n v="1"/>
    <n v="7.38"/>
  </r>
  <r>
    <d v="2016-10-11T00:00:00"/>
    <x v="314"/>
    <x v="12"/>
    <x v="0"/>
    <x v="3"/>
    <x v="230"/>
    <n v="49.85"/>
    <n v="3"/>
    <n v="16.82"/>
  </r>
  <r>
    <d v="2016-10-11T00:00:00"/>
    <x v="96"/>
    <x v="3"/>
    <x v="0"/>
    <x v="0"/>
    <x v="1319"/>
    <n v="67.709999999999994"/>
    <n v="3"/>
    <n v="32.5"/>
  </r>
  <r>
    <d v="2016-10-11T00:00:00"/>
    <x v="96"/>
    <x v="3"/>
    <x v="0"/>
    <x v="13"/>
    <x v="1329"/>
    <n v="129.91999999999999"/>
    <n v="4"/>
    <n v="38.979999999999997"/>
  </r>
  <r>
    <d v="2016-10-11T00:00:00"/>
    <x v="96"/>
    <x v="3"/>
    <x v="1"/>
    <x v="8"/>
    <x v="19"/>
    <n v="467.46"/>
    <n v="9"/>
    <n v="191.66"/>
  </r>
  <r>
    <d v="2016-10-11T00:00:00"/>
    <x v="96"/>
    <x v="3"/>
    <x v="0"/>
    <x v="0"/>
    <x v="174"/>
    <n v="61.4"/>
    <n v="5"/>
    <n v="28.86"/>
  </r>
  <r>
    <d v="2016-10-11T00:00:00"/>
    <x v="96"/>
    <x v="3"/>
    <x v="0"/>
    <x v="2"/>
    <x v="622"/>
    <n v="720.76"/>
    <n v="4"/>
    <n v="187.4"/>
  </r>
  <r>
    <d v="2016-10-11T00:00:00"/>
    <x v="96"/>
    <x v="3"/>
    <x v="0"/>
    <x v="3"/>
    <x v="1082"/>
    <n v="5.18"/>
    <n v="3"/>
    <n v="1.81"/>
  </r>
  <r>
    <d v="2016-10-11T00:00:00"/>
    <x v="96"/>
    <x v="3"/>
    <x v="0"/>
    <x v="4"/>
    <x v="1330"/>
    <n v="14.7"/>
    <n v="5"/>
    <n v="3.97"/>
  </r>
  <r>
    <d v="2016-10-11T00:00:00"/>
    <x v="151"/>
    <x v="3"/>
    <x v="1"/>
    <x v="8"/>
    <x v="1331"/>
    <n v="9.98"/>
    <n v="1"/>
    <n v="2.79"/>
  </r>
  <r>
    <d v="2016-10-11T00:00:00"/>
    <x v="380"/>
    <x v="3"/>
    <x v="0"/>
    <x v="2"/>
    <x v="1264"/>
    <n v="29.74"/>
    <n v="1"/>
    <n v="4.46"/>
  </r>
  <r>
    <d v="2016-10-11T00:00:00"/>
    <x v="9"/>
    <x v="16"/>
    <x v="0"/>
    <x v="0"/>
    <x v="1121"/>
    <n v="31.1"/>
    <n v="6"/>
    <n v="10.89"/>
  </r>
  <r>
    <d v="2016-10-11T00:00:00"/>
    <x v="38"/>
    <x v="34"/>
    <x v="2"/>
    <x v="6"/>
    <x v="692"/>
    <n v="221.98"/>
    <n v="2"/>
    <n v="62.15"/>
  </r>
  <r>
    <d v="2016-10-11T00:00:00"/>
    <x v="38"/>
    <x v="34"/>
    <x v="1"/>
    <x v="12"/>
    <x v="1332"/>
    <n v="341.96"/>
    <n v="2"/>
    <n v="54.71"/>
  </r>
  <r>
    <d v="2016-10-11T00:00:00"/>
    <x v="41"/>
    <x v="12"/>
    <x v="0"/>
    <x v="3"/>
    <x v="235"/>
    <n v="3.64"/>
    <n v="1"/>
    <n v="1.37"/>
  </r>
  <r>
    <d v="2016-10-11T00:00:00"/>
    <x v="41"/>
    <x v="12"/>
    <x v="2"/>
    <x v="6"/>
    <x v="364"/>
    <n v="881.93"/>
    <n v="7"/>
    <n v="220.48"/>
  </r>
  <r>
    <d v="2016-11-11T00:00:00"/>
    <x v="538"/>
    <x v="12"/>
    <x v="2"/>
    <x v="9"/>
    <x v="1333"/>
    <n v="59.97"/>
    <n v="3"/>
    <n v="14.99"/>
  </r>
  <r>
    <d v="2016-11-11T00:00:00"/>
    <x v="538"/>
    <x v="12"/>
    <x v="0"/>
    <x v="2"/>
    <x v="206"/>
    <n v="83.36"/>
    <n v="1"/>
    <n v="20.84"/>
  </r>
  <r>
    <d v="2016-11-11T00:00:00"/>
    <x v="384"/>
    <x v="1"/>
    <x v="2"/>
    <x v="9"/>
    <x v="520"/>
    <n v="95.97"/>
    <n v="4"/>
    <n v="1.2"/>
  </r>
  <r>
    <d v="2016-11-11T00:00:00"/>
    <x v="384"/>
    <x v="1"/>
    <x v="1"/>
    <x v="5"/>
    <x v="757"/>
    <n v="47.99"/>
    <n v="2"/>
    <n v="-2.06"/>
  </r>
  <r>
    <d v="2016-11-11T00:00:00"/>
    <x v="621"/>
    <x v="18"/>
    <x v="2"/>
    <x v="6"/>
    <x v="760"/>
    <n v="257.98"/>
    <n v="2"/>
    <n v="74.81"/>
  </r>
  <r>
    <d v="2016-11-11T00:00:00"/>
    <x v="159"/>
    <x v="3"/>
    <x v="1"/>
    <x v="8"/>
    <x v="170"/>
    <n v="6.96"/>
    <n v="4"/>
    <n v="2.23"/>
  </r>
  <r>
    <d v="2016-11-11T00:00:00"/>
    <x v="596"/>
    <x v="9"/>
    <x v="0"/>
    <x v="3"/>
    <x v="123"/>
    <n v="9.89"/>
    <n v="2"/>
    <n v="-6.92"/>
  </r>
  <r>
    <d v="2016-11-11T00:00:00"/>
    <x v="596"/>
    <x v="9"/>
    <x v="0"/>
    <x v="13"/>
    <x v="1334"/>
    <n v="671.54"/>
    <n v="3"/>
    <n v="50.37"/>
  </r>
  <r>
    <d v="2016-11-11T00:00:00"/>
    <x v="351"/>
    <x v="12"/>
    <x v="0"/>
    <x v="2"/>
    <x v="317"/>
    <n v="28.14"/>
    <n v="3"/>
    <n v="7.88"/>
  </r>
  <r>
    <d v="2016-11-11T00:00:00"/>
    <x v="351"/>
    <x v="12"/>
    <x v="2"/>
    <x v="9"/>
    <x v="884"/>
    <n v="36"/>
    <n v="2"/>
    <n v="6.48"/>
  </r>
  <r>
    <d v="2016-11-11T00:00:00"/>
    <x v="351"/>
    <x v="12"/>
    <x v="0"/>
    <x v="4"/>
    <x v="1335"/>
    <n v="92.94"/>
    <n v="3"/>
    <n v="25.09"/>
  </r>
  <r>
    <d v="2016-11-11T00:00:00"/>
    <x v="351"/>
    <x v="12"/>
    <x v="1"/>
    <x v="5"/>
    <x v="789"/>
    <n v="245.65"/>
    <n v="3"/>
    <n v="8.19"/>
  </r>
  <r>
    <d v="2016-11-11T00:00:00"/>
    <x v="351"/>
    <x v="12"/>
    <x v="0"/>
    <x v="3"/>
    <x v="858"/>
    <n v="55.01"/>
    <n v="3"/>
    <n v="17.190000000000001"/>
  </r>
  <r>
    <d v="2016-11-11T00:00:00"/>
    <x v="351"/>
    <x v="12"/>
    <x v="0"/>
    <x v="3"/>
    <x v="685"/>
    <n v="35.229999999999997"/>
    <n v="3"/>
    <n v="11.45"/>
  </r>
  <r>
    <d v="2016-11-11T00:00:00"/>
    <x v="626"/>
    <x v="3"/>
    <x v="1"/>
    <x v="8"/>
    <x v="1336"/>
    <n v="41.96"/>
    <n v="2"/>
    <n v="10.91"/>
  </r>
  <r>
    <d v="2016-11-11T00:00:00"/>
    <x v="626"/>
    <x v="3"/>
    <x v="1"/>
    <x v="5"/>
    <x v="563"/>
    <n v="451.15"/>
    <n v="3"/>
    <n v="0"/>
  </r>
  <r>
    <d v="2016-11-11T00:00:00"/>
    <x v="626"/>
    <x v="3"/>
    <x v="0"/>
    <x v="3"/>
    <x v="761"/>
    <n v="31.5"/>
    <n v="11"/>
    <n v="11.03"/>
  </r>
  <r>
    <d v="2016-11-11T00:00:00"/>
    <x v="616"/>
    <x v="26"/>
    <x v="1"/>
    <x v="10"/>
    <x v="1337"/>
    <n v="2678.94"/>
    <n v="6"/>
    <n v="241.1"/>
  </r>
  <r>
    <d v="2016-11-11T00:00:00"/>
    <x v="627"/>
    <x v="1"/>
    <x v="0"/>
    <x v="4"/>
    <x v="1295"/>
    <n v="14.11"/>
    <n v="6"/>
    <n v="1.23"/>
  </r>
  <r>
    <d v="2016-12-11T00:00:00"/>
    <x v="53"/>
    <x v="23"/>
    <x v="0"/>
    <x v="3"/>
    <x v="1024"/>
    <n v="6.27"/>
    <n v="5"/>
    <n v="-4.5999999999999996"/>
  </r>
  <r>
    <d v="2016-12-11T00:00:00"/>
    <x v="53"/>
    <x v="23"/>
    <x v="0"/>
    <x v="3"/>
    <x v="1338"/>
    <n v="4.37"/>
    <n v="7"/>
    <n v="-3.35"/>
  </r>
  <r>
    <d v="2016-12-11T00:00:00"/>
    <x v="53"/>
    <x v="23"/>
    <x v="2"/>
    <x v="9"/>
    <x v="1333"/>
    <n v="31.98"/>
    <n v="2"/>
    <n v="2"/>
  </r>
  <r>
    <d v="2016-12-11T00:00:00"/>
    <x v="65"/>
    <x v="26"/>
    <x v="0"/>
    <x v="11"/>
    <x v="1339"/>
    <n v="287.52"/>
    <n v="8"/>
    <n v="129.38"/>
  </r>
  <r>
    <d v="2016-12-11T00:00:00"/>
    <x v="65"/>
    <x v="26"/>
    <x v="0"/>
    <x v="13"/>
    <x v="1098"/>
    <n v="37.68"/>
    <n v="2"/>
    <n v="10.55"/>
  </r>
  <r>
    <d v="2016-12-11T00:00:00"/>
    <x v="65"/>
    <x v="26"/>
    <x v="0"/>
    <x v="0"/>
    <x v="822"/>
    <n v="19.98"/>
    <n v="2"/>
    <n v="8.99"/>
  </r>
  <r>
    <d v="2016-12-11T00:00:00"/>
    <x v="65"/>
    <x v="26"/>
    <x v="0"/>
    <x v="4"/>
    <x v="1295"/>
    <n v="20.58"/>
    <n v="7"/>
    <n v="5.56"/>
  </r>
  <r>
    <d v="2016-12-11T00:00:00"/>
    <x v="65"/>
    <x v="26"/>
    <x v="0"/>
    <x v="3"/>
    <x v="719"/>
    <n v="17.38"/>
    <n v="2"/>
    <n v="8.69"/>
  </r>
  <r>
    <d v="2016-12-11T00:00:00"/>
    <x v="628"/>
    <x v="16"/>
    <x v="1"/>
    <x v="5"/>
    <x v="81"/>
    <n v="1474.8"/>
    <n v="7"/>
    <n v="-21.07"/>
  </r>
  <r>
    <d v="2016-12-11T00:00:00"/>
    <x v="628"/>
    <x v="16"/>
    <x v="0"/>
    <x v="13"/>
    <x v="864"/>
    <n v="110.1"/>
    <n v="2"/>
    <n v="33.03"/>
  </r>
  <r>
    <d v="2016-12-11T00:00:00"/>
    <x v="628"/>
    <x v="16"/>
    <x v="0"/>
    <x v="7"/>
    <x v="527"/>
    <n v="16.75"/>
    <n v="6"/>
    <n v="5.44"/>
  </r>
  <r>
    <d v="2016-12-11T00:00:00"/>
    <x v="628"/>
    <x v="16"/>
    <x v="1"/>
    <x v="5"/>
    <x v="423"/>
    <n v="1537.07"/>
    <n v="9"/>
    <n v="0"/>
  </r>
  <r>
    <d v="2016-12-11T00:00:00"/>
    <x v="628"/>
    <x v="16"/>
    <x v="1"/>
    <x v="5"/>
    <x v="598"/>
    <n v="449.37"/>
    <n v="2"/>
    <n v="-12.84"/>
  </r>
  <r>
    <d v="2016-12-11T00:00:00"/>
    <x v="105"/>
    <x v="3"/>
    <x v="2"/>
    <x v="6"/>
    <x v="1340"/>
    <n v="203.98"/>
    <n v="3"/>
    <n v="25.5"/>
  </r>
  <r>
    <d v="2016-12-11T00:00:00"/>
    <x v="105"/>
    <x v="3"/>
    <x v="1"/>
    <x v="10"/>
    <x v="1144"/>
    <n v="674.35"/>
    <n v="3"/>
    <n v="-8.43"/>
  </r>
  <r>
    <d v="2016-12-11T00:00:00"/>
    <x v="165"/>
    <x v="1"/>
    <x v="1"/>
    <x v="8"/>
    <x v="721"/>
    <n v="22.75"/>
    <n v="6"/>
    <n v="-8.5299999999999994"/>
  </r>
  <r>
    <d v="2016-01-12T00:00:00"/>
    <x v="166"/>
    <x v="28"/>
    <x v="0"/>
    <x v="0"/>
    <x v="1341"/>
    <n v="23.92"/>
    <n v="4"/>
    <n v="11.72"/>
  </r>
  <r>
    <d v="2016-01-12T00:00:00"/>
    <x v="612"/>
    <x v="39"/>
    <x v="1"/>
    <x v="5"/>
    <x v="50"/>
    <n v="172.5"/>
    <n v="2"/>
    <n v="51.75"/>
  </r>
  <r>
    <d v="2016-01-12T00:00:00"/>
    <x v="612"/>
    <x v="39"/>
    <x v="2"/>
    <x v="6"/>
    <x v="412"/>
    <n v="179.97"/>
    <n v="3"/>
    <n v="44.99"/>
  </r>
  <r>
    <d v="2016-01-12T00:00:00"/>
    <x v="122"/>
    <x v="26"/>
    <x v="1"/>
    <x v="8"/>
    <x v="488"/>
    <n v="17.309999999999999"/>
    <n v="3"/>
    <n v="5.19"/>
  </r>
  <r>
    <d v="2016-01-12T00:00:00"/>
    <x v="191"/>
    <x v="31"/>
    <x v="0"/>
    <x v="4"/>
    <x v="533"/>
    <n v="4.7"/>
    <n v="2"/>
    <n v="0.41"/>
  </r>
  <r>
    <d v="2016-01-12T00:00:00"/>
    <x v="629"/>
    <x v="3"/>
    <x v="1"/>
    <x v="8"/>
    <x v="482"/>
    <n v="16.739999999999998"/>
    <n v="2"/>
    <n v="4.3499999999999996"/>
  </r>
  <r>
    <d v="2016-01-12T00:00:00"/>
    <x v="238"/>
    <x v="27"/>
    <x v="0"/>
    <x v="3"/>
    <x v="685"/>
    <n v="88.08"/>
    <n v="6"/>
    <n v="40.520000000000003"/>
  </r>
  <r>
    <d v="2016-01-12T00:00:00"/>
    <x v="238"/>
    <x v="27"/>
    <x v="1"/>
    <x v="5"/>
    <x v="563"/>
    <n v="751.92"/>
    <n v="4"/>
    <n v="150.38"/>
  </r>
  <r>
    <d v="2016-01-12T00:00:00"/>
    <x v="343"/>
    <x v="15"/>
    <x v="2"/>
    <x v="6"/>
    <x v="610"/>
    <n v="863.93"/>
    <n v="9"/>
    <n v="86.39"/>
  </r>
  <r>
    <d v="2016-01-12T00:00:00"/>
    <x v="630"/>
    <x v="0"/>
    <x v="1"/>
    <x v="5"/>
    <x v="239"/>
    <n v="248.43"/>
    <n v="5"/>
    <n v="-17.75"/>
  </r>
  <r>
    <d v="2016-01-12T00:00:00"/>
    <x v="630"/>
    <x v="0"/>
    <x v="0"/>
    <x v="13"/>
    <x v="215"/>
    <n v="11.65"/>
    <n v="4"/>
    <n v="-30.87"/>
  </r>
  <r>
    <d v="2016-01-12T00:00:00"/>
    <x v="630"/>
    <x v="0"/>
    <x v="1"/>
    <x v="5"/>
    <x v="74"/>
    <n v="85.25"/>
    <n v="2"/>
    <n v="-1.22"/>
  </r>
  <r>
    <d v="2016-01-12T00:00:00"/>
    <x v="35"/>
    <x v="20"/>
    <x v="2"/>
    <x v="6"/>
    <x v="1008"/>
    <n v="137.94"/>
    <n v="3"/>
    <n v="35.86"/>
  </r>
  <r>
    <d v="2016-01-12T00:00:00"/>
    <x v="35"/>
    <x v="20"/>
    <x v="1"/>
    <x v="8"/>
    <x v="1342"/>
    <n v="111.15"/>
    <n v="5"/>
    <n v="48.91"/>
  </r>
  <r>
    <d v="2016-01-12T00:00:00"/>
    <x v="35"/>
    <x v="20"/>
    <x v="0"/>
    <x v="13"/>
    <x v="208"/>
    <n v="901.95"/>
    <n v="3"/>
    <n v="297.64"/>
  </r>
  <r>
    <d v="2016-01-12T00:00:00"/>
    <x v="35"/>
    <x v="20"/>
    <x v="1"/>
    <x v="10"/>
    <x v="752"/>
    <n v="366.01"/>
    <n v="3"/>
    <n v="-47.06"/>
  </r>
  <r>
    <d v="2016-01-12T00:00:00"/>
    <x v="513"/>
    <x v="6"/>
    <x v="0"/>
    <x v="13"/>
    <x v="208"/>
    <n v="2104.5500000000002"/>
    <n v="7"/>
    <n v="694.5"/>
  </r>
  <r>
    <d v="2016-01-12T00:00:00"/>
    <x v="513"/>
    <x v="6"/>
    <x v="0"/>
    <x v="14"/>
    <x v="1198"/>
    <n v="40.700000000000003"/>
    <n v="5"/>
    <n v="11.8"/>
  </r>
  <r>
    <d v="2016-01-12T00:00:00"/>
    <x v="596"/>
    <x v="3"/>
    <x v="1"/>
    <x v="8"/>
    <x v="1343"/>
    <n v="31.96"/>
    <n v="2"/>
    <n v="1.6"/>
  </r>
  <r>
    <d v="2016-01-12T00:00:00"/>
    <x v="596"/>
    <x v="3"/>
    <x v="0"/>
    <x v="0"/>
    <x v="849"/>
    <n v="47.9"/>
    <n v="1"/>
    <n v="22.99"/>
  </r>
  <r>
    <d v="2016-01-12T00:00:00"/>
    <x v="596"/>
    <x v="3"/>
    <x v="0"/>
    <x v="2"/>
    <x v="1344"/>
    <n v="1112.94"/>
    <n v="3"/>
    <n v="222.59"/>
  </r>
  <r>
    <d v="2016-01-12T00:00:00"/>
    <x v="596"/>
    <x v="3"/>
    <x v="0"/>
    <x v="11"/>
    <x v="481"/>
    <n v="22.92"/>
    <n v="3"/>
    <n v="11.23"/>
  </r>
  <r>
    <d v="2016-01-12T00:00:00"/>
    <x v="467"/>
    <x v="3"/>
    <x v="0"/>
    <x v="4"/>
    <x v="683"/>
    <n v="23.04"/>
    <n v="8"/>
    <n v="6.91"/>
  </r>
  <r>
    <d v="2016-02-12T00:00:00"/>
    <x v="631"/>
    <x v="3"/>
    <x v="0"/>
    <x v="0"/>
    <x v="726"/>
    <n v="25.92"/>
    <n v="4"/>
    <n v="12.44"/>
  </r>
  <r>
    <d v="2016-02-12T00:00:00"/>
    <x v="631"/>
    <x v="3"/>
    <x v="0"/>
    <x v="0"/>
    <x v="906"/>
    <n v="40.46"/>
    <n v="7"/>
    <n v="19.829999999999998"/>
  </r>
  <r>
    <d v="2016-02-12T00:00:00"/>
    <x v="631"/>
    <x v="3"/>
    <x v="0"/>
    <x v="2"/>
    <x v="545"/>
    <n v="33.869999999999997"/>
    <n v="3"/>
    <n v="8.81"/>
  </r>
  <r>
    <d v="2016-02-12T00:00:00"/>
    <x v="479"/>
    <x v="3"/>
    <x v="0"/>
    <x v="3"/>
    <x v="1157"/>
    <n v="24.7"/>
    <n v="2"/>
    <n v="9.26"/>
  </r>
  <r>
    <d v="2016-02-12T00:00:00"/>
    <x v="479"/>
    <x v="3"/>
    <x v="0"/>
    <x v="13"/>
    <x v="376"/>
    <n v="59.7"/>
    <n v="3"/>
    <n v="26.87"/>
  </r>
  <r>
    <d v="2016-02-12T00:00:00"/>
    <x v="479"/>
    <x v="3"/>
    <x v="1"/>
    <x v="8"/>
    <x v="1345"/>
    <n v="14.52"/>
    <n v="3"/>
    <n v="5.66"/>
  </r>
  <r>
    <d v="2016-02-12T00:00:00"/>
    <x v="479"/>
    <x v="3"/>
    <x v="0"/>
    <x v="3"/>
    <x v="540"/>
    <n v="104.18"/>
    <n v="3"/>
    <n v="33.86"/>
  </r>
  <r>
    <d v="2016-02-12T00:00:00"/>
    <x v="14"/>
    <x v="40"/>
    <x v="0"/>
    <x v="2"/>
    <x v="1346"/>
    <n v="2079.4"/>
    <n v="5"/>
    <n v="582.23"/>
  </r>
  <r>
    <d v="2016-02-12T00:00:00"/>
    <x v="14"/>
    <x v="40"/>
    <x v="2"/>
    <x v="6"/>
    <x v="754"/>
    <n v="629.95000000000005"/>
    <n v="5"/>
    <n v="176.39"/>
  </r>
  <r>
    <d v="2016-02-12T00:00:00"/>
    <x v="14"/>
    <x v="40"/>
    <x v="1"/>
    <x v="8"/>
    <x v="1207"/>
    <n v="72.42"/>
    <n v="6"/>
    <n v="23.9"/>
  </r>
  <r>
    <d v="2016-02-12T00:00:00"/>
    <x v="632"/>
    <x v="12"/>
    <x v="0"/>
    <x v="3"/>
    <x v="1266"/>
    <n v="415.18"/>
    <n v="3"/>
    <n v="134.93"/>
  </r>
  <r>
    <d v="2016-02-12T00:00:00"/>
    <x v="632"/>
    <x v="12"/>
    <x v="0"/>
    <x v="3"/>
    <x v="685"/>
    <n v="35.229999999999997"/>
    <n v="3"/>
    <n v="11.45"/>
  </r>
  <r>
    <d v="2016-02-12T00:00:00"/>
    <x v="632"/>
    <x v="12"/>
    <x v="0"/>
    <x v="0"/>
    <x v="624"/>
    <n v="54.96"/>
    <n v="1"/>
    <n v="26.93"/>
  </r>
  <r>
    <d v="2016-02-12T00:00:00"/>
    <x v="371"/>
    <x v="19"/>
    <x v="2"/>
    <x v="9"/>
    <x v="489"/>
    <n v="165.6"/>
    <n v="3"/>
    <n v="-6.21"/>
  </r>
  <r>
    <d v="2016-02-12T00:00:00"/>
    <x v="329"/>
    <x v="42"/>
    <x v="0"/>
    <x v="3"/>
    <x v="1010"/>
    <n v="115.84"/>
    <n v="8"/>
    <n v="54.44"/>
  </r>
  <r>
    <d v="2016-02-12T00:00:00"/>
    <x v="546"/>
    <x v="0"/>
    <x v="1"/>
    <x v="12"/>
    <x v="1347"/>
    <n v="781.86"/>
    <n v="10"/>
    <n v="-137.97999999999999"/>
  </r>
  <r>
    <d v="2016-02-12T00:00:00"/>
    <x v="546"/>
    <x v="0"/>
    <x v="0"/>
    <x v="0"/>
    <x v="758"/>
    <n v="30.82"/>
    <n v="9"/>
    <n v="9.6300000000000008"/>
  </r>
  <r>
    <d v="2016-03-12T00:00:00"/>
    <x v="465"/>
    <x v="12"/>
    <x v="0"/>
    <x v="0"/>
    <x v="631"/>
    <n v="182.72"/>
    <n v="8"/>
    <n v="84.05"/>
  </r>
  <r>
    <d v="2016-03-12T00:00:00"/>
    <x v="465"/>
    <x v="12"/>
    <x v="1"/>
    <x v="10"/>
    <x v="205"/>
    <n v="400.03"/>
    <n v="2"/>
    <n v="-153.35"/>
  </r>
  <r>
    <d v="2016-03-12T00:00:00"/>
    <x v="465"/>
    <x v="12"/>
    <x v="0"/>
    <x v="2"/>
    <x v="1089"/>
    <n v="33.630000000000003"/>
    <n v="3"/>
    <n v="10.09"/>
  </r>
  <r>
    <d v="2016-03-12T00:00:00"/>
    <x v="465"/>
    <x v="12"/>
    <x v="1"/>
    <x v="5"/>
    <x v="745"/>
    <n v="542.65"/>
    <n v="3"/>
    <n v="102.5"/>
  </r>
  <r>
    <d v="2016-03-12T00:00:00"/>
    <x v="465"/>
    <x v="12"/>
    <x v="0"/>
    <x v="1"/>
    <x v="903"/>
    <n v="6.3"/>
    <n v="2"/>
    <n v="3.02"/>
  </r>
  <r>
    <d v="2016-03-12T00:00:00"/>
    <x v="537"/>
    <x v="2"/>
    <x v="0"/>
    <x v="13"/>
    <x v="728"/>
    <n v="394.82"/>
    <n v="4"/>
    <n v="93.77"/>
  </r>
  <r>
    <d v="2016-03-12T00:00:00"/>
    <x v="537"/>
    <x v="2"/>
    <x v="0"/>
    <x v="3"/>
    <x v="210"/>
    <n v="18.190000000000001"/>
    <n v="4"/>
    <n v="-14.55"/>
  </r>
  <r>
    <d v="2016-03-12T00:00:00"/>
    <x v="440"/>
    <x v="3"/>
    <x v="2"/>
    <x v="9"/>
    <x v="767"/>
    <n v="1649.95"/>
    <n v="5"/>
    <n v="659.98"/>
  </r>
  <r>
    <d v="2016-03-12T00:00:00"/>
    <x v="440"/>
    <x v="3"/>
    <x v="1"/>
    <x v="8"/>
    <x v="1327"/>
    <n v="111.9"/>
    <n v="6"/>
    <n v="51.47"/>
  </r>
  <r>
    <d v="2016-03-12T00:00:00"/>
    <x v="324"/>
    <x v="26"/>
    <x v="1"/>
    <x v="10"/>
    <x v="296"/>
    <n v="581.96"/>
    <n v="2"/>
    <n v="104.75"/>
  </r>
  <r>
    <d v="2016-03-12T00:00:00"/>
    <x v="324"/>
    <x v="26"/>
    <x v="1"/>
    <x v="5"/>
    <x v="539"/>
    <n v="29.98"/>
    <n v="1"/>
    <n v="8.09"/>
  </r>
  <r>
    <d v="2016-03-12T00:00:00"/>
    <x v="633"/>
    <x v="3"/>
    <x v="0"/>
    <x v="2"/>
    <x v="475"/>
    <n v="772.68"/>
    <n v="4"/>
    <n v="108.18"/>
  </r>
  <r>
    <d v="2016-03-12T00:00:00"/>
    <x v="179"/>
    <x v="3"/>
    <x v="1"/>
    <x v="10"/>
    <x v="1348"/>
    <n v="268.7"/>
    <n v="3"/>
    <n v="6.72"/>
  </r>
  <r>
    <d v="2016-03-12T00:00:00"/>
    <x v="179"/>
    <x v="3"/>
    <x v="0"/>
    <x v="4"/>
    <x v="9"/>
    <n v="21.92"/>
    <n v="8"/>
    <n v="5.92"/>
  </r>
  <r>
    <d v="2016-03-12T00:00:00"/>
    <x v="179"/>
    <x v="3"/>
    <x v="0"/>
    <x v="2"/>
    <x v="35"/>
    <n v="48.72"/>
    <n v="3"/>
    <n v="7.31"/>
  </r>
  <r>
    <d v="2016-03-12T00:00:00"/>
    <x v="179"/>
    <x v="3"/>
    <x v="1"/>
    <x v="12"/>
    <x v="159"/>
    <n v="205.67"/>
    <n v="2"/>
    <n v="-12.1"/>
  </r>
  <r>
    <d v="2016-04-12T00:00:00"/>
    <x v="201"/>
    <x v="12"/>
    <x v="1"/>
    <x v="8"/>
    <x v="343"/>
    <n v="113.79"/>
    <n v="3"/>
    <n v="20.48"/>
  </r>
  <r>
    <d v="2016-04-12T00:00:00"/>
    <x v="201"/>
    <x v="12"/>
    <x v="2"/>
    <x v="9"/>
    <x v="21"/>
    <n v="78.150000000000006"/>
    <n v="1"/>
    <n v="34.39"/>
  </r>
  <r>
    <d v="2016-04-12T00:00:00"/>
    <x v="201"/>
    <x v="12"/>
    <x v="0"/>
    <x v="3"/>
    <x v="1082"/>
    <n v="1.73"/>
    <n v="1"/>
    <n v="0.6"/>
  </r>
  <r>
    <d v="2016-04-12T00:00:00"/>
    <x v="201"/>
    <x v="12"/>
    <x v="0"/>
    <x v="0"/>
    <x v="177"/>
    <n v="40.56"/>
    <n v="4"/>
    <n v="19.87"/>
  </r>
  <r>
    <d v="2016-04-12T00:00:00"/>
    <x v="201"/>
    <x v="12"/>
    <x v="0"/>
    <x v="2"/>
    <x v="1349"/>
    <n v="182.94"/>
    <n v="3"/>
    <n v="3.66"/>
  </r>
  <r>
    <d v="2016-04-12T00:00:00"/>
    <x v="201"/>
    <x v="12"/>
    <x v="0"/>
    <x v="2"/>
    <x v="1288"/>
    <n v="193.86"/>
    <n v="2"/>
    <n v="11.63"/>
  </r>
  <r>
    <d v="2016-04-12T00:00:00"/>
    <x v="634"/>
    <x v="12"/>
    <x v="0"/>
    <x v="2"/>
    <x v="1350"/>
    <n v="212.88"/>
    <n v="6"/>
    <n v="0"/>
  </r>
  <r>
    <d v="2016-04-12T00:00:00"/>
    <x v="592"/>
    <x v="12"/>
    <x v="0"/>
    <x v="3"/>
    <x v="1273"/>
    <n v="15.53"/>
    <n v="3"/>
    <n v="5.82"/>
  </r>
  <r>
    <d v="2016-04-12T00:00:00"/>
    <x v="207"/>
    <x v="3"/>
    <x v="0"/>
    <x v="0"/>
    <x v="1351"/>
    <n v="104.85"/>
    <n v="1"/>
    <n v="50.33"/>
  </r>
  <r>
    <d v="2016-05-12T00:00:00"/>
    <x v="398"/>
    <x v="10"/>
    <x v="0"/>
    <x v="3"/>
    <x v="1352"/>
    <n v="407.98"/>
    <n v="3"/>
    <n v="132.59"/>
  </r>
  <r>
    <d v="2016-05-12T00:00:00"/>
    <x v="635"/>
    <x v="8"/>
    <x v="2"/>
    <x v="6"/>
    <x v="394"/>
    <n v="384.45"/>
    <n v="11"/>
    <n v="103.8"/>
  </r>
  <r>
    <d v="2016-05-12T00:00:00"/>
    <x v="635"/>
    <x v="8"/>
    <x v="2"/>
    <x v="6"/>
    <x v="1068"/>
    <n v="149.97"/>
    <n v="3"/>
    <n v="6"/>
  </r>
  <r>
    <d v="2016-05-12T00:00:00"/>
    <x v="635"/>
    <x v="8"/>
    <x v="1"/>
    <x v="5"/>
    <x v="423"/>
    <n v="1951.84"/>
    <n v="8"/>
    <n v="585.54999999999995"/>
  </r>
  <r>
    <d v="2016-05-12T00:00:00"/>
    <x v="635"/>
    <x v="8"/>
    <x v="0"/>
    <x v="3"/>
    <x v="716"/>
    <n v="171.55"/>
    <n v="5"/>
    <n v="80.63"/>
  </r>
  <r>
    <d v="2016-05-12T00:00:00"/>
    <x v="381"/>
    <x v="5"/>
    <x v="1"/>
    <x v="8"/>
    <x v="875"/>
    <n v="191.82"/>
    <n v="3"/>
    <n v="74.81"/>
  </r>
  <r>
    <d v="2016-05-12T00:00:00"/>
    <x v="381"/>
    <x v="12"/>
    <x v="0"/>
    <x v="2"/>
    <x v="665"/>
    <n v="465.18"/>
    <n v="3"/>
    <n v="120.95"/>
  </r>
  <r>
    <d v="2016-05-12T00:00:00"/>
    <x v="636"/>
    <x v="20"/>
    <x v="1"/>
    <x v="12"/>
    <x v="1353"/>
    <n v="81.94"/>
    <n v="1"/>
    <n v="20.49"/>
  </r>
  <r>
    <d v="2016-05-12T00:00:00"/>
    <x v="637"/>
    <x v="45"/>
    <x v="0"/>
    <x v="4"/>
    <x v="566"/>
    <n v="33.92"/>
    <n v="8"/>
    <n v="13.23"/>
  </r>
  <r>
    <d v="2016-05-12T00:00:00"/>
    <x v="638"/>
    <x v="5"/>
    <x v="2"/>
    <x v="6"/>
    <x v="567"/>
    <n v="699.98"/>
    <n v="2"/>
    <n v="195.99"/>
  </r>
  <r>
    <d v="2016-05-12T00:00:00"/>
    <x v="638"/>
    <x v="5"/>
    <x v="0"/>
    <x v="2"/>
    <x v="1126"/>
    <n v="584.82000000000005"/>
    <n v="9"/>
    <n v="70.180000000000007"/>
  </r>
  <r>
    <d v="2016-05-12T00:00:00"/>
    <x v="531"/>
    <x v="1"/>
    <x v="0"/>
    <x v="1"/>
    <x v="40"/>
    <n v="11.95"/>
    <n v="3"/>
    <n v="3.88"/>
  </r>
  <r>
    <d v="2016-05-12T00:00:00"/>
    <x v="500"/>
    <x v="1"/>
    <x v="0"/>
    <x v="4"/>
    <x v="1043"/>
    <n v="3.54"/>
    <n v="2"/>
    <n v="0.31"/>
  </r>
  <r>
    <d v="2016-05-12T00:00:00"/>
    <x v="639"/>
    <x v="7"/>
    <x v="1"/>
    <x v="8"/>
    <x v="749"/>
    <n v="13.4"/>
    <n v="1"/>
    <n v="6.43"/>
  </r>
  <r>
    <d v="2016-05-12T00:00:00"/>
    <x v="639"/>
    <x v="7"/>
    <x v="0"/>
    <x v="0"/>
    <x v="177"/>
    <n v="4.9800000000000004"/>
    <n v="1"/>
    <n v="2.34"/>
  </r>
  <r>
    <d v="2016-05-12T00:00:00"/>
    <x v="639"/>
    <x v="7"/>
    <x v="0"/>
    <x v="11"/>
    <x v="1354"/>
    <n v="109.69"/>
    <n v="7"/>
    <n v="51.55"/>
  </r>
  <r>
    <d v="2016-06-12T00:00:00"/>
    <x v="356"/>
    <x v="3"/>
    <x v="0"/>
    <x v="0"/>
    <x v="373"/>
    <n v="19.440000000000001"/>
    <n v="3"/>
    <n v="9.33"/>
  </r>
  <r>
    <d v="2016-06-12T00:00:00"/>
    <x v="640"/>
    <x v="10"/>
    <x v="2"/>
    <x v="6"/>
    <x v="1355"/>
    <n v="156.79"/>
    <n v="1"/>
    <n v="13.72"/>
  </r>
  <r>
    <d v="2016-06-12T00:00:00"/>
    <x v="640"/>
    <x v="10"/>
    <x v="2"/>
    <x v="6"/>
    <x v="1356"/>
    <n v="431.98"/>
    <n v="3"/>
    <n v="27"/>
  </r>
  <r>
    <d v="2016-06-12T00:00:00"/>
    <x v="640"/>
    <x v="10"/>
    <x v="0"/>
    <x v="11"/>
    <x v="859"/>
    <n v="35.89"/>
    <n v="1"/>
    <n v="16.149999999999999"/>
  </r>
  <r>
    <d v="2016-06-12T00:00:00"/>
    <x v="640"/>
    <x v="10"/>
    <x v="0"/>
    <x v="3"/>
    <x v="1321"/>
    <n v="47.21"/>
    <n v="7"/>
    <n v="15.34"/>
  </r>
  <r>
    <d v="2016-06-12T00:00:00"/>
    <x v="640"/>
    <x v="10"/>
    <x v="0"/>
    <x v="0"/>
    <x v="1357"/>
    <n v="248.08"/>
    <n v="7"/>
    <n v="116.6"/>
  </r>
  <r>
    <d v="2016-06-12T00:00:00"/>
    <x v="640"/>
    <x v="10"/>
    <x v="0"/>
    <x v="0"/>
    <x v="426"/>
    <n v="189.7"/>
    <n v="5"/>
    <n v="89.16"/>
  </r>
  <r>
    <d v="2016-06-12T00:00:00"/>
    <x v="640"/>
    <x v="10"/>
    <x v="0"/>
    <x v="3"/>
    <x v="216"/>
    <n v="59.81"/>
    <n v="3"/>
    <n v="19.440000000000001"/>
  </r>
  <r>
    <d v="2016-06-12T00:00:00"/>
    <x v="641"/>
    <x v="12"/>
    <x v="0"/>
    <x v="3"/>
    <x v="1266"/>
    <n v="968.74"/>
    <n v="7"/>
    <n v="314.83999999999997"/>
  </r>
  <r>
    <d v="2016-06-12T00:00:00"/>
    <x v="641"/>
    <x v="12"/>
    <x v="0"/>
    <x v="3"/>
    <x v="1169"/>
    <n v="222.35"/>
    <n v="13"/>
    <n v="77.819999999999993"/>
  </r>
  <r>
    <d v="2016-06-12T00:00:00"/>
    <x v="641"/>
    <x v="12"/>
    <x v="2"/>
    <x v="15"/>
    <x v="163"/>
    <n v="479.98"/>
    <n v="2"/>
    <n v="90"/>
  </r>
  <r>
    <d v="2016-06-12T00:00:00"/>
    <x v="32"/>
    <x v="3"/>
    <x v="2"/>
    <x v="6"/>
    <x v="1055"/>
    <n v="271.95999999999998"/>
    <n v="5"/>
    <n v="27.2"/>
  </r>
  <r>
    <d v="2016-06-12T00:00:00"/>
    <x v="32"/>
    <x v="3"/>
    <x v="0"/>
    <x v="4"/>
    <x v="1234"/>
    <n v="18.690000000000001"/>
    <n v="7"/>
    <n v="5.23"/>
  </r>
  <r>
    <d v="2016-06-12T00:00:00"/>
    <x v="32"/>
    <x v="3"/>
    <x v="0"/>
    <x v="0"/>
    <x v="1358"/>
    <n v="13.36"/>
    <n v="2"/>
    <n v="6.41"/>
  </r>
  <r>
    <d v="2016-06-12T00:00:00"/>
    <x v="32"/>
    <x v="3"/>
    <x v="2"/>
    <x v="6"/>
    <x v="784"/>
    <n v="249.58"/>
    <n v="2"/>
    <n v="31.2"/>
  </r>
  <r>
    <d v="2016-06-12T00:00:00"/>
    <x v="32"/>
    <x v="3"/>
    <x v="0"/>
    <x v="7"/>
    <x v="1022"/>
    <n v="13.86"/>
    <n v="7"/>
    <n v="0"/>
  </r>
  <r>
    <d v="2016-06-12T00:00:00"/>
    <x v="32"/>
    <x v="3"/>
    <x v="0"/>
    <x v="3"/>
    <x v="1024"/>
    <n v="13.38"/>
    <n v="4"/>
    <n v="4.68"/>
  </r>
  <r>
    <d v="2016-06-12T00:00:00"/>
    <x v="32"/>
    <x v="3"/>
    <x v="0"/>
    <x v="3"/>
    <x v="746"/>
    <n v="437.47"/>
    <n v="14"/>
    <n v="153.12"/>
  </r>
  <r>
    <d v="2016-08-12T00:00:00"/>
    <x v="456"/>
    <x v="0"/>
    <x v="2"/>
    <x v="6"/>
    <x v="10"/>
    <n v="1097.54"/>
    <n v="7"/>
    <n v="123.47"/>
  </r>
  <r>
    <d v="2016-08-12T00:00:00"/>
    <x v="456"/>
    <x v="0"/>
    <x v="1"/>
    <x v="8"/>
    <x v="1359"/>
    <n v="190.92"/>
    <n v="5"/>
    <n v="-147.96"/>
  </r>
  <r>
    <d v="2016-08-12T00:00:00"/>
    <x v="108"/>
    <x v="28"/>
    <x v="2"/>
    <x v="6"/>
    <x v="1360"/>
    <n v="114.95"/>
    <n v="5"/>
    <n v="2.2999999999999998"/>
  </r>
  <r>
    <d v="2016-08-12T00:00:00"/>
    <x v="400"/>
    <x v="16"/>
    <x v="0"/>
    <x v="3"/>
    <x v="569"/>
    <n v="12.96"/>
    <n v="7"/>
    <n v="-9.5"/>
  </r>
  <r>
    <d v="2016-08-12T00:00:00"/>
    <x v="205"/>
    <x v="3"/>
    <x v="0"/>
    <x v="4"/>
    <x v="1361"/>
    <n v="8.56"/>
    <n v="2"/>
    <n v="2.48"/>
  </r>
  <r>
    <d v="2016-08-12T00:00:00"/>
    <x v="205"/>
    <x v="3"/>
    <x v="0"/>
    <x v="0"/>
    <x v="755"/>
    <n v="45.36"/>
    <n v="7"/>
    <n v="21.77"/>
  </r>
  <r>
    <d v="2016-08-12T00:00:00"/>
    <x v="205"/>
    <x v="3"/>
    <x v="1"/>
    <x v="10"/>
    <x v="1362"/>
    <n v="1421.66"/>
    <n v="6"/>
    <n v="-195.48"/>
  </r>
  <r>
    <d v="2016-08-12T00:00:00"/>
    <x v="423"/>
    <x v="3"/>
    <x v="0"/>
    <x v="2"/>
    <x v="1363"/>
    <n v="34.049999999999997"/>
    <n v="3"/>
    <n v="9.5299999999999994"/>
  </r>
  <r>
    <d v="2016-08-12T00:00:00"/>
    <x v="423"/>
    <x v="3"/>
    <x v="0"/>
    <x v="2"/>
    <x v="486"/>
    <n v="352.38"/>
    <n v="2"/>
    <n v="81.05"/>
  </r>
  <r>
    <d v="2016-08-12T00:00:00"/>
    <x v="187"/>
    <x v="15"/>
    <x v="2"/>
    <x v="6"/>
    <x v="784"/>
    <n v="249.58"/>
    <n v="2"/>
    <n v="31.2"/>
  </r>
  <r>
    <d v="2016-08-12T00:00:00"/>
    <x v="187"/>
    <x v="15"/>
    <x v="2"/>
    <x v="9"/>
    <x v="325"/>
    <n v="68.11"/>
    <n v="3"/>
    <n v="17.88"/>
  </r>
  <r>
    <d v="2016-08-12T00:00:00"/>
    <x v="187"/>
    <x v="15"/>
    <x v="2"/>
    <x v="9"/>
    <x v="1274"/>
    <n v="16.559999999999999"/>
    <n v="3"/>
    <n v="-2.48"/>
  </r>
  <r>
    <d v="2016-08-12T00:00:00"/>
    <x v="369"/>
    <x v="16"/>
    <x v="0"/>
    <x v="0"/>
    <x v="1260"/>
    <n v="10.58"/>
    <n v="3"/>
    <n v="3.44"/>
  </r>
  <r>
    <d v="2016-08-12T00:00:00"/>
    <x v="430"/>
    <x v="8"/>
    <x v="1"/>
    <x v="12"/>
    <x v="1036"/>
    <n v="405.86"/>
    <n v="7"/>
    <n v="32.47"/>
  </r>
  <r>
    <d v="2016-08-12T00:00:00"/>
    <x v="430"/>
    <x v="8"/>
    <x v="1"/>
    <x v="5"/>
    <x v="334"/>
    <n v="680.01"/>
    <n v="3"/>
    <n v="176.8"/>
  </r>
  <r>
    <d v="2016-09-12T00:00:00"/>
    <x v="55"/>
    <x v="37"/>
    <x v="0"/>
    <x v="4"/>
    <x v="1364"/>
    <n v="19.46"/>
    <n v="7"/>
    <n v="5.0599999999999996"/>
  </r>
  <r>
    <d v="2016-09-12T00:00:00"/>
    <x v="55"/>
    <x v="37"/>
    <x v="0"/>
    <x v="13"/>
    <x v="838"/>
    <n v="60.34"/>
    <n v="7"/>
    <n v="15.69"/>
  </r>
  <r>
    <d v="2016-09-12T00:00:00"/>
    <x v="408"/>
    <x v="20"/>
    <x v="0"/>
    <x v="1"/>
    <x v="1365"/>
    <n v="3.69"/>
    <n v="1"/>
    <n v="1.73"/>
  </r>
  <r>
    <d v="2016-09-12T00:00:00"/>
    <x v="408"/>
    <x v="20"/>
    <x v="0"/>
    <x v="1"/>
    <x v="1190"/>
    <n v="122.12"/>
    <n v="4"/>
    <n v="56.18"/>
  </r>
  <r>
    <d v="2016-09-12T00:00:00"/>
    <x v="443"/>
    <x v="0"/>
    <x v="0"/>
    <x v="0"/>
    <x v="792"/>
    <n v="9.39"/>
    <n v="2"/>
    <n v="3.29"/>
  </r>
  <r>
    <d v="2016-09-12T00:00:00"/>
    <x v="443"/>
    <x v="0"/>
    <x v="0"/>
    <x v="4"/>
    <x v="593"/>
    <n v="9.33"/>
    <n v="1"/>
    <n v="0.82"/>
  </r>
  <r>
    <d v="2016-09-12T00:00:00"/>
    <x v="332"/>
    <x v="31"/>
    <x v="1"/>
    <x v="10"/>
    <x v="1143"/>
    <n v="79.97"/>
    <n v="3"/>
    <n v="-29.32"/>
  </r>
  <r>
    <d v="2016-09-12T00:00:00"/>
    <x v="332"/>
    <x v="31"/>
    <x v="0"/>
    <x v="3"/>
    <x v="514"/>
    <n v="2.95"/>
    <n v="2"/>
    <n v="-2.06"/>
  </r>
  <r>
    <d v="2016-09-12T00:00:00"/>
    <x v="316"/>
    <x v="18"/>
    <x v="2"/>
    <x v="6"/>
    <x v="191"/>
    <n v="10.9"/>
    <n v="1"/>
    <n v="3.05"/>
  </r>
  <r>
    <d v="2016-09-12T00:00:00"/>
    <x v="316"/>
    <x v="18"/>
    <x v="2"/>
    <x v="9"/>
    <x v="952"/>
    <n v="59.98"/>
    <n v="2"/>
    <n v="25.19"/>
  </r>
  <r>
    <d v="2016-09-12T00:00:00"/>
    <x v="316"/>
    <x v="18"/>
    <x v="0"/>
    <x v="13"/>
    <x v="864"/>
    <n v="61.93"/>
    <n v="1"/>
    <n v="23.4"/>
  </r>
  <r>
    <d v="2016-09-12T00:00:00"/>
    <x v="89"/>
    <x v="31"/>
    <x v="2"/>
    <x v="6"/>
    <x v="1366"/>
    <n v="40.68"/>
    <n v="3"/>
    <n v="-9.15"/>
  </r>
  <r>
    <d v="2016-09-12T00:00:00"/>
    <x v="532"/>
    <x v="1"/>
    <x v="0"/>
    <x v="14"/>
    <x v="231"/>
    <n v="20.57"/>
    <n v="3"/>
    <n v="1.54"/>
  </r>
  <r>
    <d v="2016-09-12T00:00:00"/>
    <x v="532"/>
    <x v="1"/>
    <x v="0"/>
    <x v="13"/>
    <x v="162"/>
    <n v="4.3600000000000003"/>
    <n v="2"/>
    <n v="-11.76"/>
  </r>
  <r>
    <d v="2016-09-12T00:00:00"/>
    <x v="532"/>
    <x v="1"/>
    <x v="2"/>
    <x v="9"/>
    <x v="608"/>
    <n v="19.04"/>
    <n v="4"/>
    <n v="-1.43"/>
  </r>
  <r>
    <d v="2016-09-12T00:00:00"/>
    <x v="165"/>
    <x v="3"/>
    <x v="0"/>
    <x v="3"/>
    <x v="778"/>
    <n v="273.92"/>
    <n v="8"/>
    <n v="99.3"/>
  </r>
  <r>
    <d v="2016-09-12T00:00:00"/>
    <x v="84"/>
    <x v="6"/>
    <x v="1"/>
    <x v="10"/>
    <x v="940"/>
    <n v="1056.8599999999999"/>
    <n v="7"/>
    <n v="158.53"/>
  </r>
  <r>
    <d v="2016-10-12T00:00:00"/>
    <x v="316"/>
    <x v="3"/>
    <x v="1"/>
    <x v="5"/>
    <x v="745"/>
    <n v="321.57"/>
    <n v="2"/>
    <n v="28.14"/>
  </r>
  <r>
    <d v="2016-10-12T00:00:00"/>
    <x v="17"/>
    <x v="12"/>
    <x v="0"/>
    <x v="2"/>
    <x v="477"/>
    <n v="80.58"/>
    <n v="6"/>
    <n v="22.56"/>
  </r>
  <r>
    <d v="2016-10-12T00:00:00"/>
    <x v="17"/>
    <x v="12"/>
    <x v="0"/>
    <x v="11"/>
    <x v="1007"/>
    <n v="361.92"/>
    <n v="4"/>
    <n v="162.86000000000001"/>
  </r>
  <r>
    <d v="2016-10-12T00:00:00"/>
    <x v="280"/>
    <x v="10"/>
    <x v="0"/>
    <x v="3"/>
    <x v="844"/>
    <n v="153.55000000000001"/>
    <n v="3"/>
    <n v="51.82"/>
  </r>
  <r>
    <d v="2016-10-12T00:00:00"/>
    <x v="280"/>
    <x v="10"/>
    <x v="0"/>
    <x v="13"/>
    <x v="1367"/>
    <n v="65.34"/>
    <n v="3"/>
    <n v="22.87"/>
  </r>
  <r>
    <d v="2016-10-12T00:00:00"/>
    <x v="280"/>
    <x v="10"/>
    <x v="0"/>
    <x v="0"/>
    <x v="971"/>
    <n v="123.92"/>
    <n v="4"/>
    <n v="55.76"/>
  </r>
  <r>
    <d v="2016-10-12T00:00:00"/>
    <x v="280"/>
    <x v="10"/>
    <x v="0"/>
    <x v="13"/>
    <x v="1368"/>
    <n v="35.1"/>
    <n v="3"/>
    <n v="12.29"/>
  </r>
  <r>
    <d v="2016-10-12T00:00:00"/>
    <x v="280"/>
    <x v="10"/>
    <x v="2"/>
    <x v="9"/>
    <x v="461"/>
    <n v="44.75"/>
    <n v="5"/>
    <n v="8.5"/>
  </r>
  <r>
    <d v="2016-10-12T00:00:00"/>
    <x v="148"/>
    <x v="26"/>
    <x v="1"/>
    <x v="5"/>
    <x v="287"/>
    <n v="1424.9"/>
    <n v="5"/>
    <n v="356.23"/>
  </r>
  <r>
    <d v="2016-10-12T00:00:00"/>
    <x v="535"/>
    <x v="3"/>
    <x v="0"/>
    <x v="0"/>
    <x v="1265"/>
    <n v="80.28"/>
    <n v="12"/>
    <n v="36.93"/>
  </r>
  <r>
    <d v="2016-10-12T00:00:00"/>
    <x v="553"/>
    <x v="12"/>
    <x v="0"/>
    <x v="0"/>
    <x v="582"/>
    <n v="18.54"/>
    <n v="2"/>
    <n v="8.7100000000000009"/>
  </r>
  <r>
    <d v="2016-10-12T00:00:00"/>
    <x v="553"/>
    <x v="12"/>
    <x v="0"/>
    <x v="3"/>
    <x v="1352"/>
    <n v="679.96"/>
    <n v="5"/>
    <n v="220.99"/>
  </r>
  <r>
    <d v="2016-10-12T00:00:00"/>
    <x v="611"/>
    <x v="12"/>
    <x v="0"/>
    <x v="0"/>
    <x v="326"/>
    <n v="62.82"/>
    <n v="9"/>
    <n v="29.53"/>
  </r>
  <r>
    <d v="2016-10-12T00:00:00"/>
    <x v="227"/>
    <x v="12"/>
    <x v="0"/>
    <x v="0"/>
    <x v="1369"/>
    <n v="6.48"/>
    <n v="1"/>
    <n v="3.11"/>
  </r>
  <r>
    <d v="2016-11-12T00:00:00"/>
    <x v="642"/>
    <x v="12"/>
    <x v="0"/>
    <x v="7"/>
    <x v="1245"/>
    <n v="15.26"/>
    <n v="7"/>
    <n v="6.26"/>
  </r>
  <r>
    <d v="2016-11-12T00:00:00"/>
    <x v="642"/>
    <x v="12"/>
    <x v="2"/>
    <x v="6"/>
    <x v="1251"/>
    <n v="1029.95"/>
    <n v="5"/>
    <n v="298.69"/>
  </r>
  <r>
    <d v="2016-11-12T00:00:00"/>
    <x v="408"/>
    <x v="19"/>
    <x v="0"/>
    <x v="2"/>
    <x v="1370"/>
    <n v="243.38"/>
    <n v="3"/>
    <n v="-51.72"/>
  </r>
  <r>
    <d v="2016-11-12T00:00:00"/>
    <x v="408"/>
    <x v="19"/>
    <x v="2"/>
    <x v="9"/>
    <x v="604"/>
    <n v="119.8"/>
    <n v="5"/>
    <n v="29.95"/>
  </r>
  <r>
    <d v="2016-11-12T00:00:00"/>
    <x v="408"/>
    <x v="19"/>
    <x v="2"/>
    <x v="6"/>
    <x v="556"/>
    <n v="300.77"/>
    <n v="4"/>
    <n v="30.08"/>
  </r>
  <r>
    <d v="2016-11-12T00:00:00"/>
    <x v="348"/>
    <x v="10"/>
    <x v="1"/>
    <x v="8"/>
    <x v="212"/>
    <n v="14.8"/>
    <n v="4"/>
    <n v="6.07"/>
  </r>
  <r>
    <d v="2016-11-12T00:00:00"/>
    <x v="348"/>
    <x v="10"/>
    <x v="2"/>
    <x v="6"/>
    <x v="138"/>
    <n v="302.38"/>
    <n v="3"/>
    <n v="22.68"/>
  </r>
  <r>
    <d v="2016-11-12T00:00:00"/>
    <x v="348"/>
    <x v="10"/>
    <x v="2"/>
    <x v="9"/>
    <x v="1371"/>
    <n v="316"/>
    <n v="4"/>
    <n v="31.6"/>
  </r>
  <r>
    <d v="2016-11-12T00:00:00"/>
    <x v="169"/>
    <x v="9"/>
    <x v="0"/>
    <x v="2"/>
    <x v="730"/>
    <n v="85.22"/>
    <n v="3"/>
    <n v="7.46"/>
  </r>
  <r>
    <d v="2016-11-12T00:00:00"/>
    <x v="512"/>
    <x v="31"/>
    <x v="0"/>
    <x v="4"/>
    <x v="284"/>
    <n v="6.67"/>
    <n v="3"/>
    <n v="1.67"/>
  </r>
  <r>
    <d v="2016-11-12T00:00:00"/>
    <x v="349"/>
    <x v="16"/>
    <x v="0"/>
    <x v="2"/>
    <x v="35"/>
    <n v="64.959999999999994"/>
    <n v="5"/>
    <n v="-4.0599999999999996"/>
  </r>
  <r>
    <d v="2016-11-12T00:00:00"/>
    <x v="349"/>
    <x v="16"/>
    <x v="0"/>
    <x v="14"/>
    <x v="1078"/>
    <n v="13.52"/>
    <n v="2"/>
    <n v="1.69"/>
  </r>
  <r>
    <d v="2016-11-12T00:00:00"/>
    <x v="349"/>
    <x v="16"/>
    <x v="1"/>
    <x v="5"/>
    <x v="471"/>
    <n v="458.43"/>
    <n v="5"/>
    <n v="-137.53"/>
  </r>
  <r>
    <d v="2016-11-12T00:00:00"/>
    <x v="349"/>
    <x v="16"/>
    <x v="0"/>
    <x v="13"/>
    <x v="955"/>
    <n v="387.14"/>
    <n v="4"/>
    <n v="24.2"/>
  </r>
  <r>
    <d v="2016-11-12T00:00:00"/>
    <x v="349"/>
    <x v="16"/>
    <x v="1"/>
    <x v="10"/>
    <x v="1259"/>
    <n v="328.59"/>
    <n v="3"/>
    <n v="-147.87"/>
  </r>
  <r>
    <d v="2016-11-12T00:00:00"/>
    <x v="14"/>
    <x v="35"/>
    <x v="1"/>
    <x v="5"/>
    <x v="673"/>
    <n v="403.92"/>
    <n v="5"/>
    <n v="25.25"/>
  </r>
  <r>
    <d v="2016-11-12T00:00:00"/>
    <x v="266"/>
    <x v="3"/>
    <x v="0"/>
    <x v="3"/>
    <x v="25"/>
    <n v="209.6"/>
    <n v="5"/>
    <n v="68.12"/>
  </r>
  <r>
    <d v="2016-11-12T00:00:00"/>
    <x v="266"/>
    <x v="3"/>
    <x v="0"/>
    <x v="4"/>
    <x v="1224"/>
    <n v="23.32"/>
    <n v="2"/>
    <n v="6.06"/>
  </r>
  <r>
    <d v="2016-11-12T00:00:00"/>
    <x v="266"/>
    <x v="3"/>
    <x v="0"/>
    <x v="0"/>
    <x v="1184"/>
    <n v="30.98"/>
    <n v="1"/>
    <n v="13.94"/>
  </r>
  <r>
    <d v="2016-11-12T00:00:00"/>
    <x v="266"/>
    <x v="3"/>
    <x v="2"/>
    <x v="9"/>
    <x v="917"/>
    <n v="119.96"/>
    <n v="4"/>
    <n v="25.19"/>
  </r>
  <r>
    <d v="2016-11-12T00:00:00"/>
    <x v="266"/>
    <x v="3"/>
    <x v="1"/>
    <x v="5"/>
    <x v="789"/>
    <n v="363.92"/>
    <n v="5"/>
    <n v="-31.84"/>
  </r>
  <r>
    <d v="2016-11-12T00:00:00"/>
    <x v="266"/>
    <x v="3"/>
    <x v="0"/>
    <x v="3"/>
    <x v="1247"/>
    <n v="35.81"/>
    <n v="3"/>
    <n v="11.19"/>
  </r>
  <r>
    <d v="2016-11-12T00:00:00"/>
    <x v="266"/>
    <x v="3"/>
    <x v="0"/>
    <x v="3"/>
    <x v="813"/>
    <n v="122.69"/>
    <n v="9"/>
    <n v="39.869999999999997"/>
  </r>
  <r>
    <d v="2016-11-12T00:00:00"/>
    <x v="266"/>
    <x v="3"/>
    <x v="1"/>
    <x v="10"/>
    <x v="642"/>
    <n v="892.14"/>
    <n v="7"/>
    <n v="111.52"/>
  </r>
  <r>
    <d v="2016-11-12T00:00:00"/>
    <x v="266"/>
    <x v="3"/>
    <x v="0"/>
    <x v="2"/>
    <x v="94"/>
    <n v="50.22"/>
    <n v="3"/>
    <n v="2.0099999999999998"/>
  </r>
  <r>
    <d v="2016-11-12T00:00:00"/>
    <x v="266"/>
    <x v="3"/>
    <x v="0"/>
    <x v="13"/>
    <x v="447"/>
    <n v="83.42"/>
    <n v="2"/>
    <n v="24.19"/>
  </r>
  <r>
    <d v="2016-11-12T00:00:00"/>
    <x v="266"/>
    <x v="3"/>
    <x v="0"/>
    <x v="3"/>
    <x v="1372"/>
    <n v="5.87"/>
    <n v="2"/>
    <n v="2.13"/>
  </r>
  <r>
    <d v="2016-11-12T00:00:00"/>
    <x v="485"/>
    <x v="16"/>
    <x v="0"/>
    <x v="13"/>
    <x v="246"/>
    <n v="73.540000000000006"/>
    <n v="4"/>
    <n v="9.19"/>
  </r>
  <r>
    <d v="2016-12-12T00:00:00"/>
    <x v="69"/>
    <x v="16"/>
    <x v="0"/>
    <x v="3"/>
    <x v="230"/>
    <n v="18.690000000000001"/>
    <n v="3"/>
    <n v="-14.33"/>
  </r>
  <r>
    <d v="2016-12-12T00:00:00"/>
    <x v="69"/>
    <x v="16"/>
    <x v="2"/>
    <x v="9"/>
    <x v="591"/>
    <n v="383.95"/>
    <n v="6"/>
    <n v="76.790000000000006"/>
  </r>
  <r>
    <d v="2016-12-12T00:00:00"/>
    <x v="176"/>
    <x v="18"/>
    <x v="2"/>
    <x v="6"/>
    <x v="556"/>
    <n v="657.93"/>
    <n v="7"/>
    <n v="184.22"/>
  </r>
  <r>
    <d v="2016-12-12T00:00:00"/>
    <x v="176"/>
    <x v="18"/>
    <x v="1"/>
    <x v="8"/>
    <x v="482"/>
    <n v="33.479999999999997"/>
    <n v="4"/>
    <n v="8.6999999999999993"/>
  </r>
  <r>
    <d v="2016-12-12T00:00:00"/>
    <x v="176"/>
    <x v="18"/>
    <x v="0"/>
    <x v="4"/>
    <x v="806"/>
    <n v="13.9"/>
    <n v="5"/>
    <n v="3.61"/>
  </r>
  <r>
    <d v="2016-12-12T00:00:00"/>
    <x v="176"/>
    <x v="18"/>
    <x v="0"/>
    <x v="2"/>
    <x v="975"/>
    <n v="26.86"/>
    <n v="2"/>
    <n v="6.72"/>
  </r>
  <r>
    <d v="2016-12-12T00:00:00"/>
    <x v="643"/>
    <x v="4"/>
    <x v="2"/>
    <x v="9"/>
    <x v="1373"/>
    <n v="249.95"/>
    <n v="5"/>
    <n v="20"/>
  </r>
  <r>
    <d v="2016-12-12T00:00:00"/>
    <x v="643"/>
    <x v="4"/>
    <x v="0"/>
    <x v="0"/>
    <x v="1374"/>
    <n v="49.12"/>
    <n v="4"/>
    <n v="23.09"/>
  </r>
  <r>
    <d v="2016-12-12T00:00:00"/>
    <x v="282"/>
    <x v="3"/>
    <x v="1"/>
    <x v="8"/>
    <x v="14"/>
    <n v="383.64"/>
    <n v="6"/>
    <n v="122.76"/>
  </r>
  <r>
    <d v="2016-12-12T00:00:00"/>
    <x v="282"/>
    <x v="3"/>
    <x v="0"/>
    <x v="13"/>
    <x v="1098"/>
    <n v="56.52"/>
    <n v="3"/>
    <n v="15.83"/>
  </r>
  <r>
    <d v="2016-12-12T00:00:00"/>
    <x v="349"/>
    <x v="12"/>
    <x v="1"/>
    <x v="8"/>
    <x v="1207"/>
    <n v="60.35"/>
    <n v="5"/>
    <n v="19.920000000000002"/>
  </r>
  <r>
    <d v="2016-12-12T00:00:00"/>
    <x v="349"/>
    <x v="12"/>
    <x v="0"/>
    <x v="14"/>
    <x v="1375"/>
    <n v="35.520000000000003"/>
    <n v="4"/>
    <n v="9.9499999999999993"/>
  </r>
  <r>
    <d v="2016-12-12T00:00:00"/>
    <x v="349"/>
    <x v="12"/>
    <x v="0"/>
    <x v="4"/>
    <x v="1153"/>
    <n v="11.2"/>
    <n v="7"/>
    <n v="4.82"/>
  </r>
  <r>
    <d v="2017-01-01T00:00:00"/>
    <x v="22"/>
    <x v="16"/>
    <x v="1"/>
    <x v="8"/>
    <x v="599"/>
    <n v="48.9"/>
    <n v="4"/>
    <n v="8.56"/>
  </r>
  <r>
    <d v="2017-01-01T00:00:00"/>
    <x v="110"/>
    <x v="3"/>
    <x v="1"/>
    <x v="8"/>
    <x v="1376"/>
    <n v="474.43"/>
    <n v="11"/>
    <n v="199.26"/>
  </r>
  <r>
    <d v="2017-01-01T00:00:00"/>
    <x v="135"/>
    <x v="8"/>
    <x v="0"/>
    <x v="3"/>
    <x v="1377"/>
    <n v="3.6"/>
    <n v="2"/>
    <n v="1.73"/>
  </r>
  <r>
    <d v="2017-01-01T00:00:00"/>
    <x v="644"/>
    <x v="0"/>
    <x v="0"/>
    <x v="2"/>
    <x v="2"/>
    <n v="454.56"/>
    <n v="5"/>
    <n v="-107.96"/>
  </r>
  <r>
    <d v="2017-01-01T00:00:00"/>
    <x v="644"/>
    <x v="0"/>
    <x v="1"/>
    <x v="8"/>
    <x v="377"/>
    <n v="141.41999999999999"/>
    <n v="5"/>
    <n v="-187.38"/>
  </r>
  <r>
    <d v="2017-01-01T00:00:00"/>
    <x v="644"/>
    <x v="0"/>
    <x v="1"/>
    <x v="5"/>
    <x v="1279"/>
    <n v="310.74"/>
    <n v="4"/>
    <n v="-26.64"/>
  </r>
  <r>
    <d v="2017-01-01T00:00:00"/>
    <x v="644"/>
    <x v="0"/>
    <x v="0"/>
    <x v="4"/>
    <x v="303"/>
    <n v="12.74"/>
    <n v="4"/>
    <n v="2.23"/>
  </r>
  <r>
    <d v="2017-01-01T00:00:00"/>
    <x v="644"/>
    <x v="0"/>
    <x v="0"/>
    <x v="3"/>
    <x v="1273"/>
    <n v="6.47"/>
    <n v="5"/>
    <n v="-9.7100000000000009"/>
  </r>
  <r>
    <d v="2017-01-01T00:00:00"/>
    <x v="644"/>
    <x v="0"/>
    <x v="0"/>
    <x v="3"/>
    <x v="1213"/>
    <n v="13.75"/>
    <n v="14"/>
    <n v="-22.68"/>
  </r>
  <r>
    <d v="2017-01-01T00:00:00"/>
    <x v="644"/>
    <x v="0"/>
    <x v="0"/>
    <x v="13"/>
    <x v="339"/>
    <n v="15.22"/>
    <n v="2"/>
    <n v="-38.82"/>
  </r>
  <r>
    <d v="2017-02-01T00:00:00"/>
    <x v="645"/>
    <x v="15"/>
    <x v="2"/>
    <x v="16"/>
    <x v="1176"/>
    <n v="695.7"/>
    <n v="2"/>
    <n v="-27.83"/>
  </r>
  <r>
    <d v="2017-02-01T00:00:00"/>
    <x v="645"/>
    <x v="15"/>
    <x v="0"/>
    <x v="3"/>
    <x v="1378"/>
    <n v="15.66"/>
    <n v="5"/>
    <n v="-12.53"/>
  </r>
  <r>
    <d v="2017-02-01T00:00:00"/>
    <x v="645"/>
    <x v="15"/>
    <x v="0"/>
    <x v="3"/>
    <x v="401"/>
    <n v="28.85"/>
    <n v="6"/>
    <n v="-21.16"/>
  </r>
  <r>
    <d v="2017-02-01T00:00:00"/>
    <x v="330"/>
    <x v="0"/>
    <x v="0"/>
    <x v="4"/>
    <x v="106"/>
    <n v="31.74"/>
    <n v="2"/>
    <n v="3.97"/>
  </r>
  <r>
    <d v="2017-02-01T00:00:00"/>
    <x v="330"/>
    <x v="0"/>
    <x v="0"/>
    <x v="13"/>
    <x v="1379"/>
    <n v="5.43"/>
    <n v="2"/>
    <n v="-13.58"/>
  </r>
  <r>
    <d v="2017-02-01T00:00:00"/>
    <x v="330"/>
    <x v="0"/>
    <x v="1"/>
    <x v="10"/>
    <x v="66"/>
    <n v="913.43"/>
    <n v="5"/>
    <n v="-169.64"/>
  </r>
  <r>
    <d v="2017-02-01T00:00:00"/>
    <x v="330"/>
    <x v="0"/>
    <x v="0"/>
    <x v="2"/>
    <x v="665"/>
    <n v="372.14"/>
    <n v="3"/>
    <n v="27.91"/>
  </r>
  <r>
    <d v="2017-02-01T00:00:00"/>
    <x v="601"/>
    <x v="3"/>
    <x v="2"/>
    <x v="9"/>
    <x v="1297"/>
    <n v="16.59"/>
    <n v="1"/>
    <n v="5.81"/>
  </r>
  <r>
    <d v="2017-03-01T00:00:00"/>
    <x v="17"/>
    <x v="3"/>
    <x v="0"/>
    <x v="0"/>
    <x v="1380"/>
    <n v="38.880000000000003"/>
    <n v="6"/>
    <n v="18.66"/>
  </r>
  <r>
    <d v="2017-03-01T00:00:00"/>
    <x v="646"/>
    <x v="3"/>
    <x v="0"/>
    <x v="3"/>
    <x v="1381"/>
    <n v="2022.27"/>
    <n v="8"/>
    <n v="682.52"/>
  </r>
  <r>
    <d v="2017-03-01T00:00:00"/>
    <x v="646"/>
    <x v="3"/>
    <x v="0"/>
    <x v="4"/>
    <x v="890"/>
    <n v="9.1199999999999992"/>
    <n v="3"/>
    <n v="3.1"/>
  </r>
  <r>
    <d v="2017-06-01T00:00:00"/>
    <x v="135"/>
    <x v="22"/>
    <x v="0"/>
    <x v="3"/>
    <x v="41"/>
    <n v="33.74"/>
    <n v="7"/>
    <n v="15.52"/>
  </r>
  <r>
    <d v="2017-07-01T00:00:00"/>
    <x v="611"/>
    <x v="18"/>
    <x v="2"/>
    <x v="16"/>
    <x v="409"/>
    <n v="3059.98"/>
    <n v="2"/>
    <n v="680"/>
  </r>
  <r>
    <d v="2017-07-01T00:00:00"/>
    <x v="647"/>
    <x v="9"/>
    <x v="0"/>
    <x v="3"/>
    <x v="95"/>
    <n v="2.81"/>
    <n v="3"/>
    <n v="-1.97"/>
  </r>
  <r>
    <d v="2017-07-01T00:00:00"/>
    <x v="632"/>
    <x v="3"/>
    <x v="0"/>
    <x v="2"/>
    <x v="932"/>
    <n v="153.78"/>
    <n v="11"/>
    <n v="44.6"/>
  </r>
  <r>
    <d v="2017-07-01T00:00:00"/>
    <x v="632"/>
    <x v="3"/>
    <x v="0"/>
    <x v="2"/>
    <x v="1382"/>
    <n v="61.02"/>
    <n v="3"/>
    <n v="0.61"/>
  </r>
  <r>
    <d v="2017-07-01T00:00:00"/>
    <x v="632"/>
    <x v="3"/>
    <x v="0"/>
    <x v="14"/>
    <x v="1383"/>
    <n v="110.11"/>
    <n v="7"/>
    <n v="31.93"/>
  </r>
  <r>
    <d v="2017-07-01T00:00:00"/>
    <x v="632"/>
    <x v="3"/>
    <x v="0"/>
    <x v="7"/>
    <x v="22"/>
    <n v="7.89"/>
    <n v="1"/>
    <n v="3.55"/>
  </r>
  <r>
    <d v="2017-08-01T00:00:00"/>
    <x v="164"/>
    <x v="10"/>
    <x v="1"/>
    <x v="10"/>
    <x v="1337"/>
    <n v="892.98"/>
    <n v="2"/>
    <n v="80.37"/>
  </r>
  <r>
    <d v="2017-09-01T00:00:00"/>
    <x v="225"/>
    <x v="2"/>
    <x v="0"/>
    <x v="3"/>
    <x v="8"/>
    <n v="274.49"/>
    <n v="3"/>
    <n v="-228.74"/>
  </r>
  <r>
    <d v="2017-12-01T00:00:00"/>
    <x v="216"/>
    <x v="45"/>
    <x v="0"/>
    <x v="0"/>
    <x v="304"/>
    <n v="40.08"/>
    <n v="6"/>
    <n v="19.239999999999998"/>
  </r>
  <r>
    <d v="2017-12-01T00:00:00"/>
    <x v="216"/>
    <x v="45"/>
    <x v="1"/>
    <x v="8"/>
    <x v="1199"/>
    <n v="37.68"/>
    <n v="2"/>
    <n v="15.83"/>
  </r>
  <r>
    <d v="2017-12-01T00:00:00"/>
    <x v="648"/>
    <x v="3"/>
    <x v="0"/>
    <x v="11"/>
    <x v="55"/>
    <n v="9.7799999999999994"/>
    <n v="1"/>
    <n v="4.8899999999999997"/>
  </r>
  <r>
    <d v="2017-12-01T00:00:00"/>
    <x v="367"/>
    <x v="0"/>
    <x v="0"/>
    <x v="3"/>
    <x v="847"/>
    <n v="760.98"/>
    <n v="5"/>
    <n v="-1141.47"/>
  </r>
  <r>
    <d v="2017-02-02T00:00:00"/>
    <x v="593"/>
    <x v="16"/>
    <x v="2"/>
    <x v="6"/>
    <x v="1227"/>
    <n v="59.97"/>
    <n v="5"/>
    <n v="-11.99"/>
  </r>
  <r>
    <d v="2017-02-02T00:00:00"/>
    <x v="593"/>
    <x v="16"/>
    <x v="0"/>
    <x v="0"/>
    <x v="307"/>
    <n v="78.3"/>
    <n v="2"/>
    <n v="29.36"/>
  </r>
  <r>
    <d v="2017-02-02T00:00:00"/>
    <x v="593"/>
    <x v="16"/>
    <x v="0"/>
    <x v="7"/>
    <x v="22"/>
    <n v="21.46"/>
    <n v="9"/>
    <n v="6.97"/>
  </r>
  <r>
    <d v="2017-02-02T00:00:00"/>
    <x v="140"/>
    <x v="3"/>
    <x v="1"/>
    <x v="8"/>
    <x v="276"/>
    <n v="86.26"/>
    <n v="2"/>
    <n v="29.33"/>
  </r>
  <r>
    <d v="2017-02-02T00:00:00"/>
    <x v="140"/>
    <x v="3"/>
    <x v="0"/>
    <x v="2"/>
    <x v="501"/>
    <n v="139.04"/>
    <n v="4"/>
    <n v="38.93"/>
  </r>
  <r>
    <d v="2017-02-02T00:00:00"/>
    <x v="140"/>
    <x v="3"/>
    <x v="0"/>
    <x v="13"/>
    <x v="1368"/>
    <n v="46.8"/>
    <n v="4"/>
    <n v="16.38"/>
  </r>
  <r>
    <d v="2017-02-02T00:00:00"/>
    <x v="516"/>
    <x v="3"/>
    <x v="1"/>
    <x v="8"/>
    <x v="794"/>
    <n v="210.58"/>
    <n v="2"/>
    <n v="12.63"/>
  </r>
  <r>
    <d v="2017-02-02T00:00:00"/>
    <x v="516"/>
    <x v="3"/>
    <x v="0"/>
    <x v="3"/>
    <x v="1384"/>
    <n v="30.96"/>
    <n v="2"/>
    <n v="10.06"/>
  </r>
  <r>
    <d v="2017-02-02T00:00:00"/>
    <x v="516"/>
    <x v="3"/>
    <x v="2"/>
    <x v="16"/>
    <x v="1385"/>
    <n v="239.98"/>
    <n v="2"/>
    <n v="39"/>
  </r>
  <r>
    <d v="2017-03-02T00:00:00"/>
    <x v="293"/>
    <x v="16"/>
    <x v="0"/>
    <x v="3"/>
    <x v="1302"/>
    <n v="5.23"/>
    <n v="3"/>
    <n v="-4.18"/>
  </r>
  <r>
    <d v="2017-03-02T00:00:00"/>
    <x v="293"/>
    <x v="16"/>
    <x v="0"/>
    <x v="2"/>
    <x v="220"/>
    <n v="285.55"/>
    <n v="2"/>
    <n v="35.69"/>
  </r>
  <r>
    <d v="2017-03-02T00:00:00"/>
    <x v="27"/>
    <x v="9"/>
    <x v="0"/>
    <x v="3"/>
    <x v="1273"/>
    <n v="3.88"/>
    <n v="2"/>
    <n v="-2.59"/>
  </r>
  <r>
    <d v="2017-03-02T00:00:00"/>
    <x v="27"/>
    <x v="9"/>
    <x v="0"/>
    <x v="0"/>
    <x v="1244"/>
    <n v="115.3"/>
    <n v="3"/>
    <n v="40.35"/>
  </r>
  <r>
    <d v="2017-03-02T00:00:00"/>
    <x v="569"/>
    <x v="1"/>
    <x v="0"/>
    <x v="0"/>
    <x v="1058"/>
    <n v="5.18"/>
    <n v="1"/>
    <n v="1.81"/>
  </r>
  <r>
    <d v="2017-03-02T00:00:00"/>
    <x v="569"/>
    <x v="1"/>
    <x v="0"/>
    <x v="0"/>
    <x v="572"/>
    <n v="65.58"/>
    <n v="2"/>
    <n v="23.77"/>
  </r>
  <r>
    <d v="2017-03-02T00:00:00"/>
    <x v="569"/>
    <x v="1"/>
    <x v="1"/>
    <x v="8"/>
    <x v="1045"/>
    <n v="22.2"/>
    <n v="1"/>
    <n v="-26.09"/>
  </r>
  <r>
    <d v="2017-03-02T00:00:00"/>
    <x v="569"/>
    <x v="1"/>
    <x v="0"/>
    <x v="0"/>
    <x v="1386"/>
    <n v="419.4"/>
    <n v="5"/>
    <n v="146.79"/>
  </r>
  <r>
    <d v="2017-04-02T00:00:00"/>
    <x v="579"/>
    <x v="12"/>
    <x v="0"/>
    <x v="13"/>
    <x v="162"/>
    <n v="32.67"/>
    <n v="3"/>
    <n v="8.49"/>
  </r>
  <r>
    <d v="2017-05-02T00:00:00"/>
    <x v="649"/>
    <x v="0"/>
    <x v="0"/>
    <x v="3"/>
    <x v="8"/>
    <n v="243.99"/>
    <n v="4"/>
    <n v="-426.99"/>
  </r>
  <r>
    <d v="2017-05-02T00:00:00"/>
    <x v="649"/>
    <x v="0"/>
    <x v="0"/>
    <x v="4"/>
    <x v="1029"/>
    <n v="7.12"/>
    <n v="5"/>
    <n v="0.71"/>
  </r>
  <r>
    <d v="2017-05-02T00:00:00"/>
    <x v="240"/>
    <x v="3"/>
    <x v="0"/>
    <x v="13"/>
    <x v="1387"/>
    <n v="1640.7"/>
    <n v="5"/>
    <n v="459.4"/>
  </r>
  <r>
    <d v="2017-05-02T00:00:00"/>
    <x v="240"/>
    <x v="3"/>
    <x v="2"/>
    <x v="6"/>
    <x v="573"/>
    <n v="371.2"/>
    <n v="5"/>
    <n v="41.76"/>
  </r>
  <r>
    <d v="2017-06-02T00:00:00"/>
    <x v="600"/>
    <x v="6"/>
    <x v="1"/>
    <x v="12"/>
    <x v="1063"/>
    <n v="359.97"/>
    <n v="3"/>
    <n v="79.19"/>
  </r>
  <r>
    <d v="2017-06-02T00:00:00"/>
    <x v="538"/>
    <x v="12"/>
    <x v="1"/>
    <x v="12"/>
    <x v="688"/>
    <n v="240.78"/>
    <n v="1"/>
    <n v="30.1"/>
  </r>
  <r>
    <d v="2017-06-02T00:00:00"/>
    <x v="614"/>
    <x v="12"/>
    <x v="2"/>
    <x v="6"/>
    <x v="1081"/>
    <n v="227.46"/>
    <n v="6"/>
    <n v="65.959999999999994"/>
  </r>
  <r>
    <d v="2017-06-02T00:00:00"/>
    <x v="614"/>
    <x v="12"/>
    <x v="0"/>
    <x v="3"/>
    <x v="1388"/>
    <n v="46.24"/>
    <n v="4"/>
    <n v="15.61"/>
  </r>
  <r>
    <d v="2017-06-02T00:00:00"/>
    <x v="444"/>
    <x v="3"/>
    <x v="0"/>
    <x v="0"/>
    <x v="100"/>
    <n v="29.9"/>
    <n v="5"/>
    <n v="13.46"/>
  </r>
  <r>
    <d v="2017-09-02T00:00:00"/>
    <x v="650"/>
    <x v="0"/>
    <x v="0"/>
    <x v="3"/>
    <x v="1381"/>
    <n v="252.78"/>
    <n v="4"/>
    <n v="-417.09"/>
  </r>
  <r>
    <d v="2017-09-02T00:00:00"/>
    <x v="650"/>
    <x v="0"/>
    <x v="2"/>
    <x v="9"/>
    <x v="724"/>
    <n v="127.98"/>
    <n v="2"/>
    <n v="16"/>
  </r>
  <r>
    <d v="2017-09-02T00:00:00"/>
    <x v="650"/>
    <x v="0"/>
    <x v="1"/>
    <x v="8"/>
    <x v="1389"/>
    <n v="3.98"/>
    <n v="2"/>
    <n v="-2.69"/>
  </r>
  <r>
    <d v="2017-09-02T00:00:00"/>
    <x v="650"/>
    <x v="0"/>
    <x v="0"/>
    <x v="13"/>
    <x v="1329"/>
    <n v="12.99"/>
    <n v="2"/>
    <n v="-32.479999999999997"/>
  </r>
  <r>
    <d v="2017-09-02T00:00:00"/>
    <x v="161"/>
    <x v="3"/>
    <x v="1"/>
    <x v="8"/>
    <x v="504"/>
    <n v="21.12"/>
    <n v="4"/>
    <n v="6.55"/>
  </r>
  <r>
    <d v="2017-09-02T00:00:00"/>
    <x v="117"/>
    <x v="3"/>
    <x v="0"/>
    <x v="2"/>
    <x v="67"/>
    <n v="354.9"/>
    <n v="5"/>
    <n v="17.75"/>
  </r>
  <r>
    <d v="2017-10-02T00:00:00"/>
    <x v="500"/>
    <x v="3"/>
    <x v="1"/>
    <x v="12"/>
    <x v="1063"/>
    <n v="203.98"/>
    <n v="2"/>
    <n v="16.8"/>
  </r>
  <r>
    <d v="2017-10-02T00:00:00"/>
    <x v="147"/>
    <x v="39"/>
    <x v="0"/>
    <x v="0"/>
    <x v="906"/>
    <n v="23.12"/>
    <n v="4"/>
    <n v="11.33"/>
  </r>
  <r>
    <d v="2017-11-02T00:00:00"/>
    <x v="102"/>
    <x v="3"/>
    <x v="0"/>
    <x v="3"/>
    <x v="1390"/>
    <n v="21.34"/>
    <n v="7"/>
    <n v="7.73"/>
  </r>
  <r>
    <d v="2017-11-02T00:00:00"/>
    <x v="354"/>
    <x v="10"/>
    <x v="1"/>
    <x v="5"/>
    <x v="81"/>
    <n v="963.14"/>
    <n v="4"/>
    <n v="108.35"/>
  </r>
  <r>
    <d v="2017-11-02T00:00:00"/>
    <x v="354"/>
    <x v="10"/>
    <x v="2"/>
    <x v="6"/>
    <x v="262"/>
    <n v="88.78"/>
    <n v="3"/>
    <n v="7.77"/>
  </r>
  <r>
    <d v="2017-11-02T00:00:00"/>
    <x v="651"/>
    <x v="12"/>
    <x v="0"/>
    <x v="1"/>
    <x v="1100"/>
    <n v="20.7"/>
    <n v="2"/>
    <n v="9.94"/>
  </r>
  <r>
    <d v="2017-11-02T00:00:00"/>
    <x v="652"/>
    <x v="16"/>
    <x v="1"/>
    <x v="8"/>
    <x v="1061"/>
    <n v="147.57"/>
    <n v="2"/>
    <n v="-3.69"/>
  </r>
  <r>
    <d v="2017-02-03T00:00:00"/>
    <x v="576"/>
    <x v="0"/>
    <x v="0"/>
    <x v="14"/>
    <x v="252"/>
    <n v="6.98"/>
    <n v="4"/>
    <n v="-1.4"/>
  </r>
  <r>
    <d v="2017-02-03T00:00:00"/>
    <x v="576"/>
    <x v="0"/>
    <x v="0"/>
    <x v="3"/>
    <x v="38"/>
    <n v="12.22"/>
    <n v="7"/>
    <n v="-20.170000000000002"/>
  </r>
  <r>
    <d v="2017-02-03T00:00:00"/>
    <x v="653"/>
    <x v="3"/>
    <x v="2"/>
    <x v="6"/>
    <x v="396"/>
    <n v="196.78"/>
    <n v="3"/>
    <n v="14.76"/>
  </r>
  <r>
    <d v="2017-02-03T00:00:00"/>
    <x v="653"/>
    <x v="3"/>
    <x v="2"/>
    <x v="9"/>
    <x v="1391"/>
    <n v="479.94"/>
    <n v="6"/>
    <n v="52.79"/>
  </r>
  <r>
    <d v="2017-02-03T00:00:00"/>
    <x v="244"/>
    <x v="7"/>
    <x v="0"/>
    <x v="4"/>
    <x v="659"/>
    <n v="59.52"/>
    <n v="3"/>
    <n v="15.48"/>
  </r>
  <r>
    <d v="2017-02-03T00:00:00"/>
    <x v="244"/>
    <x v="7"/>
    <x v="0"/>
    <x v="11"/>
    <x v="55"/>
    <n v="57.96"/>
    <n v="7"/>
    <n v="27.24"/>
  </r>
  <r>
    <d v="2017-02-03T00:00:00"/>
    <x v="244"/>
    <x v="7"/>
    <x v="1"/>
    <x v="12"/>
    <x v="921"/>
    <n v="441.96"/>
    <n v="2"/>
    <n v="101.65"/>
  </r>
  <r>
    <d v="2017-02-03T00:00:00"/>
    <x v="244"/>
    <x v="7"/>
    <x v="0"/>
    <x v="0"/>
    <x v="177"/>
    <n v="68.040000000000006"/>
    <n v="6"/>
    <n v="33.340000000000003"/>
  </r>
  <r>
    <d v="2017-02-03T00:00:00"/>
    <x v="283"/>
    <x v="16"/>
    <x v="0"/>
    <x v="3"/>
    <x v="1157"/>
    <n v="18.53"/>
    <n v="4"/>
    <n v="-12.35"/>
  </r>
  <r>
    <d v="2017-02-03T00:00:00"/>
    <x v="654"/>
    <x v="3"/>
    <x v="0"/>
    <x v="3"/>
    <x v="77"/>
    <n v="107.65"/>
    <n v="2"/>
    <n v="33.64"/>
  </r>
  <r>
    <d v="2017-02-03T00:00:00"/>
    <x v="67"/>
    <x v="0"/>
    <x v="0"/>
    <x v="3"/>
    <x v="708"/>
    <n v="0.56000000000000005"/>
    <n v="1"/>
    <n v="-0.95"/>
  </r>
  <r>
    <d v="2017-03-03T00:00:00"/>
    <x v="568"/>
    <x v="5"/>
    <x v="0"/>
    <x v="13"/>
    <x v="215"/>
    <n v="72.8"/>
    <n v="5"/>
    <n v="19.66"/>
  </r>
  <r>
    <d v="2017-03-03T00:00:00"/>
    <x v="112"/>
    <x v="0"/>
    <x v="0"/>
    <x v="0"/>
    <x v="795"/>
    <n v="26.88"/>
    <n v="8"/>
    <n v="9.74"/>
  </r>
  <r>
    <d v="2017-03-03T00:00:00"/>
    <x v="138"/>
    <x v="18"/>
    <x v="1"/>
    <x v="5"/>
    <x v="841"/>
    <n v="180.98"/>
    <n v="1"/>
    <n v="47.05"/>
  </r>
  <r>
    <d v="2017-03-03T00:00:00"/>
    <x v="138"/>
    <x v="18"/>
    <x v="2"/>
    <x v="9"/>
    <x v="109"/>
    <n v="99.98"/>
    <n v="2"/>
    <n v="42.99"/>
  </r>
  <r>
    <d v="2017-03-03T00:00:00"/>
    <x v="655"/>
    <x v="3"/>
    <x v="2"/>
    <x v="9"/>
    <x v="1392"/>
    <n v="1049.44"/>
    <n v="8"/>
    <n v="440.76"/>
  </r>
  <r>
    <d v="2017-03-03T00:00:00"/>
    <x v="655"/>
    <x v="3"/>
    <x v="1"/>
    <x v="5"/>
    <x v="805"/>
    <n v="170.35"/>
    <n v="3"/>
    <n v="-17.04"/>
  </r>
  <r>
    <d v="2017-03-03T00:00:00"/>
    <x v="656"/>
    <x v="3"/>
    <x v="1"/>
    <x v="10"/>
    <x v="823"/>
    <n v="399.67"/>
    <n v="7"/>
    <n v="-14.99"/>
  </r>
  <r>
    <d v="2017-04-03T00:00:00"/>
    <x v="432"/>
    <x v="3"/>
    <x v="0"/>
    <x v="4"/>
    <x v="969"/>
    <n v="9.32"/>
    <n v="4"/>
    <n v="2.7"/>
  </r>
  <r>
    <d v="2017-04-03T00:00:00"/>
    <x v="432"/>
    <x v="3"/>
    <x v="0"/>
    <x v="11"/>
    <x v="964"/>
    <n v="15.25"/>
    <n v="1"/>
    <n v="7.02"/>
  </r>
  <r>
    <d v="2017-04-03T00:00:00"/>
    <x v="0"/>
    <x v="0"/>
    <x v="0"/>
    <x v="0"/>
    <x v="320"/>
    <n v="89.57"/>
    <n v="2"/>
    <n v="32.47"/>
  </r>
  <r>
    <d v="2017-04-03T00:00:00"/>
    <x v="502"/>
    <x v="0"/>
    <x v="1"/>
    <x v="8"/>
    <x v="819"/>
    <n v="103.5"/>
    <n v="5"/>
    <n v="-77.63"/>
  </r>
  <r>
    <d v="2017-04-03T00:00:00"/>
    <x v="502"/>
    <x v="0"/>
    <x v="0"/>
    <x v="1"/>
    <x v="1393"/>
    <n v="2.46"/>
    <n v="1"/>
    <n v="0.86"/>
  </r>
  <r>
    <d v="2017-04-03T00:00:00"/>
    <x v="502"/>
    <x v="0"/>
    <x v="0"/>
    <x v="2"/>
    <x v="1236"/>
    <n v="8.7200000000000006"/>
    <n v="1"/>
    <n v="0.65"/>
  </r>
  <r>
    <d v="2017-05-03T00:00:00"/>
    <x v="277"/>
    <x v="8"/>
    <x v="0"/>
    <x v="1"/>
    <x v="1394"/>
    <n v="25.06"/>
    <n v="2"/>
    <n v="11.78"/>
  </r>
  <r>
    <d v="2017-05-03T00:00:00"/>
    <x v="657"/>
    <x v="28"/>
    <x v="0"/>
    <x v="7"/>
    <x v="809"/>
    <n v="7.9"/>
    <n v="2"/>
    <n v="2.5299999999999998"/>
  </r>
  <r>
    <d v="2017-05-03T00:00:00"/>
    <x v="657"/>
    <x v="28"/>
    <x v="0"/>
    <x v="2"/>
    <x v="224"/>
    <n v="221.16"/>
    <n v="4"/>
    <n v="57.5"/>
  </r>
  <r>
    <d v="2017-05-03T00:00:00"/>
    <x v="657"/>
    <x v="28"/>
    <x v="0"/>
    <x v="3"/>
    <x v="414"/>
    <n v="127.96"/>
    <n v="2"/>
    <n v="62.7"/>
  </r>
  <r>
    <d v="2017-05-03T00:00:00"/>
    <x v="657"/>
    <x v="28"/>
    <x v="0"/>
    <x v="3"/>
    <x v="358"/>
    <n v="18.690000000000001"/>
    <n v="3"/>
    <n v="9.16"/>
  </r>
  <r>
    <d v="2017-05-03T00:00:00"/>
    <x v="318"/>
    <x v="32"/>
    <x v="0"/>
    <x v="11"/>
    <x v="1280"/>
    <n v="42.68"/>
    <n v="4"/>
    <n v="19.63"/>
  </r>
  <r>
    <d v="2017-05-03T00:00:00"/>
    <x v="318"/>
    <x v="32"/>
    <x v="2"/>
    <x v="9"/>
    <x v="338"/>
    <n v="299.97000000000003"/>
    <n v="3"/>
    <n v="125.99"/>
  </r>
  <r>
    <d v="2017-05-03T00:00:00"/>
    <x v="318"/>
    <x v="32"/>
    <x v="0"/>
    <x v="13"/>
    <x v="1395"/>
    <n v="262.24"/>
    <n v="2"/>
    <n v="78.67"/>
  </r>
  <r>
    <d v="2017-05-03T00:00:00"/>
    <x v="318"/>
    <x v="32"/>
    <x v="0"/>
    <x v="3"/>
    <x v="746"/>
    <n v="234.36"/>
    <n v="6"/>
    <n v="112.49"/>
  </r>
  <r>
    <d v="2017-06-03T00:00:00"/>
    <x v="658"/>
    <x v="12"/>
    <x v="0"/>
    <x v="0"/>
    <x v="1034"/>
    <n v="26.38"/>
    <n v="1"/>
    <n v="12.13"/>
  </r>
  <r>
    <d v="2017-06-03T00:00:00"/>
    <x v="658"/>
    <x v="12"/>
    <x v="1"/>
    <x v="8"/>
    <x v="1396"/>
    <n v="71.97"/>
    <n v="3"/>
    <n v="16.55"/>
  </r>
  <r>
    <d v="2017-06-03T00:00:00"/>
    <x v="151"/>
    <x v="3"/>
    <x v="0"/>
    <x v="3"/>
    <x v="1397"/>
    <n v="14.98"/>
    <n v="9"/>
    <n v="5.43"/>
  </r>
  <r>
    <d v="2017-06-03T00:00:00"/>
    <x v="314"/>
    <x v="3"/>
    <x v="0"/>
    <x v="2"/>
    <x v="1398"/>
    <n v="67.78"/>
    <n v="2"/>
    <n v="16.95"/>
  </r>
  <r>
    <d v="2017-06-03T00:00:00"/>
    <x v="506"/>
    <x v="3"/>
    <x v="0"/>
    <x v="4"/>
    <x v="303"/>
    <n v="23.88"/>
    <n v="6"/>
    <n v="8.1199999999999992"/>
  </r>
  <r>
    <d v="2017-06-03T00:00:00"/>
    <x v="506"/>
    <x v="3"/>
    <x v="0"/>
    <x v="1"/>
    <x v="280"/>
    <n v="11.52"/>
    <n v="4"/>
    <n v="5.64"/>
  </r>
  <r>
    <d v="2017-06-03T00:00:00"/>
    <x v="506"/>
    <x v="3"/>
    <x v="0"/>
    <x v="0"/>
    <x v="572"/>
    <n v="286.93"/>
    <n v="7"/>
    <n v="140.6"/>
  </r>
  <r>
    <d v="2017-06-03T00:00:00"/>
    <x v="506"/>
    <x v="3"/>
    <x v="2"/>
    <x v="6"/>
    <x v="760"/>
    <n v="206.38"/>
    <n v="2"/>
    <n v="23.22"/>
  </r>
  <r>
    <d v="2017-06-03T00:00:00"/>
    <x v="544"/>
    <x v="0"/>
    <x v="0"/>
    <x v="1"/>
    <x v="1287"/>
    <n v="4.93"/>
    <n v="2"/>
    <n v="1.72"/>
  </r>
  <r>
    <d v="2017-06-03T00:00:00"/>
    <x v="544"/>
    <x v="0"/>
    <x v="0"/>
    <x v="4"/>
    <x v="69"/>
    <n v="63.49"/>
    <n v="4"/>
    <n v="4.76"/>
  </r>
  <r>
    <d v="2017-07-03T00:00:00"/>
    <x v="530"/>
    <x v="39"/>
    <x v="2"/>
    <x v="9"/>
    <x v="329"/>
    <n v="49.08"/>
    <n v="3"/>
    <n v="4.91"/>
  </r>
  <r>
    <d v="2017-07-03T00:00:00"/>
    <x v="257"/>
    <x v="12"/>
    <x v="0"/>
    <x v="3"/>
    <x v="820"/>
    <n v="25.92"/>
    <n v="6"/>
    <n v="9.07"/>
  </r>
  <r>
    <d v="2017-07-03T00:00:00"/>
    <x v="257"/>
    <x v="12"/>
    <x v="0"/>
    <x v="1"/>
    <x v="1399"/>
    <n v="91.59"/>
    <n v="3"/>
    <n v="42.13"/>
  </r>
  <r>
    <d v="2017-08-03T00:00:00"/>
    <x v="659"/>
    <x v="4"/>
    <x v="0"/>
    <x v="13"/>
    <x v="1400"/>
    <n v="647.84"/>
    <n v="8"/>
    <n v="168.44"/>
  </r>
  <r>
    <d v="2017-08-03T00:00:00"/>
    <x v="659"/>
    <x v="4"/>
    <x v="0"/>
    <x v="1"/>
    <x v="1401"/>
    <n v="20.7"/>
    <n v="2"/>
    <n v="9.94"/>
  </r>
  <r>
    <d v="2017-08-03T00:00:00"/>
    <x v="484"/>
    <x v="3"/>
    <x v="0"/>
    <x v="3"/>
    <x v="240"/>
    <n v="171.2"/>
    <n v="5"/>
    <n v="64.2"/>
  </r>
  <r>
    <d v="2017-08-03T00:00:00"/>
    <x v="484"/>
    <x v="3"/>
    <x v="0"/>
    <x v="4"/>
    <x v="1402"/>
    <n v="3.36"/>
    <n v="2"/>
    <n v="0.87"/>
  </r>
  <r>
    <d v="2017-09-03T00:00:00"/>
    <x v="559"/>
    <x v="3"/>
    <x v="2"/>
    <x v="9"/>
    <x v="146"/>
    <n v="199.98"/>
    <n v="2"/>
    <n v="69.989999999999995"/>
  </r>
  <r>
    <d v="2017-09-03T00:00:00"/>
    <x v="396"/>
    <x v="3"/>
    <x v="2"/>
    <x v="15"/>
    <x v="902"/>
    <n v="479.98"/>
    <n v="2"/>
    <n v="60"/>
  </r>
  <r>
    <d v="2017-09-03T00:00:00"/>
    <x v="396"/>
    <x v="3"/>
    <x v="0"/>
    <x v="3"/>
    <x v="245"/>
    <n v="30.84"/>
    <n v="5"/>
    <n v="9.64"/>
  </r>
  <r>
    <d v="2017-10-03T00:00:00"/>
    <x v="660"/>
    <x v="2"/>
    <x v="0"/>
    <x v="4"/>
    <x v="1052"/>
    <n v="5.25"/>
    <n v="2"/>
    <n v="0.59"/>
  </r>
  <r>
    <d v="2017-10-03T00:00:00"/>
    <x v="660"/>
    <x v="2"/>
    <x v="2"/>
    <x v="6"/>
    <x v="695"/>
    <n v="35.909999999999997"/>
    <n v="3"/>
    <n v="-8.3800000000000008"/>
  </r>
  <r>
    <d v="2017-10-03T00:00:00"/>
    <x v="660"/>
    <x v="2"/>
    <x v="1"/>
    <x v="8"/>
    <x v="482"/>
    <n v="6.7"/>
    <n v="1"/>
    <n v="0.5"/>
  </r>
  <r>
    <d v="2017-10-03T00:00:00"/>
    <x v="660"/>
    <x v="2"/>
    <x v="1"/>
    <x v="8"/>
    <x v="1403"/>
    <n v="43.87"/>
    <n v="2"/>
    <n v="11.52"/>
  </r>
  <r>
    <d v="2017-10-03T00:00:00"/>
    <x v="89"/>
    <x v="2"/>
    <x v="2"/>
    <x v="6"/>
    <x v="1026"/>
    <n v="53.98"/>
    <n v="3"/>
    <n v="-10.8"/>
  </r>
  <r>
    <d v="2017-10-03T00:00:00"/>
    <x v="661"/>
    <x v="15"/>
    <x v="0"/>
    <x v="13"/>
    <x v="1155"/>
    <n v="48.78"/>
    <n v="1"/>
    <n v="3.66"/>
  </r>
  <r>
    <d v="2017-10-03T00:00:00"/>
    <x v="661"/>
    <x v="15"/>
    <x v="0"/>
    <x v="3"/>
    <x v="1135"/>
    <n v="13.09"/>
    <n v="4"/>
    <n v="-10.039999999999999"/>
  </r>
  <r>
    <d v="2017-10-03T00:00:00"/>
    <x v="662"/>
    <x v="3"/>
    <x v="2"/>
    <x v="9"/>
    <x v="1404"/>
    <n v="111.96"/>
    <n v="4"/>
    <n v="21.27"/>
  </r>
  <r>
    <d v="2017-10-03T00:00:00"/>
    <x v="270"/>
    <x v="0"/>
    <x v="1"/>
    <x v="10"/>
    <x v="205"/>
    <n v="933.41"/>
    <n v="4"/>
    <n v="-173.35"/>
  </r>
  <r>
    <d v="2017-11-03T00:00:00"/>
    <x v="389"/>
    <x v="18"/>
    <x v="0"/>
    <x v="3"/>
    <x v="1405"/>
    <n v="895.92"/>
    <n v="4"/>
    <n v="421.08"/>
  </r>
  <r>
    <d v="2017-11-03T00:00:00"/>
    <x v="663"/>
    <x v="2"/>
    <x v="2"/>
    <x v="6"/>
    <x v="1106"/>
    <n v="776.85"/>
    <n v="5"/>
    <n v="-181.27"/>
  </r>
  <r>
    <d v="2017-11-03T00:00:00"/>
    <x v="663"/>
    <x v="2"/>
    <x v="0"/>
    <x v="3"/>
    <x v="135"/>
    <n v="12.29"/>
    <n v="1"/>
    <n v="-8.61"/>
  </r>
  <r>
    <d v="2017-11-03T00:00:00"/>
    <x v="663"/>
    <x v="2"/>
    <x v="1"/>
    <x v="10"/>
    <x v="126"/>
    <n v="154.76"/>
    <n v="3"/>
    <n v="-46.43"/>
  </r>
  <r>
    <d v="2017-11-03T00:00:00"/>
    <x v="663"/>
    <x v="2"/>
    <x v="0"/>
    <x v="2"/>
    <x v="1406"/>
    <n v="43.28"/>
    <n v="1"/>
    <n v="3.25"/>
  </r>
  <r>
    <d v="2017-11-03T00:00:00"/>
    <x v="153"/>
    <x v="20"/>
    <x v="2"/>
    <x v="9"/>
    <x v="1407"/>
    <n v="63.88"/>
    <n v="4"/>
    <n v="24.91"/>
  </r>
  <r>
    <d v="2017-11-03T00:00:00"/>
    <x v="153"/>
    <x v="20"/>
    <x v="1"/>
    <x v="8"/>
    <x v="1408"/>
    <n v="26.72"/>
    <n v="1"/>
    <n v="11.76"/>
  </r>
  <r>
    <d v="2017-12-03T00:00:00"/>
    <x v="55"/>
    <x v="20"/>
    <x v="2"/>
    <x v="6"/>
    <x v="60"/>
    <n v="69.930000000000007"/>
    <n v="7"/>
    <n v="32.17"/>
  </r>
  <r>
    <d v="2017-12-03T00:00:00"/>
    <x v="490"/>
    <x v="3"/>
    <x v="0"/>
    <x v="2"/>
    <x v="425"/>
    <n v="242.94"/>
    <n v="3"/>
    <n v="9.7200000000000006"/>
  </r>
  <r>
    <d v="2017-12-03T00:00:00"/>
    <x v="22"/>
    <x v="29"/>
    <x v="0"/>
    <x v="3"/>
    <x v="107"/>
    <n v="40.409999999999997"/>
    <n v="9"/>
    <n v="18.59"/>
  </r>
  <r>
    <d v="2017-01-04T00:00:00"/>
    <x v="481"/>
    <x v="14"/>
    <x v="0"/>
    <x v="2"/>
    <x v="958"/>
    <n v="94.2"/>
    <n v="6"/>
    <n v="23.55"/>
  </r>
  <r>
    <d v="2017-01-04T00:00:00"/>
    <x v="481"/>
    <x v="14"/>
    <x v="0"/>
    <x v="11"/>
    <x v="55"/>
    <n v="28.4"/>
    <n v="5"/>
    <n v="13.35"/>
  </r>
  <r>
    <d v="2017-01-04T00:00:00"/>
    <x v="210"/>
    <x v="3"/>
    <x v="0"/>
    <x v="1"/>
    <x v="1409"/>
    <n v="5.78"/>
    <n v="2"/>
    <n v="2.72"/>
  </r>
  <r>
    <d v="2017-01-04T00:00:00"/>
    <x v="210"/>
    <x v="3"/>
    <x v="0"/>
    <x v="3"/>
    <x v="167"/>
    <n v="121.68"/>
    <n v="13"/>
    <n v="38.03"/>
  </r>
  <r>
    <d v="2017-01-04T00:00:00"/>
    <x v="664"/>
    <x v="3"/>
    <x v="1"/>
    <x v="12"/>
    <x v="1237"/>
    <n v="482.66"/>
    <n v="8"/>
    <n v="85.18"/>
  </r>
  <r>
    <d v="2017-01-04T00:00:00"/>
    <x v="664"/>
    <x v="3"/>
    <x v="2"/>
    <x v="16"/>
    <x v="1410"/>
    <n v="4799.9799999999996"/>
    <n v="2"/>
    <n v="360"/>
  </r>
  <r>
    <d v="2017-01-04T00:00:00"/>
    <x v="665"/>
    <x v="12"/>
    <x v="0"/>
    <x v="0"/>
    <x v="681"/>
    <n v="42.93"/>
    <n v="9"/>
    <n v="19.32"/>
  </r>
  <r>
    <d v="2017-01-04T00:00:00"/>
    <x v="582"/>
    <x v="9"/>
    <x v="2"/>
    <x v="6"/>
    <x v="1072"/>
    <n v="23.98"/>
    <n v="3"/>
    <n v="-5.69"/>
  </r>
  <r>
    <d v="2017-01-04T00:00:00"/>
    <x v="582"/>
    <x v="9"/>
    <x v="0"/>
    <x v="1"/>
    <x v="352"/>
    <n v="6.26"/>
    <n v="3"/>
    <n v="2.04"/>
  </r>
  <r>
    <d v="2017-01-04T00:00:00"/>
    <x v="582"/>
    <x v="9"/>
    <x v="0"/>
    <x v="13"/>
    <x v="202"/>
    <n v="20.81"/>
    <n v="3"/>
    <n v="1.82"/>
  </r>
  <r>
    <d v="2017-01-04T00:00:00"/>
    <x v="582"/>
    <x v="9"/>
    <x v="1"/>
    <x v="5"/>
    <x v="789"/>
    <n v="218.35"/>
    <n v="3"/>
    <n v="-19.11"/>
  </r>
  <r>
    <d v="2017-01-04T00:00:00"/>
    <x v="443"/>
    <x v="17"/>
    <x v="1"/>
    <x v="8"/>
    <x v="445"/>
    <n v="127.95"/>
    <n v="3"/>
    <n v="21.75"/>
  </r>
  <r>
    <d v="2017-02-04T00:00:00"/>
    <x v="632"/>
    <x v="3"/>
    <x v="1"/>
    <x v="8"/>
    <x v="482"/>
    <n v="25.11"/>
    <n v="3"/>
    <n v="6.53"/>
  </r>
  <r>
    <d v="2017-02-04T00:00:00"/>
    <x v="637"/>
    <x v="4"/>
    <x v="1"/>
    <x v="10"/>
    <x v="254"/>
    <n v="411.8"/>
    <n v="2"/>
    <n v="70.010000000000005"/>
  </r>
  <r>
    <d v="2017-02-04T00:00:00"/>
    <x v="637"/>
    <x v="4"/>
    <x v="2"/>
    <x v="9"/>
    <x v="525"/>
    <n v="360"/>
    <n v="4"/>
    <n v="129.6"/>
  </r>
  <r>
    <d v="2017-02-04T00:00:00"/>
    <x v="436"/>
    <x v="27"/>
    <x v="0"/>
    <x v="4"/>
    <x v="1364"/>
    <n v="11.12"/>
    <n v="4"/>
    <n v="2.89"/>
  </r>
  <r>
    <d v="2017-02-04T00:00:00"/>
    <x v="320"/>
    <x v="22"/>
    <x v="0"/>
    <x v="1"/>
    <x v="507"/>
    <n v="14.94"/>
    <n v="3"/>
    <n v="6.87"/>
  </r>
  <r>
    <d v="2017-03-04T00:00:00"/>
    <x v="580"/>
    <x v="2"/>
    <x v="1"/>
    <x v="8"/>
    <x v="750"/>
    <n v="25.47"/>
    <n v="4"/>
    <n v="7.64"/>
  </r>
  <r>
    <d v="2017-03-04T00:00:00"/>
    <x v="666"/>
    <x v="1"/>
    <x v="0"/>
    <x v="4"/>
    <x v="422"/>
    <n v="7.06"/>
    <n v="3"/>
    <n v="2.21"/>
  </r>
  <r>
    <d v="2017-04-04T00:00:00"/>
    <x v="667"/>
    <x v="1"/>
    <x v="2"/>
    <x v="6"/>
    <x v="1201"/>
    <n v="383.84"/>
    <n v="4"/>
    <n v="47.98"/>
  </r>
  <r>
    <d v="2017-04-04T00:00:00"/>
    <x v="145"/>
    <x v="12"/>
    <x v="2"/>
    <x v="6"/>
    <x v="1411"/>
    <n v="41.22"/>
    <n v="1"/>
    <n v="11.13"/>
  </r>
  <r>
    <d v="2017-04-04T00:00:00"/>
    <x v="145"/>
    <x v="12"/>
    <x v="0"/>
    <x v="14"/>
    <x v="1105"/>
    <n v="240.37"/>
    <n v="1"/>
    <n v="7.21"/>
  </r>
  <r>
    <d v="2017-04-04T00:00:00"/>
    <x v="145"/>
    <x v="12"/>
    <x v="2"/>
    <x v="6"/>
    <x v="668"/>
    <n v="119.02"/>
    <n v="2"/>
    <n v="33.33"/>
  </r>
  <r>
    <d v="2017-04-04T00:00:00"/>
    <x v="620"/>
    <x v="12"/>
    <x v="0"/>
    <x v="11"/>
    <x v="690"/>
    <n v="16.98"/>
    <n v="1"/>
    <n v="8.49"/>
  </r>
  <r>
    <d v="2017-04-04T00:00:00"/>
    <x v="221"/>
    <x v="12"/>
    <x v="0"/>
    <x v="4"/>
    <x v="1037"/>
    <n v="7.04"/>
    <n v="4"/>
    <n v="2.04"/>
  </r>
  <r>
    <d v="2017-06-04T00:00:00"/>
    <x v="589"/>
    <x v="42"/>
    <x v="0"/>
    <x v="0"/>
    <x v="177"/>
    <n v="106.32"/>
    <n v="3"/>
    <n v="49.97"/>
  </r>
  <r>
    <d v="2017-06-04T00:00:00"/>
    <x v="181"/>
    <x v="31"/>
    <x v="0"/>
    <x v="3"/>
    <x v="820"/>
    <n v="8.1"/>
    <n v="5"/>
    <n v="-5.94"/>
  </r>
  <r>
    <d v="2017-07-04T00:00:00"/>
    <x v="449"/>
    <x v="9"/>
    <x v="1"/>
    <x v="10"/>
    <x v="994"/>
    <n v="233.86"/>
    <n v="2"/>
    <n v="-102.05"/>
  </r>
  <r>
    <d v="2017-07-04T00:00:00"/>
    <x v="449"/>
    <x v="9"/>
    <x v="1"/>
    <x v="10"/>
    <x v="643"/>
    <n v="620.61"/>
    <n v="3"/>
    <n v="-248.25"/>
  </r>
  <r>
    <d v="2017-07-04T00:00:00"/>
    <x v="449"/>
    <x v="9"/>
    <x v="0"/>
    <x v="3"/>
    <x v="1412"/>
    <n v="5.33"/>
    <n v="2"/>
    <n v="-3.55"/>
  </r>
  <r>
    <d v="2017-07-04T00:00:00"/>
    <x v="449"/>
    <x v="9"/>
    <x v="1"/>
    <x v="8"/>
    <x v="1413"/>
    <n v="258.07"/>
    <n v="3"/>
    <n v="0"/>
  </r>
  <r>
    <d v="2017-07-04T00:00:00"/>
    <x v="449"/>
    <x v="9"/>
    <x v="2"/>
    <x v="9"/>
    <x v="1267"/>
    <n v="617.98"/>
    <n v="3"/>
    <n v="-7.72"/>
  </r>
  <r>
    <d v="2017-07-04T00:00:00"/>
    <x v="25"/>
    <x v="9"/>
    <x v="0"/>
    <x v="4"/>
    <x v="575"/>
    <n v="16.260000000000002"/>
    <n v="2"/>
    <n v="1.22"/>
  </r>
  <r>
    <d v="2017-07-04T00:00:00"/>
    <x v="25"/>
    <x v="9"/>
    <x v="2"/>
    <x v="6"/>
    <x v="157"/>
    <n v="219.18"/>
    <n v="2"/>
    <n v="19.18"/>
  </r>
  <r>
    <d v="2017-08-04T00:00:00"/>
    <x v="262"/>
    <x v="4"/>
    <x v="1"/>
    <x v="8"/>
    <x v="1263"/>
    <n v="56.28"/>
    <n v="6"/>
    <n v="15.76"/>
  </r>
  <r>
    <d v="2017-08-04T00:00:00"/>
    <x v="262"/>
    <x v="4"/>
    <x v="0"/>
    <x v="3"/>
    <x v="382"/>
    <n v="2690.97"/>
    <n v="3"/>
    <n v="1264.76"/>
  </r>
  <r>
    <d v="2017-08-04T00:00:00"/>
    <x v="539"/>
    <x v="11"/>
    <x v="0"/>
    <x v="2"/>
    <x v="786"/>
    <n v="2591.56"/>
    <n v="4"/>
    <n v="621.97"/>
  </r>
  <r>
    <d v="2017-08-04T00:00:00"/>
    <x v="539"/>
    <x v="11"/>
    <x v="0"/>
    <x v="13"/>
    <x v="421"/>
    <n v="41.95"/>
    <n v="5"/>
    <n v="10.49"/>
  </r>
  <r>
    <d v="2017-08-04T00:00:00"/>
    <x v="668"/>
    <x v="3"/>
    <x v="0"/>
    <x v="0"/>
    <x v="73"/>
    <n v="244.55"/>
    <n v="5"/>
    <n v="114.94"/>
  </r>
  <r>
    <d v="2017-08-04T00:00:00"/>
    <x v="668"/>
    <x v="3"/>
    <x v="0"/>
    <x v="0"/>
    <x v="606"/>
    <n v="195.76"/>
    <n v="4"/>
    <n v="97.88"/>
  </r>
  <r>
    <d v="2017-08-04T00:00:00"/>
    <x v="30"/>
    <x v="18"/>
    <x v="1"/>
    <x v="8"/>
    <x v="393"/>
    <n v="273.95999999999998"/>
    <n v="2"/>
    <n v="71.23"/>
  </r>
  <r>
    <d v="2017-08-04T00:00:00"/>
    <x v="30"/>
    <x v="18"/>
    <x v="1"/>
    <x v="8"/>
    <x v="1414"/>
    <n v="306.89999999999998"/>
    <n v="3"/>
    <n v="79.790000000000006"/>
  </r>
  <r>
    <d v="2017-09-04T00:00:00"/>
    <x v="669"/>
    <x v="12"/>
    <x v="0"/>
    <x v="1"/>
    <x v="1415"/>
    <n v="9.82"/>
    <n v="2"/>
    <n v="4.8099999999999996"/>
  </r>
  <r>
    <d v="2017-09-04T00:00:00"/>
    <x v="669"/>
    <x v="12"/>
    <x v="0"/>
    <x v="4"/>
    <x v="366"/>
    <n v="35.97"/>
    <n v="3"/>
    <n v="9.7100000000000009"/>
  </r>
  <r>
    <d v="2017-09-04T00:00:00"/>
    <x v="669"/>
    <x v="12"/>
    <x v="0"/>
    <x v="0"/>
    <x v="1053"/>
    <n v="12.96"/>
    <n v="2"/>
    <n v="6.22"/>
  </r>
  <r>
    <d v="2017-09-04T00:00:00"/>
    <x v="669"/>
    <x v="12"/>
    <x v="0"/>
    <x v="0"/>
    <x v="1416"/>
    <n v="191.6"/>
    <n v="4"/>
    <n v="91.97"/>
  </r>
  <r>
    <d v="2017-09-04T00:00:00"/>
    <x v="669"/>
    <x v="12"/>
    <x v="0"/>
    <x v="1"/>
    <x v="851"/>
    <n v="8.64"/>
    <n v="3"/>
    <n v="4.2300000000000004"/>
  </r>
  <r>
    <d v="2017-09-04T00:00:00"/>
    <x v="669"/>
    <x v="12"/>
    <x v="0"/>
    <x v="2"/>
    <x v="1417"/>
    <n v="501.81"/>
    <n v="3"/>
    <n v="0"/>
  </r>
  <r>
    <d v="2017-09-04T00:00:00"/>
    <x v="666"/>
    <x v="9"/>
    <x v="0"/>
    <x v="1"/>
    <x v="1418"/>
    <n v="15.12"/>
    <n v="3"/>
    <n v="4.91"/>
  </r>
  <r>
    <d v="2017-09-04T00:00:00"/>
    <x v="666"/>
    <x v="9"/>
    <x v="0"/>
    <x v="3"/>
    <x v="204"/>
    <n v="17.43"/>
    <n v="1"/>
    <n v="-13.36"/>
  </r>
  <r>
    <d v="2017-09-04T00:00:00"/>
    <x v="666"/>
    <x v="9"/>
    <x v="0"/>
    <x v="0"/>
    <x v="1351"/>
    <n v="251.64"/>
    <n v="3"/>
    <n v="88.07"/>
  </r>
  <r>
    <d v="2017-09-04T00:00:00"/>
    <x v="180"/>
    <x v="18"/>
    <x v="0"/>
    <x v="3"/>
    <x v="469"/>
    <n v="478.24"/>
    <n v="8"/>
    <n v="219.99"/>
  </r>
  <r>
    <d v="2017-09-04T00:00:00"/>
    <x v="368"/>
    <x v="2"/>
    <x v="0"/>
    <x v="3"/>
    <x v="824"/>
    <n v="37.9"/>
    <n v="4"/>
    <n v="-29.05"/>
  </r>
  <r>
    <d v="2017-09-04T00:00:00"/>
    <x v="368"/>
    <x v="2"/>
    <x v="0"/>
    <x v="0"/>
    <x v="572"/>
    <n v="65.58"/>
    <n v="2"/>
    <n v="23.77"/>
  </r>
  <r>
    <d v="2017-10-04T00:00:00"/>
    <x v="535"/>
    <x v="11"/>
    <x v="0"/>
    <x v="0"/>
    <x v="765"/>
    <n v="7.61"/>
    <n v="1"/>
    <n v="3.58"/>
  </r>
  <r>
    <d v="2017-10-04T00:00:00"/>
    <x v="535"/>
    <x v="11"/>
    <x v="0"/>
    <x v="7"/>
    <x v="978"/>
    <n v="7.16"/>
    <n v="2"/>
    <n v="3.58"/>
  </r>
  <r>
    <d v="2017-10-04T00:00:00"/>
    <x v="229"/>
    <x v="0"/>
    <x v="0"/>
    <x v="0"/>
    <x v="929"/>
    <n v="10.37"/>
    <n v="2"/>
    <n v="3.63"/>
  </r>
  <r>
    <d v="2017-10-04T00:00:00"/>
    <x v="229"/>
    <x v="0"/>
    <x v="2"/>
    <x v="9"/>
    <x v="1051"/>
    <n v="95.74"/>
    <n v="3"/>
    <n v="20.34"/>
  </r>
  <r>
    <d v="2017-10-04T00:00:00"/>
    <x v="670"/>
    <x v="9"/>
    <x v="1"/>
    <x v="8"/>
    <x v="799"/>
    <n v="12.32"/>
    <n v="5"/>
    <n v="1.85"/>
  </r>
  <r>
    <d v="2017-10-04T00:00:00"/>
    <x v="670"/>
    <x v="9"/>
    <x v="0"/>
    <x v="3"/>
    <x v="514"/>
    <n v="4.42"/>
    <n v="3"/>
    <n v="-3.09"/>
  </r>
  <r>
    <d v="2017-10-04T00:00:00"/>
    <x v="671"/>
    <x v="27"/>
    <x v="2"/>
    <x v="9"/>
    <x v="338"/>
    <n v="99.99"/>
    <n v="1"/>
    <n v="42"/>
  </r>
  <r>
    <d v="2017-10-04T00:00:00"/>
    <x v="671"/>
    <x v="27"/>
    <x v="0"/>
    <x v="2"/>
    <x v="53"/>
    <n v="286.14999999999998"/>
    <n v="5"/>
    <n v="71.540000000000006"/>
  </r>
  <r>
    <d v="2017-10-04T00:00:00"/>
    <x v="158"/>
    <x v="2"/>
    <x v="0"/>
    <x v="13"/>
    <x v="1419"/>
    <n v="195.1"/>
    <n v="4"/>
    <n v="21.95"/>
  </r>
  <r>
    <d v="2017-10-04T00:00:00"/>
    <x v="158"/>
    <x v="2"/>
    <x v="1"/>
    <x v="8"/>
    <x v="599"/>
    <n v="36.67"/>
    <n v="3"/>
    <n v="6.42"/>
  </r>
  <r>
    <d v="2017-11-04T00:00:00"/>
    <x v="222"/>
    <x v="3"/>
    <x v="2"/>
    <x v="9"/>
    <x v="344"/>
    <n v="199.95"/>
    <n v="5"/>
    <n v="21.99"/>
  </r>
  <r>
    <d v="2017-11-04T00:00:00"/>
    <x v="222"/>
    <x v="3"/>
    <x v="0"/>
    <x v="4"/>
    <x v="1420"/>
    <n v="41.86"/>
    <n v="7"/>
    <n v="14.23"/>
  </r>
  <r>
    <d v="2017-11-04T00:00:00"/>
    <x v="672"/>
    <x v="0"/>
    <x v="0"/>
    <x v="3"/>
    <x v="1421"/>
    <n v="11.36"/>
    <n v="3"/>
    <n v="-17.05"/>
  </r>
  <r>
    <d v="2017-11-04T00:00:00"/>
    <x v="186"/>
    <x v="16"/>
    <x v="0"/>
    <x v="2"/>
    <x v="862"/>
    <n v="16.77"/>
    <n v="2"/>
    <n v="1.47"/>
  </r>
  <r>
    <d v="2017-11-04T00:00:00"/>
    <x v="186"/>
    <x v="16"/>
    <x v="2"/>
    <x v="9"/>
    <x v="129"/>
    <n v="27.12"/>
    <n v="2"/>
    <n v="-4.75"/>
  </r>
  <r>
    <d v="2017-11-04T00:00:00"/>
    <x v="450"/>
    <x v="15"/>
    <x v="0"/>
    <x v="4"/>
    <x v="1422"/>
    <n v="1.75"/>
    <n v="1"/>
    <n v="0.15"/>
  </r>
  <r>
    <d v="2017-11-04T00:00:00"/>
    <x v="450"/>
    <x v="15"/>
    <x v="0"/>
    <x v="4"/>
    <x v="115"/>
    <n v="20.99"/>
    <n v="8"/>
    <n v="2.36"/>
  </r>
  <r>
    <d v="2017-12-04T00:00:00"/>
    <x v="420"/>
    <x v="40"/>
    <x v="0"/>
    <x v="3"/>
    <x v="176"/>
    <n v="29.7"/>
    <n v="5"/>
    <n v="13.37"/>
  </r>
  <r>
    <d v="2017-12-04T00:00:00"/>
    <x v="420"/>
    <x v="40"/>
    <x v="0"/>
    <x v="0"/>
    <x v="1423"/>
    <n v="39.96"/>
    <n v="4"/>
    <n v="17.98"/>
  </r>
  <r>
    <d v="2017-01-05T00:00:00"/>
    <x v="535"/>
    <x v="29"/>
    <x v="2"/>
    <x v="9"/>
    <x v="478"/>
    <n v="48.9"/>
    <n v="5"/>
    <n v="18.09"/>
  </r>
  <r>
    <d v="2017-01-05T00:00:00"/>
    <x v="537"/>
    <x v="9"/>
    <x v="0"/>
    <x v="14"/>
    <x v="1424"/>
    <n v="3.33"/>
    <n v="2"/>
    <n v="0.42"/>
  </r>
  <r>
    <d v="2017-01-05T00:00:00"/>
    <x v="537"/>
    <x v="9"/>
    <x v="1"/>
    <x v="10"/>
    <x v="664"/>
    <n v="933.26"/>
    <n v="4"/>
    <n v="-458.15"/>
  </r>
  <r>
    <d v="2017-01-05T00:00:00"/>
    <x v="537"/>
    <x v="9"/>
    <x v="1"/>
    <x v="5"/>
    <x v="455"/>
    <n v="2803.92"/>
    <n v="5"/>
    <n v="0"/>
  </r>
  <r>
    <d v="2017-01-05T00:00:00"/>
    <x v="430"/>
    <x v="9"/>
    <x v="1"/>
    <x v="12"/>
    <x v="1120"/>
    <n v="314.35000000000002"/>
    <n v="3"/>
    <n v="-15.72"/>
  </r>
  <r>
    <d v="2017-01-05T00:00:00"/>
    <x v="430"/>
    <x v="9"/>
    <x v="0"/>
    <x v="1"/>
    <x v="629"/>
    <n v="4.6100000000000003"/>
    <n v="2"/>
    <n v="1.5"/>
  </r>
  <r>
    <d v="2017-02-05T00:00:00"/>
    <x v="593"/>
    <x v="11"/>
    <x v="1"/>
    <x v="8"/>
    <x v="644"/>
    <n v="129.93"/>
    <n v="3"/>
    <n v="12.99"/>
  </r>
  <r>
    <d v="2017-02-05T00:00:00"/>
    <x v="294"/>
    <x v="3"/>
    <x v="2"/>
    <x v="9"/>
    <x v="1051"/>
    <n v="159.56"/>
    <n v="4"/>
    <n v="59.04"/>
  </r>
  <r>
    <d v="2017-02-05T00:00:00"/>
    <x v="673"/>
    <x v="3"/>
    <x v="0"/>
    <x v="0"/>
    <x v="172"/>
    <n v="15.7"/>
    <n v="5"/>
    <n v="7.07"/>
  </r>
  <r>
    <d v="2017-02-05T00:00:00"/>
    <x v="673"/>
    <x v="3"/>
    <x v="0"/>
    <x v="4"/>
    <x v="659"/>
    <n v="59.52"/>
    <n v="3"/>
    <n v="15.48"/>
  </r>
  <r>
    <d v="2017-02-05T00:00:00"/>
    <x v="673"/>
    <x v="3"/>
    <x v="0"/>
    <x v="0"/>
    <x v="1033"/>
    <n v="34.4"/>
    <n v="5"/>
    <n v="15.82"/>
  </r>
  <r>
    <d v="2017-03-05T00:00:00"/>
    <x v="284"/>
    <x v="3"/>
    <x v="0"/>
    <x v="2"/>
    <x v="501"/>
    <n v="69.52"/>
    <n v="2"/>
    <n v="19.47"/>
  </r>
  <r>
    <d v="2017-03-05T00:00:00"/>
    <x v="284"/>
    <x v="3"/>
    <x v="0"/>
    <x v="2"/>
    <x v="1425"/>
    <n v="763.44"/>
    <n v="8"/>
    <n v="45.81"/>
  </r>
  <r>
    <d v="2017-03-05T00:00:00"/>
    <x v="631"/>
    <x v="3"/>
    <x v="0"/>
    <x v="0"/>
    <x v="1058"/>
    <n v="25.92"/>
    <n v="4"/>
    <n v="12.44"/>
  </r>
  <r>
    <d v="2017-03-05T00:00:00"/>
    <x v="631"/>
    <x v="3"/>
    <x v="0"/>
    <x v="4"/>
    <x v="173"/>
    <n v="22.96"/>
    <n v="7"/>
    <n v="6.66"/>
  </r>
  <r>
    <d v="2017-03-05T00:00:00"/>
    <x v="516"/>
    <x v="2"/>
    <x v="1"/>
    <x v="8"/>
    <x v="1426"/>
    <n v="32.450000000000003"/>
    <n v="2"/>
    <n v="7.3"/>
  </r>
  <r>
    <d v="2017-03-05T00:00:00"/>
    <x v="516"/>
    <x v="2"/>
    <x v="0"/>
    <x v="3"/>
    <x v="178"/>
    <n v="26.39"/>
    <n v="4"/>
    <n v="-17.59"/>
  </r>
  <r>
    <d v="2017-03-05T00:00:00"/>
    <x v="516"/>
    <x v="2"/>
    <x v="1"/>
    <x v="10"/>
    <x v="145"/>
    <n v="373.47"/>
    <n v="5"/>
    <n v="-112.04"/>
  </r>
  <r>
    <d v="2017-03-05T00:00:00"/>
    <x v="516"/>
    <x v="2"/>
    <x v="0"/>
    <x v="3"/>
    <x v="778"/>
    <n v="64.2"/>
    <n v="5"/>
    <n v="-44.94"/>
  </r>
  <r>
    <d v="2017-03-05T00:00:00"/>
    <x v="516"/>
    <x v="2"/>
    <x v="0"/>
    <x v="7"/>
    <x v="419"/>
    <n v="8"/>
    <n v="2"/>
    <n v="2.8"/>
  </r>
  <r>
    <d v="2017-04-05T00:00:00"/>
    <x v="559"/>
    <x v="3"/>
    <x v="2"/>
    <x v="6"/>
    <x v="1427"/>
    <n v="183.96"/>
    <n v="5"/>
    <n v="20.7"/>
  </r>
  <r>
    <d v="2017-04-05T00:00:00"/>
    <x v="559"/>
    <x v="3"/>
    <x v="0"/>
    <x v="0"/>
    <x v="792"/>
    <n v="17.61"/>
    <n v="3"/>
    <n v="8.4499999999999993"/>
  </r>
  <r>
    <d v="2017-04-05T00:00:00"/>
    <x v="559"/>
    <x v="3"/>
    <x v="1"/>
    <x v="10"/>
    <x v="643"/>
    <n v="300.89999999999998"/>
    <n v="1"/>
    <n v="11.28"/>
  </r>
  <r>
    <d v="2017-04-05T00:00:00"/>
    <x v="631"/>
    <x v="6"/>
    <x v="0"/>
    <x v="0"/>
    <x v="1044"/>
    <n v="9.11"/>
    <n v="1"/>
    <n v="4.0999999999999996"/>
  </r>
  <r>
    <d v="2017-04-05T00:00:00"/>
    <x v="631"/>
    <x v="6"/>
    <x v="0"/>
    <x v="2"/>
    <x v="988"/>
    <n v="571.44000000000005"/>
    <n v="4"/>
    <n v="165.72"/>
  </r>
  <r>
    <d v="2017-04-05T00:00:00"/>
    <x v="631"/>
    <x v="6"/>
    <x v="0"/>
    <x v="0"/>
    <x v="1322"/>
    <n v="32.4"/>
    <n v="5"/>
    <n v="15.55"/>
  </r>
  <r>
    <d v="2017-04-05T00:00:00"/>
    <x v="631"/>
    <x v="6"/>
    <x v="0"/>
    <x v="2"/>
    <x v="1428"/>
    <n v="16.91"/>
    <n v="1"/>
    <n v="4.57"/>
  </r>
  <r>
    <d v="2017-04-05T00:00:00"/>
    <x v="257"/>
    <x v="16"/>
    <x v="0"/>
    <x v="3"/>
    <x v="245"/>
    <n v="2.31"/>
    <n v="1"/>
    <n v="-1.93"/>
  </r>
  <r>
    <d v="2017-04-05T00:00:00"/>
    <x v="546"/>
    <x v="2"/>
    <x v="0"/>
    <x v="3"/>
    <x v="1372"/>
    <n v="2.2000000000000002"/>
    <n v="2"/>
    <n v="-1.54"/>
  </r>
  <r>
    <d v="2017-04-05T00:00:00"/>
    <x v="546"/>
    <x v="2"/>
    <x v="0"/>
    <x v="3"/>
    <x v="1378"/>
    <n v="9.4"/>
    <n v="3"/>
    <n v="-7.52"/>
  </r>
  <r>
    <d v="2017-04-05T00:00:00"/>
    <x v="215"/>
    <x v="3"/>
    <x v="0"/>
    <x v="13"/>
    <x v="817"/>
    <n v="243.16"/>
    <n v="2"/>
    <n v="72.95"/>
  </r>
  <r>
    <d v="2017-05-05T00:00:00"/>
    <x v="411"/>
    <x v="3"/>
    <x v="0"/>
    <x v="11"/>
    <x v="1429"/>
    <n v="23.16"/>
    <n v="2"/>
    <n v="11.58"/>
  </r>
  <r>
    <d v="2017-05-05T00:00:00"/>
    <x v="202"/>
    <x v="19"/>
    <x v="0"/>
    <x v="11"/>
    <x v="960"/>
    <n v="21.24"/>
    <n v="9"/>
    <n v="7.43"/>
  </r>
  <r>
    <d v="2017-05-05T00:00:00"/>
    <x v="202"/>
    <x v="19"/>
    <x v="0"/>
    <x v="3"/>
    <x v="866"/>
    <n v="9.5500000000000007"/>
    <n v="8"/>
    <n v="-7.32"/>
  </r>
  <r>
    <d v="2017-05-05T00:00:00"/>
    <x v="202"/>
    <x v="19"/>
    <x v="1"/>
    <x v="12"/>
    <x v="192"/>
    <n v="89.99"/>
    <n v="3"/>
    <n v="-152.97999999999999"/>
  </r>
  <r>
    <d v="2017-05-05T00:00:00"/>
    <x v="325"/>
    <x v="4"/>
    <x v="0"/>
    <x v="3"/>
    <x v="620"/>
    <n v="34.5"/>
    <n v="3"/>
    <n v="15.53"/>
  </r>
  <r>
    <d v="2017-05-05T00:00:00"/>
    <x v="96"/>
    <x v="12"/>
    <x v="0"/>
    <x v="0"/>
    <x v="1111"/>
    <n v="6.68"/>
    <n v="1"/>
    <n v="3.21"/>
  </r>
  <r>
    <d v="2017-06-05T00:00:00"/>
    <x v="589"/>
    <x v="1"/>
    <x v="0"/>
    <x v="4"/>
    <x v="1234"/>
    <n v="6.41"/>
    <n v="3"/>
    <n v="0.64"/>
  </r>
  <r>
    <d v="2017-06-05T00:00:00"/>
    <x v="589"/>
    <x v="1"/>
    <x v="2"/>
    <x v="9"/>
    <x v="127"/>
    <n v="408.74"/>
    <n v="7"/>
    <n v="76.64"/>
  </r>
  <r>
    <d v="2017-06-05T00:00:00"/>
    <x v="571"/>
    <x v="12"/>
    <x v="0"/>
    <x v="1"/>
    <x v="649"/>
    <n v="59.2"/>
    <n v="4"/>
    <n v="29.6"/>
  </r>
  <r>
    <d v="2017-06-05T00:00:00"/>
    <x v="166"/>
    <x v="6"/>
    <x v="0"/>
    <x v="4"/>
    <x v="400"/>
    <n v="54.66"/>
    <n v="6"/>
    <n v="18.04"/>
  </r>
  <r>
    <d v="2017-06-05T00:00:00"/>
    <x v="244"/>
    <x v="0"/>
    <x v="0"/>
    <x v="3"/>
    <x v="26"/>
    <n v="11.06"/>
    <n v="10"/>
    <n v="-18.8"/>
  </r>
  <r>
    <d v="2017-06-05T00:00:00"/>
    <x v="244"/>
    <x v="0"/>
    <x v="1"/>
    <x v="12"/>
    <x v="550"/>
    <n v="623.46"/>
    <n v="7"/>
    <n v="-119.19"/>
  </r>
  <r>
    <d v="2017-06-05T00:00:00"/>
    <x v="244"/>
    <x v="0"/>
    <x v="0"/>
    <x v="2"/>
    <x v="475"/>
    <n v="772.68"/>
    <n v="5"/>
    <n v="-57.95"/>
  </r>
  <r>
    <d v="2017-06-05T00:00:00"/>
    <x v="2"/>
    <x v="15"/>
    <x v="0"/>
    <x v="3"/>
    <x v="230"/>
    <n v="68.540000000000006"/>
    <n v="11"/>
    <n v="-52.55"/>
  </r>
  <r>
    <d v="2017-06-05T00:00:00"/>
    <x v="2"/>
    <x v="15"/>
    <x v="2"/>
    <x v="6"/>
    <x v="10"/>
    <n v="627.16999999999996"/>
    <n v="4"/>
    <n v="70.56"/>
  </r>
  <r>
    <d v="2017-06-05T00:00:00"/>
    <x v="2"/>
    <x v="15"/>
    <x v="0"/>
    <x v="1"/>
    <x v="1399"/>
    <n v="122.12"/>
    <n v="5"/>
    <n v="39.69"/>
  </r>
  <r>
    <d v="2017-06-05T00:00:00"/>
    <x v="330"/>
    <x v="3"/>
    <x v="0"/>
    <x v="13"/>
    <x v="324"/>
    <n v="152.94"/>
    <n v="3"/>
    <n v="41.29"/>
  </r>
  <r>
    <d v="2017-06-05T00:00:00"/>
    <x v="423"/>
    <x v="23"/>
    <x v="0"/>
    <x v="0"/>
    <x v="1034"/>
    <n v="84.42"/>
    <n v="4"/>
    <n v="27.44"/>
  </r>
  <r>
    <d v="2017-06-05T00:00:00"/>
    <x v="455"/>
    <x v="1"/>
    <x v="2"/>
    <x v="9"/>
    <x v="1112"/>
    <n v="191.97"/>
    <n v="4"/>
    <n v="28.8"/>
  </r>
  <r>
    <d v="2017-07-05T00:00:00"/>
    <x v="328"/>
    <x v="18"/>
    <x v="1"/>
    <x v="5"/>
    <x v="788"/>
    <n v="1458.65"/>
    <n v="5"/>
    <n v="423.01"/>
  </r>
  <r>
    <d v="2017-07-05T00:00:00"/>
    <x v="328"/>
    <x v="18"/>
    <x v="1"/>
    <x v="5"/>
    <x v="1430"/>
    <n v="26.64"/>
    <n v="1"/>
    <n v="7.46"/>
  </r>
  <r>
    <d v="2017-07-05T00:00:00"/>
    <x v="328"/>
    <x v="18"/>
    <x v="1"/>
    <x v="5"/>
    <x v="961"/>
    <n v="476.8"/>
    <n v="2"/>
    <n v="119.2"/>
  </r>
  <r>
    <d v="2017-07-05T00:00:00"/>
    <x v="328"/>
    <x v="18"/>
    <x v="0"/>
    <x v="13"/>
    <x v="1431"/>
    <n v="87.44"/>
    <n v="2"/>
    <n v="18.46"/>
  </r>
  <r>
    <d v="2017-07-05T00:00:00"/>
    <x v="595"/>
    <x v="3"/>
    <x v="2"/>
    <x v="9"/>
    <x v="103"/>
    <n v="79.989999999999995"/>
    <n v="1"/>
    <n v="28.8"/>
  </r>
  <r>
    <d v="2017-07-05T00:00:00"/>
    <x v="121"/>
    <x v="3"/>
    <x v="2"/>
    <x v="6"/>
    <x v="1432"/>
    <n v="419.94"/>
    <n v="7"/>
    <n v="52.49"/>
  </r>
  <r>
    <d v="2017-08-05T00:00:00"/>
    <x v="270"/>
    <x v="16"/>
    <x v="1"/>
    <x v="5"/>
    <x v="757"/>
    <n v="47.99"/>
    <n v="2"/>
    <n v="-2.06"/>
  </r>
  <r>
    <d v="2017-08-05T00:00:00"/>
    <x v="620"/>
    <x v="3"/>
    <x v="2"/>
    <x v="15"/>
    <x v="273"/>
    <n v="3359.95"/>
    <n v="6"/>
    <n v="1049.99"/>
  </r>
  <r>
    <d v="2017-08-05T00:00:00"/>
    <x v="651"/>
    <x v="2"/>
    <x v="1"/>
    <x v="5"/>
    <x v="944"/>
    <n v="128.06"/>
    <n v="3"/>
    <n v="-23.78"/>
  </r>
  <r>
    <d v="2017-08-05T00:00:00"/>
    <x v="76"/>
    <x v="3"/>
    <x v="0"/>
    <x v="13"/>
    <x v="263"/>
    <n v="81.08"/>
    <n v="4"/>
    <n v="22.7"/>
  </r>
  <r>
    <d v="2017-08-05T00:00:00"/>
    <x v="142"/>
    <x v="0"/>
    <x v="0"/>
    <x v="0"/>
    <x v="706"/>
    <n v="41.47"/>
    <n v="8"/>
    <n v="14.52"/>
  </r>
  <r>
    <d v="2017-09-05T00:00:00"/>
    <x v="288"/>
    <x v="15"/>
    <x v="0"/>
    <x v="11"/>
    <x v="907"/>
    <n v="65.23"/>
    <n v="3"/>
    <n v="22.02"/>
  </r>
  <r>
    <d v="2017-09-05T00:00:00"/>
    <x v="288"/>
    <x v="15"/>
    <x v="1"/>
    <x v="5"/>
    <x v="50"/>
    <n v="207"/>
    <n v="3"/>
    <n v="25.88"/>
  </r>
  <r>
    <d v="2017-09-05T00:00:00"/>
    <x v="596"/>
    <x v="10"/>
    <x v="0"/>
    <x v="3"/>
    <x v="1103"/>
    <n v="147.91999999999999"/>
    <n v="5"/>
    <n v="46.23"/>
  </r>
  <r>
    <d v="2017-09-05T00:00:00"/>
    <x v="596"/>
    <x v="10"/>
    <x v="0"/>
    <x v="2"/>
    <x v="1433"/>
    <n v="104.28"/>
    <n v="3"/>
    <n v="26.07"/>
  </r>
  <r>
    <d v="2017-09-05T00:00:00"/>
    <x v="596"/>
    <x v="10"/>
    <x v="1"/>
    <x v="10"/>
    <x v="398"/>
    <n v="286.85000000000002"/>
    <n v="1"/>
    <n v="63.11"/>
  </r>
  <r>
    <d v="2017-09-05T00:00:00"/>
    <x v="596"/>
    <x v="10"/>
    <x v="0"/>
    <x v="2"/>
    <x v="94"/>
    <n v="66.959999999999994"/>
    <n v="4"/>
    <n v="2.68"/>
  </r>
  <r>
    <d v="2017-09-05T00:00:00"/>
    <x v="596"/>
    <x v="10"/>
    <x v="2"/>
    <x v="9"/>
    <x v="136"/>
    <n v="199.98"/>
    <n v="2"/>
    <n v="87.99"/>
  </r>
  <r>
    <d v="2017-11-05T00:00:00"/>
    <x v="626"/>
    <x v="10"/>
    <x v="0"/>
    <x v="0"/>
    <x v="1434"/>
    <n v="37.44"/>
    <n v="6"/>
    <n v="16.850000000000001"/>
  </r>
  <r>
    <d v="2017-11-05T00:00:00"/>
    <x v="626"/>
    <x v="10"/>
    <x v="0"/>
    <x v="1"/>
    <x v="840"/>
    <n v="37.590000000000003"/>
    <n v="3"/>
    <n v="17.670000000000002"/>
  </r>
  <r>
    <d v="2017-11-05T00:00:00"/>
    <x v="626"/>
    <x v="10"/>
    <x v="0"/>
    <x v="3"/>
    <x v="532"/>
    <n v="26.03"/>
    <n v="2"/>
    <n v="9.44"/>
  </r>
  <r>
    <d v="2017-11-05T00:00:00"/>
    <x v="256"/>
    <x v="0"/>
    <x v="0"/>
    <x v="4"/>
    <x v="1435"/>
    <n v="5.25"/>
    <n v="2"/>
    <n v="0.59"/>
  </r>
  <r>
    <d v="2017-11-05T00:00:00"/>
    <x v="256"/>
    <x v="0"/>
    <x v="0"/>
    <x v="2"/>
    <x v="108"/>
    <n v="74.42"/>
    <n v="2"/>
    <n v="-14.88"/>
  </r>
  <r>
    <d v="2017-11-05T00:00:00"/>
    <x v="256"/>
    <x v="0"/>
    <x v="0"/>
    <x v="0"/>
    <x v="1436"/>
    <n v="6.85"/>
    <n v="2"/>
    <n v="2.14"/>
  </r>
  <r>
    <d v="2017-11-05T00:00:00"/>
    <x v="256"/>
    <x v="0"/>
    <x v="1"/>
    <x v="8"/>
    <x v="386"/>
    <n v="8"/>
    <n v="1"/>
    <n v="-7"/>
  </r>
  <r>
    <d v="2017-11-05T00:00:00"/>
    <x v="407"/>
    <x v="23"/>
    <x v="1"/>
    <x v="12"/>
    <x v="192"/>
    <n v="209.98"/>
    <n v="7"/>
    <n v="-356.96"/>
  </r>
  <r>
    <d v="2017-11-05T00:00:00"/>
    <x v="533"/>
    <x v="12"/>
    <x v="0"/>
    <x v="4"/>
    <x v="1437"/>
    <n v="43.92"/>
    <n v="3"/>
    <n v="12.74"/>
  </r>
  <r>
    <d v="2017-12-05T00:00:00"/>
    <x v="150"/>
    <x v="0"/>
    <x v="0"/>
    <x v="2"/>
    <x v="269"/>
    <n v="127.92"/>
    <n v="5"/>
    <n v="-15.99"/>
  </r>
  <r>
    <d v="2017-12-05T00:00:00"/>
    <x v="150"/>
    <x v="0"/>
    <x v="0"/>
    <x v="3"/>
    <x v="778"/>
    <n v="34.24"/>
    <n v="4"/>
    <n v="-53.07"/>
  </r>
  <r>
    <d v="2017-12-05T00:00:00"/>
    <x v="43"/>
    <x v="20"/>
    <x v="0"/>
    <x v="0"/>
    <x v="1438"/>
    <n v="87.6"/>
    <n v="5"/>
    <n v="42.05"/>
  </r>
  <r>
    <d v="2017-12-05T00:00:00"/>
    <x v="400"/>
    <x v="16"/>
    <x v="0"/>
    <x v="4"/>
    <x v="1439"/>
    <n v="10.27"/>
    <n v="3"/>
    <n v="1.1599999999999999"/>
  </r>
  <r>
    <d v="2017-12-05T00:00:00"/>
    <x v="181"/>
    <x v="3"/>
    <x v="0"/>
    <x v="14"/>
    <x v="451"/>
    <n v="238.62"/>
    <n v="2"/>
    <n v="4.7699999999999996"/>
  </r>
  <r>
    <d v="2017-12-05T00:00:00"/>
    <x v="181"/>
    <x v="3"/>
    <x v="0"/>
    <x v="13"/>
    <x v="1440"/>
    <n v="7.77"/>
    <n v="1"/>
    <n v="2.1"/>
  </r>
  <r>
    <d v="2017-12-05T00:00:00"/>
    <x v="181"/>
    <x v="3"/>
    <x v="1"/>
    <x v="10"/>
    <x v="823"/>
    <n v="285.48"/>
    <n v="5"/>
    <n v="-10.71"/>
  </r>
  <r>
    <d v="2017-12-05T00:00:00"/>
    <x v="181"/>
    <x v="3"/>
    <x v="0"/>
    <x v="3"/>
    <x v="871"/>
    <n v="19.170000000000002"/>
    <n v="4"/>
    <n v="6.47"/>
  </r>
  <r>
    <d v="2017-12-05T00:00:00"/>
    <x v="394"/>
    <x v="16"/>
    <x v="0"/>
    <x v="1"/>
    <x v="369"/>
    <n v="5.9"/>
    <n v="2"/>
    <n v="1.99"/>
  </r>
  <r>
    <d v="2017-12-05T00:00:00"/>
    <x v="512"/>
    <x v="11"/>
    <x v="1"/>
    <x v="8"/>
    <x v="1441"/>
    <n v="42.85"/>
    <n v="5"/>
    <n v="15.43"/>
  </r>
  <r>
    <d v="2017-12-05T00:00:00"/>
    <x v="512"/>
    <x v="11"/>
    <x v="0"/>
    <x v="1"/>
    <x v="467"/>
    <n v="6.16"/>
    <n v="2"/>
    <n v="2.96"/>
  </r>
  <r>
    <d v="2017-12-05T00:00:00"/>
    <x v="512"/>
    <x v="11"/>
    <x v="0"/>
    <x v="14"/>
    <x v="959"/>
    <n v="17"/>
    <n v="2"/>
    <n v="4.42"/>
  </r>
  <r>
    <d v="2017-12-05T00:00:00"/>
    <x v="512"/>
    <x v="11"/>
    <x v="2"/>
    <x v="9"/>
    <x v="1442"/>
    <n v="87.4"/>
    <n v="5"/>
    <n v="34.96"/>
  </r>
  <r>
    <d v="2017-01-06T00:00:00"/>
    <x v="464"/>
    <x v="16"/>
    <x v="0"/>
    <x v="13"/>
    <x v="1443"/>
    <n v="17.48"/>
    <n v="5"/>
    <n v="1.31"/>
  </r>
  <r>
    <d v="2017-01-06T00:00:00"/>
    <x v="674"/>
    <x v="16"/>
    <x v="0"/>
    <x v="3"/>
    <x v="61"/>
    <n v="3.8"/>
    <n v="2"/>
    <n v="-2.66"/>
  </r>
  <r>
    <d v="2017-01-06T00:00:00"/>
    <x v="674"/>
    <x v="16"/>
    <x v="0"/>
    <x v="0"/>
    <x v="1326"/>
    <n v="27.74"/>
    <n v="6"/>
    <n v="10.06"/>
  </r>
  <r>
    <d v="2017-01-06T00:00:00"/>
    <x v="674"/>
    <x v="16"/>
    <x v="2"/>
    <x v="6"/>
    <x v="1002"/>
    <n v="158.38"/>
    <n v="4"/>
    <n v="-34.31"/>
  </r>
  <r>
    <d v="2017-01-06T00:00:00"/>
    <x v="561"/>
    <x v="37"/>
    <x v="0"/>
    <x v="3"/>
    <x v="29"/>
    <n v="53.9"/>
    <n v="5"/>
    <n v="25.87"/>
  </r>
  <r>
    <d v="2017-01-06T00:00:00"/>
    <x v="421"/>
    <x v="2"/>
    <x v="0"/>
    <x v="2"/>
    <x v="1095"/>
    <n v="324.74"/>
    <n v="3"/>
    <n v="-77.13"/>
  </r>
  <r>
    <d v="2017-01-06T00:00:00"/>
    <x v="675"/>
    <x v="26"/>
    <x v="1"/>
    <x v="5"/>
    <x v="598"/>
    <n v="1925.88"/>
    <n v="6"/>
    <n v="539.25"/>
  </r>
  <r>
    <d v="2017-01-06T00:00:00"/>
    <x v="675"/>
    <x v="26"/>
    <x v="0"/>
    <x v="13"/>
    <x v="208"/>
    <n v="2405.1999999999998"/>
    <n v="8"/>
    <n v="793.72"/>
  </r>
  <r>
    <d v="2017-01-06T00:00:00"/>
    <x v="675"/>
    <x v="26"/>
    <x v="2"/>
    <x v="9"/>
    <x v="1404"/>
    <n v="83.97"/>
    <n v="3"/>
    <n v="15.95"/>
  </r>
  <r>
    <d v="2017-01-06T00:00:00"/>
    <x v="675"/>
    <x v="26"/>
    <x v="2"/>
    <x v="9"/>
    <x v="1051"/>
    <n v="39.89"/>
    <n v="1"/>
    <n v="14.76"/>
  </r>
  <r>
    <d v="2017-01-06T00:00:00"/>
    <x v="675"/>
    <x v="26"/>
    <x v="0"/>
    <x v="3"/>
    <x v="719"/>
    <n v="17.38"/>
    <n v="2"/>
    <n v="8.69"/>
  </r>
  <r>
    <d v="2017-02-06T00:00:00"/>
    <x v="374"/>
    <x v="16"/>
    <x v="2"/>
    <x v="6"/>
    <x v="720"/>
    <n v="2.97"/>
    <n v="1"/>
    <n v="-0.64"/>
  </r>
  <r>
    <d v="2017-02-06T00:00:00"/>
    <x v="374"/>
    <x v="16"/>
    <x v="0"/>
    <x v="2"/>
    <x v="790"/>
    <n v="27.44"/>
    <n v="2"/>
    <n v="2.4"/>
  </r>
  <r>
    <d v="2017-02-06T00:00:00"/>
    <x v="228"/>
    <x v="23"/>
    <x v="0"/>
    <x v="0"/>
    <x v="562"/>
    <n v="25.34"/>
    <n v="6"/>
    <n v="7.92"/>
  </r>
  <r>
    <d v="2017-02-06T00:00:00"/>
    <x v="228"/>
    <x v="23"/>
    <x v="0"/>
    <x v="11"/>
    <x v="1159"/>
    <n v="43.92"/>
    <n v="5"/>
    <n v="15.92"/>
  </r>
  <r>
    <d v="2017-02-06T00:00:00"/>
    <x v="81"/>
    <x v="15"/>
    <x v="0"/>
    <x v="0"/>
    <x v="143"/>
    <n v="25.34"/>
    <n v="4"/>
    <n v="9.19"/>
  </r>
  <r>
    <d v="2017-02-06T00:00:00"/>
    <x v="355"/>
    <x v="0"/>
    <x v="0"/>
    <x v="0"/>
    <x v="1358"/>
    <n v="10.69"/>
    <n v="2"/>
    <n v="3.74"/>
  </r>
  <r>
    <d v="2017-03-06T00:00:00"/>
    <x v="128"/>
    <x v="31"/>
    <x v="1"/>
    <x v="8"/>
    <x v="1444"/>
    <n v="35.17"/>
    <n v="7"/>
    <n v="9.67"/>
  </r>
  <r>
    <d v="2017-03-06T00:00:00"/>
    <x v="90"/>
    <x v="10"/>
    <x v="2"/>
    <x v="9"/>
    <x v="1445"/>
    <n v="1099.5"/>
    <n v="10"/>
    <n v="362.84"/>
  </r>
  <r>
    <d v="2017-03-06T00:00:00"/>
    <x v="676"/>
    <x v="3"/>
    <x v="2"/>
    <x v="9"/>
    <x v="461"/>
    <n v="44.75"/>
    <n v="5"/>
    <n v="8.5"/>
  </r>
  <r>
    <d v="2017-03-06T00:00:00"/>
    <x v="676"/>
    <x v="3"/>
    <x v="0"/>
    <x v="0"/>
    <x v="100"/>
    <n v="11.96"/>
    <n v="2"/>
    <n v="5.38"/>
  </r>
  <r>
    <d v="2017-03-06T00:00:00"/>
    <x v="676"/>
    <x v="3"/>
    <x v="0"/>
    <x v="3"/>
    <x v="677"/>
    <n v="3.91"/>
    <n v="1"/>
    <n v="1.27"/>
  </r>
  <r>
    <d v="2017-03-06T00:00:00"/>
    <x v="120"/>
    <x v="9"/>
    <x v="0"/>
    <x v="3"/>
    <x v="672"/>
    <n v="4.55"/>
    <n v="3"/>
    <n v="-3.49"/>
  </r>
  <r>
    <d v="2017-03-06T00:00:00"/>
    <x v="120"/>
    <x v="9"/>
    <x v="0"/>
    <x v="13"/>
    <x v="314"/>
    <n v="5.2"/>
    <n v="2"/>
    <n v="0.59"/>
  </r>
  <r>
    <d v="2017-03-06T00:00:00"/>
    <x v="120"/>
    <x v="9"/>
    <x v="2"/>
    <x v="9"/>
    <x v="1267"/>
    <n v="205.99"/>
    <n v="1"/>
    <n v="-2.57"/>
  </r>
  <r>
    <d v="2017-03-06T00:00:00"/>
    <x v="120"/>
    <x v="9"/>
    <x v="0"/>
    <x v="0"/>
    <x v="1125"/>
    <n v="15.55"/>
    <n v="3"/>
    <n v="5.44"/>
  </r>
  <r>
    <d v="2017-03-06T00:00:00"/>
    <x v="120"/>
    <x v="9"/>
    <x v="2"/>
    <x v="6"/>
    <x v="754"/>
    <n v="503.96"/>
    <n v="5"/>
    <n v="50.4"/>
  </r>
  <r>
    <d v="2017-03-06T00:00:00"/>
    <x v="120"/>
    <x v="9"/>
    <x v="0"/>
    <x v="13"/>
    <x v="1443"/>
    <n v="24.47"/>
    <n v="7"/>
    <n v="1.84"/>
  </r>
  <r>
    <d v="2017-03-06T00:00:00"/>
    <x v="120"/>
    <x v="9"/>
    <x v="1"/>
    <x v="12"/>
    <x v="804"/>
    <n v="241.57"/>
    <n v="2"/>
    <n v="0"/>
  </r>
  <r>
    <d v="2017-03-06T00:00:00"/>
    <x v="120"/>
    <x v="9"/>
    <x v="2"/>
    <x v="9"/>
    <x v="489"/>
    <n v="110.4"/>
    <n v="2"/>
    <n v="-4.1399999999999997"/>
  </r>
  <r>
    <d v="2017-03-06T00:00:00"/>
    <x v="292"/>
    <x v="12"/>
    <x v="1"/>
    <x v="10"/>
    <x v="1217"/>
    <n v="384.77"/>
    <n v="2"/>
    <n v="-115.43"/>
  </r>
  <r>
    <d v="2017-03-06T00:00:00"/>
    <x v="292"/>
    <x v="12"/>
    <x v="2"/>
    <x v="16"/>
    <x v="1446"/>
    <n v="78.66"/>
    <n v="6"/>
    <n v="36.18"/>
  </r>
  <r>
    <d v="2017-03-06T00:00:00"/>
    <x v="292"/>
    <x v="12"/>
    <x v="0"/>
    <x v="0"/>
    <x v="832"/>
    <n v="45.36"/>
    <n v="4"/>
    <n v="22.23"/>
  </r>
  <r>
    <d v="2017-03-06T00:00:00"/>
    <x v="677"/>
    <x v="10"/>
    <x v="0"/>
    <x v="2"/>
    <x v="860"/>
    <n v="136.26"/>
    <n v="9"/>
    <n v="5.45"/>
  </r>
  <r>
    <d v="2017-04-06T00:00:00"/>
    <x v="559"/>
    <x v="15"/>
    <x v="1"/>
    <x v="8"/>
    <x v="386"/>
    <n v="31.98"/>
    <n v="2"/>
    <n v="2"/>
  </r>
  <r>
    <d v="2017-04-06T00:00:00"/>
    <x v="559"/>
    <x v="15"/>
    <x v="2"/>
    <x v="6"/>
    <x v="1447"/>
    <n v="71.98"/>
    <n v="2"/>
    <n v="25.19"/>
  </r>
  <r>
    <d v="2017-04-06T00:00:00"/>
    <x v="134"/>
    <x v="22"/>
    <x v="0"/>
    <x v="0"/>
    <x v="1434"/>
    <n v="12.48"/>
    <n v="2"/>
    <n v="5.62"/>
  </r>
  <r>
    <d v="2017-04-06T00:00:00"/>
    <x v="93"/>
    <x v="28"/>
    <x v="0"/>
    <x v="4"/>
    <x v="1448"/>
    <n v="8.64"/>
    <n v="3"/>
    <n v="2.5099999999999998"/>
  </r>
  <r>
    <d v="2017-04-06T00:00:00"/>
    <x v="678"/>
    <x v="0"/>
    <x v="0"/>
    <x v="3"/>
    <x v="235"/>
    <n v="6.37"/>
    <n v="7"/>
    <n v="-9.56"/>
  </r>
  <r>
    <d v="2017-04-06T00:00:00"/>
    <x v="307"/>
    <x v="29"/>
    <x v="0"/>
    <x v="3"/>
    <x v="1157"/>
    <n v="108.08"/>
    <n v="7"/>
    <n v="54.04"/>
  </r>
  <r>
    <d v="2017-04-06T00:00:00"/>
    <x v="307"/>
    <x v="29"/>
    <x v="0"/>
    <x v="3"/>
    <x v="1269"/>
    <n v="9.5399999999999991"/>
    <n v="3"/>
    <n v="4.3899999999999997"/>
  </r>
  <r>
    <d v="2017-04-06T00:00:00"/>
    <x v="679"/>
    <x v="0"/>
    <x v="1"/>
    <x v="8"/>
    <x v="438"/>
    <n v="30.34"/>
    <n v="6"/>
    <n v="-17.440000000000001"/>
  </r>
  <r>
    <d v="2017-05-06T00:00:00"/>
    <x v="474"/>
    <x v="0"/>
    <x v="2"/>
    <x v="6"/>
    <x v="701"/>
    <n v="470.38"/>
    <n v="3"/>
    <n v="52.92"/>
  </r>
  <r>
    <d v="2017-05-06T00:00:00"/>
    <x v="349"/>
    <x v="9"/>
    <x v="0"/>
    <x v="0"/>
    <x v="1121"/>
    <n v="20.74"/>
    <n v="4"/>
    <n v="7.26"/>
  </r>
  <r>
    <d v="2017-06-06T00:00:00"/>
    <x v="144"/>
    <x v="3"/>
    <x v="1"/>
    <x v="8"/>
    <x v="1449"/>
    <n v="4.95"/>
    <n v="1"/>
    <n v="2.1800000000000002"/>
  </r>
  <r>
    <d v="2017-06-06T00:00:00"/>
    <x v="144"/>
    <x v="3"/>
    <x v="0"/>
    <x v="2"/>
    <x v="1132"/>
    <n v="26.4"/>
    <n v="5"/>
    <n v="0"/>
  </r>
  <r>
    <d v="2017-08-06T00:00:00"/>
    <x v="129"/>
    <x v="0"/>
    <x v="0"/>
    <x v="13"/>
    <x v="1450"/>
    <n v="1.62"/>
    <n v="2"/>
    <n v="-4.47"/>
  </r>
  <r>
    <d v="2017-08-06T00:00:00"/>
    <x v="267"/>
    <x v="0"/>
    <x v="0"/>
    <x v="14"/>
    <x v="1451"/>
    <n v="23.76"/>
    <n v="3"/>
    <n v="2.08"/>
  </r>
  <r>
    <d v="2017-08-06T00:00:00"/>
    <x v="267"/>
    <x v="0"/>
    <x v="0"/>
    <x v="0"/>
    <x v="177"/>
    <n v="85.06"/>
    <n v="3"/>
    <n v="28.71"/>
  </r>
  <r>
    <d v="2017-08-06T00:00:00"/>
    <x v="267"/>
    <x v="0"/>
    <x v="2"/>
    <x v="6"/>
    <x v="1452"/>
    <n v="381.58"/>
    <n v="3"/>
    <n v="28.62"/>
  </r>
  <r>
    <d v="2017-08-06T00:00:00"/>
    <x v="218"/>
    <x v="27"/>
    <x v="0"/>
    <x v="3"/>
    <x v="449"/>
    <n v="10.36"/>
    <n v="2"/>
    <n v="5.08"/>
  </r>
  <r>
    <d v="2017-08-06T00:00:00"/>
    <x v="182"/>
    <x v="1"/>
    <x v="0"/>
    <x v="3"/>
    <x v="700"/>
    <n v="12.18"/>
    <n v="4"/>
    <n v="-18.87"/>
  </r>
  <r>
    <d v="2017-08-06T00:00:00"/>
    <x v="680"/>
    <x v="3"/>
    <x v="1"/>
    <x v="12"/>
    <x v="980"/>
    <n v="1497.67"/>
    <n v="2"/>
    <n v="140.96"/>
  </r>
  <r>
    <d v="2017-08-06T00:00:00"/>
    <x v="680"/>
    <x v="3"/>
    <x v="2"/>
    <x v="6"/>
    <x v="619"/>
    <n v="17.52"/>
    <n v="2"/>
    <n v="-3.5"/>
  </r>
  <r>
    <d v="2017-08-06T00:00:00"/>
    <x v="126"/>
    <x v="23"/>
    <x v="2"/>
    <x v="9"/>
    <x v="1453"/>
    <n v="89.54"/>
    <n v="7"/>
    <n v="12.31"/>
  </r>
  <r>
    <d v="2017-08-06T00:00:00"/>
    <x v="126"/>
    <x v="23"/>
    <x v="0"/>
    <x v="2"/>
    <x v="621"/>
    <n v="35.17"/>
    <n v="2"/>
    <n v="-8.35"/>
  </r>
  <r>
    <d v="2017-08-06T00:00:00"/>
    <x v="126"/>
    <x v="23"/>
    <x v="0"/>
    <x v="3"/>
    <x v="1454"/>
    <n v="72.59"/>
    <n v="2"/>
    <n v="-48.39"/>
  </r>
  <r>
    <d v="2017-09-06T00:00:00"/>
    <x v="677"/>
    <x v="1"/>
    <x v="1"/>
    <x v="8"/>
    <x v="603"/>
    <n v="23.98"/>
    <n v="3"/>
    <n v="-14.39"/>
  </r>
  <r>
    <d v="2017-09-06T00:00:00"/>
    <x v="677"/>
    <x v="1"/>
    <x v="1"/>
    <x v="10"/>
    <x v="128"/>
    <n v="108.93"/>
    <n v="1"/>
    <n v="-71.89"/>
  </r>
  <r>
    <d v="2017-09-06T00:00:00"/>
    <x v="677"/>
    <x v="1"/>
    <x v="0"/>
    <x v="0"/>
    <x v="1455"/>
    <n v="36.35"/>
    <n v="8"/>
    <n v="11.36"/>
  </r>
  <r>
    <d v="2017-09-06T00:00:00"/>
    <x v="368"/>
    <x v="0"/>
    <x v="0"/>
    <x v="2"/>
    <x v="622"/>
    <n v="720.76"/>
    <n v="5"/>
    <n v="54.06"/>
  </r>
  <r>
    <d v="2017-09-06T00:00:00"/>
    <x v="373"/>
    <x v="6"/>
    <x v="0"/>
    <x v="0"/>
    <x v="177"/>
    <n v="49.12"/>
    <n v="4"/>
    <n v="23.09"/>
  </r>
  <r>
    <d v="2017-10-06T00:00:00"/>
    <x v="594"/>
    <x v="3"/>
    <x v="0"/>
    <x v="1"/>
    <x v="430"/>
    <n v="29.6"/>
    <n v="2"/>
    <n v="14.8"/>
  </r>
  <r>
    <d v="2017-10-06T00:00:00"/>
    <x v="594"/>
    <x v="3"/>
    <x v="1"/>
    <x v="12"/>
    <x v="159"/>
    <n v="514.16999999999996"/>
    <n v="5"/>
    <n v="-30.25"/>
  </r>
  <r>
    <d v="2017-10-06T00:00:00"/>
    <x v="594"/>
    <x v="3"/>
    <x v="2"/>
    <x v="6"/>
    <x v="1456"/>
    <n v="279.95999999999998"/>
    <n v="5"/>
    <n v="17.5"/>
  </r>
  <r>
    <d v="2017-10-06T00:00:00"/>
    <x v="681"/>
    <x v="18"/>
    <x v="2"/>
    <x v="9"/>
    <x v="589"/>
    <n v="132.52000000000001"/>
    <n v="4"/>
    <n v="54.33"/>
  </r>
  <r>
    <d v="2017-10-06T00:00:00"/>
    <x v="182"/>
    <x v="3"/>
    <x v="0"/>
    <x v="4"/>
    <x v="1457"/>
    <n v="16.399999999999999"/>
    <n v="5"/>
    <n v="4.76"/>
  </r>
  <r>
    <d v="2017-10-06T00:00:00"/>
    <x v="629"/>
    <x v="2"/>
    <x v="0"/>
    <x v="0"/>
    <x v="1458"/>
    <n v="40.03"/>
    <n v="6"/>
    <n v="15.01"/>
  </r>
  <r>
    <d v="2017-10-06T00:00:00"/>
    <x v="16"/>
    <x v="9"/>
    <x v="0"/>
    <x v="2"/>
    <x v="1459"/>
    <n v="1347.52"/>
    <n v="8"/>
    <n v="84.22"/>
  </r>
  <r>
    <d v="2017-10-06T00:00:00"/>
    <x v="591"/>
    <x v="12"/>
    <x v="0"/>
    <x v="4"/>
    <x v="521"/>
    <n v="8.4"/>
    <n v="5"/>
    <n v="4.2"/>
  </r>
  <r>
    <d v="2017-10-06T00:00:00"/>
    <x v="420"/>
    <x v="10"/>
    <x v="2"/>
    <x v="6"/>
    <x v="262"/>
    <n v="88.78"/>
    <n v="3"/>
    <n v="7.77"/>
  </r>
  <r>
    <d v="2017-10-06T00:00:00"/>
    <x v="420"/>
    <x v="10"/>
    <x v="0"/>
    <x v="1"/>
    <x v="468"/>
    <n v="11.56"/>
    <n v="4"/>
    <n v="5.43"/>
  </r>
  <r>
    <d v="2017-10-06T00:00:00"/>
    <x v="420"/>
    <x v="10"/>
    <x v="0"/>
    <x v="2"/>
    <x v="1460"/>
    <n v="15.58"/>
    <n v="1"/>
    <n v="3.9"/>
  </r>
  <r>
    <d v="2017-10-06T00:00:00"/>
    <x v="682"/>
    <x v="3"/>
    <x v="0"/>
    <x v="4"/>
    <x v="1461"/>
    <n v="14.7"/>
    <n v="7"/>
    <n v="4.12"/>
  </r>
  <r>
    <d v="2017-10-06T00:00:00"/>
    <x v="683"/>
    <x v="12"/>
    <x v="0"/>
    <x v="7"/>
    <x v="49"/>
    <n v="14.13"/>
    <n v="3"/>
    <n v="0.71"/>
  </r>
  <r>
    <d v="2017-11-06T00:00:00"/>
    <x v="482"/>
    <x v="3"/>
    <x v="0"/>
    <x v="0"/>
    <x v="1065"/>
    <n v="122.97"/>
    <n v="3"/>
    <n v="60.26"/>
  </r>
  <r>
    <d v="2017-11-06T00:00:00"/>
    <x v="139"/>
    <x v="23"/>
    <x v="1"/>
    <x v="5"/>
    <x v="1462"/>
    <n v="280.79000000000002"/>
    <n v="1"/>
    <n v="35.1"/>
  </r>
  <r>
    <d v="2017-11-06T00:00:00"/>
    <x v="139"/>
    <x v="23"/>
    <x v="0"/>
    <x v="2"/>
    <x v="494"/>
    <n v="68.45"/>
    <n v="4"/>
    <n v="7.7"/>
  </r>
  <r>
    <d v="2017-11-06T00:00:00"/>
    <x v="139"/>
    <x v="23"/>
    <x v="0"/>
    <x v="4"/>
    <x v="1099"/>
    <n v="88.04"/>
    <n v="5"/>
    <n v="6.6"/>
  </r>
  <r>
    <d v="2017-11-06T00:00:00"/>
    <x v="139"/>
    <x v="23"/>
    <x v="0"/>
    <x v="4"/>
    <x v="106"/>
    <n v="15.87"/>
    <n v="1"/>
    <n v="1.98"/>
  </r>
  <r>
    <d v="2017-11-06T00:00:00"/>
    <x v="139"/>
    <x v="23"/>
    <x v="0"/>
    <x v="2"/>
    <x v="1463"/>
    <n v="215.59"/>
    <n v="3"/>
    <n v="-48.51"/>
  </r>
  <r>
    <d v="2017-11-06T00:00:00"/>
    <x v="29"/>
    <x v="22"/>
    <x v="0"/>
    <x v="4"/>
    <x v="502"/>
    <n v="3.76"/>
    <n v="2"/>
    <n v="1.0900000000000001"/>
  </r>
  <r>
    <d v="2017-11-06T00:00:00"/>
    <x v="13"/>
    <x v="10"/>
    <x v="0"/>
    <x v="0"/>
    <x v="1107"/>
    <n v="37.94"/>
    <n v="2"/>
    <n v="18.21"/>
  </r>
  <r>
    <d v="2017-11-06T00:00:00"/>
    <x v="13"/>
    <x v="10"/>
    <x v="0"/>
    <x v="3"/>
    <x v="1390"/>
    <n v="18.29"/>
    <n v="6"/>
    <n v="6.63"/>
  </r>
  <r>
    <d v="2017-11-06T00:00:00"/>
    <x v="13"/>
    <x v="10"/>
    <x v="2"/>
    <x v="16"/>
    <x v="1464"/>
    <n v="385.8"/>
    <n v="5"/>
    <n v="130.21"/>
  </r>
  <r>
    <d v="2017-11-06T00:00:00"/>
    <x v="13"/>
    <x v="10"/>
    <x v="0"/>
    <x v="2"/>
    <x v="1014"/>
    <n v="102.96"/>
    <n v="2"/>
    <n v="1.03"/>
  </r>
  <r>
    <d v="2017-11-06T00:00:00"/>
    <x v="13"/>
    <x v="10"/>
    <x v="1"/>
    <x v="12"/>
    <x v="1465"/>
    <n v="174.42"/>
    <n v="3"/>
    <n v="41.86"/>
  </r>
  <r>
    <d v="2017-11-06T00:00:00"/>
    <x v="547"/>
    <x v="3"/>
    <x v="0"/>
    <x v="13"/>
    <x v="443"/>
    <n v="61.44"/>
    <n v="3"/>
    <n v="16.59"/>
  </r>
  <r>
    <d v="2017-11-06T00:00:00"/>
    <x v="533"/>
    <x v="15"/>
    <x v="0"/>
    <x v="3"/>
    <x v="1188"/>
    <n v="4.57"/>
    <n v="4"/>
    <n v="-3.81"/>
  </r>
  <r>
    <d v="2017-12-06T00:00:00"/>
    <x v="5"/>
    <x v="4"/>
    <x v="0"/>
    <x v="3"/>
    <x v="1281"/>
    <n v="91.2"/>
    <n v="3"/>
    <n v="41.95"/>
  </r>
  <r>
    <d v="2017-12-06T00:00:00"/>
    <x v="5"/>
    <x v="4"/>
    <x v="1"/>
    <x v="10"/>
    <x v="940"/>
    <n v="452.94"/>
    <n v="3"/>
    <n v="67.94"/>
  </r>
  <r>
    <d v="2017-12-06T00:00:00"/>
    <x v="117"/>
    <x v="12"/>
    <x v="0"/>
    <x v="0"/>
    <x v="1466"/>
    <n v="19.04"/>
    <n v="4"/>
    <n v="9.33"/>
  </r>
  <r>
    <d v="2017-12-06T00:00:00"/>
    <x v="117"/>
    <x v="12"/>
    <x v="0"/>
    <x v="3"/>
    <x v="882"/>
    <n v="13.13"/>
    <n v="3"/>
    <n v="4.2699999999999996"/>
  </r>
  <r>
    <d v="2017-12-06T00:00:00"/>
    <x v="117"/>
    <x v="12"/>
    <x v="0"/>
    <x v="4"/>
    <x v="662"/>
    <n v="64.14"/>
    <n v="3"/>
    <n v="16.68"/>
  </r>
  <r>
    <d v="2017-12-06T00:00:00"/>
    <x v="117"/>
    <x v="12"/>
    <x v="1"/>
    <x v="5"/>
    <x v="961"/>
    <n v="858.24"/>
    <n v="4"/>
    <n v="143.04"/>
  </r>
  <r>
    <d v="2017-12-06T00:00:00"/>
    <x v="510"/>
    <x v="9"/>
    <x v="1"/>
    <x v="8"/>
    <x v="1467"/>
    <n v="17.09"/>
    <n v="2"/>
    <n v="1.07"/>
  </r>
  <r>
    <d v="2017-12-06T00:00:00"/>
    <x v="608"/>
    <x v="16"/>
    <x v="2"/>
    <x v="9"/>
    <x v="699"/>
    <n v="63.92"/>
    <n v="2"/>
    <n v="19.18"/>
  </r>
  <r>
    <d v="2017-12-06T00:00:00"/>
    <x v="684"/>
    <x v="10"/>
    <x v="2"/>
    <x v="6"/>
    <x v="1197"/>
    <n v="71.98"/>
    <n v="3"/>
    <n v="9"/>
  </r>
  <r>
    <d v="2017-12-06T00:00:00"/>
    <x v="684"/>
    <x v="10"/>
    <x v="0"/>
    <x v="0"/>
    <x v="1468"/>
    <n v="19.440000000000001"/>
    <n v="3"/>
    <n v="9.33"/>
  </r>
  <r>
    <d v="2017-12-06T00:00:00"/>
    <x v="606"/>
    <x v="1"/>
    <x v="1"/>
    <x v="8"/>
    <x v="831"/>
    <n v="8.86"/>
    <n v="3"/>
    <n v="-6.86"/>
  </r>
  <r>
    <d v="2017-01-07T00:00:00"/>
    <x v="539"/>
    <x v="26"/>
    <x v="0"/>
    <x v="2"/>
    <x v="497"/>
    <n v="443.92"/>
    <n v="4"/>
    <n v="13.32"/>
  </r>
  <r>
    <d v="2017-01-07T00:00:00"/>
    <x v="539"/>
    <x v="26"/>
    <x v="0"/>
    <x v="3"/>
    <x v="1352"/>
    <n v="169.99"/>
    <n v="1"/>
    <n v="78.2"/>
  </r>
  <r>
    <d v="2017-01-07T00:00:00"/>
    <x v="539"/>
    <x v="26"/>
    <x v="0"/>
    <x v="0"/>
    <x v="140"/>
    <n v="25.92"/>
    <n v="4"/>
    <n v="12.44"/>
  </r>
  <r>
    <d v="2017-02-07T00:00:00"/>
    <x v="668"/>
    <x v="0"/>
    <x v="0"/>
    <x v="0"/>
    <x v="1065"/>
    <n v="163.96"/>
    <n v="5"/>
    <n v="59.44"/>
  </r>
  <r>
    <d v="2017-02-07T00:00:00"/>
    <x v="668"/>
    <x v="0"/>
    <x v="0"/>
    <x v="3"/>
    <x v="272"/>
    <n v="5.23"/>
    <n v="4"/>
    <n v="-8.11"/>
  </r>
  <r>
    <d v="2017-03-07T00:00:00"/>
    <x v="685"/>
    <x v="4"/>
    <x v="1"/>
    <x v="8"/>
    <x v="1396"/>
    <n v="23.99"/>
    <n v="1"/>
    <n v="5.52"/>
  </r>
  <r>
    <d v="2017-03-07T00:00:00"/>
    <x v="685"/>
    <x v="4"/>
    <x v="2"/>
    <x v="6"/>
    <x v="156"/>
    <n v="287.97000000000003"/>
    <n v="3"/>
    <n v="77.75"/>
  </r>
  <r>
    <d v="2017-03-07T00:00:00"/>
    <x v="325"/>
    <x v="15"/>
    <x v="0"/>
    <x v="4"/>
    <x v="935"/>
    <n v="9.5500000000000007"/>
    <n v="3"/>
    <n v="1.55"/>
  </r>
  <r>
    <d v="2017-03-07T00:00:00"/>
    <x v="49"/>
    <x v="0"/>
    <x v="2"/>
    <x v="6"/>
    <x v="612"/>
    <n v="167.97"/>
    <n v="4"/>
    <n v="62.99"/>
  </r>
  <r>
    <d v="2017-03-07T00:00:00"/>
    <x v="65"/>
    <x v="0"/>
    <x v="0"/>
    <x v="0"/>
    <x v="73"/>
    <n v="273.89999999999998"/>
    <n v="7"/>
    <n v="92.44"/>
  </r>
  <r>
    <d v="2017-03-07T00:00:00"/>
    <x v="65"/>
    <x v="0"/>
    <x v="2"/>
    <x v="16"/>
    <x v="1469"/>
    <n v="597.13"/>
    <n v="3"/>
    <n v="49.76"/>
  </r>
  <r>
    <d v="2017-03-07T00:00:00"/>
    <x v="523"/>
    <x v="38"/>
    <x v="1"/>
    <x v="8"/>
    <x v="923"/>
    <n v="545.85"/>
    <n v="9"/>
    <n v="114.63"/>
  </r>
  <r>
    <d v="2017-03-07T00:00:00"/>
    <x v="197"/>
    <x v="16"/>
    <x v="0"/>
    <x v="0"/>
    <x v="0"/>
    <n v="32.9"/>
    <n v="4"/>
    <n v="11.1"/>
  </r>
  <r>
    <d v="2017-03-07T00:00:00"/>
    <x v="197"/>
    <x v="16"/>
    <x v="1"/>
    <x v="10"/>
    <x v="237"/>
    <n v="215.15"/>
    <n v="2"/>
    <n v="-103.99"/>
  </r>
  <r>
    <d v="2017-03-07T00:00:00"/>
    <x v="197"/>
    <x v="16"/>
    <x v="0"/>
    <x v="0"/>
    <x v="1238"/>
    <n v="30.96"/>
    <n v="6"/>
    <n v="11.22"/>
  </r>
  <r>
    <d v="2017-03-07T00:00:00"/>
    <x v="511"/>
    <x v="10"/>
    <x v="2"/>
    <x v="9"/>
    <x v="601"/>
    <n v="59.98"/>
    <n v="2"/>
    <n v="26.39"/>
  </r>
  <r>
    <d v="2017-03-07T00:00:00"/>
    <x v="511"/>
    <x v="10"/>
    <x v="2"/>
    <x v="16"/>
    <x v="1470"/>
    <n v="2395.1999999999998"/>
    <n v="6"/>
    <n v="209.58"/>
  </r>
  <r>
    <d v="2017-03-07T00:00:00"/>
    <x v="511"/>
    <x v="10"/>
    <x v="2"/>
    <x v="9"/>
    <x v="1232"/>
    <n v="1687.8"/>
    <n v="4"/>
    <n v="742.63"/>
  </r>
  <r>
    <d v="2017-03-07T00:00:00"/>
    <x v="511"/>
    <x v="10"/>
    <x v="2"/>
    <x v="6"/>
    <x v="1471"/>
    <n v="7.99"/>
    <n v="1"/>
    <n v="2.7"/>
  </r>
  <r>
    <d v="2017-03-07T00:00:00"/>
    <x v="360"/>
    <x v="20"/>
    <x v="2"/>
    <x v="9"/>
    <x v="863"/>
    <n v="258.89999999999998"/>
    <n v="10"/>
    <n v="93.2"/>
  </r>
  <r>
    <d v="2017-03-07T00:00:00"/>
    <x v="360"/>
    <x v="20"/>
    <x v="0"/>
    <x v="0"/>
    <x v="292"/>
    <n v="24.56"/>
    <n v="2"/>
    <n v="11.54"/>
  </r>
  <r>
    <d v="2017-03-07T00:00:00"/>
    <x v="170"/>
    <x v="3"/>
    <x v="1"/>
    <x v="8"/>
    <x v="1376"/>
    <n v="129.38999999999999"/>
    <n v="3"/>
    <n v="54.34"/>
  </r>
  <r>
    <d v="2017-03-07T00:00:00"/>
    <x v="49"/>
    <x v="3"/>
    <x v="0"/>
    <x v="2"/>
    <x v="621"/>
    <n v="87.92"/>
    <n v="4"/>
    <n v="0.88"/>
  </r>
  <r>
    <d v="2017-03-07T00:00:00"/>
    <x v="353"/>
    <x v="15"/>
    <x v="2"/>
    <x v="9"/>
    <x v="915"/>
    <n v="24"/>
    <n v="2"/>
    <n v="-2.7"/>
  </r>
  <r>
    <d v="2017-03-07T00:00:00"/>
    <x v="686"/>
    <x v="43"/>
    <x v="1"/>
    <x v="8"/>
    <x v="1414"/>
    <n v="102.3"/>
    <n v="1"/>
    <n v="26.6"/>
  </r>
  <r>
    <d v="2017-05-07T00:00:00"/>
    <x v="648"/>
    <x v="0"/>
    <x v="1"/>
    <x v="8"/>
    <x v="1061"/>
    <n v="332.03"/>
    <n v="9"/>
    <n v="-348.63"/>
  </r>
  <r>
    <d v="2017-05-07T00:00:00"/>
    <x v="648"/>
    <x v="0"/>
    <x v="0"/>
    <x v="3"/>
    <x v="61"/>
    <n v="11.39"/>
    <n v="9"/>
    <n v="-17.66"/>
  </r>
  <r>
    <d v="2017-05-07T00:00:00"/>
    <x v="648"/>
    <x v="0"/>
    <x v="0"/>
    <x v="0"/>
    <x v="1187"/>
    <n v="15.55"/>
    <n v="3"/>
    <n v="5.64"/>
  </r>
  <r>
    <d v="2017-05-07T00:00:00"/>
    <x v="648"/>
    <x v="0"/>
    <x v="0"/>
    <x v="0"/>
    <x v="111"/>
    <n v="31.1"/>
    <n v="6"/>
    <n v="11.28"/>
  </r>
  <r>
    <d v="2017-05-07T00:00:00"/>
    <x v="648"/>
    <x v="0"/>
    <x v="0"/>
    <x v="3"/>
    <x v="824"/>
    <n v="6.32"/>
    <n v="1"/>
    <n v="-10.42"/>
  </r>
  <r>
    <d v="2017-05-07T00:00:00"/>
    <x v="332"/>
    <x v="37"/>
    <x v="2"/>
    <x v="6"/>
    <x v="1227"/>
    <n v="79.959999999999994"/>
    <n v="4"/>
    <n v="22.39"/>
  </r>
  <r>
    <d v="2017-06-07T00:00:00"/>
    <x v="467"/>
    <x v="2"/>
    <x v="0"/>
    <x v="3"/>
    <x v="1213"/>
    <n v="2.95"/>
    <n v="2"/>
    <n v="-2.2599999999999998"/>
  </r>
  <r>
    <d v="2017-06-07T00:00:00"/>
    <x v="467"/>
    <x v="2"/>
    <x v="0"/>
    <x v="0"/>
    <x v="1472"/>
    <n v="16.059999999999999"/>
    <n v="3"/>
    <n v="5.82"/>
  </r>
  <r>
    <d v="2017-06-07T00:00:00"/>
    <x v="687"/>
    <x v="9"/>
    <x v="1"/>
    <x v="5"/>
    <x v="274"/>
    <n v="239.24"/>
    <n v="1"/>
    <n v="23.92"/>
  </r>
  <r>
    <d v="2017-06-07T00:00:00"/>
    <x v="254"/>
    <x v="3"/>
    <x v="1"/>
    <x v="5"/>
    <x v="1248"/>
    <n v="122.14"/>
    <n v="3"/>
    <n v="-13.74"/>
  </r>
  <r>
    <d v="2017-07-07T00:00:00"/>
    <x v="428"/>
    <x v="12"/>
    <x v="0"/>
    <x v="3"/>
    <x v="814"/>
    <n v="17.47"/>
    <n v="3"/>
    <n v="6.33"/>
  </r>
  <r>
    <d v="2017-07-07T00:00:00"/>
    <x v="451"/>
    <x v="40"/>
    <x v="2"/>
    <x v="9"/>
    <x v="58"/>
    <n v="252"/>
    <n v="4"/>
    <n v="93.24"/>
  </r>
  <r>
    <d v="2017-07-07T00:00:00"/>
    <x v="302"/>
    <x v="2"/>
    <x v="1"/>
    <x v="12"/>
    <x v="1465"/>
    <n v="87.21"/>
    <n v="3"/>
    <n v="-45.35"/>
  </r>
  <r>
    <d v="2017-07-07T00:00:00"/>
    <x v="302"/>
    <x v="2"/>
    <x v="0"/>
    <x v="0"/>
    <x v="373"/>
    <n v="15.55"/>
    <n v="3"/>
    <n v="5.44"/>
  </r>
  <r>
    <d v="2017-07-07T00:00:00"/>
    <x v="302"/>
    <x v="2"/>
    <x v="2"/>
    <x v="6"/>
    <x v="1473"/>
    <n v="683.99"/>
    <n v="2"/>
    <n v="-114"/>
  </r>
  <r>
    <d v="2017-07-07T00:00:00"/>
    <x v="302"/>
    <x v="2"/>
    <x v="0"/>
    <x v="2"/>
    <x v="1474"/>
    <n v="13.39"/>
    <n v="3"/>
    <n v="1"/>
  </r>
  <r>
    <d v="2017-07-07T00:00:00"/>
    <x v="302"/>
    <x v="2"/>
    <x v="2"/>
    <x v="9"/>
    <x v="986"/>
    <n v="16.78"/>
    <n v="3"/>
    <n v="4.82"/>
  </r>
  <r>
    <d v="2017-07-07T00:00:00"/>
    <x v="302"/>
    <x v="2"/>
    <x v="2"/>
    <x v="9"/>
    <x v="1475"/>
    <n v="527.91999999999996"/>
    <n v="2"/>
    <n v="85.79"/>
  </r>
  <r>
    <d v="2017-07-07T00:00:00"/>
    <x v="261"/>
    <x v="3"/>
    <x v="0"/>
    <x v="7"/>
    <x v="936"/>
    <n v="5.94"/>
    <n v="3"/>
    <n v="0.12"/>
  </r>
  <r>
    <d v="2017-08-07T00:00:00"/>
    <x v="688"/>
    <x v="20"/>
    <x v="0"/>
    <x v="4"/>
    <x v="1476"/>
    <n v="7.56"/>
    <n v="3"/>
    <n v="3.1"/>
  </r>
  <r>
    <d v="2017-08-07T00:00:00"/>
    <x v="688"/>
    <x v="20"/>
    <x v="0"/>
    <x v="0"/>
    <x v="177"/>
    <n v="24.56"/>
    <n v="2"/>
    <n v="11.54"/>
  </r>
  <r>
    <d v="2017-08-07T00:00:00"/>
    <x v="688"/>
    <x v="20"/>
    <x v="0"/>
    <x v="4"/>
    <x v="68"/>
    <n v="12.96"/>
    <n v="2"/>
    <n v="4.1500000000000004"/>
  </r>
  <r>
    <d v="2017-08-07T00:00:00"/>
    <x v="197"/>
    <x v="3"/>
    <x v="1"/>
    <x v="8"/>
    <x v="602"/>
    <n v="145.9"/>
    <n v="5"/>
    <n v="62.74"/>
  </r>
  <r>
    <d v="2017-08-07T00:00:00"/>
    <x v="689"/>
    <x v="10"/>
    <x v="1"/>
    <x v="8"/>
    <x v="867"/>
    <n v="198.46"/>
    <n v="2"/>
    <n v="99.23"/>
  </r>
  <r>
    <d v="2017-08-07T00:00:00"/>
    <x v="689"/>
    <x v="10"/>
    <x v="0"/>
    <x v="1"/>
    <x v="258"/>
    <n v="786.48"/>
    <n v="8"/>
    <n v="385.38"/>
  </r>
  <r>
    <d v="2017-08-07T00:00:00"/>
    <x v="689"/>
    <x v="10"/>
    <x v="0"/>
    <x v="3"/>
    <x v="1010"/>
    <n v="23.17"/>
    <n v="2"/>
    <n v="7.82"/>
  </r>
  <r>
    <d v="2017-08-07T00:00:00"/>
    <x v="689"/>
    <x v="10"/>
    <x v="2"/>
    <x v="9"/>
    <x v="1069"/>
    <n v="50"/>
    <n v="2"/>
    <n v="10.5"/>
  </r>
  <r>
    <d v="2017-08-07T00:00:00"/>
    <x v="173"/>
    <x v="3"/>
    <x v="0"/>
    <x v="1"/>
    <x v="1477"/>
    <n v="75.180000000000007"/>
    <n v="6"/>
    <n v="35.33"/>
  </r>
  <r>
    <d v="2017-08-07T00:00:00"/>
    <x v="26"/>
    <x v="10"/>
    <x v="1"/>
    <x v="8"/>
    <x v="504"/>
    <n v="15.84"/>
    <n v="3"/>
    <n v="4.91"/>
  </r>
  <r>
    <d v="2017-08-07T00:00:00"/>
    <x v="26"/>
    <x v="10"/>
    <x v="0"/>
    <x v="3"/>
    <x v="1324"/>
    <n v="86.38"/>
    <n v="3"/>
    <n v="30.23"/>
  </r>
  <r>
    <d v="2017-08-07T00:00:00"/>
    <x v="26"/>
    <x v="10"/>
    <x v="0"/>
    <x v="4"/>
    <x v="59"/>
    <n v="18.239999999999998"/>
    <n v="3"/>
    <n v="6.2"/>
  </r>
  <r>
    <d v="2017-08-07T00:00:00"/>
    <x v="26"/>
    <x v="10"/>
    <x v="0"/>
    <x v="4"/>
    <x v="113"/>
    <n v="13.12"/>
    <n v="4"/>
    <n v="4.33"/>
  </r>
  <r>
    <d v="2017-08-07T00:00:00"/>
    <x v="639"/>
    <x v="7"/>
    <x v="1"/>
    <x v="8"/>
    <x v="694"/>
    <n v="83.92"/>
    <n v="4"/>
    <n v="5.87"/>
  </r>
  <r>
    <d v="2017-08-07T00:00:00"/>
    <x v="639"/>
    <x v="7"/>
    <x v="2"/>
    <x v="9"/>
    <x v="325"/>
    <n v="141.9"/>
    <n v="5"/>
    <n v="58.18"/>
  </r>
  <r>
    <d v="2017-08-07T00:00:00"/>
    <x v="639"/>
    <x v="7"/>
    <x v="1"/>
    <x v="8"/>
    <x v="1478"/>
    <n v="39.979999999999997"/>
    <n v="2"/>
    <n v="9.1999999999999993"/>
  </r>
  <r>
    <d v="2017-08-07T00:00:00"/>
    <x v="639"/>
    <x v="7"/>
    <x v="0"/>
    <x v="4"/>
    <x v="1479"/>
    <n v="28.91"/>
    <n v="7"/>
    <n v="8.67"/>
  </r>
  <r>
    <d v="2017-08-07T00:00:00"/>
    <x v="639"/>
    <x v="7"/>
    <x v="0"/>
    <x v="4"/>
    <x v="463"/>
    <n v="174.95"/>
    <n v="5"/>
    <n v="45.49"/>
  </r>
  <r>
    <d v="2017-08-07T00:00:00"/>
    <x v="192"/>
    <x v="10"/>
    <x v="0"/>
    <x v="0"/>
    <x v="177"/>
    <n v="52.76"/>
    <n v="2"/>
    <n v="24.27"/>
  </r>
  <r>
    <d v="2017-09-07T00:00:00"/>
    <x v="688"/>
    <x v="35"/>
    <x v="0"/>
    <x v="3"/>
    <x v="1377"/>
    <n v="1.08"/>
    <n v="2"/>
    <n v="-0.79"/>
  </r>
  <r>
    <d v="2017-09-07T00:00:00"/>
    <x v="349"/>
    <x v="1"/>
    <x v="0"/>
    <x v="4"/>
    <x v="1480"/>
    <n v="8.84"/>
    <n v="5"/>
    <n v="2.98"/>
  </r>
  <r>
    <d v="2017-09-07T00:00:00"/>
    <x v="349"/>
    <x v="1"/>
    <x v="0"/>
    <x v="13"/>
    <x v="1329"/>
    <n v="58.46"/>
    <n v="9"/>
    <n v="-146.16"/>
  </r>
  <r>
    <d v="2017-09-07T00:00:00"/>
    <x v="427"/>
    <x v="1"/>
    <x v="0"/>
    <x v="2"/>
    <x v="53"/>
    <n v="228.92"/>
    <n v="5"/>
    <n v="14.31"/>
  </r>
  <r>
    <d v="2017-09-07T00:00:00"/>
    <x v="690"/>
    <x v="26"/>
    <x v="1"/>
    <x v="8"/>
    <x v="794"/>
    <n v="526.45000000000005"/>
    <n v="5"/>
    <n v="31.59"/>
  </r>
  <r>
    <d v="2017-09-07T00:00:00"/>
    <x v="632"/>
    <x v="27"/>
    <x v="0"/>
    <x v="0"/>
    <x v="1128"/>
    <n v="274.8"/>
    <n v="5"/>
    <n v="134.65"/>
  </r>
  <r>
    <d v="2017-09-07T00:00:00"/>
    <x v="632"/>
    <x v="27"/>
    <x v="0"/>
    <x v="2"/>
    <x v="679"/>
    <n v="195.64"/>
    <n v="4"/>
    <n v="3.91"/>
  </r>
  <r>
    <d v="2017-09-07T00:00:00"/>
    <x v="632"/>
    <x v="27"/>
    <x v="2"/>
    <x v="6"/>
    <x v="760"/>
    <n v="257.98"/>
    <n v="2"/>
    <n v="74.81"/>
  </r>
  <r>
    <d v="2017-09-07T00:00:00"/>
    <x v="632"/>
    <x v="27"/>
    <x v="0"/>
    <x v="4"/>
    <x v="161"/>
    <n v="119.04"/>
    <n v="6"/>
    <n v="48.81"/>
  </r>
  <r>
    <d v="2017-10-07T00:00:00"/>
    <x v="383"/>
    <x v="4"/>
    <x v="1"/>
    <x v="8"/>
    <x v="1481"/>
    <n v="18.84"/>
    <n v="3"/>
    <n v="7.91"/>
  </r>
  <r>
    <d v="2017-10-07T00:00:00"/>
    <x v="691"/>
    <x v="1"/>
    <x v="0"/>
    <x v="2"/>
    <x v="1067"/>
    <n v="298.45999999999998"/>
    <n v="6"/>
    <n v="26.12"/>
  </r>
  <r>
    <d v="2017-10-07T00:00:00"/>
    <x v="692"/>
    <x v="4"/>
    <x v="0"/>
    <x v="13"/>
    <x v="1108"/>
    <n v="41.91"/>
    <n v="3"/>
    <n v="10.9"/>
  </r>
  <r>
    <d v="2017-11-07T00:00:00"/>
    <x v="292"/>
    <x v="3"/>
    <x v="0"/>
    <x v="1"/>
    <x v="18"/>
    <n v="8.67"/>
    <n v="3"/>
    <n v="4.07"/>
  </r>
  <r>
    <d v="2017-11-07T00:00:00"/>
    <x v="231"/>
    <x v="12"/>
    <x v="2"/>
    <x v="9"/>
    <x v="914"/>
    <n v="132.6"/>
    <n v="6"/>
    <n v="17.239999999999998"/>
  </r>
  <r>
    <d v="2017-11-07T00:00:00"/>
    <x v="375"/>
    <x v="42"/>
    <x v="0"/>
    <x v="4"/>
    <x v="1029"/>
    <n v="30.32"/>
    <n v="4"/>
    <n v="11.82"/>
  </r>
  <r>
    <d v="2017-11-07T00:00:00"/>
    <x v="470"/>
    <x v="3"/>
    <x v="2"/>
    <x v="9"/>
    <x v="1267"/>
    <n v="1287.45"/>
    <n v="5"/>
    <n v="244.62"/>
  </r>
  <r>
    <d v="2017-11-07T00:00:00"/>
    <x v="470"/>
    <x v="3"/>
    <x v="0"/>
    <x v="13"/>
    <x v="1482"/>
    <n v="168.1"/>
    <n v="5"/>
    <n v="43.71"/>
  </r>
  <r>
    <d v="2017-11-07T00:00:00"/>
    <x v="281"/>
    <x v="3"/>
    <x v="2"/>
    <x v="6"/>
    <x v="1483"/>
    <n v="71.95"/>
    <n v="6"/>
    <n v="5.4"/>
  </r>
  <r>
    <d v="2017-11-07T00:00:00"/>
    <x v="281"/>
    <x v="3"/>
    <x v="0"/>
    <x v="3"/>
    <x v="15"/>
    <n v="29.8"/>
    <n v="5"/>
    <n v="9.31"/>
  </r>
  <r>
    <d v="2017-12-07T00:00:00"/>
    <x v="81"/>
    <x v="16"/>
    <x v="0"/>
    <x v="0"/>
    <x v="681"/>
    <n v="3.82"/>
    <n v="1"/>
    <n v="1.19"/>
  </r>
  <r>
    <d v="2017-01-08T00:00:00"/>
    <x v="261"/>
    <x v="1"/>
    <x v="2"/>
    <x v="6"/>
    <x v="412"/>
    <n v="95.98"/>
    <n v="2"/>
    <n v="6"/>
  </r>
  <r>
    <d v="2017-01-08T00:00:00"/>
    <x v="693"/>
    <x v="15"/>
    <x v="2"/>
    <x v="6"/>
    <x v="1243"/>
    <n v="271.95999999999998"/>
    <n v="5"/>
    <n v="17"/>
  </r>
  <r>
    <d v="2017-01-08T00:00:00"/>
    <x v="645"/>
    <x v="0"/>
    <x v="2"/>
    <x v="16"/>
    <x v="1150"/>
    <n v="1439.98"/>
    <n v="3"/>
    <n v="-264"/>
  </r>
  <r>
    <d v="2017-01-08T00:00:00"/>
    <x v="645"/>
    <x v="0"/>
    <x v="0"/>
    <x v="0"/>
    <x v="1484"/>
    <n v="36.29"/>
    <n v="7"/>
    <n v="12.7"/>
  </r>
  <r>
    <d v="2017-01-08T00:00:00"/>
    <x v="128"/>
    <x v="3"/>
    <x v="0"/>
    <x v="3"/>
    <x v="716"/>
    <n v="54.9"/>
    <n v="2"/>
    <n v="18.53"/>
  </r>
  <r>
    <d v="2017-01-08T00:00:00"/>
    <x v="447"/>
    <x v="3"/>
    <x v="0"/>
    <x v="2"/>
    <x v="1067"/>
    <n v="186.54"/>
    <n v="3"/>
    <n v="50.37"/>
  </r>
  <r>
    <d v="2017-03-08T00:00:00"/>
    <x v="480"/>
    <x v="1"/>
    <x v="1"/>
    <x v="12"/>
    <x v="1485"/>
    <n v="183.37"/>
    <n v="2"/>
    <n v="-36.67"/>
  </r>
  <r>
    <d v="2017-03-08T00:00:00"/>
    <x v="397"/>
    <x v="3"/>
    <x v="0"/>
    <x v="1"/>
    <x v="1100"/>
    <n v="51.75"/>
    <n v="5"/>
    <n v="24.84"/>
  </r>
  <r>
    <d v="2017-03-08T00:00:00"/>
    <x v="397"/>
    <x v="3"/>
    <x v="1"/>
    <x v="8"/>
    <x v="200"/>
    <n v="123.96"/>
    <n v="3"/>
    <n v="11.16"/>
  </r>
  <r>
    <d v="2017-03-08T00:00:00"/>
    <x v="272"/>
    <x v="3"/>
    <x v="0"/>
    <x v="2"/>
    <x v="1486"/>
    <n v="99.87"/>
    <n v="3"/>
    <n v="23.97"/>
  </r>
  <r>
    <d v="2017-03-08T00:00:00"/>
    <x v="474"/>
    <x v="1"/>
    <x v="2"/>
    <x v="9"/>
    <x v="1297"/>
    <n v="39.82"/>
    <n v="3"/>
    <n v="7.47"/>
  </r>
  <r>
    <d v="2017-03-08T00:00:00"/>
    <x v="567"/>
    <x v="10"/>
    <x v="0"/>
    <x v="2"/>
    <x v="1487"/>
    <n v="16.059999999999999"/>
    <n v="1"/>
    <n v="4.18"/>
  </r>
  <r>
    <d v="2017-03-08T00:00:00"/>
    <x v="694"/>
    <x v="16"/>
    <x v="0"/>
    <x v="1"/>
    <x v="957"/>
    <n v="16.52"/>
    <n v="5"/>
    <n v="5.37"/>
  </r>
  <r>
    <d v="2017-04-08T00:00:00"/>
    <x v="493"/>
    <x v="19"/>
    <x v="0"/>
    <x v="0"/>
    <x v="1488"/>
    <n v="7.97"/>
    <n v="2"/>
    <n v="2.89"/>
  </r>
  <r>
    <d v="2017-04-08T00:00:00"/>
    <x v="493"/>
    <x v="19"/>
    <x v="0"/>
    <x v="11"/>
    <x v="1159"/>
    <n v="8.7799999999999994"/>
    <n v="1"/>
    <n v="3.18"/>
  </r>
  <r>
    <d v="2017-04-08T00:00:00"/>
    <x v="493"/>
    <x v="0"/>
    <x v="0"/>
    <x v="3"/>
    <x v="26"/>
    <n v="3.32"/>
    <n v="3"/>
    <n v="-5.64"/>
  </r>
  <r>
    <d v="2017-05-08T00:00:00"/>
    <x v="329"/>
    <x v="5"/>
    <x v="0"/>
    <x v="0"/>
    <x v="1033"/>
    <n v="13.76"/>
    <n v="2"/>
    <n v="6.33"/>
  </r>
  <r>
    <d v="2017-05-08T00:00:00"/>
    <x v="157"/>
    <x v="0"/>
    <x v="0"/>
    <x v="2"/>
    <x v="1489"/>
    <n v="151.06"/>
    <n v="9"/>
    <n v="7.55"/>
  </r>
  <r>
    <d v="2017-05-08T00:00:00"/>
    <x v="695"/>
    <x v="26"/>
    <x v="0"/>
    <x v="3"/>
    <x v="1254"/>
    <n v="125.88"/>
    <n v="6"/>
    <n v="60.42"/>
  </r>
  <r>
    <d v="2017-05-08T00:00:00"/>
    <x v="695"/>
    <x v="26"/>
    <x v="2"/>
    <x v="9"/>
    <x v="1051"/>
    <n v="79.78"/>
    <n v="2"/>
    <n v="29.52"/>
  </r>
  <r>
    <d v="2017-05-08T00:00:00"/>
    <x v="695"/>
    <x v="26"/>
    <x v="0"/>
    <x v="1"/>
    <x v="503"/>
    <n v="133.19999999999999"/>
    <n v="9"/>
    <n v="66.599999999999994"/>
  </r>
  <r>
    <d v="2017-06-08T00:00:00"/>
    <x v="9"/>
    <x v="21"/>
    <x v="1"/>
    <x v="12"/>
    <x v="350"/>
    <n v="145.74"/>
    <n v="3"/>
    <n v="23.32"/>
  </r>
  <r>
    <d v="2017-06-08T00:00:00"/>
    <x v="9"/>
    <x v="21"/>
    <x v="1"/>
    <x v="8"/>
    <x v="648"/>
    <n v="15.4"/>
    <n v="5"/>
    <n v="7.39"/>
  </r>
  <r>
    <d v="2017-06-08T00:00:00"/>
    <x v="696"/>
    <x v="0"/>
    <x v="0"/>
    <x v="0"/>
    <x v="1244"/>
    <n v="115.3"/>
    <n v="3"/>
    <n v="40.35"/>
  </r>
  <r>
    <d v="2017-06-08T00:00:00"/>
    <x v="75"/>
    <x v="43"/>
    <x v="2"/>
    <x v="6"/>
    <x v="839"/>
    <n v="824.95"/>
    <n v="5"/>
    <n v="247.49"/>
  </r>
  <r>
    <d v="2017-06-08T00:00:00"/>
    <x v="75"/>
    <x v="43"/>
    <x v="0"/>
    <x v="1"/>
    <x v="164"/>
    <n v="24.64"/>
    <n v="8"/>
    <n v="11.83"/>
  </r>
  <r>
    <d v="2017-06-08T00:00:00"/>
    <x v="75"/>
    <x v="43"/>
    <x v="0"/>
    <x v="4"/>
    <x v="424"/>
    <n v="227.88"/>
    <n v="6"/>
    <n v="68.36"/>
  </r>
  <r>
    <d v="2017-06-08T00:00:00"/>
    <x v="257"/>
    <x v="12"/>
    <x v="0"/>
    <x v="14"/>
    <x v="741"/>
    <n v="70.12"/>
    <n v="4"/>
    <n v="21.04"/>
  </r>
  <r>
    <d v="2017-07-08T00:00:00"/>
    <x v="408"/>
    <x v="15"/>
    <x v="2"/>
    <x v="9"/>
    <x v="338"/>
    <n v="79.989999999999995"/>
    <n v="1"/>
    <n v="22"/>
  </r>
  <r>
    <d v="2017-07-08T00:00:00"/>
    <x v="697"/>
    <x v="12"/>
    <x v="0"/>
    <x v="4"/>
    <x v="1490"/>
    <n v="11.68"/>
    <n v="2"/>
    <n v="5.49"/>
  </r>
  <r>
    <d v="2017-07-08T00:00:00"/>
    <x v="697"/>
    <x v="12"/>
    <x v="0"/>
    <x v="4"/>
    <x v="1029"/>
    <n v="104.8"/>
    <n v="10"/>
    <n v="26.2"/>
  </r>
  <r>
    <d v="2017-07-08T00:00:00"/>
    <x v="73"/>
    <x v="3"/>
    <x v="2"/>
    <x v="6"/>
    <x v="297"/>
    <n v="159.96"/>
    <n v="5"/>
    <n v="18"/>
  </r>
  <r>
    <d v="2017-07-08T00:00:00"/>
    <x v="73"/>
    <x v="3"/>
    <x v="0"/>
    <x v="3"/>
    <x v="1491"/>
    <n v="13.76"/>
    <n v="2"/>
    <n v="4.6399999999999997"/>
  </r>
  <r>
    <d v="2017-07-08T00:00:00"/>
    <x v="554"/>
    <x v="28"/>
    <x v="2"/>
    <x v="9"/>
    <x v="1453"/>
    <n v="63.96"/>
    <n v="4"/>
    <n v="19.829999999999998"/>
  </r>
  <r>
    <d v="2017-07-08T00:00:00"/>
    <x v="293"/>
    <x v="3"/>
    <x v="0"/>
    <x v="0"/>
    <x v="73"/>
    <n v="244.55"/>
    <n v="5"/>
    <n v="114.94"/>
  </r>
  <r>
    <d v="2017-07-08T00:00:00"/>
    <x v="43"/>
    <x v="0"/>
    <x v="2"/>
    <x v="9"/>
    <x v="943"/>
    <n v="119.45"/>
    <n v="3"/>
    <n v="-13.44"/>
  </r>
  <r>
    <d v="2017-07-08T00:00:00"/>
    <x v="43"/>
    <x v="0"/>
    <x v="0"/>
    <x v="2"/>
    <x v="1492"/>
    <n v="118.16"/>
    <n v="2"/>
    <n v="-25.11"/>
  </r>
  <r>
    <d v="2017-07-08T00:00:00"/>
    <x v="549"/>
    <x v="3"/>
    <x v="2"/>
    <x v="6"/>
    <x v="1493"/>
    <n v="707.88"/>
    <n v="3"/>
    <n v="44.24"/>
  </r>
  <r>
    <d v="2017-07-08T00:00:00"/>
    <x v="549"/>
    <x v="3"/>
    <x v="0"/>
    <x v="3"/>
    <x v="259"/>
    <n v="11.95"/>
    <n v="3"/>
    <n v="4.18"/>
  </r>
  <r>
    <d v="2017-07-08T00:00:00"/>
    <x v="549"/>
    <x v="3"/>
    <x v="0"/>
    <x v="3"/>
    <x v="1494"/>
    <n v="31.13"/>
    <n v="3"/>
    <n v="11.67"/>
  </r>
  <r>
    <d v="2017-07-08T00:00:00"/>
    <x v="549"/>
    <x v="3"/>
    <x v="2"/>
    <x v="9"/>
    <x v="1211"/>
    <n v="55.76"/>
    <n v="4"/>
    <n v="7.81"/>
  </r>
  <r>
    <d v="2017-07-08T00:00:00"/>
    <x v="549"/>
    <x v="3"/>
    <x v="0"/>
    <x v="0"/>
    <x v="292"/>
    <n v="24.56"/>
    <n v="2"/>
    <n v="11.54"/>
  </r>
  <r>
    <d v="2017-07-08T00:00:00"/>
    <x v="549"/>
    <x v="3"/>
    <x v="1"/>
    <x v="8"/>
    <x v="819"/>
    <n v="51.75"/>
    <n v="1"/>
    <n v="15.53"/>
  </r>
  <r>
    <d v="2017-07-08T00:00:00"/>
    <x v="549"/>
    <x v="3"/>
    <x v="1"/>
    <x v="5"/>
    <x v="1495"/>
    <n v="207.18"/>
    <n v="1"/>
    <n v="25.9"/>
  </r>
  <r>
    <d v="2017-07-08T00:00:00"/>
    <x v="549"/>
    <x v="3"/>
    <x v="0"/>
    <x v="13"/>
    <x v="65"/>
    <n v="1473.1"/>
    <n v="5"/>
    <n v="412.47"/>
  </r>
  <r>
    <d v="2017-10-08T00:00:00"/>
    <x v="155"/>
    <x v="26"/>
    <x v="0"/>
    <x v="11"/>
    <x v="55"/>
    <n v="70.08"/>
    <n v="6"/>
    <n v="35.04"/>
  </r>
  <r>
    <d v="2017-10-08T00:00:00"/>
    <x v="155"/>
    <x v="26"/>
    <x v="1"/>
    <x v="8"/>
    <x v="923"/>
    <n v="121.3"/>
    <n v="2"/>
    <n v="25.47"/>
  </r>
  <r>
    <d v="2017-10-08T00:00:00"/>
    <x v="155"/>
    <x v="26"/>
    <x v="2"/>
    <x v="6"/>
    <x v="31"/>
    <n v="1454.49"/>
    <n v="9"/>
    <n v="378.17"/>
  </r>
  <r>
    <d v="2017-10-08T00:00:00"/>
    <x v="485"/>
    <x v="26"/>
    <x v="0"/>
    <x v="0"/>
    <x v="833"/>
    <n v="177.2"/>
    <n v="5"/>
    <n v="83.28"/>
  </r>
  <r>
    <d v="2017-11-08T00:00:00"/>
    <x v="319"/>
    <x v="0"/>
    <x v="0"/>
    <x v="0"/>
    <x v="582"/>
    <n v="29.66"/>
    <n v="4"/>
    <n v="10.01"/>
  </r>
  <r>
    <d v="2017-11-08T00:00:00"/>
    <x v="319"/>
    <x v="0"/>
    <x v="0"/>
    <x v="4"/>
    <x v="1496"/>
    <n v="9.18"/>
    <n v="7"/>
    <n v="2.87"/>
  </r>
  <r>
    <d v="2017-11-08T00:00:00"/>
    <x v="319"/>
    <x v="0"/>
    <x v="2"/>
    <x v="6"/>
    <x v="156"/>
    <n v="153.58000000000001"/>
    <n v="2"/>
    <n v="13.44"/>
  </r>
  <r>
    <d v="2017-11-08T00:00:00"/>
    <x v="319"/>
    <x v="0"/>
    <x v="0"/>
    <x v="3"/>
    <x v="120"/>
    <n v="12.86"/>
    <n v="8"/>
    <n v="-22.51"/>
  </r>
  <r>
    <d v="2017-11-08T00:00:00"/>
    <x v="424"/>
    <x v="21"/>
    <x v="0"/>
    <x v="3"/>
    <x v="540"/>
    <n v="477.51"/>
    <n v="11"/>
    <n v="219.65"/>
  </r>
  <r>
    <d v="2017-11-08T00:00:00"/>
    <x v="535"/>
    <x v="12"/>
    <x v="0"/>
    <x v="0"/>
    <x v="140"/>
    <n v="25.92"/>
    <n v="4"/>
    <n v="12.44"/>
  </r>
  <r>
    <d v="2017-12-08T00:00:00"/>
    <x v="698"/>
    <x v="9"/>
    <x v="0"/>
    <x v="0"/>
    <x v="392"/>
    <n v="20.74"/>
    <n v="4"/>
    <n v="7.26"/>
  </r>
  <r>
    <d v="2017-12-08T00:00:00"/>
    <x v="188"/>
    <x v="3"/>
    <x v="0"/>
    <x v="13"/>
    <x v="696"/>
    <n v="542.94000000000005"/>
    <n v="3"/>
    <n v="152.02000000000001"/>
  </r>
  <r>
    <d v="2017-12-08T00:00:00"/>
    <x v="188"/>
    <x v="3"/>
    <x v="1"/>
    <x v="8"/>
    <x v="168"/>
    <n v="54.92"/>
    <n v="4"/>
    <n v="19.77"/>
  </r>
  <r>
    <d v="2017-12-08T00:00:00"/>
    <x v="384"/>
    <x v="39"/>
    <x v="0"/>
    <x v="4"/>
    <x v="16"/>
    <n v="17.52"/>
    <n v="3"/>
    <n v="5.26"/>
  </r>
  <r>
    <d v="2017-12-08T00:00:00"/>
    <x v="384"/>
    <x v="39"/>
    <x v="1"/>
    <x v="5"/>
    <x v="1497"/>
    <n v="1779.9"/>
    <n v="5"/>
    <n v="373.78"/>
  </r>
  <r>
    <d v="2017-12-08T00:00:00"/>
    <x v="384"/>
    <x v="39"/>
    <x v="0"/>
    <x v="4"/>
    <x v="251"/>
    <n v="219.9"/>
    <n v="5"/>
    <n v="59.37"/>
  </r>
  <r>
    <d v="2017-12-08T00:00:00"/>
    <x v="347"/>
    <x v="10"/>
    <x v="2"/>
    <x v="15"/>
    <x v="902"/>
    <n v="299.99"/>
    <n v="1"/>
    <n v="90"/>
  </r>
  <r>
    <d v="2017-12-08T00:00:00"/>
    <x v="347"/>
    <x v="10"/>
    <x v="0"/>
    <x v="0"/>
    <x v="1498"/>
    <n v="192.16"/>
    <n v="4"/>
    <n v="92.24"/>
  </r>
  <r>
    <d v="2017-12-08T00:00:00"/>
    <x v="347"/>
    <x v="10"/>
    <x v="2"/>
    <x v="6"/>
    <x v="1081"/>
    <n v="242.62"/>
    <n v="8"/>
    <n v="27.3"/>
  </r>
  <r>
    <d v="2017-12-08T00:00:00"/>
    <x v="347"/>
    <x v="10"/>
    <x v="0"/>
    <x v="2"/>
    <x v="1460"/>
    <n v="46.74"/>
    <n v="3"/>
    <n v="11.69"/>
  </r>
  <r>
    <d v="2017-12-08T00:00:00"/>
    <x v="347"/>
    <x v="10"/>
    <x v="2"/>
    <x v="9"/>
    <x v="1499"/>
    <n v="174.95"/>
    <n v="5"/>
    <n v="12.25"/>
  </r>
  <r>
    <d v="2017-12-08T00:00:00"/>
    <x v="347"/>
    <x v="10"/>
    <x v="0"/>
    <x v="3"/>
    <x v="405"/>
    <n v="100.7"/>
    <n v="6"/>
    <n v="37.76"/>
  </r>
  <r>
    <d v="2017-01-09T00:00:00"/>
    <x v="699"/>
    <x v="12"/>
    <x v="1"/>
    <x v="8"/>
    <x v="1500"/>
    <n v="114.9"/>
    <n v="5"/>
    <n v="39.07"/>
  </r>
  <r>
    <d v="2017-01-09T00:00:00"/>
    <x v="700"/>
    <x v="10"/>
    <x v="2"/>
    <x v="9"/>
    <x v="897"/>
    <n v="19.989999999999998"/>
    <n v="1"/>
    <n v="6.8"/>
  </r>
  <r>
    <d v="2017-01-09T00:00:00"/>
    <x v="700"/>
    <x v="10"/>
    <x v="0"/>
    <x v="3"/>
    <x v="1501"/>
    <n v="22.92"/>
    <n v="5"/>
    <n v="8.02"/>
  </r>
  <r>
    <d v="2017-01-09T00:00:00"/>
    <x v="109"/>
    <x v="10"/>
    <x v="0"/>
    <x v="4"/>
    <x v="1029"/>
    <n v="7.58"/>
    <n v="1"/>
    <n v="2.96"/>
  </r>
  <r>
    <d v="2017-01-09T00:00:00"/>
    <x v="512"/>
    <x v="18"/>
    <x v="1"/>
    <x v="5"/>
    <x v="1317"/>
    <n v="498.26"/>
    <n v="7"/>
    <n v="134.53"/>
  </r>
  <r>
    <d v="2017-01-09T00:00:00"/>
    <x v="328"/>
    <x v="10"/>
    <x v="0"/>
    <x v="13"/>
    <x v="306"/>
    <n v="314.60000000000002"/>
    <n v="4"/>
    <n v="103.82"/>
  </r>
  <r>
    <d v="2017-01-09T00:00:00"/>
    <x v="328"/>
    <x v="10"/>
    <x v="1"/>
    <x v="10"/>
    <x v="846"/>
    <n v="283.56"/>
    <n v="4"/>
    <n v="45.37"/>
  </r>
  <r>
    <d v="2017-02-09T00:00:00"/>
    <x v="129"/>
    <x v="16"/>
    <x v="1"/>
    <x v="8"/>
    <x v="1444"/>
    <n v="15.07"/>
    <n v="3"/>
    <n v="4.1399999999999997"/>
  </r>
  <r>
    <d v="2017-02-09T00:00:00"/>
    <x v="701"/>
    <x v="18"/>
    <x v="2"/>
    <x v="6"/>
    <x v="1502"/>
    <n v="1199.8"/>
    <n v="4"/>
    <n v="323.95"/>
  </r>
  <r>
    <d v="2017-02-09T00:00:00"/>
    <x v="701"/>
    <x v="18"/>
    <x v="2"/>
    <x v="9"/>
    <x v="1503"/>
    <n v="1928.78"/>
    <n v="7"/>
    <n v="829.38"/>
  </r>
  <r>
    <d v="2017-02-09T00:00:00"/>
    <x v="701"/>
    <x v="18"/>
    <x v="0"/>
    <x v="2"/>
    <x v="486"/>
    <n v="352.38"/>
    <n v="2"/>
    <n v="81.05"/>
  </r>
  <r>
    <d v="2017-02-09T00:00:00"/>
    <x v="459"/>
    <x v="2"/>
    <x v="0"/>
    <x v="0"/>
    <x v="609"/>
    <n v="12.19"/>
    <n v="3"/>
    <n v="4.1100000000000003"/>
  </r>
  <r>
    <d v="2017-02-09T00:00:00"/>
    <x v="615"/>
    <x v="3"/>
    <x v="0"/>
    <x v="4"/>
    <x v="1422"/>
    <n v="6.57"/>
    <n v="3"/>
    <n v="1.77"/>
  </r>
  <r>
    <d v="2017-02-09T00:00:00"/>
    <x v="702"/>
    <x v="12"/>
    <x v="0"/>
    <x v="4"/>
    <x v="379"/>
    <n v="23.1"/>
    <n v="2"/>
    <n v="6.47"/>
  </r>
  <r>
    <d v="2017-02-09T00:00:00"/>
    <x v="702"/>
    <x v="12"/>
    <x v="1"/>
    <x v="8"/>
    <x v="488"/>
    <n v="11.54"/>
    <n v="2"/>
    <n v="3.46"/>
  </r>
  <r>
    <d v="2017-02-09T00:00:00"/>
    <x v="702"/>
    <x v="12"/>
    <x v="1"/>
    <x v="10"/>
    <x v="664"/>
    <n v="254.53"/>
    <n v="1"/>
    <n v="-93.33"/>
  </r>
  <r>
    <d v="2017-02-09T00:00:00"/>
    <x v="702"/>
    <x v="12"/>
    <x v="0"/>
    <x v="13"/>
    <x v="1250"/>
    <n v="12.98"/>
    <n v="1"/>
    <n v="3.76"/>
  </r>
  <r>
    <d v="2017-02-09T00:00:00"/>
    <x v="702"/>
    <x v="12"/>
    <x v="0"/>
    <x v="3"/>
    <x v="546"/>
    <n v="26.43"/>
    <n v="8"/>
    <n v="8.92"/>
  </r>
  <r>
    <d v="2017-02-09T00:00:00"/>
    <x v="702"/>
    <x v="12"/>
    <x v="2"/>
    <x v="6"/>
    <x v="286"/>
    <n v="197.97"/>
    <n v="3"/>
    <n v="57.41"/>
  </r>
  <r>
    <d v="2017-02-09T00:00:00"/>
    <x v="702"/>
    <x v="12"/>
    <x v="0"/>
    <x v="1"/>
    <x v="104"/>
    <n v="18.899999999999999"/>
    <n v="6"/>
    <n v="9.07"/>
  </r>
  <r>
    <d v="2017-02-09T00:00:00"/>
    <x v="702"/>
    <x v="12"/>
    <x v="1"/>
    <x v="5"/>
    <x v="287"/>
    <n v="1282.4100000000001"/>
    <n v="5"/>
    <n v="213.74"/>
  </r>
  <r>
    <d v="2017-02-09T00:00:00"/>
    <x v="702"/>
    <x v="12"/>
    <x v="0"/>
    <x v="4"/>
    <x v="1496"/>
    <n v="4.92"/>
    <n v="3"/>
    <n v="2.21"/>
  </r>
  <r>
    <d v="2017-02-09T00:00:00"/>
    <x v="702"/>
    <x v="12"/>
    <x v="2"/>
    <x v="9"/>
    <x v="375"/>
    <n v="238"/>
    <n v="2"/>
    <n v="38.08"/>
  </r>
  <r>
    <d v="2017-02-09T00:00:00"/>
    <x v="702"/>
    <x v="12"/>
    <x v="2"/>
    <x v="9"/>
    <x v="186"/>
    <n v="167.97"/>
    <n v="3"/>
    <n v="40.31"/>
  </r>
  <r>
    <d v="2017-02-09T00:00:00"/>
    <x v="702"/>
    <x v="12"/>
    <x v="0"/>
    <x v="0"/>
    <x v="758"/>
    <n v="17.12"/>
    <n v="4"/>
    <n v="7.7"/>
  </r>
  <r>
    <d v="2017-02-09T00:00:00"/>
    <x v="703"/>
    <x v="3"/>
    <x v="0"/>
    <x v="4"/>
    <x v="502"/>
    <n v="9.4"/>
    <n v="5"/>
    <n v="2.73"/>
  </r>
  <r>
    <d v="2017-02-09T00:00:00"/>
    <x v="703"/>
    <x v="3"/>
    <x v="0"/>
    <x v="1"/>
    <x v="649"/>
    <n v="74"/>
    <n v="5"/>
    <n v="37"/>
  </r>
  <r>
    <d v="2017-02-09T00:00:00"/>
    <x v="703"/>
    <x v="3"/>
    <x v="2"/>
    <x v="6"/>
    <x v="1504"/>
    <n v="201.58"/>
    <n v="2"/>
    <n v="12.6"/>
  </r>
  <r>
    <d v="2017-02-09T00:00:00"/>
    <x v="694"/>
    <x v="27"/>
    <x v="0"/>
    <x v="2"/>
    <x v="1236"/>
    <n v="10.9"/>
    <n v="1"/>
    <n v="2.83"/>
  </r>
  <r>
    <d v="2017-02-09T00:00:00"/>
    <x v="694"/>
    <x v="27"/>
    <x v="0"/>
    <x v="0"/>
    <x v="1168"/>
    <n v="79.92"/>
    <n v="4"/>
    <n v="37.56"/>
  </r>
  <r>
    <d v="2017-02-09T00:00:00"/>
    <x v="694"/>
    <x v="27"/>
    <x v="0"/>
    <x v="0"/>
    <x v="1505"/>
    <n v="146.82"/>
    <n v="3"/>
    <n v="73.41"/>
  </r>
  <r>
    <d v="2017-02-09T00:00:00"/>
    <x v="33"/>
    <x v="1"/>
    <x v="0"/>
    <x v="7"/>
    <x v="419"/>
    <n v="16"/>
    <n v="4"/>
    <n v="5.6"/>
  </r>
  <r>
    <d v="2017-02-09T00:00:00"/>
    <x v="33"/>
    <x v="1"/>
    <x v="0"/>
    <x v="13"/>
    <x v="1108"/>
    <n v="5.59"/>
    <n v="2"/>
    <n v="-15.09"/>
  </r>
  <r>
    <d v="2017-02-09T00:00:00"/>
    <x v="33"/>
    <x v="1"/>
    <x v="0"/>
    <x v="2"/>
    <x v="889"/>
    <n v="235.92"/>
    <n v="5"/>
    <n v="-44.24"/>
  </r>
  <r>
    <d v="2017-02-09T00:00:00"/>
    <x v="361"/>
    <x v="1"/>
    <x v="2"/>
    <x v="9"/>
    <x v="129"/>
    <n v="40.68"/>
    <n v="3"/>
    <n v="-7.12"/>
  </r>
  <r>
    <d v="2017-02-09T00:00:00"/>
    <x v="566"/>
    <x v="3"/>
    <x v="0"/>
    <x v="3"/>
    <x v="370"/>
    <n v="18.72"/>
    <n v="5"/>
    <n v="6.55"/>
  </r>
  <r>
    <d v="2017-02-09T00:00:00"/>
    <x v="566"/>
    <x v="3"/>
    <x v="1"/>
    <x v="10"/>
    <x v="1506"/>
    <n v="236.53"/>
    <n v="2"/>
    <n v="-2.96"/>
  </r>
  <r>
    <d v="2017-02-09T00:00:00"/>
    <x v="495"/>
    <x v="10"/>
    <x v="1"/>
    <x v="5"/>
    <x v="1200"/>
    <n v="215.98"/>
    <n v="3"/>
    <n v="-2.7"/>
  </r>
  <r>
    <d v="2017-02-09T00:00:00"/>
    <x v="484"/>
    <x v="5"/>
    <x v="0"/>
    <x v="3"/>
    <x v="645"/>
    <n v="1577.94"/>
    <n v="3"/>
    <n v="757.41"/>
  </r>
  <r>
    <d v="2017-02-09T00:00:00"/>
    <x v="222"/>
    <x v="19"/>
    <x v="0"/>
    <x v="1"/>
    <x v="470"/>
    <n v="11.7"/>
    <n v="2"/>
    <n v="3.95"/>
  </r>
  <r>
    <d v="2017-02-09T00:00:00"/>
    <x v="663"/>
    <x v="3"/>
    <x v="0"/>
    <x v="13"/>
    <x v="838"/>
    <n v="43.1"/>
    <n v="5"/>
    <n v="11.21"/>
  </r>
  <r>
    <d v="2017-02-09T00:00:00"/>
    <x v="663"/>
    <x v="3"/>
    <x v="1"/>
    <x v="8"/>
    <x v="1414"/>
    <n v="511.5"/>
    <n v="5"/>
    <n v="132.99"/>
  </r>
  <r>
    <d v="2017-02-09T00:00:00"/>
    <x v="663"/>
    <x v="3"/>
    <x v="0"/>
    <x v="3"/>
    <x v="1103"/>
    <n v="147.91999999999999"/>
    <n v="5"/>
    <n v="46.23"/>
  </r>
  <r>
    <d v="2017-03-09T00:00:00"/>
    <x v="138"/>
    <x v="1"/>
    <x v="0"/>
    <x v="3"/>
    <x v="450"/>
    <n v="42.62"/>
    <n v="7"/>
    <n v="-68.19"/>
  </r>
  <r>
    <d v="2017-03-09T00:00:00"/>
    <x v="280"/>
    <x v="9"/>
    <x v="0"/>
    <x v="11"/>
    <x v="481"/>
    <n v="24.45"/>
    <n v="4"/>
    <n v="8.86"/>
  </r>
  <r>
    <d v="2017-03-09T00:00:00"/>
    <x v="636"/>
    <x v="3"/>
    <x v="0"/>
    <x v="4"/>
    <x v="493"/>
    <n v="5.96"/>
    <n v="2"/>
    <n v="1.67"/>
  </r>
  <r>
    <d v="2017-03-09T00:00:00"/>
    <x v="672"/>
    <x v="3"/>
    <x v="0"/>
    <x v="3"/>
    <x v="1253"/>
    <n v="82.56"/>
    <n v="5"/>
    <n v="28.9"/>
  </r>
  <r>
    <d v="2017-03-09T00:00:00"/>
    <x v="672"/>
    <x v="3"/>
    <x v="2"/>
    <x v="9"/>
    <x v="1507"/>
    <n v="284.97000000000003"/>
    <n v="3"/>
    <n v="85.49"/>
  </r>
  <r>
    <d v="2017-03-09T00:00:00"/>
    <x v="704"/>
    <x v="12"/>
    <x v="0"/>
    <x v="0"/>
    <x v="1386"/>
    <n v="419.4"/>
    <n v="4"/>
    <n v="201.31"/>
  </r>
  <r>
    <d v="2017-03-09T00:00:00"/>
    <x v="704"/>
    <x v="12"/>
    <x v="1"/>
    <x v="5"/>
    <x v="1508"/>
    <n v="90.8"/>
    <n v="1"/>
    <n v="14.12"/>
  </r>
  <r>
    <d v="2017-03-09T00:00:00"/>
    <x v="704"/>
    <x v="12"/>
    <x v="1"/>
    <x v="5"/>
    <x v="1016"/>
    <n v="181.76"/>
    <n v="2"/>
    <n v="-8.08"/>
  </r>
  <r>
    <d v="2017-03-09T00:00:00"/>
    <x v="704"/>
    <x v="12"/>
    <x v="0"/>
    <x v="4"/>
    <x v="284"/>
    <n v="5.56"/>
    <n v="2"/>
    <n v="2.2200000000000002"/>
  </r>
  <r>
    <d v="2017-03-09T00:00:00"/>
    <x v="287"/>
    <x v="3"/>
    <x v="1"/>
    <x v="12"/>
    <x v="283"/>
    <n v="239.67"/>
    <n v="2"/>
    <n v="14.1"/>
  </r>
  <r>
    <d v="2017-03-09T00:00:00"/>
    <x v="430"/>
    <x v="0"/>
    <x v="1"/>
    <x v="8"/>
    <x v="715"/>
    <n v="108.4"/>
    <n v="5"/>
    <n v="-105.69"/>
  </r>
  <r>
    <d v="2017-03-09T00:00:00"/>
    <x v="546"/>
    <x v="1"/>
    <x v="0"/>
    <x v="0"/>
    <x v="1509"/>
    <n v="8.9"/>
    <n v="3"/>
    <n v="3.34"/>
  </r>
  <r>
    <d v="2017-03-09T00:00:00"/>
    <x v="546"/>
    <x v="1"/>
    <x v="2"/>
    <x v="9"/>
    <x v="58"/>
    <n v="100.8"/>
    <n v="2"/>
    <n v="21.42"/>
  </r>
  <r>
    <d v="2017-04-09T00:00:00"/>
    <x v="355"/>
    <x v="0"/>
    <x v="0"/>
    <x v="4"/>
    <x v="1270"/>
    <n v="10.19"/>
    <n v="7"/>
    <n v="3.19"/>
  </r>
  <r>
    <d v="2017-04-09T00:00:00"/>
    <x v="355"/>
    <x v="0"/>
    <x v="0"/>
    <x v="2"/>
    <x v="564"/>
    <n v="16.78"/>
    <n v="1"/>
    <n v="-0.21"/>
  </r>
  <r>
    <d v="2017-04-09T00:00:00"/>
    <x v="355"/>
    <x v="0"/>
    <x v="0"/>
    <x v="4"/>
    <x v="1510"/>
    <n v="13.12"/>
    <n v="5"/>
    <n v="3.77"/>
  </r>
  <r>
    <d v="2017-04-09T00:00:00"/>
    <x v="37"/>
    <x v="12"/>
    <x v="2"/>
    <x v="9"/>
    <x v="999"/>
    <n v="91.96"/>
    <n v="4"/>
    <n v="39.54"/>
  </r>
  <r>
    <d v="2017-04-09T00:00:00"/>
    <x v="57"/>
    <x v="3"/>
    <x v="1"/>
    <x v="10"/>
    <x v="1511"/>
    <n v="1322.35"/>
    <n v="3"/>
    <n v="-99.18"/>
  </r>
  <r>
    <d v="2017-04-09T00:00:00"/>
    <x v="704"/>
    <x v="3"/>
    <x v="0"/>
    <x v="0"/>
    <x v="446"/>
    <n v="12.96"/>
    <n v="2"/>
    <n v="6.22"/>
  </r>
  <r>
    <d v="2017-04-09T00:00:00"/>
    <x v="704"/>
    <x v="3"/>
    <x v="2"/>
    <x v="6"/>
    <x v="387"/>
    <n v="43.18"/>
    <n v="3"/>
    <n v="15.11"/>
  </r>
  <r>
    <d v="2017-04-09T00:00:00"/>
    <x v="675"/>
    <x v="1"/>
    <x v="1"/>
    <x v="12"/>
    <x v="1512"/>
    <n v="825.17"/>
    <n v="9"/>
    <n v="-117.88"/>
  </r>
  <r>
    <d v="2017-04-09T00:00:00"/>
    <x v="675"/>
    <x v="1"/>
    <x v="0"/>
    <x v="0"/>
    <x v="660"/>
    <n v="17.760000000000002"/>
    <n v="3"/>
    <n v="5.55"/>
  </r>
  <r>
    <d v="2017-04-09T00:00:00"/>
    <x v="675"/>
    <x v="1"/>
    <x v="0"/>
    <x v="4"/>
    <x v="683"/>
    <n v="6.91"/>
    <n v="3"/>
    <n v="0.86"/>
  </r>
  <r>
    <d v="2017-04-09T00:00:00"/>
    <x v="270"/>
    <x v="16"/>
    <x v="0"/>
    <x v="4"/>
    <x v="255"/>
    <n v="8.26"/>
    <n v="4"/>
    <n v="0.62"/>
  </r>
  <r>
    <d v="2017-04-09T00:00:00"/>
    <x v="270"/>
    <x v="16"/>
    <x v="0"/>
    <x v="3"/>
    <x v="813"/>
    <n v="25.56"/>
    <n v="5"/>
    <n v="-20.45"/>
  </r>
  <r>
    <d v="2017-04-09T00:00:00"/>
    <x v="270"/>
    <x v="16"/>
    <x v="0"/>
    <x v="3"/>
    <x v="814"/>
    <n v="4.37"/>
    <n v="2"/>
    <n v="-3.06"/>
  </r>
  <r>
    <d v="2017-04-09T00:00:00"/>
    <x v="270"/>
    <x v="16"/>
    <x v="0"/>
    <x v="0"/>
    <x v="1513"/>
    <n v="11.52"/>
    <n v="4"/>
    <n v="3.74"/>
  </r>
  <r>
    <d v="2017-04-09T00:00:00"/>
    <x v="590"/>
    <x v="3"/>
    <x v="0"/>
    <x v="3"/>
    <x v="8"/>
    <n v="487.98"/>
    <n v="2"/>
    <n v="152.5"/>
  </r>
  <r>
    <d v="2017-04-09T00:00:00"/>
    <x v="590"/>
    <x v="3"/>
    <x v="2"/>
    <x v="6"/>
    <x v="1514"/>
    <n v="5.56"/>
    <n v="1"/>
    <n v="1.74"/>
  </r>
  <r>
    <d v="2017-04-09T00:00:00"/>
    <x v="590"/>
    <x v="3"/>
    <x v="0"/>
    <x v="2"/>
    <x v="526"/>
    <n v="217.85"/>
    <n v="5"/>
    <n v="65.36"/>
  </r>
  <r>
    <d v="2017-04-09T00:00:00"/>
    <x v="324"/>
    <x v="2"/>
    <x v="2"/>
    <x v="9"/>
    <x v="608"/>
    <n v="19.04"/>
    <n v="4"/>
    <n v="-1.43"/>
  </r>
  <r>
    <d v="2017-04-09T00:00:00"/>
    <x v="267"/>
    <x v="3"/>
    <x v="0"/>
    <x v="2"/>
    <x v="737"/>
    <n v="54.32"/>
    <n v="4"/>
    <n v="0.54"/>
  </r>
  <r>
    <d v="2017-04-09T00:00:00"/>
    <x v="277"/>
    <x v="3"/>
    <x v="0"/>
    <x v="3"/>
    <x v="708"/>
    <n v="13.34"/>
    <n v="6"/>
    <n v="4.34"/>
  </r>
  <r>
    <d v="2017-04-09T00:00:00"/>
    <x v="277"/>
    <x v="3"/>
    <x v="1"/>
    <x v="10"/>
    <x v="1177"/>
    <n v="1478.27"/>
    <n v="8"/>
    <n v="92.39"/>
  </r>
  <r>
    <d v="2017-04-09T00:00:00"/>
    <x v="564"/>
    <x v="43"/>
    <x v="0"/>
    <x v="7"/>
    <x v="22"/>
    <n v="14.82"/>
    <n v="6"/>
    <n v="6.97"/>
  </r>
  <r>
    <d v="2017-04-09T00:00:00"/>
    <x v="35"/>
    <x v="3"/>
    <x v="0"/>
    <x v="2"/>
    <x v="1459"/>
    <n v="421.1"/>
    <n v="2"/>
    <n v="105.28"/>
  </r>
  <r>
    <d v="2017-04-09T00:00:00"/>
    <x v="473"/>
    <x v="9"/>
    <x v="1"/>
    <x v="5"/>
    <x v="328"/>
    <n v="97.18"/>
    <n v="2"/>
    <n v="6.07"/>
  </r>
  <r>
    <d v="2017-04-09T00:00:00"/>
    <x v="473"/>
    <x v="9"/>
    <x v="0"/>
    <x v="0"/>
    <x v="160"/>
    <n v="10.37"/>
    <n v="2"/>
    <n v="3.63"/>
  </r>
  <r>
    <d v="2017-04-09T00:00:00"/>
    <x v="256"/>
    <x v="0"/>
    <x v="0"/>
    <x v="4"/>
    <x v="424"/>
    <n v="30.38"/>
    <n v="1"/>
    <n v="3.8"/>
  </r>
  <r>
    <d v="2017-04-09T00:00:00"/>
    <x v="561"/>
    <x v="3"/>
    <x v="0"/>
    <x v="3"/>
    <x v="910"/>
    <n v="11.81"/>
    <n v="3"/>
    <n v="4.13"/>
  </r>
  <r>
    <d v="2017-04-09T00:00:00"/>
    <x v="645"/>
    <x v="35"/>
    <x v="0"/>
    <x v="3"/>
    <x v="1515"/>
    <n v="88.07"/>
    <n v="7"/>
    <n v="-58.72"/>
  </r>
  <r>
    <d v="2017-05-09T00:00:00"/>
    <x v="449"/>
    <x v="10"/>
    <x v="0"/>
    <x v="4"/>
    <x v="806"/>
    <n v="2.78"/>
    <n v="1"/>
    <n v="0.72"/>
  </r>
  <r>
    <d v="2017-05-09T00:00:00"/>
    <x v="605"/>
    <x v="9"/>
    <x v="0"/>
    <x v="2"/>
    <x v="268"/>
    <n v="147.18"/>
    <n v="2"/>
    <n v="-29.44"/>
  </r>
  <r>
    <d v="2017-05-09T00:00:00"/>
    <x v="568"/>
    <x v="31"/>
    <x v="2"/>
    <x v="9"/>
    <x v="1404"/>
    <n v="89.57"/>
    <n v="4"/>
    <n v="-1.1200000000000001"/>
  </r>
  <r>
    <d v="2017-05-09T00:00:00"/>
    <x v="568"/>
    <x v="31"/>
    <x v="0"/>
    <x v="4"/>
    <x v="180"/>
    <n v="71.959999999999994"/>
    <n v="5"/>
    <n v="7.2"/>
  </r>
  <r>
    <d v="2017-05-09T00:00:00"/>
    <x v="568"/>
    <x v="31"/>
    <x v="0"/>
    <x v="0"/>
    <x v="446"/>
    <n v="15.55"/>
    <n v="3"/>
    <n v="5.44"/>
  </r>
  <r>
    <d v="2017-07-09T00:00:00"/>
    <x v="599"/>
    <x v="3"/>
    <x v="1"/>
    <x v="8"/>
    <x v="1343"/>
    <n v="47.94"/>
    <n v="3"/>
    <n v="2.4"/>
  </r>
  <r>
    <d v="2017-07-09T00:00:00"/>
    <x v="59"/>
    <x v="35"/>
    <x v="0"/>
    <x v="2"/>
    <x v="958"/>
    <n v="37.68"/>
    <n v="3"/>
    <n v="2.36"/>
  </r>
  <r>
    <d v="2017-07-09T00:00:00"/>
    <x v="59"/>
    <x v="35"/>
    <x v="2"/>
    <x v="9"/>
    <x v="109"/>
    <n v="279.94"/>
    <n v="7"/>
    <n v="80.48"/>
  </r>
  <r>
    <d v="2017-07-09T00:00:00"/>
    <x v="205"/>
    <x v="12"/>
    <x v="0"/>
    <x v="2"/>
    <x v="989"/>
    <n v="478.08"/>
    <n v="8"/>
    <n v="133.86000000000001"/>
  </r>
  <r>
    <d v="2017-07-09T00:00:00"/>
    <x v="214"/>
    <x v="1"/>
    <x v="0"/>
    <x v="0"/>
    <x v="177"/>
    <n v="73.010000000000005"/>
    <n v="9"/>
    <n v="26.47"/>
  </r>
  <r>
    <d v="2017-07-09T00:00:00"/>
    <x v="365"/>
    <x v="14"/>
    <x v="0"/>
    <x v="3"/>
    <x v="645"/>
    <n v="1577.94"/>
    <n v="3"/>
    <n v="757.41"/>
  </r>
  <r>
    <d v="2017-07-09T00:00:00"/>
    <x v="242"/>
    <x v="23"/>
    <x v="0"/>
    <x v="3"/>
    <x v="38"/>
    <n v="7.86"/>
    <n v="3"/>
    <n v="-6.02"/>
  </r>
  <r>
    <d v="2017-07-09T00:00:00"/>
    <x v="649"/>
    <x v="2"/>
    <x v="0"/>
    <x v="1"/>
    <x v="470"/>
    <n v="29.24"/>
    <n v="5"/>
    <n v="9.8699999999999992"/>
  </r>
  <r>
    <d v="2017-07-09T00:00:00"/>
    <x v="649"/>
    <x v="2"/>
    <x v="0"/>
    <x v="0"/>
    <x v="278"/>
    <n v="15.55"/>
    <n v="3"/>
    <n v="5.44"/>
  </r>
  <r>
    <d v="2017-07-09T00:00:00"/>
    <x v="649"/>
    <x v="2"/>
    <x v="0"/>
    <x v="11"/>
    <x v="985"/>
    <n v="4.9000000000000004"/>
    <n v="3"/>
    <n v="1.65"/>
  </r>
  <r>
    <d v="2017-07-09T00:00:00"/>
    <x v="373"/>
    <x v="8"/>
    <x v="2"/>
    <x v="9"/>
    <x v="434"/>
    <n v="13.48"/>
    <n v="1"/>
    <n v="1.89"/>
  </r>
  <r>
    <d v="2017-07-09T00:00:00"/>
    <x v="188"/>
    <x v="30"/>
    <x v="1"/>
    <x v="8"/>
    <x v="1516"/>
    <n v="25.16"/>
    <n v="2"/>
    <n v="10.57"/>
  </r>
  <r>
    <d v="2017-07-09T00:00:00"/>
    <x v="188"/>
    <x v="30"/>
    <x v="2"/>
    <x v="6"/>
    <x v="1517"/>
    <n v="126.56"/>
    <n v="4"/>
    <n v="47.46"/>
  </r>
  <r>
    <d v="2017-07-09T00:00:00"/>
    <x v="191"/>
    <x v="3"/>
    <x v="1"/>
    <x v="8"/>
    <x v="1115"/>
    <n v="19.760000000000002"/>
    <n v="4"/>
    <n v="8.3000000000000007"/>
  </r>
  <r>
    <d v="2017-07-09T00:00:00"/>
    <x v="388"/>
    <x v="14"/>
    <x v="2"/>
    <x v="9"/>
    <x v="325"/>
    <n v="113.52"/>
    <n v="4"/>
    <n v="46.54"/>
  </r>
  <r>
    <d v="2017-07-09T00:00:00"/>
    <x v="388"/>
    <x v="14"/>
    <x v="1"/>
    <x v="8"/>
    <x v="787"/>
    <n v="135.30000000000001"/>
    <n v="5"/>
    <n v="37.880000000000003"/>
  </r>
  <r>
    <d v="2017-07-09T00:00:00"/>
    <x v="283"/>
    <x v="3"/>
    <x v="1"/>
    <x v="5"/>
    <x v="1016"/>
    <n v="161.57"/>
    <n v="2"/>
    <n v="-28.27"/>
  </r>
  <r>
    <d v="2017-07-09T00:00:00"/>
    <x v="312"/>
    <x v="31"/>
    <x v="0"/>
    <x v="13"/>
    <x v="324"/>
    <n v="81.569999999999993"/>
    <n v="2"/>
    <n v="7.14"/>
  </r>
  <r>
    <d v="2017-07-09T00:00:00"/>
    <x v="615"/>
    <x v="10"/>
    <x v="1"/>
    <x v="8"/>
    <x v="1518"/>
    <n v="80.959999999999994"/>
    <n v="4"/>
    <n v="34.81"/>
  </r>
  <r>
    <d v="2017-07-09T00:00:00"/>
    <x v="615"/>
    <x v="10"/>
    <x v="2"/>
    <x v="6"/>
    <x v="248"/>
    <n v="455.71"/>
    <n v="2"/>
    <n v="34.18"/>
  </r>
  <r>
    <d v="2017-07-09T00:00:00"/>
    <x v="615"/>
    <x v="10"/>
    <x v="0"/>
    <x v="4"/>
    <x v="1519"/>
    <n v="25.98"/>
    <n v="1"/>
    <n v="7.27"/>
  </r>
  <r>
    <d v="2017-07-09T00:00:00"/>
    <x v="327"/>
    <x v="40"/>
    <x v="0"/>
    <x v="0"/>
    <x v="937"/>
    <n v="16.899999999999999"/>
    <n v="5"/>
    <n v="7.77"/>
  </r>
  <r>
    <d v="2017-07-09T00:00:00"/>
    <x v="327"/>
    <x v="40"/>
    <x v="0"/>
    <x v="0"/>
    <x v="1168"/>
    <n v="39.96"/>
    <n v="2"/>
    <n v="18.78"/>
  </r>
  <r>
    <d v="2017-08-09T00:00:00"/>
    <x v="76"/>
    <x v="1"/>
    <x v="1"/>
    <x v="10"/>
    <x v="313"/>
    <n v="765.63"/>
    <n v="7"/>
    <n v="-566.55999999999995"/>
  </r>
  <r>
    <d v="2017-08-09T00:00:00"/>
    <x v="487"/>
    <x v="2"/>
    <x v="2"/>
    <x v="6"/>
    <x v="949"/>
    <n v="258.52999999999997"/>
    <n v="2"/>
    <n v="-47.4"/>
  </r>
  <r>
    <d v="2017-08-09T00:00:00"/>
    <x v="244"/>
    <x v="16"/>
    <x v="2"/>
    <x v="9"/>
    <x v="1520"/>
    <n v="9.1"/>
    <n v="1"/>
    <n v="1.71"/>
  </r>
  <r>
    <d v="2017-08-09T00:00:00"/>
    <x v="67"/>
    <x v="16"/>
    <x v="2"/>
    <x v="9"/>
    <x v="538"/>
    <n v="116.83"/>
    <n v="4"/>
    <n v="33.590000000000003"/>
  </r>
  <r>
    <d v="2017-08-09T00:00:00"/>
    <x v="442"/>
    <x v="0"/>
    <x v="2"/>
    <x v="9"/>
    <x v="1521"/>
    <n v="85.2"/>
    <n v="6"/>
    <n v="20.239999999999998"/>
  </r>
  <r>
    <d v="2017-08-09T00:00:00"/>
    <x v="582"/>
    <x v="0"/>
    <x v="0"/>
    <x v="3"/>
    <x v="450"/>
    <n v="42.62"/>
    <n v="7"/>
    <n v="-68.19"/>
  </r>
  <r>
    <d v="2017-08-09T00:00:00"/>
    <x v="582"/>
    <x v="0"/>
    <x v="2"/>
    <x v="15"/>
    <x v="736"/>
    <n v="319.98"/>
    <n v="2"/>
    <n v="107.99"/>
  </r>
  <r>
    <d v="2017-08-09T00:00:00"/>
    <x v="582"/>
    <x v="0"/>
    <x v="0"/>
    <x v="7"/>
    <x v="361"/>
    <n v="45.92"/>
    <n v="5"/>
    <n v="15.5"/>
  </r>
  <r>
    <d v="2017-08-09T00:00:00"/>
    <x v="582"/>
    <x v="0"/>
    <x v="1"/>
    <x v="8"/>
    <x v="51"/>
    <n v="21.18"/>
    <n v="2"/>
    <n v="-11.65"/>
  </r>
  <r>
    <d v="2017-08-09T00:00:00"/>
    <x v="582"/>
    <x v="0"/>
    <x v="0"/>
    <x v="0"/>
    <x v="209"/>
    <n v="20.74"/>
    <n v="4"/>
    <n v="7.26"/>
  </r>
  <r>
    <d v="2017-08-09T00:00:00"/>
    <x v="582"/>
    <x v="0"/>
    <x v="1"/>
    <x v="5"/>
    <x v="944"/>
    <n v="213.43"/>
    <n v="5"/>
    <n v="-39.64"/>
  </r>
  <r>
    <d v="2017-08-09T00:00:00"/>
    <x v="506"/>
    <x v="9"/>
    <x v="0"/>
    <x v="2"/>
    <x v="552"/>
    <n v="61.68"/>
    <n v="5"/>
    <n v="5.4"/>
  </r>
  <r>
    <d v="2017-08-09T00:00:00"/>
    <x v="506"/>
    <x v="9"/>
    <x v="2"/>
    <x v="6"/>
    <x v="513"/>
    <n v="158.38"/>
    <n v="3"/>
    <n v="13.86"/>
  </r>
  <r>
    <d v="2017-08-09T00:00:00"/>
    <x v="415"/>
    <x v="12"/>
    <x v="0"/>
    <x v="2"/>
    <x v="118"/>
    <n v="65.12"/>
    <n v="4"/>
    <n v="16.93"/>
  </r>
  <r>
    <d v="2017-09-09T00:00:00"/>
    <x v="205"/>
    <x v="2"/>
    <x v="1"/>
    <x v="5"/>
    <x v="1016"/>
    <n v="141.37"/>
    <n v="2"/>
    <n v="-48.47"/>
  </r>
  <r>
    <d v="2017-09-09T00:00:00"/>
    <x v="205"/>
    <x v="2"/>
    <x v="0"/>
    <x v="3"/>
    <x v="672"/>
    <n v="3.04"/>
    <n v="2"/>
    <n v="-2.33"/>
  </r>
  <r>
    <d v="2017-09-09T00:00:00"/>
    <x v="205"/>
    <x v="2"/>
    <x v="0"/>
    <x v="3"/>
    <x v="1123"/>
    <n v="4.5"/>
    <n v="1"/>
    <n v="-3.6"/>
  </r>
  <r>
    <d v="2017-09-09T00:00:00"/>
    <x v="205"/>
    <x v="2"/>
    <x v="0"/>
    <x v="4"/>
    <x v="1490"/>
    <n v="4.67"/>
    <n v="1"/>
    <n v="1.58"/>
  </r>
  <r>
    <d v="2017-09-09T00:00:00"/>
    <x v="205"/>
    <x v="2"/>
    <x v="2"/>
    <x v="9"/>
    <x v="699"/>
    <n v="95.88"/>
    <n v="3"/>
    <n v="28.76"/>
  </r>
  <r>
    <d v="2017-09-09T00:00:00"/>
    <x v="205"/>
    <x v="2"/>
    <x v="1"/>
    <x v="8"/>
    <x v="558"/>
    <n v="17.02"/>
    <n v="2"/>
    <n v="1.7"/>
  </r>
  <r>
    <d v="2017-09-09T00:00:00"/>
    <x v="205"/>
    <x v="2"/>
    <x v="2"/>
    <x v="9"/>
    <x v="1167"/>
    <n v="258.7"/>
    <n v="3"/>
    <n v="64.67"/>
  </r>
  <r>
    <d v="2017-09-09T00:00:00"/>
    <x v="205"/>
    <x v="2"/>
    <x v="2"/>
    <x v="6"/>
    <x v="1522"/>
    <n v="1931.96"/>
    <n v="7"/>
    <n v="-386.39"/>
  </r>
  <r>
    <d v="2017-09-09T00:00:00"/>
    <x v="95"/>
    <x v="17"/>
    <x v="0"/>
    <x v="2"/>
    <x v="1463"/>
    <n v="628.80999999999995"/>
    <n v="7"/>
    <n v="12.58"/>
  </r>
  <r>
    <d v="2017-09-09T00:00:00"/>
    <x v="95"/>
    <x v="17"/>
    <x v="0"/>
    <x v="2"/>
    <x v="545"/>
    <n v="56.45"/>
    <n v="5"/>
    <n v="14.68"/>
  </r>
  <r>
    <d v="2017-09-09T00:00:00"/>
    <x v="458"/>
    <x v="31"/>
    <x v="0"/>
    <x v="14"/>
    <x v="252"/>
    <n v="8.83"/>
    <n v="3"/>
    <n v="-1.99"/>
  </r>
  <r>
    <d v="2017-09-09T00:00:00"/>
    <x v="458"/>
    <x v="31"/>
    <x v="0"/>
    <x v="0"/>
    <x v="1523"/>
    <n v="177.54"/>
    <n v="4"/>
    <n v="62.14"/>
  </r>
  <r>
    <d v="2017-09-09T00:00:00"/>
    <x v="458"/>
    <x v="31"/>
    <x v="0"/>
    <x v="2"/>
    <x v="772"/>
    <n v="258.48"/>
    <n v="2"/>
    <n v="-3.23"/>
  </r>
  <r>
    <d v="2017-09-09T00:00:00"/>
    <x v="458"/>
    <x v="31"/>
    <x v="1"/>
    <x v="8"/>
    <x v="85"/>
    <n v="14.14"/>
    <n v="3"/>
    <n v="4.24"/>
  </r>
  <r>
    <d v="2017-09-09T00:00:00"/>
    <x v="521"/>
    <x v="18"/>
    <x v="0"/>
    <x v="11"/>
    <x v="233"/>
    <n v="17.48"/>
    <n v="2"/>
    <n v="8.2200000000000006"/>
  </r>
  <r>
    <d v="2017-09-09T00:00:00"/>
    <x v="96"/>
    <x v="23"/>
    <x v="0"/>
    <x v="0"/>
    <x v="1524"/>
    <n v="6.37"/>
    <n v="2"/>
    <n v="2.39"/>
  </r>
  <r>
    <d v="2017-09-09T00:00:00"/>
    <x v="255"/>
    <x v="3"/>
    <x v="0"/>
    <x v="4"/>
    <x v="1525"/>
    <n v="6.56"/>
    <n v="2"/>
    <n v="1.9"/>
  </r>
  <r>
    <d v="2017-09-09T00:00:00"/>
    <x v="255"/>
    <x v="3"/>
    <x v="1"/>
    <x v="5"/>
    <x v="821"/>
    <n v="243.92"/>
    <n v="5"/>
    <n v="-15.25"/>
  </r>
  <r>
    <d v="2017-09-09T00:00:00"/>
    <x v="255"/>
    <x v="3"/>
    <x v="0"/>
    <x v="0"/>
    <x v="634"/>
    <n v="47.52"/>
    <n v="9"/>
    <n v="22.81"/>
  </r>
  <r>
    <d v="2017-09-09T00:00:00"/>
    <x v="479"/>
    <x v="3"/>
    <x v="0"/>
    <x v="2"/>
    <x v="1486"/>
    <n v="99.87"/>
    <n v="3"/>
    <n v="23.97"/>
  </r>
  <r>
    <d v="2017-09-09T00:00:00"/>
    <x v="705"/>
    <x v="0"/>
    <x v="0"/>
    <x v="1"/>
    <x v="1287"/>
    <n v="9.86"/>
    <n v="4"/>
    <n v="3.45"/>
  </r>
  <r>
    <d v="2017-09-09T00:00:00"/>
    <x v="212"/>
    <x v="16"/>
    <x v="0"/>
    <x v="4"/>
    <x v="68"/>
    <n v="25.92"/>
    <n v="5"/>
    <n v="3.89"/>
  </r>
  <r>
    <d v="2017-09-09T00:00:00"/>
    <x v="212"/>
    <x v="16"/>
    <x v="1"/>
    <x v="8"/>
    <x v="200"/>
    <n v="66.11"/>
    <n v="2"/>
    <n v="-9.09"/>
  </r>
  <r>
    <d v="2017-09-09T00:00:00"/>
    <x v="288"/>
    <x v="3"/>
    <x v="2"/>
    <x v="9"/>
    <x v="1526"/>
    <n v="159.96"/>
    <n v="4"/>
    <n v="51.19"/>
  </r>
  <r>
    <d v="2017-09-09T00:00:00"/>
    <x v="332"/>
    <x v="35"/>
    <x v="0"/>
    <x v="0"/>
    <x v="1046"/>
    <n v="31.1"/>
    <n v="6"/>
    <n v="11.28"/>
  </r>
  <r>
    <d v="2017-09-09T00:00:00"/>
    <x v="332"/>
    <x v="35"/>
    <x v="0"/>
    <x v="13"/>
    <x v="1108"/>
    <n v="11.18"/>
    <n v="1"/>
    <n v="0.84"/>
  </r>
  <r>
    <d v="2017-09-09T00:00:00"/>
    <x v="231"/>
    <x v="16"/>
    <x v="0"/>
    <x v="1"/>
    <x v="369"/>
    <n v="17.71"/>
    <n v="6"/>
    <n v="5.98"/>
  </r>
  <r>
    <d v="2017-09-09T00:00:00"/>
    <x v="231"/>
    <x v="16"/>
    <x v="0"/>
    <x v="3"/>
    <x v="820"/>
    <n v="4.8600000000000003"/>
    <n v="3"/>
    <n v="-3.56"/>
  </r>
  <r>
    <d v="2017-09-09T00:00:00"/>
    <x v="231"/>
    <x v="16"/>
    <x v="0"/>
    <x v="3"/>
    <x v="1527"/>
    <n v="6.26"/>
    <n v="2"/>
    <n v="-5.22"/>
  </r>
  <r>
    <d v="2017-10-09T00:00:00"/>
    <x v="591"/>
    <x v="1"/>
    <x v="2"/>
    <x v="6"/>
    <x v="524"/>
    <n v="147.16999999999999"/>
    <n v="4"/>
    <n v="16.559999999999999"/>
  </r>
  <r>
    <d v="2017-10-09T00:00:00"/>
    <x v="65"/>
    <x v="3"/>
    <x v="1"/>
    <x v="5"/>
    <x v="522"/>
    <n v="362.35"/>
    <n v="3"/>
    <n v="27.18"/>
  </r>
  <r>
    <d v="2017-10-09T00:00:00"/>
    <x v="65"/>
    <x v="3"/>
    <x v="0"/>
    <x v="3"/>
    <x v="107"/>
    <n v="7.18"/>
    <n v="2"/>
    <n v="2.25"/>
  </r>
  <r>
    <d v="2017-10-09T00:00:00"/>
    <x v="706"/>
    <x v="14"/>
    <x v="0"/>
    <x v="3"/>
    <x v="820"/>
    <n v="16.2"/>
    <n v="3"/>
    <n v="7.78"/>
  </r>
  <r>
    <d v="2017-10-09T00:00:00"/>
    <x v="706"/>
    <x v="14"/>
    <x v="0"/>
    <x v="13"/>
    <x v="416"/>
    <n v="33.99"/>
    <n v="3"/>
    <n v="14.62"/>
  </r>
  <r>
    <d v="2017-10-09T00:00:00"/>
    <x v="706"/>
    <x v="14"/>
    <x v="2"/>
    <x v="9"/>
    <x v="465"/>
    <n v="296.85000000000002"/>
    <n v="5"/>
    <n v="53.43"/>
  </r>
  <r>
    <d v="2017-10-09T00:00:00"/>
    <x v="706"/>
    <x v="14"/>
    <x v="2"/>
    <x v="9"/>
    <x v="1049"/>
    <n v="112.8"/>
    <n v="6"/>
    <n v="6.77"/>
  </r>
  <r>
    <d v="2017-10-09T00:00:00"/>
    <x v="706"/>
    <x v="14"/>
    <x v="0"/>
    <x v="3"/>
    <x v="293"/>
    <n v="13.71"/>
    <n v="3"/>
    <n v="6.58"/>
  </r>
  <r>
    <d v="2017-10-09T00:00:00"/>
    <x v="706"/>
    <x v="14"/>
    <x v="0"/>
    <x v="0"/>
    <x v="1013"/>
    <n v="24.9"/>
    <n v="5"/>
    <n v="11.7"/>
  </r>
  <r>
    <d v="2017-10-09T00:00:00"/>
    <x v="706"/>
    <x v="14"/>
    <x v="0"/>
    <x v="2"/>
    <x v="1425"/>
    <n v="286.29000000000002"/>
    <n v="3"/>
    <n v="17.18"/>
  </r>
  <r>
    <d v="2017-10-09T00:00:00"/>
    <x v="706"/>
    <x v="14"/>
    <x v="0"/>
    <x v="13"/>
    <x v="1528"/>
    <n v="24.18"/>
    <n v="2"/>
    <n v="7.25"/>
  </r>
  <r>
    <d v="2017-10-09T00:00:00"/>
    <x v="444"/>
    <x v="1"/>
    <x v="0"/>
    <x v="3"/>
    <x v="580"/>
    <n v="762.59"/>
    <n v="3"/>
    <n v="-1143.8900000000001"/>
  </r>
  <r>
    <d v="2017-10-09T00:00:00"/>
    <x v="257"/>
    <x v="12"/>
    <x v="0"/>
    <x v="0"/>
    <x v="1529"/>
    <n v="18.760000000000002"/>
    <n v="2"/>
    <n v="9"/>
  </r>
  <r>
    <d v="2017-10-09T00:00:00"/>
    <x v="442"/>
    <x v="20"/>
    <x v="0"/>
    <x v="4"/>
    <x v="1261"/>
    <n v="14.88"/>
    <n v="2"/>
    <n v="3.72"/>
  </r>
  <r>
    <d v="2017-10-09T00:00:00"/>
    <x v="249"/>
    <x v="16"/>
    <x v="0"/>
    <x v="0"/>
    <x v="833"/>
    <n v="85.06"/>
    <n v="3"/>
    <n v="28.71"/>
  </r>
  <r>
    <d v="2017-10-09T00:00:00"/>
    <x v="200"/>
    <x v="4"/>
    <x v="0"/>
    <x v="3"/>
    <x v="1530"/>
    <n v="2.78"/>
    <n v="1"/>
    <n v="1.36"/>
  </r>
  <r>
    <d v="2017-10-09T00:00:00"/>
    <x v="475"/>
    <x v="16"/>
    <x v="2"/>
    <x v="9"/>
    <x v="678"/>
    <n v="37.06"/>
    <n v="4"/>
    <n v="8.8000000000000007"/>
  </r>
  <r>
    <d v="2017-10-09T00:00:00"/>
    <x v="475"/>
    <x v="16"/>
    <x v="2"/>
    <x v="6"/>
    <x v="951"/>
    <n v="259.89999999999998"/>
    <n v="2"/>
    <n v="-56.31"/>
  </r>
  <r>
    <d v="2017-11-09T00:00:00"/>
    <x v="305"/>
    <x v="9"/>
    <x v="1"/>
    <x v="8"/>
    <x v="276"/>
    <n v="34.5"/>
    <n v="1"/>
    <n v="6.04"/>
  </r>
  <r>
    <d v="2017-11-09T00:00:00"/>
    <x v="545"/>
    <x v="4"/>
    <x v="0"/>
    <x v="0"/>
    <x v="1003"/>
    <n v="184.66"/>
    <n v="7"/>
    <n v="84.94"/>
  </r>
  <r>
    <d v="2017-11-09T00:00:00"/>
    <x v="539"/>
    <x v="3"/>
    <x v="0"/>
    <x v="0"/>
    <x v="1325"/>
    <n v="12.96"/>
    <n v="2"/>
    <n v="6.22"/>
  </r>
  <r>
    <d v="2017-11-09T00:00:00"/>
    <x v="539"/>
    <x v="3"/>
    <x v="0"/>
    <x v="11"/>
    <x v="1114"/>
    <n v="22.18"/>
    <n v="2"/>
    <n v="10.87"/>
  </r>
  <r>
    <d v="2017-11-09T00:00:00"/>
    <x v="539"/>
    <x v="3"/>
    <x v="1"/>
    <x v="5"/>
    <x v="197"/>
    <n v="2054.27"/>
    <n v="8"/>
    <n v="256.77999999999997"/>
  </r>
  <r>
    <d v="2017-11-09T00:00:00"/>
    <x v="243"/>
    <x v="1"/>
    <x v="0"/>
    <x v="7"/>
    <x v="406"/>
    <n v="10.53"/>
    <n v="4"/>
    <n v="3.29"/>
  </r>
  <r>
    <d v="2017-11-09T00:00:00"/>
    <x v="243"/>
    <x v="1"/>
    <x v="0"/>
    <x v="0"/>
    <x v="1436"/>
    <n v="20.54"/>
    <n v="6"/>
    <n v="6.42"/>
  </r>
  <r>
    <d v="2017-11-09T00:00:00"/>
    <x v="649"/>
    <x v="3"/>
    <x v="1"/>
    <x v="8"/>
    <x v="1240"/>
    <n v="32.36"/>
    <n v="4"/>
    <n v="11.65"/>
  </r>
  <r>
    <d v="2017-11-09T00:00:00"/>
    <x v="649"/>
    <x v="3"/>
    <x v="0"/>
    <x v="13"/>
    <x v="733"/>
    <n v="406.6"/>
    <n v="5"/>
    <n v="113.85"/>
  </r>
  <r>
    <d v="2017-11-09T00:00:00"/>
    <x v="358"/>
    <x v="10"/>
    <x v="1"/>
    <x v="5"/>
    <x v="1279"/>
    <n v="177.57"/>
    <n v="2"/>
    <n v="8.8800000000000008"/>
  </r>
  <r>
    <d v="2017-11-09T00:00:00"/>
    <x v="358"/>
    <x v="10"/>
    <x v="0"/>
    <x v="0"/>
    <x v="5"/>
    <n v="19.440000000000001"/>
    <n v="3"/>
    <n v="9.33"/>
  </r>
  <r>
    <d v="2017-11-09T00:00:00"/>
    <x v="358"/>
    <x v="10"/>
    <x v="0"/>
    <x v="0"/>
    <x v="929"/>
    <n v="71.28"/>
    <n v="11"/>
    <n v="34.21"/>
  </r>
  <r>
    <d v="2017-11-09T00:00:00"/>
    <x v="358"/>
    <x v="10"/>
    <x v="0"/>
    <x v="3"/>
    <x v="355"/>
    <n v="1471.96"/>
    <n v="5"/>
    <n v="459.99"/>
  </r>
  <r>
    <d v="2017-11-09T00:00:00"/>
    <x v="358"/>
    <x v="10"/>
    <x v="2"/>
    <x v="6"/>
    <x v="1531"/>
    <n v="79.959999999999994"/>
    <n v="5"/>
    <n v="-17.989999999999998"/>
  </r>
  <r>
    <d v="2017-11-09T00:00:00"/>
    <x v="554"/>
    <x v="0"/>
    <x v="0"/>
    <x v="0"/>
    <x v="759"/>
    <n v="10.27"/>
    <n v="3"/>
    <n v="3.21"/>
  </r>
  <r>
    <d v="2017-11-09T00:00:00"/>
    <x v="554"/>
    <x v="0"/>
    <x v="1"/>
    <x v="10"/>
    <x v="983"/>
    <n v="512.19000000000005"/>
    <n v="5"/>
    <n v="-65.849999999999994"/>
  </r>
  <r>
    <d v="2017-11-09T00:00:00"/>
    <x v="554"/>
    <x v="0"/>
    <x v="0"/>
    <x v="13"/>
    <x v="226"/>
    <n v="1.56"/>
    <n v="2"/>
    <n v="-4.2"/>
  </r>
  <r>
    <d v="2017-11-09T00:00:00"/>
    <x v="249"/>
    <x v="3"/>
    <x v="2"/>
    <x v="6"/>
    <x v="1197"/>
    <n v="143.94999999999999"/>
    <n v="6"/>
    <n v="17.989999999999998"/>
  </r>
  <r>
    <d v="2017-11-09T00:00:00"/>
    <x v="249"/>
    <x v="3"/>
    <x v="0"/>
    <x v="0"/>
    <x v="726"/>
    <n v="19.440000000000001"/>
    <n v="3"/>
    <n v="9.33"/>
  </r>
  <r>
    <d v="2017-11-09T00:00:00"/>
    <x v="649"/>
    <x v="6"/>
    <x v="0"/>
    <x v="13"/>
    <x v="1379"/>
    <n v="67.900000000000006"/>
    <n v="5"/>
    <n v="20.37"/>
  </r>
  <r>
    <d v="2017-11-09T00:00:00"/>
    <x v="200"/>
    <x v="5"/>
    <x v="0"/>
    <x v="13"/>
    <x v="88"/>
    <n v="195.68"/>
    <n v="4"/>
    <n v="50.88"/>
  </r>
  <r>
    <d v="2017-11-09T00:00:00"/>
    <x v="200"/>
    <x v="5"/>
    <x v="0"/>
    <x v="7"/>
    <x v="309"/>
    <n v="14.2"/>
    <n v="4"/>
    <n v="6.67"/>
  </r>
  <r>
    <d v="2017-12-09T00:00:00"/>
    <x v="707"/>
    <x v="3"/>
    <x v="1"/>
    <x v="8"/>
    <x v="646"/>
    <n v="8.36"/>
    <n v="2"/>
    <n v="3.01"/>
  </r>
  <r>
    <d v="2017-12-09T00:00:00"/>
    <x v="708"/>
    <x v="39"/>
    <x v="0"/>
    <x v="0"/>
    <x v="207"/>
    <n v="39.9"/>
    <n v="5"/>
    <n v="19.95"/>
  </r>
  <r>
    <d v="2017-12-09T00:00:00"/>
    <x v="708"/>
    <x v="39"/>
    <x v="0"/>
    <x v="13"/>
    <x v="1250"/>
    <n v="90.86"/>
    <n v="7"/>
    <n v="26.35"/>
  </r>
  <r>
    <d v="2017-12-09T00:00:00"/>
    <x v="708"/>
    <x v="39"/>
    <x v="0"/>
    <x v="0"/>
    <x v="1107"/>
    <n v="94.85"/>
    <n v="5"/>
    <n v="45.53"/>
  </r>
  <r>
    <d v="2017-12-09T00:00:00"/>
    <x v="651"/>
    <x v="40"/>
    <x v="0"/>
    <x v="0"/>
    <x v="110"/>
    <n v="45.36"/>
    <n v="7"/>
    <n v="21.77"/>
  </r>
  <r>
    <d v="2017-12-09T00:00:00"/>
    <x v="651"/>
    <x v="40"/>
    <x v="0"/>
    <x v="3"/>
    <x v="713"/>
    <n v="45.78"/>
    <n v="3"/>
    <n v="22.89"/>
  </r>
  <r>
    <d v="2017-12-09T00:00:00"/>
    <x v="630"/>
    <x v="3"/>
    <x v="0"/>
    <x v="0"/>
    <x v="112"/>
    <n v="166.44"/>
    <n v="3"/>
    <n v="79.89"/>
  </r>
  <r>
    <d v="2017-01-10T00:00:00"/>
    <x v="249"/>
    <x v="0"/>
    <x v="0"/>
    <x v="4"/>
    <x v="1532"/>
    <n v="6.67"/>
    <n v="6"/>
    <n v="0.5"/>
  </r>
  <r>
    <d v="2017-01-10T00:00:00"/>
    <x v="634"/>
    <x v="10"/>
    <x v="0"/>
    <x v="0"/>
    <x v="1533"/>
    <n v="91.84"/>
    <n v="8"/>
    <n v="45"/>
  </r>
  <r>
    <d v="2017-01-10T00:00:00"/>
    <x v="634"/>
    <x v="10"/>
    <x v="0"/>
    <x v="3"/>
    <x v="1010"/>
    <n v="81.09"/>
    <n v="7"/>
    <n v="27.37"/>
  </r>
  <r>
    <d v="2017-01-10T00:00:00"/>
    <x v="634"/>
    <x v="10"/>
    <x v="0"/>
    <x v="0"/>
    <x v="781"/>
    <n v="19.440000000000001"/>
    <n v="3"/>
    <n v="9.33"/>
  </r>
  <r>
    <d v="2017-01-10T00:00:00"/>
    <x v="634"/>
    <x v="10"/>
    <x v="1"/>
    <x v="5"/>
    <x v="563"/>
    <n v="451.15"/>
    <n v="3"/>
    <n v="0"/>
  </r>
  <r>
    <d v="2017-01-10T00:00:00"/>
    <x v="709"/>
    <x v="3"/>
    <x v="0"/>
    <x v="3"/>
    <x v="1377"/>
    <n v="1.44"/>
    <n v="1"/>
    <n v="0.5"/>
  </r>
  <r>
    <d v="2017-01-10T00:00:00"/>
    <x v="709"/>
    <x v="3"/>
    <x v="0"/>
    <x v="3"/>
    <x v="176"/>
    <n v="61.78"/>
    <n v="13"/>
    <n v="20.85"/>
  </r>
  <r>
    <d v="2017-01-10T00:00:00"/>
    <x v="709"/>
    <x v="3"/>
    <x v="0"/>
    <x v="13"/>
    <x v="955"/>
    <n v="241.96"/>
    <n v="2"/>
    <n v="60.49"/>
  </r>
  <r>
    <d v="2017-01-10T00:00:00"/>
    <x v="709"/>
    <x v="3"/>
    <x v="1"/>
    <x v="5"/>
    <x v="879"/>
    <n v="108.61"/>
    <n v="4"/>
    <n v="9.5"/>
  </r>
  <r>
    <d v="2017-01-10T00:00:00"/>
    <x v="466"/>
    <x v="12"/>
    <x v="2"/>
    <x v="16"/>
    <x v="810"/>
    <n v="1704.89"/>
    <n v="11"/>
    <n v="767.2"/>
  </r>
  <r>
    <d v="2017-01-10T00:00:00"/>
    <x v="339"/>
    <x v="37"/>
    <x v="0"/>
    <x v="0"/>
    <x v="1351"/>
    <n v="104.85"/>
    <n v="1"/>
    <n v="50.33"/>
  </r>
  <r>
    <d v="2017-01-10T00:00:00"/>
    <x v="239"/>
    <x v="3"/>
    <x v="2"/>
    <x v="9"/>
    <x v="1534"/>
    <n v="104.75"/>
    <n v="5"/>
    <n v="22"/>
  </r>
  <r>
    <d v="2017-02-10T00:00:00"/>
    <x v="167"/>
    <x v="18"/>
    <x v="0"/>
    <x v="3"/>
    <x v="1384"/>
    <n v="58.05"/>
    <n v="3"/>
    <n v="26.7"/>
  </r>
  <r>
    <d v="2017-02-10T00:00:00"/>
    <x v="167"/>
    <x v="18"/>
    <x v="1"/>
    <x v="8"/>
    <x v="1535"/>
    <n v="157.74"/>
    <n v="11"/>
    <n v="56.79"/>
  </r>
  <r>
    <d v="2017-02-10T00:00:00"/>
    <x v="167"/>
    <x v="18"/>
    <x v="0"/>
    <x v="4"/>
    <x v="4"/>
    <n v="56.98"/>
    <n v="7"/>
    <n v="22.79"/>
  </r>
  <r>
    <d v="2017-02-10T00:00:00"/>
    <x v="167"/>
    <x v="18"/>
    <x v="0"/>
    <x v="3"/>
    <x v="261"/>
    <n v="2.88"/>
    <n v="1"/>
    <n v="1.41"/>
  </r>
  <r>
    <d v="2017-02-10T00:00:00"/>
    <x v="383"/>
    <x v="12"/>
    <x v="0"/>
    <x v="0"/>
    <x v="1374"/>
    <n v="49.12"/>
    <n v="4"/>
    <n v="23.09"/>
  </r>
  <r>
    <d v="2017-02-10T00:00:00"/>
    <x v="532"/>
    <x v="12"/>
    <x v="2"/>
    <x v="6"/>
    <x v="1536"/>
    <n v="65.989999999999995"/>
    <n v="1"/>
    <n v="17.16"/>
  </r>
  <r>
    <d v="2017-02-10T00:00:00"/>
    <x v="691"/>
    <x v="10"/>
    <x v="0"/>
    <x v="7"/>
    <x v="22"/>
    <n v="8.94"/>
    <n v="3"/>
    <n v="4.1100000000000003"/>
  </r>
  <r>
    <d v="2017-02-10T00:00:00"/>
    <x v="691"/>
    <x v="10"/>
    <x v="2"/>
    <x v="6"/>
    <x v="1537"/>
    <n v="84.78"/>
    <n v="2"/>
    <n v="-20.14"/>
  </r>
  <r>
    <d v="2017-02-10T00:00:00"/>
    <x v="153"/>
    <x v="3"/>
    <x v="0"/>
    <x v="3"/>
    <x v="363"/>
    <n v="112.12"/>
    <n v="5"/>
    <n v="42.05"/>
  </r>
  <r>
    <d v="2017-02-10T00:00:00"/>
    <x v="153"/>
    <x v="3"/>
    <x v="0"/>
    <x v="2"/>
    <x v="536"/>
    <n v="1575.14"/>
    <n v="7"/>
    <n v="204.77"/>
  </r>
  <r>
    <d v="2017-02-10T00:00:00"/>
    <x v="242"/>
    <x v="31"/>
    <x v="1"/>
    <x v="8"/>
    <x v="831"/>
    <n v="11.81"/>
    <n v="2"/>
    <n v="1.33"/>
  </r>
  <r>
    <d v="2017-02-10T00:00:00"/>
    <x v="242"/>
    <x v="31"/>
    <x v="1"/>
    <x v="8"/>
    <x v="1207"/>
    <n v="9.66"/>
    <n v="1"/>
    <n v="1.57"/>
  </r>
  <r>
    <d v="2017-02-10T00:00:00"/>
    <x v="242"/>
    <x v="31"/>
    <x v="0"/>
    <x v="0"/>
    <x v="1325"/>
    <n v="20.74"/>
    <n v="4"/>
    <n v="7.26"/>
  </r>
  <r>
    <d v="2017-02-10T00:00:00"/>
    <x v="242"/>
    <x v="31"/>
    <x v="0"/>
    <x v="3"/>
    <x v="1281"/>
    <n v="27.36"/>
    <n v="3"/>
    <n v="-21.89"/>
  </r>
  <r>
    <d v="2017-02-10T00:00:00"/>
    <x v="242"/>
    <x v="31"/>
    <x v="1"/>
    <x v="10"/>
    <x v="1511"/>
    <n v="2314.12"/>
    <n v="7"/>
    <n v="-1002.78"/>
  </r>
  <r>
    <d v="2017-02-10T00:00:00"/>
    <x v="242"/>
    <x v="31"/>
    <x v="0"/>
    <x v="3"/>
    <x v="1538"/>
    <n v="34.24"/>
    <n v="4"/>
    <n v="-26.25"/>
  </r>
  <r>
    <d v="2017-02-10T00:00:00"/>
    <x v="242"/>
    <x v="31"/>
    <x v="1"/>
    <x v="8"/>
    <x v="359"/>
    <n v="19.760000000000002"/>
    <n v="2"/>
    <n v="5.93"/>
  </r>
  <r>
    <d v="2017-02-10T00:00:00"/>
    <x v="710"/>
    <x v="22"/>
    <x v="1"/>
    <x v="8"/>
    <x v="1539"/>
    <n v="10.16"/>
    <n v="2"/>
    <n v="3.45"/>
  </r>
  <r>
    <d v="2017-02-10T00:00:00"/>
    <x v="711"/>
    <x v="35"/>
    <x v="1"/>
    <x v="12"/>
    <x v="63"/>
    <n v="217.76"/>
    <n v="6"/>
    <n v="-384.72"/>
  </r>
  <r>
    <d v="2017-02-10T00:00:00"/>
    <x v="711"/>
    <x v="35"/>
    <x v="0"/>
    <x v="14"/>
    <x v="1198"/>
    <n v="39.07"/>
    <n v="6"/>
    <n v="4.4000000000000004"/>
  </r>
  <r>
    <d v="2017-02-10T00:00:00"/>
    <x v="711"/>
    <x v="35"/>
    <x v="0"/>
    <x v="3"/>
    <x v="29"/>
    <n v="22.64"/>
    <n v="7"/>
    <n v="-16.600000000000001"/>
  </r>
  <r>
    <d v="2017-02-10T00:00:00"/>
    <x v="711"/>
    <x v="35"/>
    <x v="0"/>
    <x v="4"/>
    <x v="1080"/>
    <n v="95.14"/>
    <n v="7"/>
    <n v="10.7"/>
  </r>
  <r>
    <d v="2017-02-10T00:00:00"/>
    <x v="712"/>
    <x v="3"/>
    <x v="1"/>
    <x v="8"/>
    <x v="1186"/>
    <n v="17.46"/>
    <n v="2"/>
    <n v="5.94"/>
  </r>
  <r>
    <d v="2017-02-10T00:00:00"/>
    <x v="712"/>
    <x v="3"/>
    <x v="2"/>
    <x v="16"/>
    <x v="1540"/>
    <n v="369.16"/>
    <n v="11"/>
    <n v="32.299999999999997"/>
  </r>
  <r>
    <d v="2017-02-10T00:00:00"/>
    <x v="485"/>
    <x v="0"/>
    <x v="0"/>
    <x v="13"/>
    <x v="339"/>
    <n v="15.22"/>
    <n v="2"/>
    <n v="-38.82"/>
  </r>
  <r>
    <d v="2017-02-10T00:00:00"/>
    <x v="485"/>
    <x v="0"/>
    <x v="0"/>
    <x v="13"/>
    <x v="1541"/>
    <n v="21.98"/>
    <n v="6"/>
    <n v="-56.06"/>
  </r>
  <r>
    <d v="2017-03-10T00:00:00"/>
    <x v="477"/>
    <x v="28"/>
    <x v="0"/>
    <x v="3"/>
    <x v="382"/>
    <n v="1793.98"/>
    <n v="2"/>
    <n v="843.17"/>
  </r>
  <r>
    <d v="2017-03-10T00:00:00"/>
    <x v="104"/>
    <x v="12"/>
    <x v="0"/>
    <x v="2"/>
    <x v="545"/>
    <n v="22.58"/>
    <n v="2"/>
    <n v="5.87"/>
  </r>
  <r>
    <d v="2017-03-10T00:00:00"/>
    <x v="645"/>
    <x v="3"/>
    <x v="1"/>
    <x v="10"/>
    <x v="823"/>
    <n v="171.29"/>
    <n v="3"/>
    <n v="-6.42"/>
  </r>
  <r>
    <d v="2017-03-10T00:00:00"/>
    <x v="254"/>
    <x v="9"/>
    <x v="0"/>
    <x v="0"/>
    <x v="901"/>
    <n v="15.55"/>
    <n v="3"/>
    <n v="5.44"/>
  </r>
  <r>
    <d v="2017-03-10T00:00:00"/>
    <x v="254"/>
    <x v="9"/>
    <x v="0"/>
    <x v="13"/>
    <x v="1542"/>
    <n v="17.920000000000002"/>
    <n v="5"/>
    <n v="1.1200000000000001"/>
  </r>
  <r>
    <d v="2017-03-10T00:00:00"/>
    <x v="435"/>
    <x v="12"/>
    <x v="1"/>
    <x v="8"/>
    <x v="1336"/>
    <n v="83.92"/>
    <n v="4"/>
    <n v="21.82"/>
  </r>
  <r>
    <d v="2017-03-10T00:00:00"/>
    <x v="435"/>
    <x v="12"/>
    <x v="0"/>
    <x v="4"/>
    <x v="1480"/>
    <n v="6.63"/>
    <n v="3"/>
    <n v="3.12"/>
  </r>
  <r>
    <d v="2017-03-10T00:00:00"/>
    <x v="435"/>
    <x v="12"/>
    <x v="2"/>
    <x v="9"/>
    <x v="869"/>
    <n v="371.97"/>
    <n v="3"/>
    <n v="66.95"/>
  </r>
  <r>
    <d v="2017-03-10T00:00:00"/>
    <x v="130"/>
    <x v="0"/>
    <x v="0"/>
    <x v="4"/>
    <x v="798"/>
    <n v="20.64"/>
    <n v="5"/>
    <n v="2.3199999999999998"/>
  </r>
  <r>
    <d v="2017-04-10T00:00:00"/>
    <x v="377"/>
    <x v="39"/>
    <x v="1"/>
    <x v="8"/>
    <x v="791"/>
    <n v="19.98"/>
    <n v="1"/>
    <n v="8.59"/>
  </r>
  <r>
    <d v="2017-05-10T00:00:00"/>
    <x v="1"/>
    <x v="12"/>
    <x v="2"/>
    <x v="6"/>
    <x v="1360"/>
    <n v="160.93"/>
    <n v="7"/>
    <n v="3.22"/>
  </r>
  <r>
    <d v="2017-05-10T00:00:00"/>
    <x v="1"/>
    <x v="12"/>
    <x v="0"/>
    <x v="3"/>
    <x v="824"/>
    <n v="75.790000000000006"/>
    <n v="3"/>
    <n v="25.58"/>
  </r>
  <r>
    <d v="2017-05-10T00:00:00"/>
    <x v="500"/>
    <x v="3"/>
    <x v="0"/>
    <x v="3"/>
    <x v="1286"/>
    <n v="39.92"/>
    <n v="5"/>
    <n v="13.47"/>
  </r>
  <r>
    <d v="2017-05-10T00:00:00"/>
    <x v="500"/>
    <x v="3"/>
    <x v="0"/>
    <x v="0"/>
    <x v="771"/>
    <n v="61.96"/>
    <n v="2"/>
    <n v="27.88"/>
  </r>
  <r>
    <d v="2017-05-10T00:00:00"/>
    <x v="500"/>
    <x v="3"/>
    <x v="0"/>
    <x v="3"/>
    <x v="358"/>
    <n v="19.940000000000001"/>
    <n v="4"/>
    <n v="7.23"/>
  </r>
  <r>
    <d v="2017-05-10T00:00:00"/>
    <x v="407"/>
    <x v="12"/>
    <x v="2"/>
    <x v="6"/>
    <x v="627"/>
    <n v="87.8"/>
    <n v="4"/>
    <n v="43.9"/>
  </r>
  <r>
    <d v="2017-05-10T00:00:00"/>
    <x v="407"/>
    <x v="12"/>
    <x v="1"/>
    <x v="5"/>
    <x v="275"/>
    <n v="221.38"/>
    <n v="2"/>
    <n v="2.46"/>
  </r>
  <r>
    <d v="2017-05-10T00:00:00"/>
    <x v="407"/>
    <x v="12"/>
    <x v="2"/>
    <x v="16"/>
    <x v="1543"/>
    <n v="5199.96"/>
    <n v="4"/>
    <n v="1351.99"/>
  </r>
  <r>
    <d v="2017-05-10T00:00:00"/>
    <x v="111"/>
    <x v="19"/>
    <x v="2"/>
    <x v="9"/>
    <x v="1051"/>
    <n v="63.82"/>
    <n v="2"/>
    <n v="13.56"/>
  </r>
  <r>
    <d v="2017-05-10T00:00:00"/>
    <x v="356"/>
    <x v="3"/>
    <x v="1"/>
    <x v="5"/>
    <x v="1296"/>
    <n v="435.17"/>
    <n v="4"/>
    <n v="-59.84"/>
  </r>
  <r>
    <d v="2017-05-10T00:00:00"/>
    <x v="356"/>
    <x v="3"/>
    <x v="0"/>
    <x v="7"/>
    <x v="22"/>
    <n v="14.9"/>
    <n v="5"/>
    <n v="6.85"/>
  </r>
  <r>
    <d v="2017-05-10T00:00:00"/>
    <x v="356"/>
    <x v="3"/>
    <x v="0"/>
    <x v="13"/>
    <x v="1544"/>
    <n v="15.8"/>
    <n v="4"/>
    <n v="4.1100000000000003"/>
  </r>
  <r>
    <d v="2017-05-10T00:00:00"/>
    <x v="356"/>
    <x v="3"/>
    <x v="1"/>
    <x v="8"/>
    <x v="782"/>
    <n v="72.900000000000006"/>
    <n v="5"/>
    <n v="26.97"/>
  </r>
  <r>
    <d v="2017-05-10T00:00:00"/>
    <x v="356"/>
    <x v="3"/>
    <x v="1"/>
    <x v="10"/>
    <x v="126"/>
    <n v="206.35"/>
    <n v="3"/>
    <n v="5.16"/>
  </r>
  <r>
    <d v="2017-05-10T00:00:00"/>
    <x v="356"/>
    <x v="3"/>
    <x v="2"/>
    <x v="6"/>
    <x v="1471"/>
    <n v="7.99"/>
    <n v="1"/>
    <n v="2.7"/>
  </r>
  <r>
    <d v="2017-06-10T00:00:00"/>
    <x v="157"/>
    <x v="24"/>
    <x v="1"/>
    <x v="8"/>
    <x v="694"/>
    <n v="41.96"/>
    <n v="2"/>
    <n v="2.94"/>
  </r>
  <r>
    <d v="2017-06-10T00:00:00"/>
    <x v="157"/>
    <x v="24"/>
    <x v="0"/>
    <x v="13"/>
    <x v="843"/>
    <n v="227.84"/>
    <n v="4"/>
    <n v="66.069999999999993"/>
  </r>
  <r>
    <d v="2017-06-10T00:00:00"/>
    <x v="157"/>
    <x v="24"/>
    <x v="0"/>
    <x v="0"/>
    <x v="909"/>
    <n v="37.94"/>
    <n v="2"/>
    <n v="18.21"/>
  </r>
  <r>
    <d v="2017-06-10T00:00:00"/>
    <x v="713"/>
    <x v="12"/>
    <x v="2"/>
    <x v="9"/>
    <x v="1545"/>
    <n v="319.95999999999998"/>
    <n v="4"/>
    <n v="115.19"/>
  </r>
  <r>
    <d v="2017-06-10T00:00:00"/>
    <x v="713"/>
    <x v="12"/>
    <x v="0"/>
    <x v="0"/>
    <x v="1455"/>
    <n v="17.04"/>
    <n v="3"/>
    <n v="7.67"/>
  </r>
  <r>
    <d v="2017-06-10T00:00:00"/>
    <x v="713"/>
    <x v="12"/>
    <x v="0"/>
    <x v="2"/>
    <x v="122"/>
    <n v="344.91"/>
    <n v="3"/>
    <n v="10.35"/>
  </r>
  <r>
    <d v="2017-06-10T00:00:00"/>
    <x v="683"/>
    <x v="12"/>
    <x v="0"/>
    <x v="0"/>
    <x v="572"/>
    <n v="40.99"/>
    <n v="1"/>
    <n v="20.09"/>
  </r>
  <r>
    <d v="2017-06-10T00:00:00"/>
    <x v="234"/>
    <x v="11"/>
    <x v="0"/>
    <x v="0"/>
    <x v="849"/>
    <n v="143.69999999999999"/>
    <n v="3"/>
    <n v="68.98"/>
  </r>
  <r>
    <d v="2017-06-10T00:00:00"/>
    <x v="234"/>
    <x v="11"/>
    <x v="0"/>
    <x v="0"/>
    <x v="1546"/>
    <n v="6.48"/>
    <n v="1"/>
    <n v="3.11"/>
  </r>
  <r>
    <d v="2017-06-10T00:00:00"/>
    <x v="148"/>
    <x v="1"/>
    <x v="0"/>
    <x v="2"/>
    <x v="512"/>
    <n v="290.33999999999997"/>
    <n v="2"/>
    <n v="32.659999999999997"/>
  </r>
  <r>
    <d v="2017-06-10T00:00:00"/>
    <x v="148"/>
    <x v="1"/>
    <x v="0"/>
    <x v="4"/>
    <x v="1029"/>
    <n v="19.149999999999999"/>
    <n v="2"/>
    <n v="1.2"/>
  </r>
  <r>
    <d v="2017-06-10T00:00:00"/>
    <x v="31"/>
    <x v="23"/>
    <x v="0"/>
    <x v="4"/>
    <x v="926"/>
    <n v="9.34"/>
    <n v="2"/>
    <n v="1.87"/>
  </r>
  <r>
    <d v="2017-07-10T00:00:00"/>
    <x v="625"/>
    <x v="3"/>
    <x v="1"/>
    <x v="12"/>
    <x v="834"/>
    <n v="307.67"/>
    <n v="2"/>
    <n v="-14.48"/>
  </r>
  <r>
    <d v="2017-07-10T00:00:00"/>
    <x v="426"/>
    <x v="3"/>
    <x v="2"/>
    <x v="9"/>
    <x v="869"/>
    <n v="1115.9100000000001"/>
    <n v="9"/>
    <n v="200.86"/>
  </r>
  <r>
    <d v="2017-07-10T00:00:00"/>
    <x v="426"/>
    <x v="3"/>
    <x v="2"/>
    <x v="6"/>
    <x v="1360"/>
    <n v="128.74"/>
    <n v="7"/>
    <n v="-28.97"/>
  </r>
  <r>
    <d v="2017-07-10T00:00:00"/>
    <x v="426"/>
    <x v="3"/>
    <x v="2"/>
    <x v="6"/>
    <x v="1471"/>
    <n v="79.92"/>
    <n v="10"/>
    <n v="26.97"/>
  </r>
  <r>
    <d v="2017-07-10T00:00:00"/>
    <x v="242"/>
    <x v="15"/>
    <x v="0"/>
    <x v="2"/>
    <x v="512"/>
    <n v="580.66999999999996"/>
    <n v="4"/>
    <n v="65.33"/>
  </r>
  <r>
    <d v="2017-07-10T00:00:00"/>
    <x v="242"/>
    <x v="15"/>
    <x v="0"/>
    <x v="7"/>
    <x v="22"/>
    <n v="18.940000000000001"/>
    <n v="3"/>
    <n v="5.92"/>
  </r>
  <r>
    <d v="2017-07-10T00:00:00"/>
    <x v="242"/>
    <x v="15"/>
    <x v="2"/>
    <x v="6"/>
    <x v="549"/>
    <n v="222.38"/>
    <n v="2"/>
    <n v="16.68"/>
  </r>
  <r>
    <d v="2017-07-10T00:00:00"/>
    <x v="242"/>
    <x v="15"/>
    <x v="0"/>
    <x v="3"/>
    <x v="363"/>
    <n v="50.45"/>
    <n v="6"/>
    <n v="-33.64"/>
  </r>
  <r>
    <d v="2017-07-10T00:00:00"/>
    <x v="242"/>
    <x v="15"/>
    <x v="1"/>
    <x v="10"/>
    <x v="126"/>
    <n v="154.76"/>
    <n v="3"/>
    <n v="-36.11"/>
  </r>
  <r>
    <d v="2017-07-10T00:00:00"/>
    <x v="287"/>
    <x v="0"/>
    <x v="0"/>
    <x v="3"/>
    <x v="1547"/>
    <n v="4.24"/>
    <n v="5"/>
    <n v="-6.36"/>
  </r>
  <r>
    <d v="2017-07-10T00:00:00"/>
    <x v="572"/>
    <x v="18"/>
    <x v="0"/>
    <x v="2"/>
    <x v="653"/>
    <n v="85.52"/>
    <n v="2"/>
    <n v="22.24"/>
  </r>
  <r>
    <d v="2017-08-10T00:00:00"/>
    <x v="19"/>
    <x v="3"/>
    <x v="2"/>
    <x v="6"/>
    <x v="760"/>
    <n v="103.19"/>
    <n v="1"/>
    <n v="11.61"/>
  </r>
  <r>
    <d v="2017-08-10T00:00:00"/>
    <x v="19"/>
    <x v="3"/>
    <x v="2"/>
    <x v="9"/>
    <x v="884"/>
    <n v="36"/>
    <n v="2"/>
    <n v="6.48"/>
  </r>
  <r>
    <d v="2017-08-10T00:00:00"/>
    <x v="19"/>
    <x v="3"/>
    <x v="2"/>
    <x v="9"/>
    <x v="1215"/>
    <n v="239.96"/>
    <n v="4"/>
    <n v="115.18"/>
  </r>
  <r>
    <d v="2017-08-10T00:00:00"/>
    <x v="19"/>
    <x v="3"/>
    <x v="0"/>
    <x v="2"/>
    <x v="1382"/>
    <n v="40.68"/>
    <n v="2"/>
    <n v="0.41"/>
  </r>
  <r>
    <d v="2017-08-10T00:00:00"/>
    <x v="246"/>
    <x v="40"/>
    <x v="0"/>
    <x v="2"/>
    <x v="653"/>
    <n v="42.76"/>
    <n v="1"/>
    <n v="11.12"/>
  </r>
  <r>
    <d v="2017-08-10T00:00:00"/>
    <x v="633"/>
    <x v="12"/>
    <x v="1"/>
    <x v="5"/>
    <x v="865"/>
    <n v="145.76"/>
    <n v="2"/>
    <n v="3.24"/>
  </r>
  <r>
    <d v="2017-09-10T00:00:00"/>
    <x v="352"/>
    <x v="15"/>
    <x v="0"/>
    <x v="0"/>
    <x v="937"/>
    <n v="10.82"/>
    <n v="4"/>
    <n v="3.52"/>
  </r>
  <r>
    <d v="2017-09-10T00:00:00"/>
    <x v="18"/>
    <x v="1"/>
    <x v="1"/>
    <x v="10"/>
    <x v="66"/>
    <n v="652.45000000000005"/>
    <n v="5"/>
    <n v="-430.62"/>
  </r>
  <r>
    <d v="2017-09-10T00:00:00"/>
    <x v="18"/>
    <x v="1"/>
    <x v="1"/>
    <x v="10"/>
    <x v="1143"/>
    <n v="66.650000000000006"/>
    <n v="3"/>
    <n v="-42.65"/>
  </r>
  <r>
    <d v="2017-09-10T00:00:00"/>
    <x v="297"/>
    <x v="16"/>
    <x v="1"/>
    <x v="8"/>
    <x v="1535"/>
    <n v="45.89"/>
    <n v="4"/>
    <n v="9.18"/>
  </r>
  <r>
    <d v="2017-09-10T00:00:00"/>
    <x v="714"/>
    <x v="12"/>
    <x v="0"/>
    <x v="3"/>
    <x v="1023"/>
    <n v="12.82"/>
    <n v="3"/>
    <n v="4.33"/>
  </r>
  <r>
    <d v="2017-09-10T00:00:00"/>
    <x v="714"/>
    <x v="12"/>
    <x v="1"/>
    <x v="12"/>
    <x v="1485"/>
    <n v="314.35000000000002"/>
    <n v="3"/>
    <n v="-15.72"/>
  </r>
  <r>
    <d v="2017-09-10T00:00:00"/>
    <x v="714"/>
    <x v="12"/>
    <x v="0"/>
    <x v="0"/>
    <x v="1548"/>
    <n v="18.98"/>
    <n v="2"/>
    <n v="8.92"/>
  </r>
  <r>
    <d v="2017-09-10T00:00:00"/>
    <x v="714"/>
    <x v="12"/>
    <x v="0"/>
    <x v="3"/>
    <x v="800"/>
    <n v="18.239999999999998"/>
    <n v="6"/>
    <n v="6.16"/>
  </r>
  <r>
    <d v="2017-09-10T00:00:00"/>
    <x v="170"/>
    <x v="0"/>
    <x v="0"/>
    <x v="4"/>
    <x v="366"/>
    <n v="67.14"/>
    <n v="7"/>
    <n v="5.88"/>
  </r>
  <r>
    <d v="2017-09-10T00:00:00"/>
    <x v="170"/>
    <x v="0"/>
    <x v="1"/>
    <x v="5"/>
    <x v="1549"/>
    <n v="254.06"/>
    <n v="3"/>
    <n v="-32.659999999999997"/>
  </r>
  <r>
    <d v="2017-09-10T00:00:00"/>
    <x v="234"/>
    <x v="3"/>
    <x v="0"/>
    <x v="0"/>
    <x v="1550"/>
    <n v="35.200000000000003"/>
    <n v="5"/>
    <n v="16.54"/>
  </r>
  <r>
    <d v="2017-10-10T00:00:00"/>
    <x v="463"/>
    <x v="1"/>
    <x v="1"/>
    <x v="5"/>
    <x v="941"/>
    <n v="239.36"/>
    <n v="3"/>
    <n v="-47.87"/>
  </r>
  <r>
    <d v="2017-12-10T00:00:00"/>
    <x v="92"/>
    <x v="1"/>
    <x v="1"/>
    <x v="5"/>
    <x v="1131"/>
    <n v="254.6"/>
    <n v="14"/>
    <n v="-18.190000000000001"/>
  </r>
  <r>
    <d v="2017-12-10T00:00:00"/>
    <x v="690"/>
    <x v="15"/>
    <x v="0"/>
    <x v="0"/>
    <x v="1551"/>
    <n v="7.97"/>
    <n v="2"/>
    <n v="2.69"/>
  </r>
  <r>
    <d v="2017-12-10T00:00:00"/>
    <x v="678"/>
    <x v="38"/>
    <x v="2"/>
    <x v="9"/>
    <x v="375"/>
    <n v="595"/>
    <n v="5"/>
    <n v="95.2"/>
  </r>
  <r>
    <d v="2017-12-10T00:00:00"/>
    <x v="678"/>
    <x v="38"/>
    <x v="0"/>
    <x v="3"/>
    <x v="1202"/>
    <n v="79.87"/>
    <n v="3"/>
    <n v="29.95"/>
  </r>
  <r>
    <d v="2017-12-10T00:00:00"/>
    <x v="715"/>
    <x v="3"/>
    <x v="2"/>
    <x v="9"/>
    <x v="1552"/>
    <n v="0.99"/>
    <n v="1"/>
    <n v="0.44"/>
  </r>
  <r>
    <d v="2017-12-10T00:00:00"/>
    <x v="715"/>
    <x v="3"/>
    <x v="0"/>
    <x v="3"/>
    <x v="1328"/>
    <n v="101.84"/>
    <n v="5"/>
    <n v="36.92"/>
  </r>
  <r>
    <d v="2017-12-10T00:00:00"/>
    <x v="706"/>
    <x v="3"/>
    <x v="2"/>
    <x v="9"/>
    <x v="198"/>
    <n v="435.84"/>
    <n v="12"/>
    <n v="130.75"/>
  </r>
  <r>
    <d v="2017-12-10T00:00:00"/>
    <x v="706"/>
    <x v="3"/>
    <x v="0"/>
    <x v="4"/>
    <x v="533"/>
    <n v="5.88"/>
    <n v="2"/>
    <n v="1.59"/>
  </r>
  <r>
    <d v="2017-12-10T00:00:00"/>
    <x v="432"/>
    <x v="0"/>
    <x v="2"/>
    <x v="9"/>
    <x v="413"/>
    <n v="39.979999999999997"/>
    <n v="2"/>
    <n v="-1.5"/>
  </r>
  <r>
    <d v="2017-12-10T00:00:00"/>
    <x v="716"/>
    <x v="11"/>
    <x v="2"/>
    <x v="9"/>
    <x v="915"/>
    <n v="45"/>
    <n v="3"/>
    <n v="4.95"/>
  </r>
  <r>
    <d v="2017-12-10T00:00:00"/>
    <x v="716"/>
    <x v="11"/>
    <x v="0"/>
    <x v="7"/>
    <x v="1307"/>
    <n v="17.899999999999999"/>
    <n v="5"/>
    <n v="8.77"/>
  </r>
  <r>
    <d v="2017-12-10T00:00:00"/>
    <x v="716"/>
    <x v="11"/>
    <x v="1"/>
    <x v="8"/>
    <x v="1518"/>
    <n v="40.479999999999997"/>
    <n v="2"/>
    <n v="17.41"/>
  </r>
  <r>
    <d v="2017-12-10T00:00:00"/>
    <x v="716"/>
    <x v="11"/>
    <x v="1"/>
    <x v="12"/>
    <x v="1553"/>
    <n v="2154.9"/>
    <n v="5"/>
    <n v="129.29"/>
  </r>
  <r>
    <d v="2017-12-10T00:00:00"/>
    <x v="176"/>
    <x v="0"/>
    <x v="2"/>
    <x v="6"/>
    <x v="1554"/>
    <n v="369.54"/>
    <n v="7"/>
    <n v="27.72"/>
  </r>
  <r>
    <d v="2017-12-10T00:00:00"/>
    <x v="176"/>
    <x v="0"/>
    <x v="0"/>
    <x v="0"/>
    <x v="1085"/>
    <n v="10.37"/>
    <n v="2"/>
    <n v="3.76"/>
  </r>
  <r>
    <d v="2017-12-10T00:00:00"/>
    <x v="176"/>
    <x v="0"/>
    <x v="2"/>
    <x v="9"/>
    <x v="1475"/>
    <n v="791.88"/>
    <n v="3"/>
    <n v="128.68"/>
  </r>
  <r>
    <d v="2017-12-10T00:00:00"/>
    <x v="21"/>
    <x v="46"/>
    <x v="1"/>
    <x v="10"/>
    <x v="1217"/>
    <n v="673.34"/>
    <n v="3"/>
    <n v="-76.95"/>
  </r>
  <r>
    <d v="2017-12-10T00:00:00"/>
    <x v="523"/>
    <x v="12"/>
    <x v="0"/>
    <x v="0"/>
    <x v="887"/>
    <n v="9.9600000000000009"/>
    <n v="2"/>
    <n v="4.68"/>
  </r>
  <r>
    <d v="2017-01-11T00:00:00"/>
    <x v="341"/>
    <x v="10"/>
    <x v="0"/>
    <x v="3"/>
    <x v="785"/>
    <n v="25.12"/>
    <n v="5"/>
    <n v="7.85"/>
  </r>
  <r>
    <d v="2017-01-11T00:00:00"/>
    <x v="341"/>
    <x v="10"/>
    <x v="1"/>
    <x v="10"/>
    <x v="1362"/>
    <n v="2665.62"/>
    <n v="9"/>
    <n v="239.91"/>
  </r>
  <r>
    <d v="2017-01-11T00:00:00"/>
    <x v="217"/>
    <x v="20"/>
    <x v="0"/>
    <x v="0"/>
    <x v="1107"/>
    <n v="189.7"/>
    <n v="10"/>
    <n v="91.06"/>
  </r>
  <r>
    <d v="2017-01-11T00:00:00"/>
    <x v="217"/>
    <x v="20"/>
    <x v="0"/>
    <x v="0"/>
    <x v="572"/>
    <n v="40.99"/>
    <n v="1"/>
    <n v="20.09"/>
  </r>
  <r>
    <d v="2017-02-11T00:00:00"/>
    <x v="249"/>
    <x v="10"/>
    <x v="0"/>
    <x v="0"/>
    <x v="681"/>
    <n v="23.85"/>
    <n v="5"/>
    <n v="10.73"/>
  </r>
  <r>
    <d v="2017-02-11T00:00:00"/>
    <x v="403"/>
    <x v="36"/>
    <x v="0"/>
    <x v="7"/>
    <x v="22"/>
    <n v="18.239999999999998"/>
    <n v="3"/>
    <n v="9.1199999999999992"/>
  </r>
  <r>
    <d v="2017-02-11T00:00:00"/>
    <x v="403"/>
    <x v="36"/>
    <x v="0"/>
    <x v="4"/>
    <x v="121"/>
    <n v="27.78"/>
    <n v="6"/>
    <n v="9.17"/>
  </r>
  <r>
    <d v="2017-02-11T00:00:00"/>
    <x v="717"/>
    <x v="3"/>
    <x v="0"/>
    <x v="11"/>
    <x v="861"/>
    <n v="76.58"/>
    <n v="7"/>
    <n v="38.29"/>
  </r>
  <r>
    <d v="2017-02-11T00:00:00"/>
    <x v="717"/>
    <x v="3"/>
    <x v="0"/>
    <x v="4"/>
    <x v="428"/>
    <n v="8.8000000000000007"/>
    <n v="5"/>
    <n v="4.22"/>
  </r>
  <r>
    <d v="2017-02-11T00:00:00"/>
    <x v="717"/>
    <x v="3"/>
    <x v="0"/>
    <x v="3"/>
    <x v="1000"/>
    <n v="590.35"/>
    <n v="6"/>
    <n v="206.62"/>
  </r>
  <r>
    <d v="2017-02-11T00:00:00"/>
    <x v="717"/>
    <x v="3"/>
    <x v="0"/>
    <x v="7"/>
    <x v="357"/>
    <n v="5.58"/>
    <n v="3"/>
    <n v="0.17"/>
  </r>
  <r>
    <d v="2017-02-11T00:00:00"/>
    <x v="717"/>
    <x v="3"/>
    <x v="1"/>
    <x v="8"/>
    <x v="1555"/>
    <n v="25.02"/>
    <n v="3"/>
    <n v="10.51"/>
  </r>
  <r>
    <d v="2017-02-11T00:00:00"/>
    <x v="717"/>
    <x v="3"/>
    <x v="0"/>
    <x v="2"/>
    <x v="1556"/>
    <n v="452.55"/>
    <n v="7"/>
    <n v="22.63"/>
  </r>
  <r>
    <d v="2017-02-11T00:00:00"/>
    <x v="308"/>
    <x v="5"/>
    <x v="0"/>
    <x v="11"/>
    <x v="459"/>
    <n v="5.32"/>
    <n v="2"/>
    <n v="2.61"/>
  </r>
  <r>
    <d v="2017-02-11T00:00:00"/>
    <x v="308"/>
    <x v="5"/>
    <x v="1"/>
    <x v="5"/>
    <x v="423"/>
    <n v="975.92"/>
    <n v="4"/>
    <n v="292.77999999999997"/>
  </r>
  <r>
    <d v="2017-02-11T00:00:00"/>
    <x v="308"/>
    <x v="5"/>
    <x v="2"/>
    <x v="9"/>
    <x v="1222"/>
    <n v="2249.91"/>
    <n v="9"/>
    <n v="517.48"/>
  </r>
  <r>
    <d v="2017-02-11T00:00:00"/>
    <x v="308"/>
    <x v="5"/>
    <x v="0"/>
    <x v="2"/>
    <x v="1130"/>
    <n v="59.92"/>
    <n v="4"/>
    <n v="16.78"/>
  </r>
  <r>
    <d v="2017-02-11T00:00:00"/>
    <x v="586"/>
    <x v="2"/>
    <x v="1"/>
    <x v="8"/>
    <x v="1557"/>
    <n v="3.31"/>
    <n v="1"/>
    <n v="0.66"/>
  </r>
  <r>
    <d v="2017-02-11T00:00:00"/>
    <x v="586"/>
    <x v="2"/>
    <x v="0"/>
    <x v="13"/>
    <x v="421"/>
    <n v="20.14"/>
    <n v="3"/>
    <n v="1.26"/>
  </r>
  <r>
    <d v="2017-02-11T00:00:00"/>
    <x v="586"/>
    <x v="2"/>
    <x v="0"/>
    <x v="11"/>
    <x v="1558"/>
    <n v="8.86"/>
    <n v="3"/>
    <n v="2.88"/>
  </r>
  <r>
    <d v="2017-02-11T00:00:00"/>
    <x v="586"/>
    <x v="2"/>
    <x v="2"/>
    <x v="6"/>
    <x v="195"/>
    <n v="859.2"/>
    <n v="4"/>
    <n v="-186.16"/>
  </r>
  <r>
    <d v="2017-02-11T00:00:00"/>
    <x v="521"/>
    <x v="30"/>
    <x v="0"/>
    <x v="0"/>
    <x v="446"/>
    <n v="19.440000000000001"/>
    <n v="3"/>
    <n v="9.33"/>
  </r>
  <r>
    <d v="2017-02-11T00:00:00"/>
    <x v="348"/>
    <x v="16"/>
    <x v="0"/>
    <x v="14"/>
    <x v="1105"/>
    <n v="384.59"/>
    <n v="2"/>
    <n v="-81.73"/>
  </r>
  <r>
    <d v="2017-02-11T00:00:00"/>
    <x v="378"/>
    <x v="3"/>
    <x v="0"/>
    <x v="13"/>
    <x v="1482"/>
    <n v="168.1"/>
    <n v="5"/>
    <n v="43.71"/>
  </r>
  <r>
    <d v="2017-02-11T00:00:00"/>
    <x v="356"/>
    <x v="1"/>
    <x v="0"/>
    <x v="4"/>
    <x v="1278"/>
    <n v="54.34"/>
    <n v="4"/>
    <n v="5.43"/>
  </r>
  <r>
    <d v="2017-02-11T00:00:00"/>
    <x v="716"/>
    <x v="14"/>
    <x v="0"/>
    <x v="13"/>
    <x v="421"/>
    <n v="83.9"/>
    <n v="10"/>
    <n v="20.98"/>
  </r>
  <r>
    <d v="2017-02-11T00:00:00"/>
    <x v="716"/>
    <x v="14"/>
    <x v="0"/>
    <x v="0"/>
    <x v="457"/>
    <n v="11.76"/>
    <n v="2"/>
    <n v="5.76"/>
  </r>
  <r>
    <d v="2017-02-11T00:00:00"/>
    <x v="718"/>
    <x v="16"/>
    <x v="1"/>
    <x v="5"/>
    <x v="830"/>
    <n v="155.37"/>
    <n v="2"/>
    <n v="-35.51"/>
  </r>
  <r>
    <d v="2017-02-11T00:00:00"/>
    <x v="271"/>
    <x v="6"/>
    <x v="0"/>
    <x v="4"/>
    <x v="1364"/>
    <n v="5.56"/>
    <n v="2"/>
    <n v="1.45"/>
  </r>
  <r>
    <d v="2017-03-11T00:00:00"/>
    <x v="651"/>
    <x v="31"/>
    <x v="1"/>
    <x v="8"/>
    <x v="386"/>
    <n v="15.99"/>
    <n v="1"/>
    <n v="1"/>
  </r>
  <r>
    <d v="2017-03-11T00:00:00"/>
    <x v="719"/>
    <x v="10"/>
    <x v="0"/>
    <x v="0"/>
    <x v="1168"/>
    <n v="139.86000000000001"/>
    <n v="7"/>
    <n v="65.73"/>
  </r>
  <r>
    <d v="2017-03-11T00:00:00"/>
    <x v="719"/>
    <x v="10"/>
    <x v="1"/>
    <x v="5"/>
    <x v="1559"/>
    <n v="307.14"/>
    <n v="4"/>
    <n v="26.87"/>
  </r>
  <r>
    <d v="2017-03-11T00:00:00"/>
    <x v="425"/>
    <x v="4"/>
    <x v="0"/>
    <x v="1"/>
    <x v="957"/>
    <n v="12.39"/>
    <n v="3"/>
    <n v="5.7"/>
  </r>
  <r>
    <d v="2017-03-11T00:00:00"/>
    <x v="720"/>
    <x v="38"/>
    <x v="1"/>
    <x v="8"/>
    <x v="288"/>
    <n v="41.37"/>
    <n v="3"/>
    <n v="17.38"/>
  </r>
  <r>
    <d v="2017-03-11T00:00:00"/>
    <x v="213"/>
    <x v="28"/>
    <x v="0"/>
    <x v="0"/>
    <x v="57"/>
    <n v="8.56"/>
    <n v="2"/>
    <n v="3.85"/>
  </r>
  <r>
    <d v="2017-03-11T00:00:00"/>
    <x v="213"/>
    <x v="28"/>
    <x v="0"/>
    <x v="2"/>
    <x v="862"/>
    <n v="52.4"/>
    <n v="5"/>
    <n v="14.15"/>
  </r>
  <r>
    <d v="2017-03-11T00:00:00"/>
    <x v="213"/>
    <x v="28"/>
    <x v="0"/>
    <x v="1"/>
    <x v="222"/>
    <n v="14.94"/>
    <n v="3"/>
    <n v="6.87"/>
  </r>
  <r>
    <d v="2017-03-11T00:00:00"/>
    <x v="404"/>
    <x v="2"/>
    <x v="0"/>
    <x v="3"/>
    <x v="1494"/>
    <n v="11.67"/>
    <n v="3"/>
    <n v="-7.78"/>
  </r>
  <r>
    <d v="2017-03-11T00:00:00"/>
    <x v="35"/>
    <x v="10"/>
    <x v="2"/>
    <x v="9"/>
    <x v="801"/>
    <n v="43.5"/>
    <n v="3"/>
    <n v="10.88"/>
  </r>
  <r>
    <d v="2017-03-11T00:00:00"/>
    <x v="557"/>
    <x v="5"/>
    <x v="0"/>
    <x v="0"/>
    <x v="776"/>
    <n v="26.4"/>
    <n v="5"/>
    <n v="11.88"/>
  </r>
  <r>
    <d v="2017-03-11T00:00:00"/>
    <x v="99"/>
    <x v="3"/>
    <x v="0"/>
    <x v="0"/>
    <x v="1560"/>
    <n v="35.880000000000003"/>
    <n v="6"/>
    <n v="17.579999999999998"/>
  </r>
  <r>
    <d v="2017-03-11T00:00:00"/>
    <x v="692"/>
    <x v="9"/>
    <x v="2"/>
    <x v="6"/>
    <x v="436"/>
    <n v="361.38"/>
    <n v="2"/>
    <n v="27.1"/>
  </r>
  <r>
    <d v="2017-03-11T00:00:00"/>
    <x v="721"/>
    <x v="2"/>
    <x v="2"/>
    <x v="9"/>
    <x v="1031"/>
    <n v="40.78"/>
    <n v="3"/>
    <n v="0.51"/>
  </r>
  <r>
    <d v="2017-03-11T00:00:00"/>
    <x v="722"/>
    <x v="3"/>
    <x v="2"/>
    <x v="9"/>
    <x v="699"/>
    <n v="199.75"/>
    <n v="5"/>
    <n v="87.89"/>
  </r>
  <r>
    <d v="2017-03-11T00:00:00"/>
    <x v="722"/>
    <x v="3"/>
    <x v="1"/>
    <x v="10"/>
    <x v="752"/>
    <n v="1673.18"/>
    <n v="12"/>
    <n v="20.91"/>
  </r>
  <r>
    <d v="2017-03-11T00:00:00"/>
    <x v="188"/>
    <x v="15"/>
    <x v="0"/>
    <x v="0"/>
    <x v="1561"/>
    <n v="16.27"/>
    <n v="3"/>
    <n v="5.29"/>
  </r>
  <r>
    <d v="2017-03-11T00:00:00"/>
    <x v="4"/>
    <x v="10"/>
    <x v="0"/>
    <x v="3"/>
    <x v="982"/>
    <n v="18.37"/>
    <n v="4"/>
    <n v="5.97"/>
  </r>
  <r>
    <d v="2017-03-11T00:00:00"/>
    <x v="604"/>
    <x v="3"/>
    <x v="1"/>
    <x v="10"/>
    <x v="144"/>
    <n v="486.37"/>
    <n v="4"/>
    <n v="36.479999999999997"/>
  </r>
  <r>
    <d v="2017-03-11T00:00:00"/>
    <x v="339"/>
    <x v="9"/>
    <x v="2"/>
    <x v="15"/>
    <x v="1562"/>
    <n v="959.98"/>
    <n v="2"/>
    <n v="311.99"/>
  </r>
  <r>
    <d v="2017-03-11T00:00:00"/>
    <x v="339"/>
    <x v="9"/>
    <x v="0"/>
    <x v="3"/>
    <x v="518"/>
    <n v="4.09"/>
    <n v="2"/>
    <n v="-3"/>
  </r>
  <r>
    <d v="2017-03-11T00:00:00"/>
    <x v="339"/>
    <x v="9"/>
    <x v="0"/>
    <x v="4"/>
    <x v="463"/>
    <n v="55.98"/>
    <n v="2"/>
    <n v="4.2"/>
  </r>
  <r>
    <d v="2017-03-11T00:00:00"/>
    <x v="339"/>
    <x v="9"/>
    <x v="0"/>
    <x v="0"/>
    <x v="1111"/>
    <n v="10.69"/>
    <n v="2"/>
    <n v="3.74"/>
  </r>
  <r>
    <d v="2017-04-11T00:00:00"/>
    <x v="116"/>
    <x v="15"/>
    <x v="2"/>
    <x v="16"/>
    <x v="1563"/>
    <n v="7999.98"/>
    <n v="4"/>
    <n v="-3839.99"/>
  </r>
  <r>
    <d v="2017-04-11T00:00:00"/>
    <x v="116"/>
    <x v="15"/>
    <x v="0"/>
    <x v="13"/>
    <x v="1228"/>
    <n v="167.44"/>
    <n v="2"/>
    <n v="14.65"/>
  </r>
  <r>
    <d v="2017-04-11T00:00:00"/>
    <x v="322"/>
    <x v="31"/>
    <x v="0"/>
    <x v="0"/>
    <x v="1564"/>
    <n v="9.66"/>
    <n v="2"/>
    <n v="3.26"/>
  </r>
  <r>
    <d v="2017-04-11T00:00:00"/>
    <x v="197"/>
    <x v="0"/>
    <x v="0"/>
    <x v="1"/>
    <x v="430"/>
    <n v="23.68"/>
    <n v="2"/>
    <n v="8.8800000000000008"/>
  </r>
  <r>
    <d v="2017-04-11T00:00:00"/>
    <x v="619"/>
    <x v="15"/>
    <x v="1"/>
    <x v="10"/>
    <x v="296"/>
    <n v="523.76"/>
    <n v="3"/>
    <n v="-192.05"/>
  </r>
  <r>
    <d v="2017-04-11T00:00:00"/>
    <x v="619"/>
    <x v="15"/>
    <x v="2"/>
    <x v="6"/>
    <x v="1565"/>
    <n v="1359.96"/>
    <n v="5"/>
    <n v="119"/>
  </r>
  <r>
    <d v="2017-04-11T00:00:00"/>
    <x v="523"/>
    <x v="31"/>
    <x v="2"/>
    <x v="9"/>
    <x v="250"/>
    <n v="95.98"/>
    <n v="3"/>
    <n v="15.6"/>
  </r>
  <r>
    <d v="2017-04-11T00:00:00"/>
    <x v="523"/>
    <x v="31"/>
    <x v="2"/>
    <x v="6"/>
    <x v="1531"/>
    <n v="143.93"/>
    <n v="9"/>
    <n v="-32.380000000000003"/>
  </r>
  <r>
    <d v="2017-04-11T00:00:00"/>
    <x v="523"/>
    <x v="31"/>
    <x v="0"/>
    <x v="3"/>
    <x v="176"/>
    <n v="3.56"/>
    <n v="2"/>
    <n v="-2.97"/>
  </r>
  <r>
    <d v="2017-04-11T00:00:00"/>
    <x v="523"/>
    <x v="31"/>
    <x v="0"/>
    <x v="1"/>
    <x v="164"/>
    <n v="4.93"/>
    <n v="2"/>
    <n v="1.72"/>
  </r>
  <r>
    <d v="2017-04-11T00:00:00"/>
    <x v="360"/>
    <x v="0"/>
    <x v="0"/>
    <x v="3"/>
    <x v="785"/>
    <n v="7.54"/>
    <n v="6"/>
    <n v="-13.19"/>
  </r>
  <r>
    <d v="2017-04-11T00:00:00"/>
    <x v="360"/>
    <x v="0"/>
    <x v="0"/>
    <x v="3"/>
    <x v="299"/>
    <n v="1.41"/>
    <n v="2"/>
    <n v="-2.3199999999999998"/>
  </r>
  <r>
    <d v="2017-04-11T00:00:00"/>
    <x v="360"/>
    <x v="0"/>
    <x v="0"/>
    <x v="3"/>
    <x v="449"/>
    <n v="4.1399999999999997"/>
    <n v="4"/>
    <n v="-6.42"/>
  </r>
  <r>
    <d v="2017-04-11T00:00:00"/>
    <x v="360"/>
    <x v="0"/>
    <x v="0"/>
    <x v="2"/>
    <x v="621"/>
    <n v="52.75"/>
    <n v="3"/>
    <n v="-12.53"/>
  </r>
  <r>
    <d v="2017-04-11T00:00:00"/>
    <x v="503"/>
    <x v="16"/>
    <x v="2"/>
    <x v="9"/>
    <x v="914"/>
    <n v="70.72"/>
    <n v="4"/>
    <n v="-6.19"/>
  </r>
  <r>
    <d v="2017-04-11T00:00:00"/>
    <x v="503"/>
    <x v="16"/>
    <x v="0"/>
    <x v="2"/>
    <x v="76"/>
    <n v="194.35"/>
    <n v="3"/>
    <n v="-43.73"/>
  </r>
  <r>
    <d v="2017-04-11T00:00:00"/>
    <x v="498"/>
    <x v="29"/>
    <x v="0"/>
    <x v="4"/>
    <x v="808"/>
    <n v="4.3"/>
    <n v="2"/>
    <n v="1.42"/>
  </r>
  <r>
    <d v="2017-05-11T00:00:00"/>
    <x v="606"/>
    <x v="23"/>
    <x v="0"/>
    <x v="3"/>
    <x v="866"/>
    <n v="2.39"/>
    <n v="2"/>
    <n v="-1.83"/>
  </r>
  <r>
    <d v="2017-05-11T00:00:00"/>
    <x v="606"/>
    <x v="23"/>
    <x v="0"/>
    <x v="2"/>
    <x v="526"/>
    <n v="243.99"/>
    <n v="7"/>
    <n v="30.5"/>
  </r>
  <r>
    <d v="2017-05-11T00:00:00"/>
    <x v="70"/>
    <x v="38"/>
    <x v="2"/>
    <x v="9"/>
    <x v="265"/>
    <n v="159.99"/>
    <n v="1"/>
    <n v="54.4"/>
  </r>
  <r>
    <d v="2017-05-11T00:00:00"/>
    <x v="723"/>
    <x v="12"/>
    <x v="2"/>
    <x v="9"/>
    <x v="21"/>
    <n v="390.75"/>
    <n v="5"/>
    <n v="171.93"/>
  </r>
  <r>
    <d v="2017-05-11T00:00:00"/>
    <x v="342"/>
    <x v="1"/>
    <x v="0"/>
    <x v="3"/>
    <x v="401"/>
    <n v="16.03"/>
    <n v="5"/>
    <n v="-25.65"/>
  </r>
  <r>
    <d v="2017-05-11T00:00:00"/>
    <x v="294"/>
    <x v="0"/>
    <x v="2"/>
    <x v="6"/>
    <x v="704"/>
    <n v="492.77"/>
    <n v="4"/>
    <n v="55.44"/>
  </r>
  <r>
    <d v="2017-05-11T00:00:00"/>
    <x v="289"/>
    <x v="3"/>
    <x v="0"/>
    <x v="0"/>
    <x v="1325"/>
    <n v="12.96"/>
    <n v="2"/>
    <n v="6.22"/>
  </r>
  <r>
    <d v="2017-05-11T00:00:00"/>
    <x v="724"/>
    <x v="12"/>
    <x v="0"/>
    <x v="3"/>
    <x v="716"/>
    <n v="164.69"/>
    <n v="6"/>
    <n v="55.58"/>
  </r>
  <r>
    <d v="2017-05-11T00:00:00"/>
    <x v="724"/>
    <x v="12"/>
    <x v="1"/>
    <x v="10"/>
    <x v="182"/>
    <n v="166.5"/>
    <n v="2"/>
    <n v="-66.599999999999994"/>
  </r>
  <r>
    <d v="2017-05-11T00:00:00"/>
    <x v="724"/>
    <x v="12"/>
    <x v="0"/>
    <x v="0"/>
    <x v="912"/>
    <n v="12.96"/>
    <n v="2"/>
    <n v="6.22"/>
  </r>
  <r>
    <d v="2017-05-11T00:00:00"/>
    <x v="724"/>
    <x v="12"/>
    <x v="0"/>
    <x v="0"/>
    <x v="112"/>
    <n v="110.96"/>
    <n v="2"/>
    <n v="53.26"/>
  </r>
  <r>
    <d v="2017-05-11T00:00:00"/>
    <x v="724"/>
    <x v="12"/>
    <x v="2"/>
    <x v="6"/>
    <x v="1068"/>
    <n v="99.98"/>
    <n v="2"/>
    <n v="4"/>
  </r>
  <r>
    <d v="2017-05-11T00:00:00"/>
    <x v="724"/>
    <x v="12"/>
    <x v="0"/>
    <x v="3"/>
    <x v="707"/>
    <n v="11.42"/>
    <n v="1"/>
    <n v="3.71"/>
  </r>
  <r>
    <d v="2017-05-11T00:00:00"/>
    <x v="724"/>
    <x v="12"/>
    <x v="1"/>
    <x v="5"/>
    <x v="1317"/>
    <n v="128.12"/>
    <n v="2"/>
    <n v="24.2"/>
  </r>
  <r>
    <d v="2017-05-11T00:00:00"/>
    <x v="724"/>
    <x v="12"/>
    <x v="1"/>
    <x v="8"/>
    <x v="1426"/>
    <n v="101.4"/>
    <n v="5"/>
    <n v="38.53"/>
  </r>
  <r>
    <d v="2017-05-11T00:00:00"/>
    <x v="595"/>
    <x v="26"/>
    <x v="0"/>
    <x v="0"/>
    <x v="1260"/>
    <n v="4.41"/>
    <n v="1"/>
    <n v="2.0299999999999998"/>
  </r>
  <r>
    <d v="2017-05-11T00:00:00"/>
    <x v="595"/>
    <x v="26"/>
    <x v="0"/>
    <x v="0"/>
    <x v="177"/>
    <n v="167.94"/>
    <n v="3"/>
    <n v="82.29"/>
  </r>
  <r>
    <d v="2017-05-11T00:00:00"/>
    <x v="595"/>
    <x v="26"/>
    <x v="0"/>
    <x v="0"/>
    <x v="1561"/>
    <n v="67.8"/>
    <n v="10"/>
    <n v="31.19"/>
  </r>
  <r>
    <d v="2017-06-11T00:00:00"/>
    <x v="725"/>
    <x v="35"/>
    <x v="0"/>
    <x v="3"/>
    <x v="1421"/>
    <n v="5.68"/>
    <n v="1"/>
    <n v="-3.79"/>
  </r>
  <r>
    <d v="2017-06-11T00:00:00"/>
    <x v="68"/>
    <x v="11"/>
    <x v="0"/>
    <x v="2"/>
    <x v="1566"/>
    <n v="46.26"/>
    <n v="3"/>
    <n v="12.03"/>
  </r>
  <r>
    <d v="2017-06-11T00:00:00"/>
    <x v="659"/>
    <x v="5"/>
    <x v="0"/>
    <x v="0"/>
    <x v="632"/>
    <n v="5.78"/>
    <n v="1"/>
    <n v="2.83"/>
  </r>
  <r>
    <d v="2017-06-11T00:00:00"/>
    <x v="533"/>
    <x v="3"/>
    <x v="0"/>
    <x v="11"/>
    <x v="481"/>
    <n v="15.28"/>
    <n v="2"/>
    <n v="7.49"/>
  </r>
  <r>
    <d v="2017-06-11T00:00:00"/>
    <x v="533"/>
    <x v="3"/>
    <x v="1"/>
    <x v="8"/>
    <x v="1186"/>
    <n v="8.73"/>
    <n v="1"/>
    <n v="2.97"/>
  </r>
  <r>
    <d v="2017-06-11T00:00:00"/>
    <x v="533"/>
    <x v="3"/>
    <x v="0"/>
    <x v="4"/>
    <x v="676"/>
    <n v="5.68"/>
    <n v="2"/>
    <n v="1.76"/>
  </r>
  <r>
    <d v="2017-06-11T00:00:00"/>
    <x v="241"/>
    <x v="15"/>
    <x v="0"/>
    <x v="13"/>
    <x v="1181"/>
    <n v="499.58"/>
    <n v="3"/>
    <n v="43.71"/>
  </r>
  <r>
    <d v="2017-06-11T00:00:00"/>
    <x v="241"/>
    <x v="15"/>
    <x v="0"/>
    <x v="0"/>
    <x v="446"/>
    <n v="31.1"/>
    <n v="6"/>
    <n v="10.89"/>
  </r>
  <r>
    <d v="2017-06-11T00:00:00"/>
    <x v="241"/>
    <x v="15"/>
    <x v="0"/>
    <x v="3"/>
    <x v="26"/>
    <n v="13.27"/>
    <n v="8"/>
    <n v="-10.62"/>
  </r>
  <r>
    <d v="2017-06-11T00:00:00"/>
    <x v="241"/>
    <x v="15"/>
    <x v="1"/>
    <x v="8"/>
    <x v="528"/>
    <n v="28.27"/>
    <n v="2"/>
    <n v="6.36"/>
  </r>
  <r>
    <d v="2017-06-11T00:00:00"/>
    <x v="241"/>
    <x v="15"/>
    <x v="0"/>
    <x v="2"/>
    <x v="425"/>
    <n v="259.14"/>
    <n v="4"/>
    <n v="-51.83"/>
  </r>
  <r>
    <d v="2017-06-11T00:00:00"/>
    <x v="435"/>
    <x v="28"/>
    <x v="0"/>
    <x v="4"/>
    <x v="1567"/>
    <n v="13.9"/>
    <n v="5"/>
    <n v="3.61"/>
  </r>
  <r>
    <d v="2017-06-11T00:00:00"/>
    <x v="435"/>
    <x v="28"/>
    <x v="0"/>
    <x v="0"/>
    <x v="177"/>
    <n v="26.38"/>
    <n v="1"/>
    <n v="12.13"/>
  </r>
  <r>
    <d v="2017-06-11T00:00:00"/>
    <x v="726"/>
    <x v="2"/>
    <x v="1"/>
    <x v="5"/>
    <x v="789"/>
    <n v="127.37"/>
    <n v="2"/>
    <n v="-30.93"/>
  </r>
  <r>
    <d v="2017-06-11T00:00:00"/>
    <x v="726"/>
    <x v="2"/>
    <x v="0"/>
    <x v="0"/>
    <x v="1168"/>
    <n v="47.95"/>
    <n v="3"/>
    <n v="16.18"/>
  </r>
  <r>
    <d v="2017-06-11T00:00:00"/>
    <x v="360"/>
    <x v="3"/>
    <x v="0"/>
    <x v="0"/>
    <x v="1168"/>
    <n v="59.94"/>
    <n v="3"/>
    <n v="28.17"/>
  </r>
  <r>
    <d v="2017-06-11T00:00:00"/>
    <x v="360"/>
    <x v="3"/>
    <x v="0"/>
    <x v="0"/>
    <x v="177"/>
    <n v="45.36"/>
    <n v="4"/>
    <n v="22.23"/>
  </r>
  <r>
    <d v="2017-06-11T00:00:00"/>
    <x v="360"/>
    <x v="3"/>
    <x v="0"/>
    <x v="0"/>
    <x v="634"/>
    <n v="26.4"/>
    <n v="5"/>
    <n v="12.67"/>
  </r>
  <r>
    <d v="2017-06-11T00:00:00"/>
    <x v="360"/>
    <x v="3"/>
    <x v="0"/>
    <x v="1"/>
    <x v="899"/>
    <n v="41.4"/>
    <n v="4"/>
    <n v="19.87"/>
  </r>
  <r>
    <d v="2017-06-11T00:00:00"/>
    <x v="360"/>
    <x v="3"/>
    <x v="2"/>
    <x v="9"/>
    <x v="129"/>
    <n v="16.95"/>
    <n v="1"/>
    <n v="1.02"/>
  </r>
  <r>
    <d v="2017-06-11T00:00:00"/>
    <x v="727"/>
    <x v="12"/>
    <x v="0"/>
    <x v="0"/>
    <x v="833"/>
    <n v="318.95999999999998"/>
    <n v="9"/>
    <n v="149.91"/>
  </r>
  <r>
    <d v="2017-06-11T00:00:00"/>
    <x v="595"/>
    <x v="10"/>
    <x v="1"/>
    <x v="10"/>
    <x v="296"/>
    <n v="2036.86"/>
    <n v="7"/>
    <n v="366.63"/>
  </r>
  <r>
    <d v="2017-06-11T00:00:00"/>
    <x v="595"/>
    <x v="10"/>
    <x v="1"/>
    <x v="5"/>
    <x v="783"/>
    <n v="449.57"/>
    <n v="2"/>
    <n v="-73.05"/>
  </r>
  <r>
    <d v="2017-06-11T00:00:00"/>
    <x v="595"/>
    <x v="10"/>
    <x v="2"/>
    <x v="9"/>
    <x v="198"/>
    <n v="108.96"/>
    <n v="3"/>
    <n v="32.69"/>
  </r>
  <r>
    <d v="2017-06-11T00:00:00"/>
    <x v="255"/>
    <x v="0"/>
    <x v="1"/>
    <x v="8"/>
    <x v="599"/>
    <n v="30.56"/>
    <n v="5"/>
    <n v="-19.86"/>
  </r>
  <r>
    <d v="2017-06-11T00:00:00"/>
    <x v="583"/>
    <x v="0"/>
    <x v="0"/>
    <x v="3"/>
    <x v="95"/>
    <n v="1.25"/>
    <n v="2"/>
    <n v="-1.93"/>
  </r>
  <r>
    <d v="2017-06-11T00:00:00"/>
    <x v="714"/>
    <x v="0"/>
    <x v="0"/>
    <x v="2"/>
    <x v="1363"/>
    <n v="18.16"/>
    <n v="2"/>
    <n v="1.82"/>
  </r>
  <r>
    <d v="2017-07-11T00:00:00"/>
    <x v="14"/>
    <x v="3"/>
    <x v="2"/>
    <x v="9"/>
    <x v="712"/>
    <n v="59.97"/>
    <n v="3"/>
    <n v="13.79"/>
  </r>
  <r>
    <d v="2017-07-11T00:00:00"/>
    <x v="14"/>
    <x v="3"/>
    <x v="2"/>
    <x v="6"/>
    <x v="335"/>
    <n v="761.54"/>
    <n v="7"/>
    <n v="66.64"/>
  </r>
  <r>
    <d v="2017-07-11T00:00:00"/>
    <x v="138"/>
    <x v="2"/>
    <x v="2"/>
    <x v="6"/>
    <x v="610"/>
    <n v="359.97"/>
    <n v="5"/>
    <n v="-71.989999999999995"/>
  </r>
  <r>
    <d v="2017-07-11T00:00:00"/>
    <x v="138"/>
    <x v="2"/>
    <x v="1"/>
    <x v="10"/>
    <x v="1038"/>
    <n v="350.35"/>
    <n v="4"/>
    <n v="-140.13999999999999"/>
  </r>
  <r>
    <d v="2017-07-11T00:00:00"/>
    <x v="686"/>
    <x v="3"/>
    <x v="0"/>
    <x v="3"/>
    <x v="518"/>
    <n v="21.79"/>
    <n v="4"/>
    <n v="7.63"/>
  </r>
  <r>
    <d v="2017-07-11T00:00:00"/>
    <x v="686"/>
    <x v="3"/>
    <x v="2"/>
    <x v="9"/>
    <x v="1445"/>
    <n v="439.8"/>
    <n v="4"/>
    <n v="145.13"/>
  </r>
  <r>
    <d v="2017-07-11T00:00:00"/>
    <x v="277"/>
    <x v="7"/>
    <x v="0"/>
    <x v="13"/>
    <x v="171"/>
    <n v="100.94"/>
    <n v="7"/>
    <n v="33.31"/>
  </r>
  <r>
    <d v="2017-07-11T00:00:00"/>
    <x v="306"/>
    <x v="12"/>
    <x v="2"/>
    <x v="9"/>
    <x v="1568"/>
    <n v="7.88"/>
    <n v="4"/>
    <n v="2.52"/>
  </r>
  <r>
    <d v="2017-07-11T00:00:00"/>
    <x v="292"/>
    <x v="39"/>
    <x v="1"/>
    <x v="5"/>
    <x v="922"/>
    <n v="272.97000000000003"/>
    <n v="3"/>
    <n v="43.68"/>
  </r>
  <r>
    <d v="2017-07-11T00:00:00"/>
    <x v="643"/>
    <x v="34"/>
    <x v="0"/>
    <x v="3"/>
    <x v="1547"/>
    <n v="38.159999999999997"/>
    <n v="9"/>
    <n v="19.079999999999998"/>
  </r>
  <r>
    <d v="2017-08-11T00:00:00"/>
    <x v="718"/>
    <x v="12"/>
    <x v="0"/>
    <x v="4"/>
    <x v="1569"/>
    <n v="109.9"/>
    <n v="5"/>
    <n v="32.97"/>
  </r>
  <r>
    <d v="2017-08-11T00:00:00"/>
    <x v="77"/>
    <x v="39"/>
    <x v="1"/>
    <x v="8"/>
    <x v="1403"/>
    <n v="274.2"/>
    <n v="10"/>
    <n v="112.42"/>
  </r>
  <r>
    <d v="2017-09-11T00:00:00"/>
    <x v="413"/>
    <x v="12"/>
    <x v="1"/>
    <x v="8"/>
    <x v="288"/>
    <n v="96.53"/>
    <n v="7"/>
    <n v="40.54"/>
  </r>
  <r>
    <d v="2017-09-11T00:00:00"/>
    <x v="366"/>
    <x v="3"/>
    <x v="1"/>
    <x v="5"/>
    <x v="1200"/>
    <n v="215.98"/>
    <n v="3"/>
    <n v="-2.7"/>
  </r>
  <r>
    <d v="2017-09-11T00:00:00"/>
    <x v="607"/>
    <x v="3"/>
    <x v="0"/>
    <x v="2"/>
    <x v="323"/>
    <n v="63.56"/>
    <n v="2"/>
    <n v="3.18"/>
  </r>
  <r>
    <d v="2017-09-11T00:00:00"/>
    <x v="607"/>
    <x v="3"/>
    <x v="2"/>
    <x v="9"/>
    <x v="136"/>
    <n v="99.99"/>
    <n v="1"/>
    <n v="44"/>
  </r>
  <r>
    <d v="2017-09-11T00:00:00"/>
    <x v="143"/>
    <x v="39"/>
    <x v="0"/>
    <x v="3"/>
    <x v="41"/>
    <n v="9.64"/>
    <n v="2"/>
    <n v="4.43"/>
  </r>
  <r>
    <d v="2017-09-11T00:00:00"/>
    <x v="143"/>
    <x v="39"/>
    <x v="2"/>
    <x v="9"/>
    <x v="1503"/>
    <n v="826.62"/>
    <n v="3"/>
    <n v="355.45"/>
  </r>
  <r>
    <d v="2017-09-11T00:00:00"/>
    <x v="143"/>
    <x v="39"/>
    <x v="0"/>
    <x v="2"/>
    <x v="512"/>
    <n v="1633.14"/>
    <n v="9"/>
    <n v="473.61"/>
  </r>
  <r>
    <d v="2017-09-11T00:00:00"/>
    <x v="143"/>
    <x v="39"/>
    <x v="0"/>
    <x v="2"/>
    <x v="512"/>
    <n v="544.38"/>
    <n v="3"/>
    <n v="157.87"/>
  </r>
  <r>
    <d v="2017-09-11T00:00:00"/>
    <x v="612"/>
    <x v="3"/>
    <x v="1"/>
    <x v="8"/>
    <x v="85"/>
    <n v="47.12"/>
    <n v="8"/>
    <n v="20.73"/>
  </r>
  <r>
    <d v="2017-09-11T00:00:00"/>
    <x v="391"/>
    <x v="3"/>
    <x v="1"/>
    <x v="5"/>
    <x v="184"/>
    <n v="523.39"/>
    <n v="3"/>
    <n v="52.34"/>
  </r>
  <r>
    <d v="2017-09-11T00:00:00"/>
    <x v="613"/>
    <x v="9"/>
    <x v="2"/>
    <x v="9"/>
    <x v="591"/>
    <n v="191.98"/>
    <n v="3"/>
    <n v="38.4"/>
  </r>
  <r>
    <d v="2017-09-11T00:00:00"/>
    <x v="613"/>
    <x v="9"/>
    <x v="2"/>
    <x v="6"/>
    <x v="1070"/>
    <n v="499.17"/>
    <n v="4"/>
    <n v="31.2"/>
  </r>
  <r>
    <d v="2017-10-11T00:00:00"/>
    <x v="728"/>
    <x v="23"/>
    <x v="0"/>
    <x v="3"/>
    <x v="530"/>
    <n v="38.39"/>
    <n v="14"/>
    <n v="-25.59"/>
  </r>
  <r>
    <d v="2017-10-11T00:00:00"/>
    <x v="728"/>
    <x v="23"/>
    <x v="2"/>
    <x v="16"/>
    <x v="1570"/>
    <n v="95.99"/>
    <n v="2"/>
    <n v="-64"/>
  </r>
  <r>
    <d v="2017-10-11T00:00:00"/>
    <x v="728"/>
    <x v="23"/>
    <x v="2"/>
    <x v="9"/>
    <x v="1373"/>
    <n v="239.95"/>
    <n v="6"/>
    <n v="-35.99"/>
  </r>
  <r>
    <d v="2017-10-11T00:00:00"/>
    <x v="728"/>
    <x v="23"/>
    <x v="2"/>
    <x v="6"/>
    <x v="213"/>
    <n v="201.58"/>
    <n v="2"/>
    <n v="15.12"/>
  </r>
  <r>
    <d v="2017-10-11T00:00:00"/>
    <x v="728"/>
    <x v="23"/>
    <x v="1"/>
    <x v="5"/>
    <x v="783"/>
    <n v="899.14"/>
    <n v="4"/>
    <n v="-146.11000000000001"/>
  </r>
  <r>
    <d v="2017-10-11T00:00:00"/>
    <x v="65"/>
    <x v="12"/>
    <x v="0"/>
    <x v="3"/>
    <x v="1571"/>
    <n v="931.18"/>
    <n v="3"/>
    <n v="314.27"/>
  </r>
  <r>
    <d v="2017-10-11T00:00:00"/>
    <x v="65"/>
    <x v="12"/>
    <x v="2"/>
    <x v="6"/>
    <x v="949"/>
    <n v="430.88"/>
    <n v="2"/>
    <n v="124.96"/>
  </r>
  <r>
    <d v="2017-10-11T00:00:00"/>
    <x v="351"/>
    <x v="0"/>
    <x v="1"/>
    <x v="8"/>
    <x v="519"/>
    <n v="341.96"/>
    <n v="5"/>
    <n v="-427.45"/>
  </r>
  <r>
    <d v="2017-10-11T00:00:00"/>
    <x v="664"/>
    <x v="10"/>
    <x v="0"/>
    <x v="3"/>
    <x v="1572"/>
    <n v="26.35"/>
    <n v="3"/>
    <n v="9.5500000000000007"/>
  </r>
  <r>
    <d v="2017-10-11T00:00:00"/>
    <x v="424"/>
    <x v="9"/>
    <x v="0"/>
    <x v="3"/>
    <x v="384"/>
    <n v="11.52"/>
    <n v="5"/>
    <n v="-7.68"/>
  </r>
  <r>
    <d v="2017-10-11T00:00:00"/>
    <x v="729"/>
    <x v="3"/>
    <x v="0"/>
    <x v="4"/>
    <x v="1573"/>
    <n v="7.8"/>
    <n v="3"/>
    <n v="2.11"/>
  </r>
  <r>
    <d v="2017-10-11T00:00:00"/>
    <x v="133"/>
    <x v="10"/>
    <x v="0"/>
    <x v="13"/>
    <x v="1574"/>
    <n v="400.8"/>
    <n v="5"/>
    <n v="112.22"/>
  </r>
  <r>
    <d v="2017-10-11T00:00:00"/>
    <x v="133"/>
    <x v="10"/>
    <x v="0"/>
    <x v="3"/>
    <x v="1324"/>
    <n v="28.79"/>
    <n v="1"/>
    <n v="10.08"/>
  </r>
  <r>
    <d v="2017-10-11T00:00:00"/>
    <x v="497"/>
    <x v="3"/>
    <x v="2"/>
    <x v="9"/>
    <x v="1407"/>
    <n v="111.79"/>
    <n v="7"/>
    <n v="43.6"/>
  </r>
  <r>
    <d v="2017-10-11T00:00:00"/>
    <x v="5"/>
    <x v="3"/>
    <x v="1"/>
    <x v="5"/>
    <x v="930"/>
    <n v="241.42"/>
    <n v="2"/>
    <n v="-36.21"/>
  </r>
  <r>
    <d v="2017-11-11T00:00:00"/>
    <x v="688"/>
    <x v="0"/>
    <x v="0"/>
    <x v="1"/>
    <x v="1028"/>
    <n v="10.44"/>
    <n v="5"/>
    <n v="3.39"/>
  </r>
  <r>
    <d v="2017-11-11T00:00:00"/>
    <x v="688"/>
    <x v="0"/>
    <x v="0"/>
    <x v="3"/>
    <x v="858"/>
    <n v="18.34"/>
    <n v="4"/>
    <n v="-32.090000000000003"/>
  </r>
  <r>
    <d v="2017-11-11T00:00:00"/>
    <x v="589"/>
    <x v="16"/>
    <x v="0"/>
    <x v="0"/>
    <x v="781"/>
    <n v="10.37"/>
    <n v="2"/>
    <n v="3.63"/>
  </r>
  <r>
    <d v="2017-11-11T00:00:00"/>
    <x v="22"/>
    <x v="3"/>
    <x v="0"/>
    <x v="13"/>
    <x v="162"/>
    <n v="10.89"/>
    <n v="1"/>
    <n v="2.83"/>
  </r>
  <r>
    <d v="2017-11-11T00:00:00"/>
    <x v="22"/>
    <x v="3"/>
    <x v="0"/>
    <x v="0"/>
    <x v="1030"/>
    <n v="19.440000000000001"/>
    <n v="3"/>
    <n v="9.33"/>
  </r>
  <r>
    <d v="2017-11-11T00:00:00"/>
    <x v="22"/>
    <x v="3"/>
    <x v="0"/>
    <x v="3"/>
    <x v="1281"/>
    <n v="121.6"/>
    <n v="5"/>
    <n v="39.520000000000003"/>
  </r>
  <r>
    <d v="2017-11-11T00:00:00"/>
    <x v="138"/>
    <x v="18"/>
    <x v="0"/>
    <x v="4"/>
    <x v="1519"/>
    <n v="181.86"/>
    <n v="7"/>
    <n v="50.92"/>
  </r>
  <r>
    <d v="2017-11-11T00:00:00"/>
    <x v="266"/>
    <x v="42"/>
    <x v="0"/>
    <x v="7"/>
    <x v="361"/>
    <n v="45.92"/>
    <n v="4"/>
    <n v="21.58"/>
  </r>
  <r>
    <d v="2017-11-11T00:00:00"/>
    <x v="382"/>
    <x v="8"/>
    <x v="0"/>
    <x v="3"/>
    <x v="372"/>
    <n v="18.239999999999998"/>
    <n v="3"/>
    <n v="8.57"/>
  </r>
  <r>
    <d v="2017-11-11T00:00:00"/>
    <x v="469"/>
    <x v="12"/>
    <x v="0"/>
    <x v="2"/>
    <x v="1350"/>
    <n v="35.479999999999997"/>
    <n v="1"/>
    <n v="0"/>
  </r>
  <r>
    <d v="2017-11-11T00:00:00"/>
    <x v="384"/>
    <x v="9"/>
    <x v="0"/>
    <x v="13"/>
    <x v="723"/>
    <n v="1158.1199999999999"/>
    <n v="5"/>
    <n v="130.29"/>
  </r>
  <r>
    <d v="2017-11-11T00:00:00"/>
    <x v="141"/>
    <x v="31"/>
    <x v="1"/>
    <x v="8"/>
    <x v="972"/>
    <n v="88.92"/>
    <n v="5"/>
    <n v="14.45"/>
  </r>
  <r>
    <d v="2017-11-11T00:00:00"/>
    <x v="729"/>
    <x v="3"/>
    <x v="1"/>
    <x v="8"/>
    <x v="1186"/>
    <n v="34.92"/>
    <n v="4"/>
    <n v="11.87"/>
  </r>
  <r>
    <d v="2017-11-11T00:00:00"/>
    <x v="94"/>
    <x v="0"/>
    <x v="2"/>
    <x v="6"/>
    <x v="732"/>
    <n v="35.18"/>
    <n v="2"/>
    <n v="12.31"/>
  </r>
  <r>
    <d v="2017-11-11T00:00:00"/>
    <x v="549"/>
    <x v="47"/>
    <x v="0"/>
    <x v="14"/>
    <x v="959"/>
    <n v="25.5"/>
    <n v="3"/>
    <n v="6.63"/>
  </r>
  <r>
    <d v="2017-12-11T00:00:00"/>
    <x v="367"/>
    <x v="3"/>
    <x v="0"/>
    <x v="0"/>
    <x v="562"/>
    <n v="10.56"/>
    <n v="2"/>
    <n v="4.75"/>
  </r>
  <r>
    <d v="2017-12-11T00:00:00"/>
    <x v="142"/>
    <x v="12"/>
    <x v="0"/>
    <x v="3"/>
    <x v="866"/>
    <n v="15.92"/>
    <n v="5"/>
    <n v="5.37"/>
  </r>
  <r>
    <d v="2017-12-11T00:00:00"/>
    <x v="295"/>
    <x v="0"/>
    <x v="0"/>
    <x v="0"/>
    <x v="1472"/>
    <n v="16.059999999999999"/>
    <n v="3"/>
    <n v="5.82"/>
  </r>
  <r>
    <d v="2017-12-11T00:00:00"/>
    <x v="295"/>
    <x v="0"/>
    <x v="0"/>
    <x v="0"/>
    <x v="479"/>
    <n v="223.06"/>
    <n v="9"/>
    <n v="69.709999999999994"/>
  </r>
  <r>
    <d v="2017-12-11T00:00:00"/>
    <x v="295"/>
    <x v="0"/>
    <x v="0"/>
    <x v="2"/>
    <x v="536"/>
    <n v="540.04999999999995"/>
    <n v="3"/>
    <n v="-47.25"/>
  </r>
  <r>
    <d v="2017-12-11T00:00:00"/>
    <x v="730"/>
    <x v="16"/>
    <x v="2"/>
    <x v="6"/>
    <x v="1204"/>
    <n v="370.78"/>
    <n v="3"/>
    <n v="-92.7"/>
  </r>
  <r>
    <d v="2017-12-11T00:00:00"/>
    <x v="346"/>
    <x v="23"/>
    <x v="2"/>
    <x v="9"/>
    <x v="17"/>
    <n v="41.6"/>
    <n v="4"/>
    <n v="13"/>
  </r>
  <r>
    <d v="2017-12-11T00:00:00"/>
    <x v="346"/>
    <x v="23"/>
    <x v="0"/>
    <x v="0"/>
    <x v="984"/>
    <n v="23.12"/>
    <n v="5"/>
    <n v="8.3800000000000008"/>
  </r>
  <r>
    <d v="2017-12-11T00:00:00"/>
    <x v="346"/>
    <x v="23"/>
    <x v="1"/>
    <x v="5"/>
    <x v="1317"/>
    <n v="113.89"/>
    <n v="2"/>
    <n v="9.9700000000000006"/>
  </r>
  <r>
    <d v="2017-12-11T00:00:00"/>
    <x v="346"/>
    <x v="23"/>
    <x v="1"/>
    <x v="8"/>
    <x v="837"/>
    <n v="113.57"/>
    <n v="2"/>
    <n v="-5.68"/>
  </r>
  <r>
    <d v="2017-12-11T00:00:00"/>
    <x v="346"/>
    <x v="23"/>
    <x v="2"/>
    <x v="6"/>
    <x v="720"/>
    <n v="7.92"/>
    <n v="2"/>
    <n v="0.69"/>
  </r>
  <r>
    <d v="2017-12-11T00:00:00"/>
    <x v="346"/>
    <x v="23"/>
    <x v="2"/>
    <x v="6"/>
    <x v="1173"/>
    <n v="671.98"/>
    <n v="2"/>
    <n v="50.4"/>
  </r>
  <r>
    <d v="2017-12-11T00:00:00"/>
    <x v="618"/>
    <x v="0"/>
    <x v="0"/>
    <x v="3"/>
    <x v="23"/>
    <n v="30.56"/>
    <n v="5"/>
    <n v="-45.84"/>
  </r>
  <r>
    <d v="2017-12-11T00:00:00"/>
    <x v="618"/>
    <x v="0"/>
    <x v="0"/>
    <x v="2"/>
    <x v="44"/>
    <n v="77.95"/>
    <n v="3"/>
    <n v="-15.59"/>
  </r>
  <r>
    <d v="2017-12-11T00:00:00"/>
    <x v="618"/>
    <x v="0"/>
    <x v="2"/>
    <x v="6"/>
    <x v="1340"/>
    <n v="67.989999999999995"/>
    <n v="1"/>
    <n v="8.5"/>
  </r>
  <r>
    <d v="2017-12-11T00:00:00"/>
    <x v="618"/>
    <x v="0"/>
    <x v="0"/>
    <x v="11"/>
    <x v="481"/>
    <n v="12.22"/>
    <n v="2"/>
    <n v="4.43"/>
  </r>
  <r>
    <d v="2017-12-11T00:00:00"/>
    <x v="618"/>
    <x v="0"/>
    <x v="2"/>
    <x v="9"/>
    <x v="1404"/>
    <n v="44.78"/>
    <n v="2"/>
    <n v="-0.56000000000000005"/>
  </r>
  <r>
    <d v="2017-12-11T00:00:00"/>
    <x v="618"/>
    <x v="0"/>
    <x v="1"/>
    <x v="8"/>
    <x v="1272"/>
    <n v="22.85"/>
    <n v="3"/>
    <n v="-17.71"/>
  </r>
  <r>
    <d v="2017-12-11T00:00:00"/>
    <x v="319"/>
    <x v="16"/>
    <x v="0"/>
    <x v="0"/>
    <x v="1561"/>
    <n v="10.85"/>
    <n v="2"/>
    <n v="3.53"/>
  </r>
  <r>
    <d v="2017-12-11T00:00:00"/>
    <x v="319"/>
    <x v="16"/>
    <x v="2"/>
    <x v="9"/>
    <x v="1575"/>
    <n v="18.54"/>
    <n v="2"/>
    <n v="3.01"/>
  </r>
  <r>
    <d v="2017-12-11T00:00:00"/>
    <x v="428"/>
    <x v="10"/>
    <x v="0"/>
    <x v="1"/>
    <x v="40"/>
    <n v="9.9600000000000009"/>
    <n v="2"/>
    <n v="4.58"/>
  </r>
  <r>
    <d v="2017-12-11T00:00:00"/>
    <x v="428"/>
    <x v="10"/>
    <x v="0"/>
    <x v="4"/>
    <x v="1576"/>
    <n v="9.2100000000000009"/>
    <n v="3"/>
    <n v="2.2999999999999998"/>
  </r>
  <r>
    <d v="2017-12-11T00:00:00"/>
    <x v="428"/>
    <x v="10"/>
    <x v="0"/>
    <x v="14"/>
    <x v="71"/>
    <n v="27.93"/>
    <n v="3"/>
    <n v="8.1"/>
  </r>
  <r>
    <d v="2017-12-11T00:00:00"/>
    <x v="391"/>
    <x v="3"/>
    <x v="0"/>
    <x v="3"/>
    <x v="1577"/>
    <n v="14.02"/>
    <n v="4"/>
    <n v="4.91"/>
  </r>
  <r>
    <d v="2017-12-11T00:00:00"/>
    <x v="170"/>
    <x v="10"/>
    <x v="0"/>
    <x v="7"/>
    <x v="22"/>
    <n v="18.239999999999998"/>
    <n v="3"/>
    <n v="9.1199999999999992"/>
  </r>
  <r>
    <d v="2017-12-11T00:00:00"/>
    <x v="170"/>
    <x v="10"/>
    <x v="0"/>
    <x v="13"/>
    <x v="339"/>
    <n v="76.12"/>
    <n v="2"/>
    <n v="22.07"/>
  </r>
  <r>
    <d v="2017-12-11T00:00:00"/>
    <x v="731"/>
    <x v="9"/>
    <x v="0"/>
    <x v="0"/>
    <x v="1578"/>
    <n v="26.72"/>
    <n v="5"/>
    <n v="9.35"/>
  </r>
  <r>
    <d v="2017-12-11T00:00:00"/>
    <x v="651"/>
    <x v="23"/>
    <x v="2"/>
    <x v="9"/>
    <x v="628"/>
    <n v="62.35"/>
    <n v="6"/>
    <n v="-10.91"/>
  </r>
  <r>
    <d v="2017-12-11T00:00:00"/>
    <x v="138"/>
    <x v="3"/>
    <x v="0"/>
    <x v="0"/>
    <x v="1579"/>
    <n v="11.56"/>
    <n v="2"/>
    <n v="5.66"/>
  </r>
  <r>
    <d v="2017-12-11T00:00:00"/>
    <x v="196"/>
    <x v="2"/>
    <x v="0"/>
    <x v="2"/>
    <x v="1580"/>
    <n v="221.02"/>
    <n v="2"/>
    <n v="-55.26"/>
  </r>
  <r>
    <d v="2017-01-12T00:00:00"/>
    <x v="177"/>
    <x v="18"/>
    <x v="0"/>
    <x v="2"/>
    <x v="474"/>
    <n v="83.92"/>
    <n v="4"/>
    <n v="5.87"/>
  </r>
  <r>
    <d v="2017-01-12T00:00:00"/>
    <x v="177"/>
    <x v="18"/>
    <x v="2"/>
    <x v="6"/>
    <x v="1002"/>
    <n v="131.97999999999999"/>
    <n v="2"/>
    <n v="35.630000000000003"/>
  </r>
  <r>
    <d v="2017-01-12T00:00:00"/>
    <x v="177"/>
    <x v="18"/>
    <x v="0"/>
    <x v="3"/>
    <x v="866"/>
    <n v="15.92"/>
    <n v="4"/>
    <n v="7.48"/>
  </r>
  <r>
    <d v="2017-01-12T00:00:00"/>
    <x v="177"/>
    <x v="18"/>
    <x v="0"/>
    <x v="7"/>
    <x v="682"/>
    <n v="52.29"/>
    <n v="9"/>
    <n v="16.21"/>
  </r>
  <r>
    <d v="2017-01-12T00:00:00"/>
    <x v="177"/>
    <x v="18"/>
    <x v="0"/>
    <x v="2"/>
    <x v="268"/>
    <n v="91.99"/>
    <n v="1"/>
    <n v="3.68"/>
  </r>
  <r>
    <d v="2017-01-12T00:00:00"/>
    <x v="445"/>
    <x v="12"/>
    <x v="2"/>
    <x v="9"/>
    <x v="1225"/>
    <n v="20.37"/>
    <n v="3"/>
    <n v="6.93"/>
  </r>
  <r>
    <d v="2017-01-12T00:00:00"/>
    <x v="445"/>
    <x v="12"/>
    <x v="0"/>
    <x v="2"/>
    <x v="1492"/>
    <n v="221.55"/>
    <n v="3"/>
    <n v="6.65"/>
  </r>
  <r>
    <d v="2017-01-12T00:00:00"/>
    <x v="445"/>
    <x v="12"/>
    <x v="0"/>
    <x v="3"/>
    <x v="1577"/>
    <n v="17.52"/>
    <n v="5"/>
    <n v="6.13"/>
  </r>
  <r>
    <d v="2017-01-12T00:00:00"/>
    <x v="482"/>
    <x v="19"/>
    <x v="2"/>
    <x v="6"/>
    <x v="10"/>
    <n v="470.38"/>
    <n v="3"/>
    <n v="52.92"/>
  </r>
  <r>
    <d v="2017-01-12T00:00:00"/>
    <x v="482"/>
    <x v="19"/>
    <x v="2"/>
    <x v="6"/>
    <x v="154"/>
    <n v="105.58"/>
    <n v="2"/>
    <n v="9.24"/>
  </r>
  <r>
    <d v="2017-01-12T00:00:00"/>
    <x v="482"/>
    <x v="19"/>
    <x v="0"/>
    <x v="13"/>
    <x v="1250"/>
    <n v="31.15"/>
    <n v="3"/>
    <n v="3.5"/>
  </r>
  <r>
    <d v="2017-01-12T00:00:00"/>
    <x v="482"/>
    <x v="19"/>
    <x v="0"/>
    <x v="3"/>
    <x v="158"/>
    <n v="6.78"/>
    <n v="7"/>
    <n v="-4.75"/>
  </r>
  <r>
    <d v="2017-01-12T00:00:00"/>
    <x v="482"/>
    <x v="19"/>
    <x v="2"/>
    <x v="6"/>
    <x v="1581"/>
    <n v="406.37"/>
    <n v="4"/>
    <n v="30.48"/>
  </r>
  <r>
    <d v="2017-01-12T00:00:00"/>
    <x v="307"/>
    <x v="2"/>
    <x v="0"/>
    <x v="11"/>
    <x v="1582"/>
    <n v="104.68"/>
    <n v="5"/>
    <n v="35.33"/>
  </r>
  <r>
    <d v="2017-01-12T00:00:00"/>
    <x v="307"/>
    <x v="2"/>
    <x v="2"/>
    <x v="6"/>
    <x v="1257"/>
    <n v="62.96"/>
    <n v="7"/>
    <n v="9.44"/>
  </r>
  <r>
    <d v="2017-01-12T00:00:00"/>
    <x v="335"/>
    <x v="0"/>
    <x v="2"/>
    <x v="6"/>
    <x v="294"/>
    <n v="219.8"/>
    <n v="5"/>
    <n v="24.73"/>
  </r>
  <r>
    <d v="2017-01-12T00:00:00"/>
    <x v="335"/>
    <x v="0"/>
    <x v="1"/>
    <x v="5"/>
    <x v="522"/>
    <n v="317.06"/>
    <n v="3"/>
    <n v="-18.12"/>
  </r>
  <r>
    <d v="2017-01-12T00:00:00"/>
    <x v="732"/>
    <x v="3"/>
    <x v="0"/>
    <x v="0"/>
    <x v="1380"/>
    <n v="45.36"/>
    <n v="7"/>
    <n v="21.77"/>
  </r>
  <r>
    <d v="2017-01-12T00:00:00"/>
    <x v="732"/>
    <x v="3"/>
    <x v="0"/>
    <x v="3"/>
    <x v="61"/>
    <n v="10.130000000000001"/>
    <n v="2"/>
    <n v="3.67"/>
  </r>
  <r>
    <d v="2017-01-12T00:00:00"/>
    <x v="590"/>
    <x v="2"/>
    <x v="0"/>
    <x v="2"/>
    <x v="1460"/>
    <n v="37.39"/>
    <n v="3"/>
    <n v="2.34"/>
  </r>
  <r>
    <d v="2017-01-12T00:00:00"/>
    <x v="590"/>
    <x v="2"/>
    <x v="1"/>
    <x v="8"/>
    <x v="1583"/>
    <n v="79.12"/>
    <n v="5"/>
    <n v="13.85"/>
  </r>
  <r>
    <d v="2017-01-12T00:00:00"/>
    <x v="399"/>
    <x v="27"/>
    <x v="0"/>
    <x v="0"/>
    <x v="597"/>
    <n v="19.440000000000001"/>
    <n v="3"/>
    <n v="9.33"/>
  </r>
  <r>
    <d v="2017-01-12T00:00:00"/>
    <x v="399"/>
    <x v="27"/>
    <x v="1"/>
    <x v="5"/>
    <x v="274"/>
    <n v="897.15"/>
    <n v="3"/>
    <n v="251.2"/>
  </r>
  <r>
    <d v="2017-01-12T00:00:00"/>
    <x v="176"/>
    <x v="16"/>
    <x v="1"/>
    <x v="8"/>
    <x v="1284"/>
    <n v="7.71"/>
    <n v="2"/>
    <n v="1.74"/>
  </r>
  <r>
    <d v="2017-01-12T00:00:00"/>
    <x v="653"/>
    <x v="0"/>
    <x v="0"/>
    <x v="0"/>
    <x v="1030"/>
    <n v="10.37"/>
    <n v="2"/>
    <n v="3.63"/>
  </r>
  <r>
    <d v="2017-01-12T00:00:00"/>
    <x v="458"/>
    <x v="10"/>
    <x v="0"/>
    <x v="0"/>
    <x v="100"/>
    <n v="41.86"/>
    <n v="7"/>
    <n v="18.84"/>
  </r>
  <r>
    <d v="2017-01-12T00:00:00"/>
    <x v="458"/>
    <x v="10"/>
    <x v="1"/>
    <x v="12"/>
    <x v="675"/>
    <n v="141.96"/>
    <n v="2"/>
    <n v="41.17"/>
  </r>
  <r>
    <d v="2017-01-12T00:00:00"/>
    <x v="314"/>
    <x v="10"/>
    <x v="0"/>
    <x v="3"/>
    <x v="827"/>
    <n v="15.92"/>
    <n v="5"/>
    <n v="5.37"/>
  </r>
  <r>
    <d v="2017-01-12T00:00:00"/>
    <x v="314"/>
    <x v="10"/>
    <x v="1"/>
    <x v="8"/>
    <x v="85"/>
    <n v="70.680000000000007"/>
    <n v="12"/>
    <n v="31.1"/>
  </r>
  <r>
    <d v="2017-01-12T00:00:00"/>
    <x v="314"/>
    <x v="10"/>
    <x v="0"/>
    <x v="2"/>
    <x v="1095"/>
    <n v="541.24"/>
    <n v="4"/>
    <n v="5.41"/>
  </r>
  <r>
    <d v="2017-01-12T00:00:00"/>
    <x v="589"/>
    <x v="3"/>
    <x v="1"/>
    <x v="8"/>
    <x v="1235"/>
    <n v="629.64"/>
    <n v="9"/>
    <n v="107.04"/>
  </r>
  <r>
    <d v="2017-01-12T00:00:00"/>
    <x v="681"/>
    <x v="2"/>
    <x v="0"/>
    <x v="1"/>
    <x v="40"/>
    <n v="15.94"/>
    <n v="4"/>
    <n v="5.18"/>
  </r>
  <r>
    <d v="2017-01-12T00:00:00"/>
    <x v="681"/>
    <x v="2"/>
    <x v="0"/>
    <x v="3"/>
    <x v="1390"/>
    <n v="8"/>
    <n v="7"/>
    <n v="-5.6"/>
  </r>
  <r>
    <d v="2017-01-12T00:00:00"/>
    <x v="681"/>
    <x v="2"/>
    <x v="1"/>
    <x v="5"/>
    <x v="287"/>
    <n v="398.97"/>
    <n v="2"/>
    <n v="-28.5"/>
  </r>
  <r>
    <d v="2017-02-12T00:00:00"/>
    <x v="102"/>
    <x v="3"/>
    <x v="0"/>
    <x v="2"/>
    <x v="1067"/>
    <n v="559.62"/>
    <n v="9"/>
    <n v="151.1"/>
  </r>
  <r>
    <d v="2017-02-12T00:00:00"/>
    <x v="102"/>
    <x v="3"/>
    <x v="0"/>
    <x v="0"/>
    <x v="1584"/>
    <n v="109.92"/>
    <n v="2"/>
    <n v="53.86"/>
  </r>
  <r>
    <d v="2017-02-12T00:00:00"/>
    <x v="102"/>
    <x v="3"/>
    <x v="0"/>
    <x v="0"/>
    <x v="758"/>
    <n v="8.56"/>
    <n v="2"/>
    <n v="3.85"/>
  </r>
  <r>
    <d v="2017-02-12T00:00:00"/>
    <x v="481"/>
    <x v="6"/>
    <x v="0"/>
    <x v="4"/>
    <x v="1293"/>
    <n v="34.65"/>
    <n v="3"/>
    <n v="10.4"/>
  </r>
  <r>
    <d v="2017-02-12T00:00:00"/>
    <x v="733"/>
    <x v="0"/>
    <x v="0"/>
    <x v="13"/>
    <x v="65"/>
    <n v="294.62"/>
    <n v="5"/>
    <n v="-766.01"/>
  </r>
  <r>
    <d v="2017-02-12T00:00:00"/>
    <x v="733"/>
    <x v="0"/>
    <x v="1"/>
    <x v="8"/>
    <x v="105"/>
    <n v="8.75"/>
    <n v="4"/>
    <n v="-3.72"/>
  </r>
  <r>
    <d v="2017-02-12T00:00:00"/>
    <x v="734"/>
    <x v="9"/>
    <x v="0"/>
    <x v="4"/>
    <x v="366"/>
    <n v="47.96"/>
    <n v="5"/>
    <n v="4.2"/>
  </r>
  <r>
    <d v="2017-02-12T00:00:00"/>
    <x v="235"/>
    <x v="3"/>
    <x v="0"/>
    <x v="3"/>
    <x v="769"/>
    <n v="9.02"/>
    <n v="6"/>
    <n v="3.16"/>
  </r>
  <r>
    <d v="2017-02-12T00:00:00"/>
    <x v="235"/>
    <x v="3"/>
    <x v="0"/>
    <x v="3"/>
    <x v="540"/>
    <n v="69.459999999999994"/>
    <n v="2"/>
    <n v="22.57"/>
  </r>
  <r>
    <d v="2017-02-12T00:00:00"/>
    <x v="235"/>
    <x v="3"/>
    <x v="0"/>
    <x v="0"/>
    <x v="571"/>
    <n v="10.86"/>
    <n v="2"/>
    <n v="5.32"/>
  </r>
  <r>
    <d v="2017-02-12T00:00:00"/>
    <x v="235"/>
    <x v="3"/>
    <x v="0"/>
    <x v="13"/>
    <x v="332"/>
    <n v="79.47"/>
    <n v="3"/>
    <n v="22.25"/>
  </r>
  <r>
    <d v="2017-02-12T00:00:00"/>
    <x v="235"/>
    <x v="3"/>
    <x v="0"/>
    <x v="4"/>
    <x v="521"/>
    <n v="10.08"/>
    <n v="6"/>
    <n v="5.04"/>
  </r>
  <r>
    <d v="2017-02-12T00:00:00"/>
    <x v="545"/>
    <x v="9"/>
    <x v="0"/>
    <x v="3"/>
    <x v="450"/>
    <n v="45.66"/>
    <n v="5"/>
    <n v="-33.479999999999997"/>
  </r>
  <r>
    <d v="2017-02-12T00:00:00"/>
    <x v="28"/>
    <x v="2"/>
    <x v="0"/>
    <x v="3"/>
    <x v="645"/>
    <n v="631.17999999999995"/>
    <n v="4"/>
    <n v="-462.86"/>
  </r>
  <r>
    <d v="2017-02-12T00:00:00"/>
    <x v="711"/>
    <x v="37"/>
    <x v="2"/>
    <x v="6"/>
    <x v="496"/>
    <n v="2479.96"/>
    <n v="4"/>
    <n v="743.99"/>
  </r>
  <r>
    <d v="2017-02-12T00:00:00"/>
    <x v="384"/>
    <x v="3"/>
    <x v="2"/>
    <x v="6"/>
    <x v="1068"/>
    <n v="39.99"/>
    <n v="1"/>
    <n v="-8"/>
  </r>
  <r>
    <d v="2017-02-12T00:00:00"/>
    <x v="384"/>
    <x v="3"/>
    <x v="1"/>
    <x v="5"/>
    <x v="954"/>
    <n v="1159.06"/>
    <n v="9"/>
    <n v="43.46"/>
  </r>
  <r>
    <d v="2017-02-12T00:00:00"/>
    <x v="384"/>
    <x v="3"/>
    <x v="0"/>
    <x v="4"/>
    <x v="740"/>
    <n v="179.9"/>
    <n v="5"/>
    <n v="44.98"/>
  </r>
  <r>
    <d v="2017-02-12T00:00:00"/>
    <x v="152"/>
    <x v="6"/>
    <x v="1"/>
    <x v="5"/>
    <x v="592"/>
    <n v="701.96"/>
    <n v="2"/>
    <n v="168.47"/>
  </r>
  <r>
    <d v="2017-02-12T00:00:00"/>
    <x v="60"/>
    <x v="0"/>
    <x v="0"/>
    <x v="4"/>
    <x v="890"/>
    <n v="12.16"/>
    <n v="5"/>
    <n v="2.13"/>
  </r>
  <r>
    <d v="2017-02-12T00:00:00"/>
    <x v="271"/>
    <x v="15"/>
    <x v="0"/>
    <x v="4"/>
    <x v="360"/>
    <n v="32.78"/>
    <n v="1"/>
    <n v="2.46"/>
  </r>
  <r>
    <d v="2017-02-12T00:00:00"/>
    <x v="490"/>
    <x v="19"/>
    <x v="0"/>
    <x v="2"/>
    <x v="988"/>
    <n v="114.29"/>
    <n v="1"/>
    <n v="12.86"/>
  </r>
  <r>
    <d v="2017-02-12T00:00:00"/>
    <x v="490"/>
    <x v="19"/>
    <x v="0"/>
    <x v="3"/>
    <x v="713"/>
    <n v="36.619999999999997"/>
    <n v="8"/>
    <n v="-24.42"/>
  </r>
  <r>
    <d v="2017-02-12T00:00:00"/>
    <x v="490"/>
    <x v="19"/>
    <x v="1"/>
    <x v="12"/>
    <x v="1585"/>
    <n v="242.35"/>
    <n v="8"/>
    <n v="-363.53"/>
  </r>
  <r>
    <d v="2017-02-12T00:00:00"/>
    <x v="490"/>
    <x v="19"/>
    <x v="2"/>
    <x v="6"/>
    <x v="1586"/>
    <n v="49.62"/>
    <n v="2"/>
    <n v="4.96"/>
  </r>
  <r>
    <d v="2017-02-12T00:00:00"/>
    <x v="490"/>
    <x v="19"/>
    <x v="1"/>
    <x v="8"/>
    <x v="1151"/>
    <n v="508.7"/>
    <n v="6"/>
    <n v="0"/>
  </r>
  <r>
    <d v="2017-02-12T00:00:00"/>
    <x v="490"/>
    <x v="19"/>
    <x v="2"/>
    <x v="6"/>
    <x v="1587"/>
    <n v="57.36"/>
    <n v="6"/>
    <n v="-14.34"/>
  </r>
  <r>
    <d v="2017-02-12T00:00:00"/>
    <x v="490"/>
    <x v="19"/>
    <x v="1"/>
    <x v="5"/>
    <x v="334"/>
    <n v="906.68"/>
    <n v="5"/>
    <n v="68"/>
  </r>
  <r>
    <d v="2017-02-12T00:00:00"/>
    <x v="723"/>
    <x v="23"/>
    <x v="0"/>
    <x v="3"/>
    <x v="270"/>
    <n v="67.86"/>
    <n v="6"/>
    <n v="-45.24"/>
  </r>
  <r>
    <d v="2017-02-12T00:00:00"/>
    <x v="224"/>
    <x v="16"/>
    <x v="0"/>
    <x v="4"/>
    <x v="9"/>
    <n v="19.73"/>
    <n v="9"/>
    <n v="1.73"/>
  </r>
  <r>
    <d v="2017-02-12T00:00:00"/>
    <x v="224"/>
    <x v="16"/>
    <x v="2"/>
    <x v="6"/>
    <x v="1588"/>
    <n v="151.19"/>
    <n v="2"/>
    <n v="-25.2"/>
  </r>
  <r>
    <d v="2017-02-12T00:00:00"/>
    <x v="47"/>
    <x v="20"/>
    <x v="0"/>
    <x v="13"/>
    <x v="543"/>
    <n v="286.86"/>
    <n v="7"/>
    <n v="80.319999999999993"/>
  </r>
  <r>
    <d v="2017-02-12T00:00:00"/>
    <x v="47"/>
    <x v="20"/>
    <x v="2"/>
    <x v="6"/>
    <x v="10"/>
    <n v="979.95"/>
    <n v="5"/>
    <n v="284.19"/>
  </r>
  <r>
    <d v="2017-02-12T00:00:00"/>
    <x v="47"/>
    <x v="20"/>
    <x v="0"/>
    <x v="14"/>
    <x v="252"/>
    <n v="4.3600000000000003"/>
    <n v="2"/>
    <n v="0.17"/>
  </r>
  <r>
    <d v="2017-03-12T00:00:00"/>
    <x v="685"/>
    <x v="12"/>
    <x v="0"/>
    <x v="3"/>
    <x v="946"/>
    <n v="83.92"/>
    <n v="5"/>
    <n v="29.37"/>
  </r>
  <r>
    <d v="2017-03-12T00:00:00"/>
    <x v="685"/>
    <x v="12"/>
    <x v="0"/>
    <x v="3"/>
    <x v="1004"/>
    <n v="14.62"/>
    <n v="2"/>
    <n v="5.12"/>
  </r>
  <r>
    <d v="2017-03-12T00:00:00"/>
    <x v="685"/>
    <x v="12"/>
    <x v="2"/>
    <x v="6"/>
    <x v="157"/>
    <n v="136.99"/>
    <n v="1"/>
    <n v="36.99"/>
  </r>
  <r>
    <d v="2017-03-12T00:00:00"/>
    <x v="685"/>
    <x v="12"/>
    <x v="0"/>
    <x v="1"/>
    <x v="903"/>
    <n v="3.15"/>
    <n v="1"/>
    <n v="1.51"/>
  </r>
  <r>
    <d v="2017-03-12T00:00:00"/>
    <x v="571"/>
    <x v="3"/>
    <x v="0"/>
    <x v="0"/>
    <x v="1523"/>
    <n v="166.44"/>
    <n v="3"/>
    <n v="79.89"/>
  </r>
  <r>
    <d v="2017-03-12T00:00:00"/>
    <x v="248"/>
    <x v="9"/>
    <x v="2"/>
    <x v="9"/>
    <x v="1112"/>
    <n v="47.99"/>
    <n v="1"/>
    <n v="7.2"/>
  </r>
  <r>
    <d v="2017-03-12T00:00:00"/>
    <x v="293"/>
    <x v="15"/>
    <x v="0"/>
    <x v="13"/>
    <x v="1098"/>
    <n v="45.22"/>
    <n v="3"/>
    <n v="4.5199999999999996"/>
  </r>
  <r>
    <d v="2017-03-12T00:00:00"/>
    <x v="293"/>
    <x v="15"/>
    <x v="0"/>
    <x v="3"/>
    <x v="991"/>
    <n v="28.78"/>
    <n v="6"/>
    <n v="-21.11"/>
  </r>
  <r>
    <d v="2017-03-12T00:00:00"/>
    <x v="293"/>
    <x v="15"/>
    <x v="0"/>
    <x v="0"/>
    <x v="1075"/>
    <n v="24.45"/>
    <n v="4"/>
    <n v="8.86"/>
  </r>
  <r>
    <d v="2017-03-12T00:00:00"/>
    <x v="466"/>
    <x v="10"/>
    <x v="1"/>
    <x v="10"/>
    <x v="66"/>
    <n v="521.96"/>
    <n v="2"/>
    <n v="88.73"/>
  </r>
  <r>
    <d v="2017-03-12T00:00:00"/>
    <x v="600"/>
    <x v="0"/>
    <x v="1"/>
    <x v="8"/>
    <x v="873"/>
    <n v="13.59"/>
    <n v="2"/>
    <n v="-14.27"/>
  </r>
  <r>
    <d v="2017-03-12T00:00:00"/>
    <x v="732"/>
    <x v="0"/>
    <x v="0"/>
    <x v="0"/>
    <x v="1484"/>
    <n v="10.37"/>
    <n v="2"/>
    <n v="3.63"/>
  </r>
  <r>
    <d v="2017-03-12T00:00:00"/>
    <x v="370"/>
    <x v="19"/>
    <x v="0"/>
    <x v="4"/>
    <x v="774"/>
    <n v="13.34"/>
    <n v="6"/>
    <n v="1"/>
  </r>
  <r>
    <d v="2017-03-12T00:00:00"/>
    <x v="370"/>
    <x v="19"/>
    <x v="2"/>
    <x v="9"/>
    <x v="1453"/>
    <n v="76.75"/>
    <n v="6"/>
    <n v="10.55"/>
  </r>
  <r>
    <d v="2017-03-12T00:00:00"/>
    <x v="370"/>
    <x v="19"/>
    <x v="2"/>
    <x v="9"/>
    <x v="1453"/>
    <n v="102.34"/>
    <n v="8"/>
    <n v="14.07"/>
  </r>
  <r>
    <d v="2017-03-12T00:00:00"/>
    <x v="370"/>
    <x v="19"/>
    <x v="0"/>
    <x v="0"/>
    <x v="1238"/>
    <n v="10.32"/>
    <n v="2"/>
    <n v="3.74"/>
  </r>
  <r>
    <d v="2017-03-12T00:00:00"/>
    <x v="370"/>
    <x v="19"/>
    <x v="0"/>
    <x v="14"/>
    <x v="1078"/>
    <n v="47.32"/>
    <n v="7"/>
    <n v="5.92"/>
  </r>
  <r>
    <d v="2017-03-12T00:00:00"/>
    <x v="370"/>
    <x v="19"/>
    <x v="1"/>
    <x v="8"/>
    <x v="750"/>
    <n v="23.38"/>
    <n v="3"/>
    <n v="7.01"/>
  </r>
  <r>
    <d v="2017-03-12T00:00:00"/>
    <x v="370"/>
    <x v="19"/>
    <x v="1"/>
    <x v="8"/>
    <x v="646"/>
    <n v="16.72"/>
    <n v="5"/>
    <n v="3.34"/>
  </r>
  <r>
    <d v="2017-03-12T00:00:00"/>
    <x v="370"/>
    <x v="19"/>
    <x v="1"/>
    <x v="8"/>
    <x v="1518"/>
    <n v="16.190000000000001"/>
    <n v="1"/>
    <n v="4.66"/>
  </r>
  <r>
    <d v="2017-04-12T00:00:00"/>
    <x v="735"/>
    <x v="2"/>
    <x v="0"/>
    <x v="3"/>
    <x v="176"/>
    <n v="5.35"/>
    <n v="3"/>
    <n v="-4.46"/>
  </r>
  <r>
    <d v="2017-04-12T00:00:00"/>
    <x v="575"/>
    <x v="2"/>
    <x v="1"/>
    <x v="5"/>
    <x v="298"/>
    <n v="188.55"/>
    <n v="7"/>
    <n v="-2.69"/>
  </r>
  <r>
    <d v="2017-04-12T00:00:00"/>
    <x v="333"/>
    <x v="2"/>
    <x v="1"/>
    <x v="5"/>
    <x v="757"/>
    <n v="239.96"/>
    <n v="10"/>
    <n v="-10.28"/>
  </r>
  <r>
    <d v="2017-04-12T00:00:00"/>
    <x v="333"/>
    <x v="2"/>
    <x v="1"/>
    <x v="8"/>
    <x v="671"/>
    <n v="54.77"/>
    <n v="2"/>
    <n v="6.85"/>
  </r>
  <r>
    <d v="2017-04-12T00:00:00"/>
    <x v="333"/>
    <x v="2"/>
    <x v="0"/>
    <x v="4"/>
    <x v="193"/>
    <n v="13.39"/>
    <n v="3"/>
    <n v="3.18"/>
  </r>
  <r>
    <d v="2017-04-12T00:00:00"/>
    <x v="333"/>
    <x v="2"/>
    <x v="0"/>
    <x v="0"/>
    <x v="1589"/>
    <n v="23.92"/>
    <n v="5"/>
    <n v="8.67"/>
  </r>
  <r>
    <d v="2017-04-12T00:00:00"/>
    <x v="333"/>
    <x v="2"/>
    <x v="2"/>
    <x v="9"/>
    <x v="1391"/>
    <n v="255.97"/>
    <n v="4"/>
    <n v="-28.8"/>
  </r>
  <r>
    <d v="2017-04-12T00:00:00"/>
    <x v="468"/>
    <x v="1"/>
    <x v="0"/>
    <x v="2"/>
    <x v="345"/>
    <n v="61.57"/>
    <n v="2"/>
    <n v="4.62"/>
  </r>
  <r>
    <d v="2017-04-12T00:00:00"/>
    <x v="638"/>
    <x v="28"/>
    <x v="0"/>
    <x v="4"/>
    <x v="674"/>
    <n v="8.8000000000000007"/>
    <n v="5"/>
    <n v="2.5499999999999998"/>
  </r>
  <r>
    <d v="2017-04-12T00:00:00"/>
    <x v="638"/>
    <x v="28"/>
    <x v="2"/>
    <x v="9"/>
    <x v="1590"/>
    <n v="142.80000000000001"/>
    <n v="1"/>
    <n v="29.99"/>
  </r>
  <r>
    <d v="2017-04-12T00:00:00"/>
    <x v="638"/>
    <x v="28"/>
    <x v="2"/>
    <x v="9"/>
    <x v="1545"/>
    <n v="399.95"/>
    <n v="5"/>
    <n v="143.97999999999999"/>
  </r>
  <r>
    <d v="2017-04-12T00:00:00"/>
    <x v="169"/>
    <x v="31"/>
    <x v="2"/>
    <x v="16"/>
    <x v="1230"/>
    <n v="649"/>
    <n v="2"/>
    <n v="-272.58"/>
  </r>
  <r>
    <d v="2017-04-12T00:00:00"/>
    <x v="185"/>
    <x v="16"/>
    <x v="0"/>
    <x v="0"/>
    <x v="1184"/>
    <n v="74.349999999999994"/>
    <n v="3"/>
    <n v="23.24"/>
  </r>
  <r>
    <d v="2017-04-12T00:00:00"/>
    <x v="19"/>
    <x v="3"/>
    <x v="0"/>
    <x v="0"/>
    <x v="457"/>
    <n v="11.76"/>
    <n v="2"/>
    <n v="5.76"/>
  </r>
  <r>
    <d v="2017-04-12T00:00:00"/>
    <x v="473"/>
    <x v="11"/>
    <x v="1"/>
    <x v="8"/>
    <x v="1591"/>
    <n v="12.99"/>
    <n v="1"/>
    <n v="1.56"/>
  </r>
  <r>
    <d v="2017-04-12T00:00:00"/>
    <x v="473"/>
    <x v="11"/>
    <x v="1"/>
    <x v="5"/>
    <x v="328"/>
    <n v="182.22"/>
    <n v="3"/>
    <n v="45.56"/>
  </r>
  <r>
    <d v="2017-04-12T00:00:00"/>
    <x v="473"/>
    <x v="11"/>
    <x v="1"/>
    <x v="5"/>
    <x v="1016"/>
    <n v="302.94"/>
    <n v="3"/>
    <n v="18.18"/>
  </r>
  <r>
    <d v="2017-04-12T00:00:00"/>
    <x v="51"/>
    <x v="2"/>
    <x v="1"/>
    <x v="8"/>
    <x v="131"/>
    <n v="11.35"/>
    <n v="3"/>
    <n v="2.7"/>
  </r>
  <r>
    <d v="2017-05-12T00:00:00"/>
    <x v="597"/>
    <x v="26"/>
    <x v="0"/>
    <x v="13"/>
    <x v="443"/>
    <n v="61.44"/>
    <n v="3"/>
    <n v="16.59"/>
  </r>
  <r>
    <d v="2017-05-12T00:00:00"/>
    <x v="597"/>
    <x v="26"/>
    <x v="0"/>
    <x v="0"/>
    <x v="87"/>
    <n v="38.9"/>
    <n v="5"/>
    <n v="17.510000000000002"/>
  </r>
  <r>
    <d v="2017-05-12T00:00:00"/>
    <x v="597"/>
    <x v="26"/>
    <x v="2"/>
    <x v="9"/>
    <x v="589"/>
    <n v="99.39"/>
    <n v="3"/>
    <n v="40.75"/>
  </r>
  <r>
    <d v="2017-05-12T00:00:00"/>
    <x v="418"/>
    <x v="3"/>
    <x v="0"/>
    <x v="0"/>
    <x v="888"/>
    <n v="92.94"/>
    <n v="3"/>
    <n v="41.82"/>
  </r>
  <r>
    <d v="2017-05-12T00:00:00"/>
    <x v="108"/>
    <x v="41"/>
    <x v="2"/>
    <x v="9"/>
    <x v="201"/>
    <n v="205.03"/>
    <n v="7"/>
    <n v="67.66"/>
  </r>
  <r>
    <d v="2017-05-12T00:00:00"/>
    <x v="250"/>
    <x v="12"/>
    <x v="1"/>
    <x v="8"/>
    <x v="242"/>
    <n v="20.94"/>
    <n v="3"/>
    <n v="6.07"/>
  </r>
  <r>
    <d v="2017-05-12T00:00:00"/>
    <x v="250"/>
    <x v="12"/>
    <x v="1"/>
    <x v="8"/>
    <x v="1592"/>
    <n v="58.68"/>
    <n v="2"/>
    <n v="18.190000000000001"/>
  </r>
  <r>
    <d v="2017-05-12T00:00:00"/>
    <x v="250"/>
    <x v="12"/>
    <x v="0"/>
    <x v="13"/>
    <x v="324"/>
    <n v="254.9"/>
    <n v="5"/>
    <n v="68.819999999999993"/>
  </r>
  <r>
    <d v="2017-05-12T00:00:00"/>
    <x v="376"/>
    <x v="10"/>
    <x v="0"/>
    <x v="3"/>
    <x v="72"/>
    <n v="24.82"/>
    <n v="3"/>
    <n v="8.3800000000000008"/>
  </r>
  <r>
    <d v="2017-05-12T00:00:00"/>
    <x v="376"/>
    <x v="10"/>
    <x v="0"/>
    <x v="3"/>
    <x v="95"/>
    <n v="14.98"/>
    <n v="6"/>
    <n v="5.43"/>
  </r>
  <r>
    <d v="2017-05-12T00:00:00"/>
    <x v="121"/>
    <x v="12"/>
    <x v="1"/>
    <x v="8"/>
    <x v="1336"/>
    <n v="41.96"/>
    <n v="2"/>
    <n v="10.91"/>
  </r>
  <r>
    <d v="2017-05-12T00:00:00"/>
    <x v="121"/>
    <x v="12"/>
    <x v="0"/>
    <x v="1"/>
    <x v="1593"/>
    <n v="9.4499999999999993"/>
    <n v="3"/>
    <n v="4.54"/>
  </r>
  <r>
    <d v="2017-05-12T00:00:00"/>
    <x v="736"/>
    <x v="10"/>
    <x v="0"/>
    <x v="3"/>
    <x v="946"/>
    <n v="83.92"/>
    <n v="5"/>
    <n v="29.37"/>
  </r>
  <r>
    <d v="2017-05-12T00:00:00"/>
    <x v="736"/>
    <x v="10"/>
    <x v="1"/>
    <x v="8"/>
    <x v="1118"/>
    <n v="199.9"/>
    <n v="5"/>
    <n v="39.979999999999997"/>
  </r>
  <r>
    <d v="2017-05-12T00:00:00"/>
    <x v="736"/>
    <x v="10"/>
    <x v="2"/>
    <x v="6"/>
    <x v="1059"/>
    <n v="31.18"/>
    <n v="3"/>
    <n v="-7.01"/>
  </r>
  <r>
    <d v="2017-05-12T00:00:00"/>
    <x v="736"/>
    <x v="10"/>
    <x v="0"/>
    <x v="3"/>
    <x v="1324"/>
    <n v="172.75"/>
    <n v="6"/>
    <n v="60.46"/>
  </r>
  <r>
    <d v="2017-05-12T00:00:00"/>
    <x v="736"/>
    <x v="10"/>
    <x v="0"/>
    <x v="3"/>
    <x v="1302"/>
    <n v="9.3000000000000007"/>
    <n v="2"/>
    <n v="3.02"/>
  </r>
  <r>
    <d v="2017-05-12T00:00:00"/>
    <x v="708"/>
    <x v="12"/>
    <x v="0"/>
    <x v="0"/>
    <x v="1513"/>
    <n v="21.6"/>
    <n v="6"/>
    <n v="9.94"/>
  </r>
  <r>
    <d v="2017-05-12T00:00:00"/>
    <x v="708"/>
    <x v="12"/>
    <x v="0"/>
    <x v="1"/>
    <x v="1255"/>
    <n v="11.07"/>
    <n v="3"/>
    <n v="5.2"/>
  </r>
  <r>
    <d v="2017-06-12T00:00:00"/>
    <x v="219"/>
    <x v="3"/>
    <x v="0"/>
    <x v="2"/>
    <x v="317"/>
    <n v="10.68"/>
    <n v="1"/>
    <n v="2.88"/>
  </r>
  <r>
    <d v="2017-07-12T00:00:00"/>
    <x v="306"/>
    <x v="3"/>
    <x v="2"/>
    <x v="6"/>
    <x v="784"/>
    <n v="374.38"/>
    <n v="3"/>
    <n v="46.8"/>
  </r>
  <r>
    <d v="2017-07-12T00:00:00"/>
    <x v="417"/>
    <x v="0"/>
    <x v="0"/>
    <x v="7"/>
    <x v="142"/>
    <n v="3.55"/>
    <n v="3"/>
    <n v="1.24"/>
  </r>
  <r>
    <d v="2017-07-12T00:00:00"/>
    <x v="417"/>
    <x v="0"/>
    <x v="0"/>
    <x v="0"/>
    <x v="267"/>
    <n v="15.55"/>
    <n v="3"/>
    <n v="5.44"/>
  </r>
  <r>
    <d v="2017-07-12T00:00:00"/>
    <x v="257"/>
    <x v="16"/>
    <x v="2"/>
    <x v="9"/>
    <x v="591"/>
    <n v="127.98"/>
    <n v="2"/>
    <n v="25.6"/>
  </r>
  <r>
    <d v="2017-07-12T00:00:00"/>
    <x v="625"/>
    <x v="6"/>
    <x v="1"/>
    <x v="8"/>
    <x v="581"/>
    <n v="82.38"/>
    <n v="6"/>
    <n v="25.54"/>
  </r>
  <r>
    <d v="2017-07-12T00:00:00"/>
    <x v="503"/>
    <x v="1"/>
    <x v="0"/>
    <x v="3"/>
    <x v="1594"/>
    <n v="1889.99"/>
    <n v="5"/>
    <n v="-2929.48"/>
  </r>
  <r>
    <d v="2017-07-12T00:00:00"/>
    <x v="123"/>
    <x v="32"/>
    <x v="0"/>
    <x v="13"/>
    <x v="1574"/>
    <n v="320.64"/>
    <n v="4"/>
    <n v="89.78"/>
  </r>
  <r>
    <d v="2017-07-12T00:00:00"/>
    <x v="123"/>
    <x v="32"/>
    <x v="2"/>
    <x v="9"/>
    <x v="17"/>
    <n v="52"/>
    <n v="4"/>
    <n v="23.4"/>
  </r>
  <r>
    <d v="2017-07-12T00:00:00"/>
    <x v="263"/>
    <x v="3"/>
    <x v="0"/>
    <x v="0"/>
    <x v="1458"/>
    <n v="50.04"/>
    <n v="6"/>
    <n v="25.02"/>
  </r>
  <r>
    <d v="2017-08-12T00:00:00"/>
    <x v="233"/>
    <x v="3"/>
    <x v="2"/>
    <x v="9"/>
    <x v="1252"/>
    <n v="179.95"/>
    <n v="5"/>
    <n v="37.79"/>
  </r>
  <r>
    <d v="2017-08-12T00:00:00"/>
    <x v="233"/>
    <x v="3"/>
    <x v="2"/>
    <x v="15"/>
    <x v="340"/>
    <n v="1199.98"/>
    <n v="3"/>
    <n v="434.99"/>
  </r>
  <r>
    <d v="2017-08-12T00:00:00"/>
    <x v="233"/>
    <x v="3"/>
    <x v="0"/>
    <x v="0"/>
    <x v="571"/>
    <n v="27.15"/>
    <n v="5"/>
    <n v="13.3"/>
  </r>
  <r>
    <d v="2017-08-12T00:00:00"/>
    <x v="233"/>
    <x v="3"/>
    <x v="1"/>
    <x v="10"/>
    <x v="237"/>
    <n v="1004.02"/>
    <n v="7"/>
    <n v="-112.95"/>
  </r>
  <r>
    <d v="2017-08-12T00:00:00"/>
    <x v="233"/>
    <x v="3"/>
    <x v="0"/>
    <x v="0"/>
    <x v="1595"/>
    <n v="9.68"/>
    <n v="1"/>
    <n v="4.6500000000000004"/>
  </r>
  <r>
    <d v="2017-08-12T00:00:00"/>
    <x v="233"/>
    <x v="3"/>
    <x v="0"/>
    <x v="1"/>
    <x v="1593"/>
    <n v="28.35"/>
    <n v="9"/>
    <n v="13.61"/>
  </r>
  <r>
    <d v="2017-08-12T00:00:00"/>
    <x v="233"/>
    <x v="3"/>
    <x v="0"/>
    <x v="0"/>
    <x v="868"/>
    <n v="55.98"/>
    <n v="1"/>
    <n v="27.43"/>
  </r>
  <r>
    <d v="2017-08-12T00:00:00"/>
    <x v="233"/>
    <x v="3"/>
    <x v="1"/>
    <x v="12"/>
    <x v="63"/>
    <n v="1336.83"/>
    <n v="13"/>
    <n v="31.45"/>
  </r>
  <r>
    <d v="2017-08-12T00:00:00"/>
    <x v="233"/>
    <x v="3"/>
    <x v="1"/>
    <x v="5"/>
    <x v="793"/>
    <n v="113.57"/>
    <n v="2"/>
    <n v="-18.45"/>
  </r>
  <r>
    <d v="2017-08-12T00:00:00"/>
    <x v="17"/>
    <x v="12"/>
    <x v="1"/>
    <x v="8"/>
    <x v="1596"/>
    <n v="109.48"/>
    <n v="2"/>
    <n v="33.94"/>
  </r>
  <r>
    <d v="2017-08-12T00:00:00"/>
    <x v="17"/>
    <x v="12"/>
    <x v="0"/>
    <x v="2"/>
    <x v="1597"/>
    <n v="272.94"/>
    <n v="3"/>
    <n v="0"/>
  </r>
  <r>
    <d v="2017-08-12T00:00:00"/>
    <x v="17"/>
    <x v="12"/>
    <x v="0"/>
    <x v="0"/>
    <x v="1325"/>
    <n v="19.440000000000001"/>
    <n v="3"/>
    <n v="9.33"/>
  </r>
  <r>
    <d v="2017-08-12T00:00:00"/>
    <x v="17"/>
    <x v="12"/>
    <x v="0"/>
    <x v="2"/>
    <x v="490"/>
    <n v="31.92"/>
    <n v="4"/>
    <n v="8.3000000000000007"/>
  </r>
  <r>
    <d v="2017-08-12T00:00:00"/>
    <x v="304"/>
    <x v="3"/>
    <x v="0"/>
    <x v="2"/>
    <x v="403"/>
    <n v="29.79"/>
    <n v="3"/>
    <n v="8.64"/>
  </r>
  <r>
    <d v="2017-08-12T00:00:00"/>
    <x v="304"/>
    <x v="3"/>
    <x v="1"/>
    <x v="8"/>
    <x v="1598"/>
    <n v="128.9"/>
    <n v="2"/>
    <n v="15.47"/>
  </r>
  <r>
    <d v="2017-08-12T00:00:00"/>
    <x v="304"/>
    <x v="3"/>
    <x v="0"/>
    <x v="0"/>
    <x v="1578"/>
    <n v="60.12"/>
    <n v="9"/>
    <n v="28.86"/>
  </r>
  <r>
    <d v="2017-08-12T00:00:00"/>
    <x v="371"/>
    <x v="3"/>
    <x v="0"/>
    <x v="13"/>
    <x v="1599"/>
    <n v="69.48"/>
    <n v="1"/>
    <n v="20.84"/>
  </r>
  <r>
    <d v="2017-08-12T00:00:00"/>
    <x v="262"/>
    <x v="3"/>
    <x v="0"/>
    <x v="0"/>
    <x v="1600"/>
    <n v="87.92"/>
    <n v="4"/>
    <n v="40.44"/>
  </r>
  <r>
    <d v="2017-08-12T00:00:00"/>
    <x v="262"/>
    <x v="3"/>
    <x v="0"/>
    <x v="3"/>
    <x v="363"/>
    <n v="22.42"/>
    <n v="1"/>
    <n v="8.41"/>
  </r>
  <r>
    <d v="2017-08-12T00:00:00"/>
    <x v="262"/>
    <x v="3"/>
    <x v="0"/>
    <x v="3"/>
    <x v="270"/>
    <n v="90.48"/>
    <n v="3"/>
    <n v="33.93"/>
  </r>
  <r>
    <d v="2017-08-12T00:00:00"/>
    <x v="262"/>
    <x v="3"/>
    <x v="0"/>
    <x v="2"/>
    <x v="653"/>
    <n v="42.76"/>
    <n v="1"/>
    <n v="11.12"/>
  </r>
  <r>
    <d v="2017-08-12T00:00:00"/>
    <x v="275"/>
    <x v="8"/>
    <x v="2"/>
    <x v="9"/>
    <x v="465"/>
    <n v="178.11"/>
    <n v="3"/>
    <n v="32.06"/>
  </r>
  <r>
    <d v="2017-08-12T00:00:00"/>
    <x v="275"/>
    <x v="8"/>
    <x v="0"/>
    <x v="13"/>
    <x v="319"/>
    <n v="1089.75"/>
    <n v="3"/>
    <n v="305.13"/>
  </r>
  <r>
    <d v="2017-08-12T00:00:00"/>
    <x v="275"/>
    <x v="8"/>
    <x v="0"/>
    <x v="1"/>
    <x v="1399"/>
    <n v="61.06"/>
    <n v="2"/>
    <n v="28.09"/>
  </r>
  <r>
    <d v="2017-08-12T00:00:00"/>
    <x v="275"/>
    <x v="8"/>
    <x v="1"/>
    <x v="12"/>
    <x v="872"/>
    <n v="459.92"/>
    <n v="4"/>
    <n v="41.39"/>
  </r>
  <r>
    <d v="2017-08-12T00:00:00"/>
    <x v="275"/>
    <x v="8"/>
    <x v="0"/>
    <x v="0"/>
    <x v="1033"/>
    <n v="27.52"/>
    <n v="4"/>
    <n v="12.66"/>
  </r>
  <r>
    <d v="2017-08-12T00:00:00"/>
    <x v="124"/>
    <x v="40"/>
    <x v="0"/>
    <x v="2"/>
    <x v="633"/>
    <n v="592.74"/>
    <n v="6"/>
    <n v="160.04"/>
  </r>
  <r>
    <d v="2017-08-12T00:00:00"/>
    <x v="465"/>
    <x v="2"/>
    <x v="1"/>
    <x v="5"/>
    <x v="658"/>
    <n v="215.54"/>
    <n v="4"/>
    <n v="-58.5"/>
  </r>
  <r>
    <d v="2017-08-12T00:00:00"/>
    <x v="389"/>
    <x v="2"/>
    <x v="0"/>
    <x v="4"/>
    <x v="408"/>
    <n v="13.25"/>
    <n v="4"/>
    <n v="3.64"/>
  </r>
  <r>
    <d v="2017-08-12T00:00:00"/>
    <x v="389"/>
    <x v="2"/>
    <x v="2"/>
    <x v="6"/>
    <x v="1456"/>
    <n v="83.99"/>
    <n v="2"/>
    <n v="-21"/>
  </r>
  <r>
    <d v="2017-09-12T00:00:00"/>
    <x v="504"/>
    <x v="0"/>
    <x v="0"/>
    <x v="3"/>
    <x v="1397"/>
    <n v="1.25"/>
    <n v="3"/>
    <n v="-1.93"/>
  </r>
  <r>
    <d v="2017-09-12T00:00:00"/>
    <x v="504"/>
    <x v="0"/>
    <x v="1"/>
    <x v="8"/>
    <x v="1240"/>
    <n v="9.7100000000000009"/>
    <n v="3"/>
    <n v="-5.82"/>
  </r>
  <r>
    <d v="2017-09-12T00:00:00"/>
    <x v="504"/>
    <x v="0"/>
    <x v="0"/>
    <x v="2"/>
    <x v="1363"/>
    <n v="27.24"/>
    <n v="3"/>
    <n v="2.72"/>
  </r>
  <r>
    <d v="2017-09-12T00:00:00"/>
    <x v="393"/>
    <x v="3"/>
    <x v="2"/>
    <x v="6"/>
    <x v="1209"/>
    <n v="444.77"/>
    <n v="4"/>
    <n v="44.48"/>
  </r>
  <r>
    <d v="2017-09-12T00:00:00"/>
    <x v="515"/>
    <x v="16"/>
    <x v="0"/>
    <x v="2"/>
    <x v="108"/>
    <n v="37.21"/>
    <n v="1"/>
    <n v="-7.44"/>
  </r>
  <r>
    <d v="2017-09-12T00:00:00"/>
    <x v="515"/>
    <x v="16"/>
    <x v="0"/>
    <x v="11"/>
    <x v="1601"/>
    <n v="57.58"/>
    <n v="3"/>
    <n v="21.59"/>
  </r>
  <r>
    <d v="2017-09-12T00:00:00"/>
    <x v="332"/>
    <x v="18"/>
    <x v="1"/>
    <x v="5"/>
    <x v="1102"/>
    <n v="872.94"/>
    <n v="3"/>
    <n v="226.96"/>
  </r>
  <r>
    <d v="2017-09-12T00:00:00"/>
    <x v="332"/>
    <x v="18"/>
    <x v="0"/>
    <x v="3"/>
    <x v="230"/>
    <n v="41.54"/>
    <n v="2"/>
    <n v="19.52"/>
  </r>
  <r>
    <d v="2017-09-12T00:00:00"/>
    <x v="332"/>
    <x v="18"/>
    <x v="0"/>
    <x v="0"/>
    <x v="920"/>
    <n v="12.96"/>
    <n v="2"/>
    <n v="6.22"/>
  </r>
  <r>
    <d v="2017-09-12T00:00:00"/>
    <x v="551"/>
    <x v="26"/>
    <x v="0"/>
    <x v="0"/>
    <x v="1265"/>
    <n v="33.450000000000003"/>
    <n v="5"/>
    <n v="15.39"/>
  </r>
  <r>
    <d v="2017-09-12T00:00:00"/>
    <x v="551"/>
    <x v="26"/>
    <x v="0"/>
    <x v="3"/>
    <x v="1397"/>
    <n v="10.4"/>
    <n v="5"/>
    <n v="5.0999999999999996"/>
  </r>
  <r>
    <d v="2017-09-12T00:00:00"/>
    <x v="403"/>
    <x v="2"/>
    <x v="0"/>
    <x v="4"/>
    <x v="113"/>
    <n v="2.62"/>
    <n v="1"/>
    <n v="0.43"/>
  </r>
  <r>
    <d v="2017-09-12T00:00:00"/>
    <x v="572"/>
    <x v="18"/>
    <x v="2"/>
    <x v="9"/>
    <x v="1442"/>
    <n v="104.88"/>
    <n v="6"/>
    <n v="41.95"/>
  </r>
  <r>
    <d v="2017-09-12T00:00:00"/>
    <x v="572"/>
    <x v="18"/>
    <x v="0"/>
    <x v="4"/>
    <x v="1602"/>
    <n v="34.700000000000003"/>
    <n v="5"/>
    <n v="12.49"/>
  </r>
  <r>
    <d v="2017-09-12T00:00:00"/>
    <x v="572"/>
    <x v="18"/>
    <x v="0"/>
    <x v="3"/>
    <x v="1321"/>
    <n v="33.72"/>
    <n v="4"/>
    <n v="15.51"/>
  </r>
  <r>
    <d v="2017-09-12T00:00:00"/>
    <x v="572"/>
    <x v="18"/>
    <x v="0"/>
    <x v="0"/>
    <x v="177"/>
    <n v="14.94"/>
    <n v="3"/>
    <n v="7.02"/>
  </r>
  <r>
    <d v="2017-09-12T00:00:00"/>
    <x v="687"/>
    <x v="1"/>
    <x v="0"/>
    <x v="0"/>
    <x v="1205"/>
    <n v="15.98"/>
    <n v="2"/>
    <n v="5"/>
  </r>
  <r>
    <d v="2017-09-12T00:00:00"/>
    <x v="436"/>
    <x v="3"/>
    <x v="0"/>
    <x v="4"/>
    <x v="974"/>
    <n v="11.16"/>
    <n v="2"/>
    <n v="2.79"/>
  </r>
  <r>
    <d v="2017-09-12T00:00:00"/>
    <x v="436"/>
    <x v="3"/>
    <x v="1"/>
    <x v="10"/>
    <x v="145"/>
    <n v="896.33"/>
    <n v="9"/>
    <n v="22.41"/>
  </r>
  <r>
    <d v="2017-09-12T00:00:00"/>
    <x v="436"/>
    <x v="3"/>
    <x v="0"/>
    <x v="13"/>
    <x v="1603"/>
    <n v="189"/>
    <n v="1"/>
    <n v="68.040000000000006"/>
  </r>
  <r>
    <d v="2017-09-12T00:00:00"/>
    <x v="187"/>
    <x v="1"/>
    <x v="0"/>
    <x v="0"/>
    <x v="315"/>
    <n v="143.86000000000001"/>
    <n v="9"/>
    <n v="48.55"/>
  </r>
  <r>
    <d v="2017-09-12T00:00:00"/>
    <x v="664"/>
    <x v="23"/>
    <x v="0"/>
    <x v="0"/>
    <x v="1304"/>
    <n v="419.4"/>
    <n v="5"/>
    <n v="146.79"/>
  </r>
  <r>
    <d v="2017-09-12T00:00:00"/>
    <x v="664"/>
    <x v="23"/>
    <x v="0"/>
    <x v="3"/>
    <x v="1388"/>
    <n v="13.01"/>
    <n v="3"/>
    <n v="-9.9700000000000006"/>
  </r>
  <r>
    <d v="2017-09-12T00:00:00"/>
    <x v="545"/>
    <x v="3"/>
    <x v="1"/>
    <x v="12"/>
    <x v="1465"/>
    <n v="148.26"/>
    <n v="3"/>
    <n v="15.7"/>
  </r>
  <r>
    <d v="2017-09-12T00:00:00"/>
    <x v="140"/>
    <x v="5"/>
    <x v="0"/>
    <x v="3"/>
    <x v="685"/>
    <n v="29.36"/>
    <n v="2"/>
    <n v="13.51"/>
  </r>
  <r>
    <d v="2017-09-12T00:00:00"/>
    <x v="140"/>
    <x v="5"/>
    <x v="0"/>
    <x v="13"/>
    <x v="1231"/>
    <n v="214.9"/>
    <n v="5"/>
    <n v="62.32"/>
  </r>
  <r>
    <d v="2017-09-12T00:00:00"/>
    <x v="140"/>
    <x v="5"/>
    <x v="0"/>
    <x v="3"/>
    <x v="866"/>
    <n v="15.92"/>
    <n v="4"/>
    <n v="7.48"/>
  </r>
  <r>
    <d v="2017-09-12T00:00:00"/>
    <x v="140"/>
    <x v="5"/>
    <x v="2"/>
    <x v="9"/>
    <x v="201"/>
    <n v="146.44999999999999"/>
    <n v="5"/>
    <n v="48.33"/>
  </r>
  <r>
    <d v="2017-09-12T00:00:00"/>
    <x v="140"/>
    <x v="5"/>
    <x v="0"/>
    <x v="2"/>
    <x v="860"/>
    <n v="15.14"/>
    <n v="1"/>
    <n v="0.61"/>
  </r>
  <r>
    <d v="2017-09-12T00:00:00"/>
    <x v="140"/>
    <x v="5"/>
    <x v="0"/>
    <x v="1"/>
    <x v="629"/>
    <n v="5.76"/>
    <n v="2"/>
    <n v="2.65"/>
  </r>
  <r>
    <d v="2017-09-12T00:00:00"/>
    <x v="140"/>
    <x v="5"/>
    <x v="2"/>
    <x v="15"/>
    <x v="273"/>
    <n v="1399.98"/>
    <n v="2"/>
    <n v="629.99"/>
  </r>
  <r>
    <d v="2017-09-12T00:00:00"/>
    <x v="179"/>
    <x v="2"/>
    <x v="0"/>
    <x v="3"/>
    <x v="956"/>
    <n v="11.09"/>
    <n v="7"/>
    <n v="-8.1300000000000008"/>
  </r>
  <r>
    <d v="2017-09-12T00:00:00"/>
    <x v="222"/>
    <x v="18"/>
    <x v="0"/>
    <x v="3"/>
    <x v="1572"/>
    <n v="54.9"/>
    <n v="5"/>
    <n v="26.9"/>
  </r>
  <r>
    <d v="2017-10-12T00:00:00"/>
    <x v="518"/>
    <x v="3"/>
    <x v="0"/>
    <x v="3"/>
    <x v="358"/>
    <n v="19.940000000000001"/>
    <n v="4"/>
    <n v="7.23"/>
  </r>
  <r>
    <d v="2017-10-12T00:00:00"/>
    <x v="518"/>
    <x v="3"/>
    <x v="0"/>
    <x v="3"/>
    <x v="277"/>
    <n v="65.569999999999993"/>
    <n v="2"/>
    <n v="22.95"/>
  </r>
  <r>
    <d v="2017-10-12T00:00:00"/>
    <x v="243"/>
    <x v="2"/>
    <x v="2"/>
    <x v="9"/>
    <x v="1521"/>
    <n v="14.2"/>
    <n v="1"/>
    <n v="3.37"/>
  </r>
  <r>
    <d v="2017-10-12T00:00:00"/>
    <x v="618"/>
    <x v="37"/>
    <x v="0"/>
    <x v="3"/>
    <x v="620"/>
    <n v="34.5"/>
    <n v="3"/>
    <n v="15.53"/>
  </r>
  <r>
    <d v="2017-10-12T00:00:00"/>
    <x v="133"/>
    <x v="13"/>
    <x v="1"/>
    <x v="10"/>
    <x v="1178"/>
    <n v="1669.6"/>
    <n v="4"/>
    <n v="116.87"/>
  </r>
  <r>
    <d v="2017-10-12T00:00:00"/>
    <x v="703"/>
    <x v="2"/>
    <x v="0"/>
    <x v="0"/>
    <x v="433"/>
    <n v="10.37"/>
    <n v="2"/>
    <n v="3.63"/>
  </r>
  <r>
    <d v="2017-10-12T00:00:00"/>
    <x v="703"/>
    <x v="2"/>
    <x v="1"/>
    <x v="8"/>
    <x v="1174"/>
    <n v="310.88"/>
    <n v="2"/>
    <n v="23.32"/>
  </r>
  <r>
    <d v="2017-10-12T00:00:00"/>
    <x v="215"/>
    <x v="27"/>
    <x v="0"/>
    <x v="11"/>
    <x v="464"/>
    <n v="10.86"/>
    <n v="3"/>
    <n v="5.0999999999999996"/>
  </r>
  <r>
    <d v="2017-10-12T00:00:00"/>
    <x v="215"/>
    <x v="27"/>
    <x v="0"/>
    <x v="13"/>
    <x v="1419"/>
    <n v="426.79"/>
    <n v="7"/>
    <n v="123.77"/>
  </r>
  <r>
    <d v="2017-10-12T00:00:00"/>
    <x v="405"/>
    <x v="9"/>
    <x v="1"/>
    <x v="8"/>
    <x v="750"/>
    <n v="19.100000000000001"/>
    <n v="3"/>
    <n v="5.73"/>
  </r>
  <r>
    <d v="2017-10-12T00:00:00"/>
    <x v="518"/>
    <x v="10"/>
    <x v="2"/>
    <x v="9"/>
    <x v="329"/>
    <n v="49.08"/>
    <n v="3"/>
    <n v="4.91"/>
  </r>
  <r>
    <d v="2017-10-12T00:00:00"/>
    <x v="518"/>
    <x v="10"/>
    <x v="0"/>
    <x v="2"/>
    <x v="1126"/>
    <n v="324.89999999999998"/>
    <n v="5"/>
    <n v="38.99"/>
  </r>
  <r>
    <d v="2017-10-12T00:00:00"/>
    <x v="518"/>
    <x v="10"/>
    <x v="0"/>
    <x v="4"/>
    <x v="1604"/>
    <n v="18.239999999999998"/>
    <n v="3"/>
    <n v="5.29"/>
  </r>
  <r>
    <d v="2017-10-12T00:00:00"/>
    <x v="495"/>
    <x v="32"/>
    <x v="2"/>
    <x v="9"/>
    <x v="938"/>
    <n v="599.97"/>
    <n v="3"/>
    <n v="257.99"/>
  </r>
  <r>
    <d v="2017-10-12T00:00:00"/>
    <x v="495"/>
    <x v="32"/>
    <x v="2"/>
    <x v="6"/>
    <x v="1059"/>
    <n v="38.97"/>
    <n v="3"/>
    <n v="0.78"/>
  </r>
  <r>
    <d v="2017-10-12T00:00:00"/>
    <x v="495"/>
    <x v="32"/>
    <x v="0"/>
    <x v="3"/>
    <x v="1501"/>
    <n v="45.84"/>
    <n v="8"/>
    <n v="22"/>
  </r>
  <r>
    <d v="2017-10-12T00:00:00"/>
    <x v="588"/>
    <x v="3"/>
    <x v="2"/>
    <x v="6"/>
    <x v="689"/>
    <n v="95.84"/>
    <n v="4"/>
    <n v="34.74"/>
  </r>
  <r>
    <d v="2017-10-12T00:00:00"/>
    <x v="588"/>
    <x v="3"/>
    <x v="0"/>
    <x v="0"/>
    <x v="5"/>
    <n v="12.96"/>
    <n v="2"/>
    <n v="6.22"/>
  </r>
  <r>
    <d v="2017-10-12T00:00:00"/>
    <x v="635"/>
    <x v="17"/>
    <x v="1"/>
    <x v="8"/>
    <x v="831"/>
    <n v="14.76"/>
    <n v="2"/>
    <n v="4.28"/>
  </r>
  <r>
    <d v="2017-10-12T00:00:00"/>
    <x v="266"/>
    <x v="2"/>
    <x v="0"/>
    <x v="3"/>
    <x v="1135"/>
    <n v="3.27"/>
    <n v="1"/>
    <n v="-2.5099999999999998"/>
  </r>
  <r>
    <d v="2017-10-12T00:00:00"/>
    <x v="266"/>
    <x v="2"/>
    <x v="1"/>
    <x v="8"/>
    <x v="223"/>
    <n v="87.92"/>
    <n v="5"/>
    <n v="15.39"/>
  </r>
  <r>
    <d v="2017-11-12T00:00:00"/>
    <x v="343"/>
    <x v="12"/>
    <x v="0"/>
    <x v="3"/>
    <x v="397"/>
    <n v="23.36"/>
    <n v="4"/>
    <n v="7.88"/>
  </r>
  <r>
    <d v="2017-11-12T00:00:00"/>
    <x v="343"/>
    <x v="12"/>
    <x v="2"/>
    <x v="9"/>
    <x v="897"/>
    <n v="39.979999999999997"/>
    <n v="2"/>
    <n v="13.59"/>
  </r>
  <r>
    <d v="2017-11-12T00:00:00"/>
    <x v="96"/>
    <x v="2"/>
    <x v="1"/>
    <x v="5"/>
    <x v="1605"/>
    <n v="63.69"/>
    <n v="1"/>
    <n v="-9.1"/>
  </r>
  <r>
    <d v="2017-11-12T00:00:00"/>
    <x v="737"/>
    <x v="1"/>
    <x v="0"/>
    <x v="0"/>
    <x v="351"/>
    <n v="10.37"/>
    <n v="2"/>
    <n v="3.63"/>
  </r>
  <r>
    <d v="2017-11-12T00:00:00"/>
    <x v="737"/>
    <x v="1"/>
    <x v="1"/>
    <x v="8"/>
    <x v="1174"/>
    <n v="77.72"/>
    <n v="1"/>
    <n v="-66.06"/>
  </r>
  <r>
    <d v="2017-11-12T00:00:00"/>
    <x v="737"/>
    <x v="1"/>
    <x v="1"/>
    <x v="5"/>
    <x v="442"/>
    <n v="520.46"/>
    <n v="2"/>
    <n v="-14.87"/>
  </r>
  <r>
    <d v="2017-11-12T00:00:00"/>
    <x v="292"/>
    <x v="20"/>
    <x v="2"/>
    <x v="6"/>
    <x v="829"/>
    <n v="128.85"/>
    <n v="3"/>
    <n v="3.87"/>
  </r>
  <r>
    <d v="2017-11-12T00:00:00"/>
    <x v="616"/>
    <x v="1"/>
    <x v="2"/>
    <x v="9"/>
    <x v="102"/>
    <n v="116.31"/>
    <n v="7"/>
    <n v="23.26"/>
  </r>
  <r>
    <d v="2017-11-12T00:00:00"/>
    <x v="327"/>
    <x v="12"/>
    <x v="0"/>
    <x v="3"/>
    <x v="925"/>
    <n v="14.95"/>
    <n v="1"/>
    <n v="5.05"/>
  </r>
  <r>
    <d v="2017-11-12T00:00:00"/>
    <x v="327"/>
    <x v="12"/>
    <x v="0"/>
    <x v="0"/>
    <x v="279"/>
    <n v="17.940000000000001"/>
    <n v="3"/>
    <n v="8.07"/>
  </r>
  <r>
    <d v="2017-11-12T00:00:00"/>
    <x v="327"/>
    <x v="12"/>
    <x v="2"/>
    <x v="6"/>
    <x v="777"/>
    <n v="116.98"/>
    <n v="2"/>
    <n v="29.25"/>
  </r>
  <r>
    <d v="2017-11-12T00:00:00"/>
    <x v="196"/>
    <x v="0"/>
    <x v="0"/>
    <x v="13"/>
    <x v="1606"/>
    <n v="1.39"/>
    <n v="2"/>
    <n v="-3.76"/>
  </r>
  <r>
    <d v="2017-11-12T00:00:00"/>
    <x v="575"/>
    <x v="9"/>
    <x v="1"/>
    <x v="10"/>
    <x v="313"/>
    <n v="721.88"/>
    <n v="6"/>
    <n v="-420"/>
  </r>
  <r>
    <d v="2017-11-12T00:00:00"/>
    <x v="575"/>
    <x v="9"/>
    <x v="2"/>
    <x v="6"/>
    <x v="1360"/>
    <n v="73.569999999999993"/>
    <n v="4"/>
    <n v="-16.55"/>
  </r>
  <r>
    <d v="2017-11-12T00:00:00"/>
    <x v="575"/>
    <x v="9"/>
    <x v="0"/>
    <x v="4"/>
    <x v="1278"/>
    <n v="13.58"/>
    <n v="1"/>
    <n v="1.36"/>
  </r>
  <r>
    <d v="2017-11-12T00:00:00"/>
    <x v="575"/>
    <x v="9"/>
    <x v="1"/>
    <x v="5"/>
    <x v="45"/>
    <n v="64.78"/>
    <n v="1"/>
    <n v="-12.15"/>
  </r>
  <r>
    <d v="2017-11-12T00:00:00"/>
    <x v="570"/>
    <x v="42"/>
    <x v="0"/>
    <x v="11"/>
    <x v="1607"/>
    <n v="7.28"/>
    <n v="1"/>
    <n v="3.49"/>
  </r>
  <r>
    <d v="2017-11-12T00:00:00"/>
    <x v="570"/>
    <x v="42"/>
    <x v="0"/>
    <x v="3"/>
    <x v="1377"/>
    <n v="5.4"/>
    <n v="3"/>
    <n v="2.59"/>
  </r>
  <r>
    <d v="2017-11-12T00:00:00"/>
    <x v="301"/>
    <x v="11"/>
    <x v="0"/>
    <x v="7"/>
    <x v="86"/>
    <n v="6.54"/>
    <n v="3"/>
    <n v="2.16"/>
  </r>
  <r>
    <d v="2017-11-12T00:00:00"/>
    <x v="46"/>
    <x v="11"/>
    <x v="0"/>
    <x v="3"/>
    <x v="120"/>
    <n v="40.200000000000003"/>
    <n v="5"/>
    <n v="18.09"/>
  </r>
  <r>
    <d v="2017-11-12T00:00:00"/>
    <x v="46"/>
    <x v="11"/>
    <x v="0"/>
    <x v="3"/>
    <x v="355"/>
    <n v="735.98"/>
    <n v="2"/>
    <n v="331.19"/>
  </r>
  <r>
    <d v="2017-11-12T00:00:00"/>
    <x v="46"/>
    <x v="11"/>
    <x v="0"/>
    <x v="13"/>
    <x v="314"/>
    <n v="22.75"/>
    <n v="7"/>
    <n v="6.6"/>
  </r>
  <r>
    <m/>
    <x v="738"/>
    <x v="48"/>
    <x v="3"/>
    <x v="17"/>
    <x v="1608"/>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2">
  <r>
    <d v="2014-03-01T00:00:00"/>
    <x v="0"/>
    <x v="0"/>
    <x v="0"/>
    <x v="0"/>
    <x v="0"/>
    <x v="0"/>
    <n v="2"/>
    <x v="0"/>
  </r>
  <r>
    <d v="2014-04-01T00:00:00"/>
    <x v="1"/>
    <x v="1"/>
    <x v="0"/>
    <x v="1"/>
    <x v="1"/>
    <x v="1"/>
    <n v="3"/>
    <x v="1"/>
  </r>
  <r>
    <d v="2014-04-01T00:00:00"/>
    <x v="1"/>
    <x v="1"/>
    <x v="0"/>
    <x v="2"/>
    <x v="2"/>
    <x v="2"/>
    <n v="3"/>
    <x v="2"/>
  </r>
  <r>
    <d v="2014-04-01T00:00:00"/>
    <x v="1"/>
    <x v="1"/>
    <x v="0"/>
    <x v="3"/>
    <x v="3"/>
    <x v="3"/>
    <n v="2"/>
    <x v="3"/>
  </r>
  <r>
    <d v="2014-05-01T00:00:00"/>
    <x v="2"/>
    <x v="2"/>
    <x v="0"/>
    <x v="4"/>
    <x v="4"/>
    <x v="4"/>
    <n v="3"/>
    <x v="4"/>
  </r>
  <r>
    <d v="2014-06-01T00:00:00"/>
    <x v="3"/>
    <x v="3"/>
    <x v="0"/>
    <x v="0"/>
    <x v="5"/>
    <x v="5"/>
    <n v="3"/>
    <x v="5"/>
  </r>
  <r>
    <d v="2014-06-01T00:00:00"/>
    <x v="4"/>
    <x v="4"/>
    <x v="0"/>
    <x v="4"/>
    <x v="6"/>
    <x v="6"/>
    <n v="3"/>
    <x v="6"/>
  </r>
  <r>
    <d v="2014-06-01T00:00:00"/>
    <x v="5"/>
    <x v="5"/>
    <x v="1"/>
    <x v="5"/>
    <x v="7"/>
    <x v="7"/>
    <n v="9"/>
    <x v="7"/>
  </r>
  <r>
    <d v="2014-06-01T00:00:00"/>
    <x v="5"/>
    <x v="5"/>
    <x v="0"/>
    <x v="3"/>
    <x v="8"/>
    <x v="8"/>
    <n v="2"/>
    <x v="8"/>
  </r>
  <r>
    <d v="2014-06-01T00:00:00"/>
    <x v="5"/>
    <x v="5"/>
    <x v="0"/>
    <x v="4"/>
    <x v="9"/>
    <x v="9"/>
    <n v="2"/>
    <x v="9"/>
  </r>
  <r>
    <d v="2014-06-01T00:00:00"/>
    <x v="5"/>
    <x v="5"/>
    <x v="2"/>
    <x v="6"/>
    <x v="10"/>
    <x v="10"/>
    <n v="2"/>
    <x v="10"/>
  </r>
  <r>
    <d v="2014-06-01T00:00:00"/>
    <x v="5"/>
    <x v="5"/>
    <x v="2"/>
    <x v="6"/>
    <x v="11"/>
    <x v="11"/>
    <n v="4"/>
    <x v="11"/>
  </r>
  <r>
    <d v="2014-06-01T00:00:00"/>
    <x v="5"/>
    <x v="5"/>
    <x v="0"/>
    <x v="7"/>
    <x v="12"/>
    <x v="12"/>
    <n v="4"/>
    <x v="12"/>
  </r>
  <r>
    <d v="2014-06-01T00:00:00"/>
    <x v="5"/>
    <x v="5"/>
    <x v="0"/>
    <x v="0"/>
    <x v="13"/>
    <x v="13"/>
    <n v="1"/>
    <x v="13"/>
  </r>
  <r>
    <d v="2014-07-01T00:00:00"/>
    <x v="6"/>
    <x v="0"/>
    <x v="1"/>
    <x v="8"/>
    <x v="14"/>
    <x v="14"/>
    <n v="3"/>
    <x v="14"/>
  </r>
  <r>
    <d v="2014-07-01T00:00:00"/>
    <x v="6"/>
    <x v="0"/>
    <x v="0"/>
    <x v="3"/>
    <x v="15"/>
    <x v="15"/>
    <n v="7"/>
    <x v="15"/>
  </r>
  <r>
    <d v="2014-09-01T00:00:00"/>
    <x v="7"/>
    <x v="0"/>
    <x v="0"/>
    <x v="4"/>
    <x v="16"/>
    <x v="16"/>
    <n v="2"/>
    <x v="16"/>
  </r>
  <r>
    <d v="2014-09-01T00:00:00"/>
    <x v="7"/>
    <x v="0"/>
    <x v="2"/>
    <x v="9"/>
    <x v="17"/>
    <x v="17"/>
    <n v="3"/>
    <x v="17"/>
  </r>
  <r>
    <d v="2014-10-01T00:00:00"/>
    <x v="8"/>
    <x v="6"/>
    <x v="0"/>
    <x v="1"/>
    <x v="18"/>
    <x v="18"/>
    <n v="1"/>
    <x v="18"/>
  </r>
  <r>
    <d v="2014-10-01T00:00:00"/>
    <x v="8"/>
    <x v="6"/>
    <x v="1"/>
    <x v="8"/>
    <x v="19"/>
    <x v="19"/>
    <n v="1"/>
    <x v="19"/>
  </r>
  <r>
    <d v="2014-11-01T00:00:00"/>
    <x v="9"/>
    <x v="7"/>
    <x v="1"/>
    <x v="8"/>
    <x v="20"/>
    <x v="20"/>
    <n v="2"/>
    <x v="20"/>
  </r>
  <r>
    <d v="2014-01-02T00:00:00"/>
    <x v="10"/>
    <x v="8"/>
    <x v="2"/>
    <x v="9"/>
    <x v="21"/>
    <x v="21"/>
    <n v="6"/>
    <x v="21"/>
  </r>
  <r>
    <d v="2014-02-02T00:00:00"/>
    <x v="11"/>
    <x v="3"/>
    <x v="0"/>
    <x v="7"/>
    <x v="22"/>
    <x v="22"/>
    <n v="5"/>
    <x v="22"/>
  </r>
  <r>
    <d v="2014-02-02T00:00:00"/>
    <x v="12"/>
    <x v="9"/>
    <x v="0"/>
    <x v="3"/>
    <x v="23"/>
    <x v="23"/>
    <n v="2"/>
    <x v="23"/>
  </r>
  <r>
    <d v="2014-02-02T00:00:00"/>
    <x v="12"/>
    <x v="9"/>
    <x v="2"/>
    <x v="6"/>
    <x v="24"/>
    <x v="24"/>
    <n v="5"/>
    <x v="24"/>
  </r>
  <r>
    <d v="2014-03-02T00:00:00"/>
    <x v="13"/>
    <x v="10"/>
    <x v="0"/>
    <x v="3"/>
    <x v="25"/>
    <x v="25"/>
    <n v="2"/>
    <x v="25"/>
  </r>
  <r>
    <d v="2014-03-02T00:00:00"/>
    <x v="13"/>
    <x v="10"/>
    <x v="0"/>
    <x v="3"/>
    <x v="26"/>
    <x v="26"/>
    <n v="3"/>
    <x v="26"/>
  </r>
  <r>
    <d v="2014-04-02T00:00:00"/>
    <x v="14"/>
    <x v="3"/>
    <x v="0"/>
    <x v="3"/>
    <x v="27"/>
    <x v="27"/>
    <n v="3"/>
    <x v="27"/>
  </r>
  <r>
    <d v="2014-04-02T00:00:00"/>
    <x v="14"/>
    <x v="3"/>
    <x v="0"/>
    <x v="0"/>
    <x v="28"/>
    <x v="28"/>
    <n v="4"/>
    <x v="28"/>
  </r>
  <r>
    <d v="2014-04-02T00:00:00"/>
    <x v="15"/>
    <x v="3"/>
    <x v="0"/>
    <x v="3"/>
    <x v="29"/>
    <x v="29"/>
    <n v="2"/>
    <x v="29"/>
  </r>
  <r>
    <d v="2014-06-02T00:00:00"/>
    <x v="16"/>
    <x v="6"/>
    <x v="0"/>
    <x v="1"/>
    <x v="30"/>
    <x v="30"/>
    <n v="4"/>
    <x v="30"/>
  </r>
  <r>
    <d v="2014-06-02T00:00:00"/>
    <x v="16"/>
    <x v="6"/>
    <x v="2"/>
    <x v="6"/>
    <x v="31"/>
    <x v="31"/>
    <n v="1"/>
    <x v="31"/>
  </r>
  <r>
    <d v="2014-06-02T00:00:00"/>
    <x v="16"/>
    <x v="6"/>
    <x v="2"/>
    <x v="6"/>
    <x v="32"/>
    <x v="32"/>
    <n v="5"/>
    <x v="32"/>
  </r>
  <r>
    <d v="2014-06-02T00:00:00"/>
    <x v="17"/>
    <x v="1"/>
    <x v="0"/>
    <x v="3"/>
    <x v="33"/>
    <x v="33"/>
    <n v="2"/>
    <x v="33"/>
  </r>
  <r>
    <d v="2014-07-02T00:00:00"/>
    <x v="18"/>
    <x v="11"/>
    <x v="2"/>
    <x v="9"/>
    <x v="34"/>
    <x v="34"/>
    <n v="7"/>
    <x v="34"/>
  </r>
  <r>
    <d v="2014-07-02T00:00:00"/>
    <x v="19"/>
    <x v="12"/>
    <x v="0"/>
    <x v="2"/>
    <x v="35"/>
    <x v="35"/>
    <n v="4"/>
    <x v="35"/>
  </r>
  <r>
    <d v="2014-08-02T00:00:00"/>
    <x v="20"/>
    <x v="13"/>
    <x v="1"/>
    <x v="8"/>
    <x v="36"/>
    <x v="36"/>
    <n v="2"/>
    <x v="36"/>
  </r>
  <r>
    <d v="2014-11-02T00:00:00"/>
    <x v="21"/>
    <x v="6"/>
    <x v="2"/>
    <x v="9"/>
    <x v="21"/>
    <x v="37"/>
    <n v="3"/>
    <x v="37"/>
  </r>
  <r>
    <d v="2014-11-02T00:00:00"/>
    <x v="21"/>
    <x v="6"/>
    <x v="1"/>
    <x v="10"/>
    <x v="37"/>
    <x v="38"/>
    <n v="6"/>
    <x v="38"/>
  </r>
  <r>
    <d v="2014-11-02T00:00:00"/>
    <x v="21"/>
    <x v="6"/>
    <x v="0"/>
    <x v="3"/>
    <x v="38"/>
    <x v="39"/>
    <n v="2"/>
    <x v="39"/>
  </r>
  <r>
    <d v="2014-11-02T00:00:00"/>
    <x v="22"/>
    <x v="14"/>
    <x v="1"/>
    <x v="5"/>
    <x v="39"/>
    <x v="40"/>
    <n v="1"/>
    <x v="40"/>
  </r>
  <r>
    <d v="2014-11-02T00:00:00"/>
    <x v="22"/>
    <x v="14"/>
    <x v="0"/>
    <x v="1"/>
    <x v="40"/>
    <x v="41"/>
    <n v="3"/>
    <x v="41"/>
  </r>
  <r>
    <d v="2014-11-02T00:00:00"/>
    <x v="22"/>
    <x v="14"/>
    <x v="0"/>
    <x v="3"/>
    <x v="41"/>
    <x v="42"/>
    <n v="2"/>
    <x v="42"/>
  </r>
  <r>
    <d v="2014-11-02T00:00:00"/>
    <x v="22"/>
    <x v="14"/>
    <x v="1"/>
    <x v="8"/>
    <x v="42"/>
    <x v="43"/>
    <n v="3"/>
    <x v="43"/>
  </r>
  <r>
    <d v="2014-11-02T00:00:00"/>
    <x v="22"/>
    <x v="14"/>
    <x v="0"/>
    <x v="3"/>
    <x v="43"/>
    <x v="44"/>
    <n v="3"/>
    <x v="44"/>
  </r>
  <r>
    <d v="2014-11-02T00:00:00"/>
    <x v="22"/>
    <x v="14"/>
    <x v="0"/>
    <x v="2"/>
    <x v="44"/>
    <x v="35"/>
    <n v="2"/>
    <x v="45"/>
  </r>
  <r>
    <d v="2014-12-02T00:00:00"/>
    <x v="23"/>
    <x v="3"/>
    <x v="1"/>
    <x v="5"/>
    <x v="45"/>
    <x v="45"/>
    <n v="2"/>
    <x v="46"/>
  </r>
  <r>
    <d v="2014-01-03T00:00:00"/>
    <x v="24"/>
    <x v="10"/>
    <x v="1"/>
    <x v="5"/>
    <x v="7"/>
    <x v="46"/>
    <n v="2"/>
    <x v="47"/>
  </r>
  <r>
    <d v="2014-01-03T00:00:00"/>
    <x v="25"/>
    <x v="12"/>
    <x v="2"/>
    <x v="6"/>
    <x v="46"/>
    <x v="47"/>
    <n v="3"/>
    <x v="48"/>
  </r>
  <r>
    <d v="2014-01-03T00:00:00"/>
    <x v="26"/>
    <x v="1"/>
    <x v="1"/>
    <x v="5"/>
    <x v="47"/>
    <x v="48"/>
    <n v="6"/>
    <x v="49"/>
  </r>
  <r>
    <d v="2014-01-03T00:00:00"/>
    <x v="26"/>
    <x v="1"/>
    <x v="0"/>
    <x v="0"/>
    <x v="48"/>
    <x v="49"/>
    <n v="3"/>
    <x v="50"/>
  </r>
  <r>
    <d v="2014-01-03T00:00:00"/>
    <x v="27"/>
    <x v="0"/>
    <x v="0"/>
    <x v="7"/>
    <x v="49"/>
    <x v="50"/>
    <n v="5"/>
    <x v="51"/>
  </r>
  <r>
    <d v="2014-01-03T00:00:00"/>
    <x v="27"/>
    <x v="0"/>
    <x v="1"/>
    <x v="5"/>
    <x v="50"/>
    <x v="51"/>
    <n v="6"/>
    <x v="52"/>
  </r>
  <r>
    <d v="2014-01-03T00:00:00"/>
    <x v="27"/>
    <x v="0"/>
    <x v="1"/>
    <x v="8"/>
    <x v="51"/>
    <x v="52"/>
    <n v="6"/>
    <x v="53"/>
  </r>
  <r>
    <d v="2014-01-03T00:00:00"/>
    <x v="27"/>
    <x v="0"/>
    <x v="0"/>
    <x v="2"/>
    <x v="52"/>
    <x v="53"/>
    <n v="3"/>
    <x v="54"/>
  </r>
  <r>
    <d v="2014-01-03T00:00:00"/>
    <x v="28"/>
    <x v="0"/>
    <x v="0"/>
    <x v="2"/>
    <x v="53"/>
    <x v="54"/>
    <n v="3"/>
    <x v="55"/>
  </r>
  <r>
    <d v="2014-01-03T00:00:00"/>
    <x v="28"/>
    <x v="0"/>
    <x v="1"/>
    <x v="10"/>
    <x v="54"/>
    <x v="55"/>
    <n v="3"/>
    <x v="56"/>
  </r>
  <r>
    <d v="2014-02-03T00:00:00"/>
    <x v="29"/>
    <x v="12"/>
    <x v="0"/>
    <x v="11"/>
    <x v="55"/>
    <x v="56"/>
    <n v="2"/>
    <x v="57"/>
  </r>
  <r>
    <d v="2014-02-03T00:00:00"/>
    <x v="29"/>
    <x v="12"/>
    <x v="0"/>
    <x v="0"/>
    <x v="56"/>
    <x v="57"/>
    <n v="5"/>
    <x v="58"/>
  </r>
  <r>
    <d v="2014-02-03T00:00:00"/>
    <x v="30"/>
    <x v="2"/>
    <x v="0"/>
    <x v="0"/>
    <x v="57"/>
    <x v="58"/>
    <n v="1"/>
    <x v="59"/>
  </r>
  <r>
    <d v="2014-02-03T00:00:00"/>
    <x v="30"/>
    <x v="2"/>
    <x v="2"/>
    <x v="9"/>
    <x v="58"/>
    <x v="59"/>
    <n v="3"/>
    <x v="60"/>
  </r>
  <r>
    <d v="2014-03-03T00:00:00"/>
    <x v="31"/>
    <x v="15"/>
    <x v="0"/>
    <x v="4"/>
    <x v="59"/>
    <x v="60"/>
    <n v="4"/>
    <x v="61"/>
  </r>
  <r>
    <d v="2014-03-03T00:00:00"/>
    <x v="32"/>
    <x v="12"/>
    <x v="2"/>
    <x v="6"/>
    <x v="60"/>
    <x v="61"/>
    <n v="1"/>
    <x v="62"/>
  </r>
  <r>
    <d v="2014-03-03T00:00:00"/>
    <x v="32"/>
    <x v="12"/>
    <x v="0"/>
    <x v="3"/>
    <x v="25"/>
    <x v="62"/>
    <n v="3"/>
    <x v="63"/>
  </r>
  <r>
    <d v="2014-03-03T00:00:00"/>
    <x v="32"/>
    <x v="12"/>
    <x v="0"/>
    <x v="3"/>
    <x v="61"/>
    <x v="63"/>
    <n v="5"/>
    <x v="64"/>
  </r>
  <r>
    <d v="2014-03-03T00:00:00"/>
    <x v="33"/>
    <x v="16"/>
    <x v="0"/>
    <x v="1"/>
    <x v="62"/>
    <x v="64"/>
    <n v="3"/>
    <x v="65"/>
  </r>
  <r>
    <d v="2014-03-03T00:00:00"/>
    <x v="33"/>
    <x v="16"/>
    <x v="1"/>
    <x v="12"/>
    <x v="63"/>
    <x v="65"/>
    <n v="5"/>
    <x v="66"/>
  </r>
  <r>
    <d v="2014-03-03T00:00:00"/>
    <x v="33"/>
    <x v="16"/>
    <x v="0"/>
    <x v="2"/>
    <x v="64"/>
    <x v="66"/>
    <n v="8"/>
    <x v="67"/>
  </r>
  <r>
    <d v="2014-03-03T00:00:00"/>
    <x v="34"/>
    <x v="0"/>
    <x v="0"/>
    <x v="13"/>
    <x v="65"/>
    <x v="67"/>
    <n v="3"/>
    <x v="68"/>
  </r>
  <r>
    <d v="2014-03-03T00:00:00"/>
    <x v="35"/>
    <x v="3"/>
    <x v="1"/>
    <x v="10"/>
    <x v="66"/>
    <x v="68"/>
    <n v="3"/>
    <x v="69"/>
  </r>
  <r>
    <d v="2014-04-03T00:00:00"/>
    <x v="36"/>
    <x v="17"/>
    <x v="0"/>
    <x v="2"/>
    <x v="67"/>
    <x v="69"/>
    <n v="5"/>
    <x v="70"/>
  </r>
  <r>
    <d v="2014-04-03T00:00:00"/>
    <x v="23"/>
    <x v="9"/>
    <x v="0"/>
    <x v="4"/>
    <x v="68"/>
    <x v="70"/>
    <n v="3"/>
    <x v="71"/>
  </r>
  <r>
    <d v="2014-05-03T00:00:00"/>
    <x v="37"/>
    <x v="12"/>
    <x v="0"/>
    <x v="4"/>
    <x v="69"/>
    <x v="71"/>
    <n v="3"/>
    <x v="72"/>
  </r>
  <r>
    <d v="2014-05-03T00:00:00"/>
    <x v="37"/>
    <x v="12"/>
    <x v="2"/>
    <x v="9"/>
    <x v="70"/>
    <x v="72"/>
    <n v="3"/>
    <x v="73"/>
  </r>
  <r>
    <d v="2014-05-03T00:00:00"/>
    <x v="37"/>
    <x v="12"/>
    <x v="0"/>
    <x v="14"/>
    <x v="71"/>
    <x v="73"/>
    <n v="2"/>
    <x v="74"/>
  </r>
  <r>
    <d v="2014-05-03T00:00:00"/>
    <x v="37"/>
    <x v="12"/>
    <x v="0"/>
    <x v="3"/>
    <x v="72"/>
    <x v="74"/>
    <n v="6"/>
    <x v="75"/>
  </r>
  <r>
    <d v="2014-05-03T00:00:00"/>
    <x v="37"/>
    <x v="12"/>
    <x v="0"/>
    <x v="0"/>
    <x v="73"/>
    <x v="75"/>
    <n v="2"/>
    <x v="76"/>
  </r>
  <r>
    <d v="2014-07-03T00:00:00"/>
    <x v="38"/>
    <x v="10"/>
    <x v="1"/>
    <x v="5"/>
    <x v="74"/>
    <x v="76"/>
    <n v="1"/>
    <x v="77"/>
  </r>
  <r>
    <d v="2014-07-03T00:00:00"/>
    <x v="38"/>
    <x v="10"/>
    <x v="0"/>
    <x v="4"/>
    <x v="75"/>
    <x v="77"/>
    <n v="3"/>
    <x v="78"/>
  </r>
  <r>
    <d v="2014-07-03T00:00:00"/>
    <x v="38"/>
    <x v="10"/>
    <x v="0"/>
    <x v="2"/>
    <x v="76"/>
    <x v="78"/>
    <n v="3"/>
    <x v="79"/>
  </r>
  <r>
    <d v="2014-07-03T00:00:00"/>
    <x v="39"/>
    <x v="10"/>
    <x v="0"/>
    <x v="3"/>
    <x v="77"/>
    <x v="79"/>
    <n v="2"/>
    <x v="80"/>
  </r>
  <r>
    <d v="2014-07-03T00:00:00"/>
    <x v="40"/>
    <x v="10"/>
    <x v="0"/>
    <x v="4"/>
    <x v="78"/>
    <x v="80"/>
    <n v="5"/>
    <x v="81"/>
  </r>
  <r>
    <d v="2014-07-03T00:00:00"/>
    <x v="40"/>
    <x v="10"/>
    <x v="0"/>
    <x v="2"/>
    <x v="79"/>
    <x v="81"/>
    <n v="5"/>
    <x v="52"/>
  </r>
  <r>
    <d v="2014-07-03T00:00:00"/>
    <x v="40"/>
    <x v="10"/>
    <x v="1"/>
    <x v="5"/>
    <x v="80"/>
    <x v="82"/>
    <n v="6"/>
    <x v="82"/>
  </r>
  <r>
    <d v="2014-07-03T00:00:00"/>
    <x v="40"/>
    <x v="10"/>
    <x v="1"/>
    <x v="5"/>
    <x v="81"/>
    <x v="83"/>
    <n v="2"/>
    <x v="83"/>
  </r>
  <r>
    <d v="2014-10-03T00:00:00"/>
    <x v="41"/>
    <x v="18"/>
    <x v="0"/>
    <x v="0"/>
    <x v="82"/>
    <x v="84"/>
    <n v="2"/>
    <x v="84"/>
  </r>
  <r>
    <d v="2014-10-03T00:00:00"/>
    <x v="42"/>
    <x v="19"/>
    <x v="0"/>
    <x v="2"/>
    <x v="83"/>
    <x v="85"/>
    <n v="3"/>
    <x v="85"/>
  </r>
  <r>
    <d v="2014-10-03T00:00:00"/>
    <x v="42"/>
    <x v="19"/>
    <x v="0"/>
    <x v="4"/>
    <x v="84"/>
    <x v="86"/>
    <n v="4"/>
    <x v="86"/>
  </r>
  <r>
    <d v="2014-11-03T00:00:00"/>
    <x v="43"/>
    <x v="16"/>
    <x v="1"/>
    <x v="8"/>
    <x v="85"/>
    <x v="87"/>
    <n v="5"/>
    <x v="87"/>
  </r>
  <r>
    <d v="2014-11-03T00:00:00"/>
    <x v="43"/>
    <x v="16"/>
    <x v="0"/>
    <x v="7"/>
    <x v="86"/>
    <x v="88"/>
    <n v="6"/>
    <x v="88"/>
  </r>
  <r>
    <d v="2014-11-03T00:00:00"/>
    <x v="44"/>
    <x v="12"/>
    <x v="0"/>
    <x v="0"/>
    <x v="87"/>
    <x v="89"/>
    <n v="14"/>
    <x v="89"/>
  </r>
  <r>
    <d v="2014-11-03T00:00:00"/>
    <x v="45"/>
    <x v="5"/>
    <x v="0"/>
    <x v="13"/>
    <x v="88"/>
    <x v="90"/>
    <n v="3"/>
    <x v="90"/>
  </r>
  <r>
    <d v="2014-11-03T00:00:00"/>
    <x v="45"/>
    <x v="5"/>
    <x v="2"/>
    <x v="9"/>
    <x v="34"/>
    <x v="91"/>
    <n v="2"/>
    <x v="91"/>
  </r>
  <r>
    <d v="2014-11-03T00:00:00"/>
    <x v="45"/>
    <x v="5"/>
    <x v="2"/>
    <x v="6"/>
    <x v="89"/>
    <x v="92"/>
    <n v="3"/>
    <x v="92"/>
  </r>
  <r>
    <d v="2014-11-03T00:00:00"/>
    <x v="45"/>
    <x v="5"/>
    <x v="0"/>
    <x v="0"/>
    <x v="90"/>
    <x v="41"/>
    <n v="3"/>
    <x v="93"/>
  </r>
  <r>
    <d v="2014-11-03T00:00:00"/>
    <x v="46"/>
    <x v="3"/>
    <x v="0"/>
    <x v="4"/>
    <x v="91"/>
    <x v="93"/>
    <n v="3"/>
    <x v="94"/>
  </r>
  <r>
    <d v="2014-01-04T00:00:00"/>
    <x v="47"/>
    <x v="3"/>
    <x v="0"/>
    <x v="1"/>
    <x v="92"/>
    <x v="94"/>
    <n v="2"/>
    <x v="95"/>
  </r>
  <r>
    <d v="2014-01-04T00:00:00"/>
    <x v="47"/>
    <x v="3"/>
    <x v="0"/>
    <x v="3"/>
    <x v="93"/>
    <x v="95"/>
    <n v="4"/>
    <x v="0"/>
  </r>
  <r>
    <d v="2014-01-04T00:00:00"/>
    <x v="48"/>
    <x v="20"/>
    <x v="0"/>
    <x v="2"/>
    <x v="94"/>
    <x v="96"/>
    <n v="4"/>
    <x v="96"/>
  </r>
  <r>
    <d v="2014-01-04T00:00:00"/>
    <x v="48"/>
    <x v="20"/>
    <x v="0"/>
    <x v="3"/>
    <x v="95"/>
    <x v="97"/>
    <n v="2"/>
    <x v="97"/>
  </r>
  <r>
    <d v="2014-02-04T00:00:00"/>
    <x v="49"/>
    <x v="4"/>
    <x v="0"/>
    <x v="0"/>
    <x v="96"/>
    <x v="98"/>
    <n v="3"/>
    <x v="98"/>
  </r>
  <r>
    <d v="2014-02-04T00:00:00"/>
    <x v="49"/>
    <x v="4"/>
    <x v="2"/>
    <x v="6"/>
    <x v="97"/>
    <x v="99"/>
    <n v="7"/>
    <x v="99"/>
  </r>
  <r>
    <d v="2014-02-04T00:00:00"/>
    <x v="49"/>
    <x v="4"/>
    <x v="0"/>
    <x v="13"/>
    <x v="98"/>
    <x v="100"/>
    <n v="5"/>
    <x v="100"/>
  </r>
  <r>
    <d v="2014-02-04T00:00:00"/>
    <x v="34"/>
    <x v="0"/>
    <x v="0"/>
    <x v="0"/>
    <x v="99"/>
    <x v="101"/>
    <n v="5"/>
    <x v="101"/>
  </r>
  <r>
    <d v="2014-02-04T00:00:00"/>
    <x v="34"/>
    <x v="0"/>
    <x v="0"/>
    <x v="0"/>
    <x v="100"/>
    <x v="102"/>
    <n v="7"/>
    <x v="102"/>
  </r>
  <r>
    <d v="2014-02-04T00:00:00"/>
    <x v="50"/>
    <x v="6"/>
    <x v="1"/>
    <x v="8"/>
    <x v="101"/>
    <x v="103"/>
    <n v="2"/>
    <x v="103"/>
  </r>
  <r>
    <d v="2014-03-04T00:00:00"/>
    <x v="51"/>
    <x v="3"/>
    <x v="0"/>
    <x v="11"/>
    <x v="55"/>
    <x v="104"/>
    <n v="2"/>
    <x v="104"/>
  </r>
  <r>
    <d v="2014-03-04T00:00:00"/>
    <x v="51"/>
    <x v="3"/>
    <x v="2"/>
    <x v="9"/>
    <x v="102"/>
    <x v="105"/>
    <n v="3"/>
    <x v="105"/>
  </r>
  <r>
    <d v="2014-03-04T00:00:00"/>
    <x v="51"/>
    <x v="3"/>
    <x v="2"/>
    <x v="9"/>
    <x v="103"/>
    <x v="106"/>
    <n v="2"/>
    <x v="106"/>
  </r>
  <r>
    <d v="2014-04-04T00:00:00"/>
    <x v="52"/>
    <x v="3"/>
    <x v="0"/>
    <x v="1"/>
    <x v="104"/>
    <x v="107"/>
    <n v="6"/>
    <x v="107"/>
  </r>
  <r>
    <d v="2014-04-04T00:00:00"/>
    <x v="53"/>
    <x v="18"/>
    <x v="1"/>
    <x v="8"/>
    <x v="105"/>
    <x v="108"/>
    <n v="1"/>
    <x v="108"/>
  </r>
  <r>
    <d v="2014-04-04T00:00:00"/>
    <x v="53"/>
    <x v="18"/>
    <x v="0"/>
    <x v="4"/>
    <x v="106"/>
    <x v="109"/>
    <n v="4"/>
    <x v="109"/>
  </r>
  <r>
    <d v="2014-04-04T00:00:00"/>
    <x v="54"/>
    <x v="3"/>
    <x v="0"/>
    <x v="3"/>
    <x v="107"/>
    <x v="110"/>
    <n v="2"/>
    <x v="110"/>
  </r>
  <r>
    <d v="2014-04-04T00:00:00"/>
    <x v="55"/>
    <x v="21"/>
    <x v="0"/>
    <x v="2"/>
    <x v="108"/>
    <x v="111"/>
    <n v="5"/>
    <x v="111"/>
  </r>
  <r>
    <d v="2014-04-04T00:00:00"/>
    <x v="55"/>
    <x v="21"/>
    <x v="2"/>
    <x v="9"/>
    <x v="109"/>
    <x v="112"/>
    <n v="2"/>
    <x v="112"/>
  </r>
  <r>
    <d v="2014-04-04T00:00:00"/>
    <x v="55"/>
    <x v="21"/>
    <x v="0"/>
    <x v="0"/>
    <x v="110"/>
    <x v="5"/>
    <n v="3"/>
    <x v="5"/>
  </r>
  <r>
    <d v="2014-04-04T00:00:00"/>
    <x v="55"/>
    <x v="21"/>
    <x v="0"/>
    <x v="0"/>
    <x v="111"/>
    <x v="113"/>
    <n v="2"/>
    <x v="113"/>
  </r>
  <r>
    <d v="2014-05-04T00:00:00"/>
    <x v="56"/>
    <x v="12"/>
    <x v="0"/>
    <x v="0"/>
    <x v="112"/>
    <x v="114"/>
    <n v="1"/>
    <x v="114"/>
  </r>
  <r>
    <d v="2014-05-04T00:00:00"/>
    <x v="57"/>
    <x v="6"/>
    <x v="0"/>
    <x v="4"/>
    <x v="113"/>
    <x v="115"/>
    <n v="7"/>
    <x v="115"/>
  </r>
  <r>
    <d v="2014-05-04T00:00:00"/>
    <x v="57"/>
    <x v="6"/>
    <x v="2"/>
    <x v="6"/>
    <x v="32"/>
    <x v="116"/>
    <n v="1"/>
    <x v="116"/>
  </r>
  <r>
    <d v="2014-05-04T00:00:00"/>
    <x v="57"/>
    <x v="6"/>
    <x v="0"/>
    <x v="0"/>
    <x v="114"/>
    <x v="113"/>
    <n v="2"/>
    <x v="113"/>
  </r>
  <r>
    <d v="2014-05-04T00:00:00"/>
    <x v="57"/>
    <x v="6"/>
    <x v="0"/>
    <x v="4"/>
    <x v="115"/>
    <x v="115"/>
    <n v="7"/>
    <x v="117"/>
  </r>
  <r>
    <d v="2014-05-04T00:00:00"/>
    <x v="57"/>
    <x v="6"/>
    <x v="0"/>
    <x v="14"/>
    <x v="116"/>
    <x v="117"/>
    <n v="5"/>
    <x v="118"/>
  </r>
  <r>
    <d v="2014-05-04T00:00:00"/>
    <x v="58"/>
    <x v="1"/>
    <x v="0"/>
    <x v="2"/>
    <x v="117"/>
    <x v="74"/>
    <n v="4"/>
    <x v="119"/>
  </r>
  <r>
    <d v="2014-05-04T00:00:00"/>
    <x v="58"/>
    <x v="1"/>
    <x v="0"/>
    <x v="2"/>
    <x v="118"/>
    <x v="118"/>
    <n v="4"/>
    <x v="120"/>
  </r>
  <r>
    <d v="2014-05-04T00:00:00"/>
    <x v="59"/>
    <x v="18"/>
    <x v="0"/>
    <x v="4"/>
    <x v="119"/>
    <x v="119"/>
    <n v="2"/>
    <x v="121"/>
  </r>
  <r>
    <d v="2014-05-04T00:00:00"/>
    <x v="59"/>
    <x v="18"/>
    <x v="0"/>
    <x v="3"/>
    <x v="120"/>
    <x v="120"/>
    <n v="5"/>
    <x v="122"/>
  </r>
  <r>
    <d v="2014-05-04T00:00:00"/>
    <x v="59"/>
    <x v="18"/>
    <x v="0"/>
    <x v="4"/>
    <x v="121"/>
    <x v="121"/>
    <n v="3"/>
    <x v="123"/>
  </r>
  <r>
    <d v="2014-05-04T00:00:00"/>
    <x v="59"/>
    <x v="18"/>
    <x v="0"/>
    <x v="2"/>
    <x v="122"/>
    <x v="122"/>
    <n v="6"/>
    <x v="124"/>
  </r>
  <r>
    <d v="2014-05-04T00:00:00"/>
    <x v="60"/>
    <x v="5"/>
    <x v="0"/>
    <x v="3"/>
    <x v="123"/>
    <x v="34"/>
    <n v="7"/>
    <x v="125"/>
  </r>
  <r>
    <d v="2014-06-04T00:00:00"/>
    <x v="61"/>
    <x v="2"/>
    <x v="0"/>
    <x v="3"/>
    <x v="124"/>
    <x v="123"/>
    <n v="6"/>
    <x v="126"/>
  </r>
  <r>
    <d v="2014-06-04T00:00:00"/>
    <x v="62"/>
    <x v="2"/>
    <x v="0"/>
    <x v="14"/>
    <x v="125"/>
    <x v="124"/>
    <n v="1"/>
    <x v="127"/>
  </r>
  <r>
    <d v="2014-06-04T00:00:00"/>
    <x v="62"/>
    <x v="2"/>
    <x v="1"/>
    <x v="10"/>
    <x v="126"/>
    <x v="125"/>
    <n v="3"/>
    <x v="128"/>
  </r>
  <r>
    <d v="2014-06-04T00:00:00"/>
    <x v="62"/>
    <x v="2"/>
    <x v="2"/>
    <x v="9"/>
    <x v="127"/>
    <x v="126"/>
    <n v="2"/>
    <x v="129"/>
  </r>
  <r>
    <d v="2014-06-04T00:00:00"/>
    <x v="63"/>
    <x v="10"/>
    <x v="1"/>
    <x v="10"/>
    <x v="128"/>
    <x v="127"/>
    <n v="3"/>
    <x v="130"/>
  </r>
  <r>
    <d v="2014-06-04T00:00:00"/>
    <x v="63"/>
    <x v="10"/>
    <x v="2"/>
    <x v="9"/>
    <x v="129"/>
    <x v="128"/>
    <n v="2"/>
    <x v="131"/>
  </r>
  <r>
    <d v="2014-06-04T00:00:00"/>
    <x v="64"/>
    <x v="3"/>
    <x v="1"/>
    <x v="8"/>
    <x v="130"/>
    <x v="129"/>
    <n v="2"/>
    <x v="132"/>
  </r>
  <r>
    <d v="2014-06-04T00:00:00"/>
    <x v="64"/>
    <x v="3"/>
    <x v="1"/>
    <x v="8"/>
    <x v="131"/>
    <x v="130"/>
    <n v="7"/>
    <x v="133"/>
  </r>
  <r>
    <d v="2014-06-04T00:00:00"/>
    <x v="64"/>
    <x v="3"/>
    <x v="0"/>
    <x v="0"/>
    <x v="132"/>
    <x v="5"/>
    <n v="3"/>
    <x v="5"/>
  </r>
  <r>
    <d v="2014-06-04T00:00:00"/>
    <x v="64"/>
    <x v="3"/>
    <x v="0"/>
    <x v="0"/>
    <x v="133"/>
    <x v="114"/>
    <n v="1"/>
    <x v="114"/>
  </r>
  <r>
    <d v="2014-06-04T00:00:00"/>
    <x v="65"/>
    <x v="3"/>
    <x v="0"/>
    <x v="4"/>
    <x v="134"/>
    <x v="131"/>
    <n v="3"/>
    <x v="134"/>
  </r>
  <r>
    <d v="2014-06-04T00:00:00"/>
    <x v="65"/>
    <x v="3"/>
    <x v="0"/>
    <x v="3"/>
    <x v="135"/>
    <x v="132"/>
    <n v="2"/>
    <x v="135"/>
  </r>
  <r>
    <d v="2014-06-04T00:00:00"/>
    <x v="65"/>
    <x v="3"/>
    <x v="2"/>
    <x v="9"/>
    <x v="136"/>
    <x v="133"/>
    <n v="3"/>
    <x v="136"/>
  </r>
  <r>
    <d v="2014-07-04T00:00:00"/>
    <x v="66"/>
    <x v="22"/>
    <x v="1"/>
    <x v="8"/>
    <x v="137"/>
    <x v="134"/>
    <n v="2"/>
    <x v="137"/>
  </r>
  <r>
    <d v="2014-07-04T00:00:00"/>
    <x v="67"/>
    <x v="17"/>
    <x v="2"/>
    <x v="6"/>
    <x v="138"/>
    <x v="135"/>
    <n v="5"/>
    <x v="138"/>
  </r>
  <r>
    <d v="2014-07-04T00:00:00"/>
    <x v="67"/>
    <x v="17"/>
    <x v="0"/>
    <x v="0"/>
    <x v="139"/>
    <x v="136"/>
    <n v="3"/>
    <x v="139"/>
  </r>
  <r>
    <d v="2014-07-04T00:00:00"/>
    <x v="68"/>
    <x v="4"/>
    <x v="0"/>
    <x v="0"/>
    <x v="140"/>
    <x v="137"/>
    <n v="9"/>
    <x v="140"/>
  </r>
  <r>
    <d v="2014-07-04T00:00:00"/>
    <x v="68"/>
    <x v="4"/>
    <x v="2"/>
    <x v="6"/>
    <x v="141"/>
    <x v="138"/>
    <n v="3"/>
    <x v="141"/>
  </r>
  <r>
    <d v="2014-08-04T00:00:00"/>
    <x v="69"/>
    <x v="23"/>
    <x v="0"/>
    <x v="7"/>
    <x v="142"/>
    <x v="139"/>
    <n v="2"/>
    <x v="142"/>
  </r>
  <r>
    <d v="2014-08-04T00:00:00"/>
    <x v="69"/>
    <x v="23"/>
    <x v="0"/>
    <x v="0"/>
    <x v="143"/>
    <x v="140"/>
    <n v="3"/>
    <x v="143"/>
  </r>
  <r>
    <d v="2014-08-04T00:00:00"/>
    <x v="70"/>
    <x v="22"/>
    <x v="1"/>
    <x v="10"/>
    <x v="144"/>
    <x v="141"/>
    <n v="8"/>
    <x v="144"/>
  </r>
  <r>
    <d v="2014-08-04T00:00:00"/>
    <x v="71"/>
    <x v="23"/>
    <x v="0"/>
    <x v="7"/>
    <x v="12"/>
    <x v="142"/>
    <n v="8"/>
    <x v="145"/>
  </r>
  <r>
    <d v="2014-08-04T00:00:00"/>
    <x v="20"/>
    <x v="3"/>
    <x v="1"/>
    <x v="10"/>
    <x v="145"/>
    <x v="143"/>
    <n v="1"/>
    <x v="146"/>
  </r>
  <r>
    <d v="2014-08-04T00:00:00"/>
    <x v="20"/>
    <x v="3"/>
    <x v="2"/>
    <x v="9"/>
    <x v="146"/>
    <x v="144"/>
    <n v="4"/>
    <x v="147"/>
  </r>
  <r>
    <d v="2014-08-04T00:00:00"/>
    <x v="72"/>
    <x v="16"/>
    <x v="1"/>
    <x v="10"/>
    <x v="147"/>
    <x v="145"/>
    <n v="1"/>
    <x v="148"/>
  </r>
  <r>
    <d v="2014-11-04T00:00:00"/>
    <x v="73"/>
    <x v="9"/>
    <x v="0"/>
    <x v="7"/>
    <x v="148"/>
    <x v="146"/>
    <n v="3"/>
    <x v="71"/>
  </r>
  <r>
    <d v="2014-11-04T00:00:00"/>
    <x v="73"/>
    <x v="9"/>
    <x v="2"/>
    <x v="9"/>
    <x v="70"/>
    <x v="147"/>
    <n v="3"/>
    <x v="149"/>
  </r>
  <r>
    <d v="2014-11-04T00:00:00"/>
    <x v="73"/>
    <x v="9"/>
    <x v="0"/>
    <x v="0"/>
    <x v="149"/>
    <x v="148"/>
    <n v="2"/>
    <x v="150"/>
  </r>
  <r>
    <d v="2014-11-04T00:00:00"/>
    <x v="73"/>
    <x v="9"/>
    <x v="2"/>
    <x v="9"/>
    <x v="150"/>
    <x v="149"/>
    <n v="7"/>
    <x v="151"/>
  </r>
  <r>
    <d v="2014-11-04T00:00:00"/>
    <x v="74"/>
    <x v="24"/>
    <x v="0"/>
    <x v="3"/>
    <x v="151"/>
    <x v="150"/>
    <n v="1"/>
    <x v="152"/>
  </r>
  <r>
    <d v="2014-11-04T00:00:00"/>
    <x v="75"/>
    <x v="0"/>
    <x v="2"/>
    <x v="6"/>
    <x v="152"/>
    <x v="151"/>
    <n v="6"/>
    <x v="153"/>
  </r>
  <r>
    <d v="2014-11-04T00:00:00"/>
    <x v="76"/>
    <x v="25"/>
    <x v="0"/>
    <x v="2"/>
    <x v="153"/>
    <x v="152"/>
    <n v="7"/>
    <x v="154"/>
  </r>
  <r>
    <d v="2014-11-04T00:00:00"/>
    <x v="76"/>
    <x v="25"/>
    <x v="2"/>
    <x v="6"/>
    <x v="154"/>
    <x v="153"/>
    <n v="2"/>
    <x v="155"/>
  </r>
  <r>
    <d v="2014-11-04T00:00:00"/>
    <x v="76"/>
    <x v="25"/>
    <x v="2"/>
    <x v="9"/>
    <x v="155"/>
    <x v="154"/>
    <n v="6"/>
    <x v="156"/>
  </r>
  <r>
    <d v="2014-12-04T00:00:00"/>
    <x v="77"/>
    <x v="3"/>
    <x v="2"/>
    <x v="6"/>
    <x v="156"/>
    <x v="155"/>
    <n v="14"/>
    <x v="157"/>
  </r>
  <r>
    <d v="2014-12-04T00:00:00"/>
    <x v="77"/>
    <x v="3"/>
    <x v="2"/>
    <x v="6"/>
    <x v="157"/>
    <x v="156"/>
    <n v="4"/>
    <x v="158"/>
  </r>
  <r>
    <d v="2014-12-04T00:00:00"/>
    <x v="77"/>
    <x v="3"/>
    <x v="0"/>
    <x v="3"/>
    <x v="158"/>
    <x v="157"/>
    <n v="7"/>
    <x v="159"/>
  </r>
  <r>
    <d v="2014-12-04T00:00:00"/>
    <x v="77"/>
    <x v="3"/>
    <x v="1"/>
    <x v="12"/>
    <x v="159"/>
    <x v="158"/>
    <n v="3"/>
    <x v="160"/>
  </r>
  <r>
    <d v="2014-12-04T00:00:00"/>
    <x v="78"/>
    <x v="26"/>
    <x v="0"/>
    <x v="0"/>
    <x v="160"/>
    <x v="159"/>
    <n v="5"/>
    <x v="161"/>
  </r>
  <r>
    <d v="2014-12-04T00:00:00"/>
    <x v="79"/>
    <x v="3"/>
    <x v="0"/>
    <x v="4"/>
    <x v="161"/>
    <x v="160"/>
    <n v="2"/>
    <x v="162"/>
  </r>
  <r>
    <d v="2014-02-05T00:00:00"/>
    <x v="80"/>
    <x v="16"/>
    <x v="0"/>
    <x v="13"/>
    <x v="162"/>
    <x v="161"/>
    <n v="3"/>
    <x v="163"/>
  </r>
  <r>
    <d v="2014-02-05T00:00:00"/>
    <x v="81"/>
    <x v="9"/>
    <x v="2"/>
    <x v="15"/>
    <x v="163"/>
    <x v="162"/>
    <n v="2"/>
    <x v="164"/>
  </r>
  <r>
    <d v="2014-03-05T00:00:00"/>
    <x v="82"/>
    <x v="8"/>
    <x v="0"/>
    <x v="1"/>
    <x v="164"/>
    <x v="163"/>
    <n v="7"/>
    <x v="165"/>
  </r>
  <r>
    <d v="2014-03-05T00:00:00"/>
    <x v="83"/>
    <x v="12"/>
    <x v="0"/>
    <x v="3"/>
    <x v="165"/>
    <x v="164"/>
    <n v="3"/>
    <x v="166"/>
  </r>
  <r>
    <d v="2014-03-05T00:00:00"/>
    <x v="83"/>
    <x v="12"/>
    <x v="0"/>
    <x v="3"/>
    <x v="166"/>
    <x v="165"/>
    <n v="3"/>
    <x v="167"/>
  </r>
  <r>
    <d v="2014-04-05T00:00:00"/>
    <x v="84"/>
    <x v="18"/>
    <x v="0"/>
    <x v="3"/>
    <x v="167"/>
    <x v="166"/>
    <n v="4"/>
    <x v="168"/>
  </r>
  <r>
    <d v="2014-04-05T00:00:00"/>
    <x v="85"/>
    <x v="27"/>
    <x v="1"/>
    <x v="8"/>
    <x v="168"/>
    <x v="167"/>
    <n v="2"/>
    <x v="169"/>
  </r>
  <r>
    <d v="2014-04-05T00:00:00"/>
    <x v="86"/>
    <x v="0"/>
    <x v="0"/>
    <x v="4"/>
    <x v="134"/>
    <x v="168"/>
    <n v="2"/>
    <x v="170"/>
  </r>
  <r>
    <d v="2014-04-05T00:00:00"/>
    <x v="86"/>
    <x v="0"/>
    <x v="0"/>
    <x v="7"/>
    <x v="169"/>
    <x v="108"/>
    <n v="6"/>
    <x v="171"/>
  </r>
  <r>
    <d v="2014-04-05T00:00:00"/>
    <x v="87"/>
    <x v="10"/>
    <x v="1"/>
    <x v="8"/>
    <x v="170"/>
    <x v="169"/>
    <n v="7"/>
    <x v="172"/>
  </r>
  <r>
    <d v="2014-04-05T00:00:00"/>
    <x v="87"/>
    <x v="10"/>
    <x v="0"/>
    <x v="13"/>
    <x v="171"/>
    <x v="170"/>
    <n v="4"/>
    <x v="173"/>
  </r>
  <r>
    <d v="2014-05-05T00:00:00"/>
    <x v="88"/>
    <x v="5"/>
    <x v="0"/>
    <x v="0"/>
    <x v="172"/>
    <x v="171"/>
    <n v="3"/>
    <x v="174"/>
  </r>
  <r>
    <d v="2014-05-05T00:00:00"/>
    <x v="88"/>
    <x v="5"/>
    <x v="0"/>
    <x v="4"/>
    <x v="173"/>
    <x v="172"/>
    <n v="2"/>
    <x v="175"/>
  </r>
  <r>
    <d v="2014-05-05T00:00:00"/>
    <x v="88"/>
    <x v="5"/>
    <x v="0"/>
    <x v="0"/>
    <x v="174"/>
    <x v="173"/>
    <n v="2"/>
    <x v="176"/>
  </r>
  <r>
    <d v="2014-05-05T00:00:00"/>
    <x v="89"/>
    <x v="0"/>
    <x v="1"/>
    <x v="5"/>
    <x v="39"/>
    <x v="174"/>
    <n v="3"/>
    <x v="177"/>
  </r>
  <r>
    <d v="2014-05-05T00:00:00"/>
    <x v="48"/>
    <x v="1"/>
    <x v="0"/>
    <x v="2"/>
    <x v="175"/>
    <x v="175"/>
    <n v="2"/>
    <x v="178"/>
  </r>
  <r>
    <d v="2014-05-05T00:00:00"/>
    <x v="90"/>
    <x v="6"/>
    <x v="0"/>
    <x v="3"/>
    <x v="176"/>
    <x v="176"/>
    <n v="2"/>
    <x v="179"/>
  </r>
  <r>
    <d v="2014-05-05T00:00:00"/>
    <x v="90"/>
    <x v="6"/>
    <x v="0"/>
    <x v="0"/>
    <x v="177"/>
    <x v="177"/>
    <n v="1"/>
    <x v="180"/>
  </r>
  <r>
    <d v="2014-06-05T00:00:00"/>
    <x v="91"/>
    <x v="3"/>
    <x v="0"/>
    <x v="3"/>
    <x v="178"/>
    <x v="178"/>
    <n v="8"/>
    <x v="181"/>
  </r>
  <r>
    <d v="2014-06-05T00:00:00"/>
    <x v="92"/>
    <x v="3"/>
    <x v="0"/>
    <x v="1"/>
    <x v="179"/>
    <x v="179"/>
    <n v="2"/>
    <x v="182"/>
  </r>
  <r>
    <d v="2014-06-05T00:00:00"/>
    <x v="92"/>
    <x v="3"/>
    <x v="0"/>
    <x v="4"/>
    <x v="180"/>
    <x v="180"/>
    <n v="6"/>
    <x v="183"/>
  </r>
  <r>
    <d v="2014-07-05T00:00:00"/>
    <x v="93"/>
    <x v="20"/>
    <x v="0"/>
    <x v="3"/>
    <x v="181"/>
    <x v="181"/>
    <n v="3"/>
    <x v="184"/>
  </r>
  <r>
    <d v="2014-07-05T00:00:00"/>
    <x v="93"/>
    <x v="20"/>
    <x v="1"/>
    <x v="10"/>
    <x v="182"/>
    <x v="182"/>
    <n v="2"/>
    <x v="185"/>
  </r>
  <r>
    <d v="2014-07-05T00:00:00"/>
    <x v="93"/>
    <x v="20"/>
    <x v="0"/>
    <x v="4"/>
    <x v="183"/>
    <x v="183"/>
    <n v="3"/>
    <x v="186"/>
  </r>
  <r>
    <d v="2014-07-05T00:00:00"/>
    <x v="93"/>
    <x v="20"/>
    <x v="1"/>
    <x v="5"/>
    <x v="184"/>
    <x v="184"/>
    <n v="4"/>
    <x v="187"/>
  </r>
  <r>
    <d v="2014-08-05T00:00:00"/>
    <x v="42"/>
    <x v="2"/>
    <x v="2"/>
    <x v="15"/>
    <x v="185"/>
    <x v="185"/>
    <n v="5"/>
    <x v="188"/>
  </r>
  <r>
    <d v="2014-09-05T00:00:00"/>
    <x v="94"/>
    <x v="3"/>
    <x v="2"/>
    <x v="9"/>
    <x v="129"/>
    <x v="186"/>
    <n v="4"/>
    <x v="189"/>
  </r>
  <r>
    <d v="2014-09-05T00:00:00"/>
    <x v="94"/>
    <x v="3"/>
    <x v="2"/>
    <x v="9"/>
    <x v="186"/>
    <x v="187"/>
    <n v="3"/>
    <x v="190"/>
  </r>
  <r>
    <d v="2014-09-05T00:00:00"/>
    <x v="95"/>
    <x v="5"/>
    <x v="0"/>
    <x v="2"/>
    <x v="187"/>
    <x v="188"/>
    <n v="3"/>
    <x v="191"/>
  </r>
  <r>
    <d v="2014-09-05T00:00:00"/>
    <x v="95"/>
    <x v="5"/>
    <x v="0"/>
    <x v="1"/>
    <x v="104"/>
    <x v="189"/>
    <n v="3"/>
    <x v="192"/>
  </r>
  <r>
    <d v="2014-09-05T00:00:00"/>
    <x v="95"/>
    <x v="5"/>
    <x v="0"/>
    <x v="1"/>
    <x v="188"/>
    <x v="80"/>
    <n v="5"/>
    <x v="81"/>
  </r>
  <r>
    <d v="2014-09-05T00:00:00"/>
    <x v="95"/>
    <x v="5"/>
    <x v="0"/>
    <x v="0"/>
    <x v="189"/>
    <x v="190"/>
    <n v="7"/>
    <x v="193"/>
  </r>
  <r>
    <d v="2014-10-05T00:00:00"/>
    <x v="96"/>
    <x v="10"/>
    <x v="0"/>
    <x v="11"/>
    <x v="190"/>
    <x v="191"/>
    <n v="3"/>
    <x v="194"/>
  </r>
  <r>
    <d v="2014-10-05T00:00:00"/>
    <x v="96"/>
    <x v="10"/>
    <x v="2"/>
    <x v="6"/>
    <x v="191"/>
    <x v="192"/>
    <n v="5"/>
    <x v="195"/>
  </r>
  <r>
    <d v="2014-10-05T00:00:00"/>
    <x v="97"/>
    <x v="2"/>
    <x v="1"/>
    <x v="12"/>
    <x v="192"/>
    <x v="193"/>
    <n v="7"/>
    <x v="196"/>
  </r>
  <r>
    <d v="2014-10-05T00:00:00"/>
    <x v="97"/>
    <x v="2"/>
    <x v="0"/>
    <x v="4"/>
    <x v="193"/>
    <x v="194"/>
    <n v="5"/>
    <x v="197"/>
  </r>
  <r>
    <d v="2014-10-05T00:00:00"/>
    <x v="98"/>
    <x v="3"/>
    <x v="0"/>
    <x v="0"/>
    <x v="194"/>
    <x v="195"/>
    <n v="2"/>
    <x v="198"/>
  </r>
  <r>
    <d v="2014-10-05T00:00:00"/>
    <x v="98"/>
    <x v="3"/>
    <x v="2"/>
    <x v="6"/>
    <x v="195"/>
    <x v="196"/>
    <n v="5"/>
    <x v="199"/>
  </r>
  <r>
    <d v="2014-10-05T00:00:00"/>
    <x v="98"/>
    <x v="3"/>
    <x v="0"/>
    <x v="14"/>
    <x v="196"/>
    <x v="197"/>
    <n v="6"/>
    <x v="200"/>
  </r>
  <r>
    <d v="2014-10-05T00:00:00"/>
    <x v="98"/>
    <x v="3"/>
    <x v="1"/>
    <x v="5"/>
    <x v="197"/>
    <x v="198"/>
    <n v="1"/>
    <x v="201"/>
  </r>
  <r>
    <d v="2014-11-05T00:00:00"/>
    <x v="99"/>
    <x v="0"/>
    <x v="2"/>
    <x v="9"/>
    <x v="198"/>
    <x v="199"/>
    <n v="2"/>
    <x v="202"/>
  </r>
  <r>
    <d v="2014-11-05T00:00:00"/>
    <x v="99"/>
    <x v="0"/>
    <x v="2"/>
    <x v="6"/>
    <x v="199"/>
    <x v="200"/>
    <n v="1"/>
    <x v="203"/>
  </r>
  <r>
    <d v="2014-11-05T00:00:00"/>
    <x v="99"/>
    <x v="0"/>
    <x v="1"/>
    <x v="8"/>
    <x v="200"/>
    <x v="201"/>
    <n v="4"/>
    <x v="204"/>
  </r>
  <r>
    <d v="2014-11-05T00:00:00"/>
    <x v="100"/>
    <x v="0"/>
    <x v="2"/>
    <x v="9"/>
    <x v="201"/>
    <x v="202"/>
    <n v="2"/>
    <x v="205"/>
  </r>
  <r>
    <d v="2014-11-05T00:00:00"/>
    <x v="101"/>
    <x v="12"/>
    <x v="0"/>
    <x v="13"/>
    <x v="202"/>
    <x v="203"/>
    <n v="3"/>
    <x v="206"/>
  </r>
  <r>
    <d v="2014-11-05T00:00:00"/>
    <x v="102"/>
    <x v="0"/>
    <x v="1"/>
    <x v="5"/>
    <x v="203"/>
    <x v="204"/>
    <n v="8"/>
    <x v="207"/>
  </r>
  <r>
    <d v="2014-11-05T00:00:00"/>
    <x v="103"/>
    <x v="1"/>
    <x v="0"/>
    <x v="0"/>
    <x v="48"/>
    <x v="49"/>
    <n v="3"/>
    <x v="50"/>
  </r>
  <r>
    <d v="2014-11-05T00:00:00"/>
    <x v="103"/>
    <x v="1"/>
    <x v="0"/>
    <x v="3"/>
    <x v="204"/>
    <x v="205"/>
    <n v="9"/>
    <x v="208"/>
  </r>
  <r>
    <d v="2014-12-05T00:00:00"/>
    <x v="104"/>
    <x v="8"/>
    <x v="1"/>
    <x v="8"/>
    <x v="20"/>
    <x v="206"/>
    <n v="7"/>
    <x v="209"/>
  </r>
  <r>
    <d v="2014-12-05T00:00:00"/>
    <x v="42"/>
    <x v="20"/>
    <x v="1"/>
    <x v="10"/>
    <x v="205"/>
    <x v="207"/>
    <n v="3"/>
    <x v="210"/>
  </r>
  <r>
    <d v="2014-01-06T00:00:00"/>
    <x v="105"/>
    <x v="28"/>
    <x v="1"/>
    <x v="5"/>
    <x v="7"/>
    <x v="208"/>
    <n v="7"/>
    <x v="211"/>
  </r>
  <r>
    <d v="2014-01-06T00:00:00"/>
    <x v="105"/>
    <x v="28"/>
    <x v="0"/>
    <x v="2"/>
    <x v="206"/>
    <x v="209"/>
    <n v="2"/>
    <x v="212"/>
  </r>
  <r>
    <d v="2014-01-06T00:00:00"/>
    <x v="105"/>
    <x v="28"/>
    <x v="0"/>
    <x v="0"/>
    <x v="207"/>
    <x v="210"/>
    <n v="6"/>
    <x v="213"/>
  </r>
  <r>
    <d v="2014-01-06T00:00:00"/>
    <x v="105"/>
    <x v="28"/>
    <x v="0"/>
    <x v="13"/>
    <x v="208"/>
    <x v="211"/>
    <n v="5"/>
    <x v="214"/>
  </r>
  <r>
    <d v="2014-01-06T00:00:00"/>
    <x v="105"/>
    <x v="28"/>
    <x v="0"/>
    <x v="0"/>
    <x v="209"/>
    <x v="212"/>
    <n v="4"/>
    <x v="215"/>
  </r>
  <r>
    <d v="2014-01-06T00:00:00"/>
    <x v="106"/>
    <x v="11"/>
    <x v="0"/>
    <x v="3"/>
    <x v="210"/>
    <x v="213"/>
    <n v="3"/>
    <x v="216"/>
  </r>
  <r>
    <d v="2014-01-06T00:00:00"/>
    <x v="106"/>
    <x v="11"/>
    <x v="0"/>
    <x v="4"/>
    <x v="211"/>
    <x v="214"/>
    <n v="6"/>
    <x v="217"/>
  </r>
  <r>
    <d v="2014-01-06T00:00:00"/>
    <x v="107"/>
    <x v="29"/>
    <x v="1"/>
    <x v="8"/>
    <x v="212"/>
    <x v="215"/>
    <n v="6"/>
    <x v="218"/>
  </r>
  <r>
    <d v="2014-01-06T00:00:00"/>
    <x v="107"/>
    <x v="29"/>
    <x v="2"/>
    <x v="6"/>
    <x v="213"/>
    <x v="216"/>
    <n v="7"/>
    <x v="219"/>
  </r>
  <r>
    <d v="2014-01-06T00:00:00"/>
    <x v="108"/>
    <x v="18"/>
    <x v="0"/>
    <x v="3"/>
    <x v="214"/>
    <x v="217"/>
    <n v="4"/>
    <x v="220"/>
  </r>
  <r>
    <d v="2014-01-06T00:00:00"/>
    <x v="108"/>
    <x v="18"/>
    <x v="0"/>
    <x v="13"/>
    <x v="215"/>
    <x v="218"/>
    <n v="5"/>
    <x v="221"/>
  </r>
  <r>
    <d v="2014-02-06T00:00:00"/>
    <x v="109"/>
    <x v="30"/>
    <x v="0"/>
    <x v="3"/>
    <x v="216"/>
    <x v="219"/>
    <n v="3"/>
    <x v="222"/>
  </r>
  <r>
    <d v="2014-02-06T00:00:00"/>
    <x v="109"/>
    <x v="30"/>
    <x v="1"/>
    <x v="8"/>
    <x v="217"/>
    <x v="220"/>
    <n v="6"/>
    <x v="223"/>
  </r>
  <r>
    <d v="2014-02-06T00:00:00"/>
    <x v="78"/>
    <x v="4"/>
    <x v="0"/>
    <x v="4"/>
    <x v="218"/>
    <x v="221"/>
    <n v="2"/>
    <x v="224"/>
  </r>
  <r>
    <d v="2014-02-06T00:00:00"/>
    <x v="78"/>
    <x v="4"/>
    <x v="2"/>
    <x v="6"/>
    <x v="219"/>
    <x v="222"/>
    <n v="3"/>
    <x v="225"/>
  </r>
  <r>
    <d v="2014-02-06T00:00:00"/>
    <x v="78"/>
    <x v="4"/>
    <x v="0"/>
    <x v="2"/>
    <x v="220"/>
    <x v="223"/>
    <n v="2"/>
    <x v="226"/>
  </r>
  <r>
    <d v="2014-03-06T00:00:00"/>
    <x v="110"/>
    <x v="10"/>
    <x v="1"/>
    <x v="10"/>
    <x v="126"/>
    <x v="224"/>
    <n v="6"/>
    <x v="227"/>
  </r>
  <r>
    <d v="2014-03-06T00:00:00"/>
    <x v="111"/>
    <x v="18"/>
    <x v="0"/>
    <x v="11"/>
    <x v="221"/>
    <x v="225"/>
    <n v="2"/>
    <x v="228"/>
  </r>
  <r>
    <d v="2014-03-06T00:00:00"/>
    <x v="112"/>
    <x v="1"/>
    <x v="0"/>
    <x v="1"/>
    <x v="222"/>
    <x v="226"/>
    <n v="4"/>
    <x v="229"/>
  </r>
  <r>
    <d v="2014-03-06T00:00:00"/>
    <x v="112"/>
    <x v="1"/>
    <x v="1"/>
    <x v="8"/>
    <x v="223"/>
    <x v="227"/>
    <n v="7"/>
    <x v="230"/>
  </r>
  <r>
    <d v="2014-03-06T00:00:00"/>
    <x v="112"/>
    <x v="1"/>
    <x v="0"/>
    <x v="2"/>
    <x v="224"/>
    <x v="228"/>
    <n v="3"/>
    <x v="231"/>
  </r>
  <r>
    <d v="2014-04-06T00:00:00"/>
    <x v="113"/>
    <x v="16"/>
    <x v="0"/>
    <x v="0"/>
    <x v="177"/>
    <x v="229"/>
    <n v="2"/>
    <x v="232"/>
  </r>
  <r>
    <d v="2014-04-06T00:00:00"/>
    <x v="114"/>
    <x v="12"/>
    <x v="1"/>
    <x v="8"/>
    <x v="225"/>
    <x v="230"/>
    <n v="2"/>
    <x v="233"/>
  </r>
  <r>
    <d v="2014-04-06T00:00:00"/>
    <x v="114"/>
    <x v="12"/>
    <x v="0"/>
    <x v="13"/>
    <x v="226"/>
    <x v="231"/>
    <n v="4"/>
    <x v="234"/>
  </r>
  <r>
    <d v="2014-04-06T00:00:00"/>
    <x v="114"/>
    <x v="12"/>
    <x v="1"/>
    <x v="12"/>
    <x v="227"/>
    <x v="232"/>
    <n v="2"/>
    <x v="235"/>
  </r>
  <r>
    <d v="2014-04-06T00:00:00"/>
    <x v="114"/>
    <x v="12"/>
    <x v="1"/>
    <x v="8"/>
    <x v="228"/>
    <x v="233"/>
    <n v="2"/>
    <x v="236"/>
  </r>
  <r>
    <d v="2014-06-06T00:00:00"/>
    <x v="115"/>
    <x v="12"/>
    <x v="0"/>
    <x v="4"/>
    <x v="229"/>
    <x v="234"/>
    <n v="2"/>
    <x v="237"/>
  </r>
  <r>
    <d v="2014-06-06T00:00:00"/>
    <x v="116"/>
    <x v="12"/>
    <x v="0"/>
    <x v="3"/>
    <x v="230"/>
    <x v="235"/>
    <n v="9"/>
    <x v="238"/>
  </r>
  <r>
    <d v="2014-06-06T00:00:00"/>
    <x v="116"/>
    <x v="12"/>
    <x v="0"/>
    <x v="14"/>
    <x v="231"/>
    <x v="236"/>
    <n v="2"/>
    <x v="239"/>
  </r>
  <r>
    <d v="2014-06-06T00:00:00"/>
    <x v="116"/>
    <x v="12"/>
    <x v="1"/>
    <x v="10"/>
    <x v="232"/>
    <x v="237"/>
    <n v="3"/>
    <x v="240"/>
  </r>
  <r>
    <d v="2014-06-06T00:00:00"/>
    <x v="117"/>
    <x v="1"/>
    <x v="0"/>
    <x v="3"/>
    <x v="135"/>
    <x v="238"/>
    <n v="3"/>
    <x v="241"/>
  </r>
  <r>
    <d v="2014-06-06T00:00:00"/>
    <x v="117"/>
    <x v="1"/>
    <x v="0"/>
    <x v="11"/>
    <x v="233"/>
    <x v="239"/>
    <n v="2"/>
    <x v="242"/>
  </r>
  <r>
    <d v="2014-06-06T00:00:00"/>
    <x v="118"/>
    <x v="0"/>
    <x v="0"/>
    <x v="1"/>
    <x v="234"/>
    <x v="240"/>
    <n v="10"/>
    <x v="243"/>
  </r>
  <r>
    <d v="2014-06-06T00:00:00"/>
    <x v="78"/>
    <x v="9"/>
    <x v="0"/>
    <x v="3"/>
    <x v="235"/>
    <x v="241"/>
    <n v="1"/>
    <x v="244"/>
  </r>
  <r>
    <d v="2014-06-06T00:00:00"/>
    <x v="78"/>
    <x v="9"/>
    <x v="0"/>
    <x v="0"/>
    <x v="236"/>
    <x v="242"/>
    <n v="2"/>
    <x v="245"/>
  </r>
  <r>
    <d v="2014-07-06T00:00:00"/>
    <x v="119"/>
    <x v="1"/>
    <x v="0"/>
    <x v="3"/>
    <x v="230"/>
    <x v="243"/>
    <n v="3"/>
    <x v="246"/>
  </r>
  <r>
    <d v="2014-07-06T00:00:00"/>
    <x v="120"/>
    <x v="1"/>
    <x v="1"/>
    <x v="10"/>
    <x v="237"/>
    <x v="244"/>
    <n v="3"/>
    <x v="247"/>
  </r>
  <r>
    <d v="2014-08-06T00:00:00"/>
    <x v="121"/>
    <x v="10"/>
    <x v="1"/>
    <x v="5"/>
    <x v="238"/>
    <x v="245"/>
    <n v="3"/>
    <x v="248"/>
  </r>
  <r>
    <d v="2014-08-06T00:00:00"/>
    <x v="51"/>
    <x v="31"/>
    <x v="1"/>
    <x v="5"/>
    <x v="239"/>
    <x v="246"/>
    <n v="3"/>
    <x v="249"/>
  </r>
  <r>
    <d v="2014-08-06T00:00:00"/>
    <x v="122"/>
    <x v="12"/>
    <x v="0"/>
    <x v="3"/>
    <x v="240"/>
    <x v="247"/>
    <n v="2"/>
    <x v="250"/>
  </r>
  <r>
    <d v="2014-08-06T00:00:00"/>
    <x v="122"/>
    <x v="12"/>
    <x v="0"/>
    <x v="2"/>
    <x v="241"/>
    <x v="248"/>
    <n v="6"/>
    <x v="251"/>
  </r>
  <r>
    <d v="2014-09-06T00:00:00"/>
    <x v="123"/>
    <x v="3"/>
    <x v="1"/>
    <x v="8"/>
    <x v="242"/>
    <x v="249"/>
    <n v="7"/>
    <x v="91"/>
  </r>
  <r>
    <d v="2014-09-06T00:00:00"/>
    <x v="123"/>
    <x v="3"/>
    <x v="0"/>
    <x v="4"/>
    <x v="243"/>
    <x v="250"/>
    <n v="4"/>
    <x v="252"/>
  </r>
  <r>
    <d v="2014-09-06T00:00:00"/>
    <x v="123"/>
    <x v="3"/>
    <x v="2"/>
    <x v="6"/>
    <x v="244"/>
    <x v="251"/>
    <n v="6"/>
    <x v="253"/>
  </r>
  <r>
    <d v="2014-09-06T00:00:00"/>
    <x v="123"/>
    <x v="3"/>
    <x v="0"/>
    <x v="3"/>
    <x v="245"/>
    <x v="252"/>
    <n v="3"/>
    <x v="254"/>
  </r>
  <r>
    <d v="2014-09-06T00:00:00"/>
    <x v="123"/>
    <x v="3"/>
    <x v="0"/>
    <x v="13"/>
    <x v="246"/>
    <x v="253"/>
    <n v="5"/>
    <x v="255"/>
  </r>
  <r>
    <d v="2014-09-06T00:00:00"/>
    <x v="123"/>
    <x v="3"/>
    <x v="1"/>
    <x v="10"/>
    <x v="247"/>
    <x v="254"/>
    <n v="9"/>
    <x v="256"/>
  </r>
  <r>
    <d v="2014-09-06T00:00:00"/>
    <x v="123"/>
    <x v="3"/>
    <x v="2"/>
    <x v="6"/>
    <x v="248"/>
    <x v="255"/>
    <n v="4"/>
    <x v="257"/>
  </r>
  <r>
    <d v="2014-09-06T00:00:00"/>
    <x v="124"/>
    <x v="0"/>
    <x v="2"/>
    <x v="6"/>
    <x v="249"/>
    <x v="256"/>
    <n v="1"/>
    <x v="258"/>
  </r>
  <r>
    <d v="2014-09-06T00:00:00"/>
    <x v="124"/>
    <x v="0"/>
    <x v="2"/>
    <x v="9"/>
    <x v="250"/>
    <x v="257"/>
    <n v="2"/>
    <x v="259"/>
  </r>
  <r>
    <d v="2014-09-06T00:00:00"/>
    <x v="124"/>
    <x v="0"/>
    <x v="0"/>
    <x v="4"/>
    <x v="251"/>
    <x v="258"/>
    <n v="2"/>
    <x v="260"/>
  </r>
  <r>
    <d v="2014-09-06T00:00:00"/>
    <x v="125"/>
    <x v="3"/>
    <x v="0"/>
    <x v="14"/>
    <x v="252"/>
    <x v="259"/>
    <n v="2"/>
    <x v="261"/>
  </r>
  <r>
    <d v="2014-09-06T00:00:00"/>
    <x v="125"/>
    <x v="3"/>
    <x v="0"/>
    <x v="4"/>
    <x v="253"/>
    <x v="260"/>
    <n v="2"/>
    <x v="262"/>
  </r>
  <r>
    <d v="2014-09-06T00:00:00"/>
    <x v="126"/>
    <x v="6"/>
    <x v="1"/>
    <x v="10"/>
    <x v="254"/>
    <x v="261"/>
    <n v="7"/>
    <x v="263"/>
  </r>
  <r>
    <d v="2014-09-06T00:00:00"/>
    <x v="127"/>
    <x v="13"/>
    <x v="0"/>
    <x v="4"/>
    <x v="255"/>
    <x v="262"/>
    <n v="7"/>
    <x v="264"/>
  </r>
  <r>
    <d v="2014-09-06T00:00:00"/>
    <x v="127"/>
    <x v="13"/>
    <x v="0"/>
    <x v="0"/>
    <x v="256"/>
    <x v="263"/>
    <n v="3"/>
    <x v="265"/>
  </r>
  <r>
    <d v="2014-09-06T00:00:00"/>
    <x v="127"/>
    <x v="13"/>
    <x v="1"/>
    <x v="8"/>
    <x v="257"/>
    <x v="264"/>
    <n v="2"/>
    <x v="266"/>
  </r>
  <r>
    <d v="2014-10-06T00:00:00"/>
    <x v="128"/>
    <x v="18"/>
    <x v="0"/>
    <x v="1"/>
    <x v="258"/>
    <x v="265"/>
    <n v="5"/>
    <x v="267"/>
  </r>
  <r>
    <d v="2014-01-07T00:00:00"/>
    <x v="129"/>
    <x v="10"/>
    <x v="0"/>
    <x v="3"/>
    <x v="259"/>
    <x v="266"/>
    <n v="5"/>
    <x v="268"/>
  </r>
  <r>
    <d v="2014-01-07T00:00:00"/>
    <x v="130"/>
    <x v="9"/>
    <x v="2"/>
    <x v="6"/>
    <x v="260"/>
    <x v="267"/>
    <n v="2"/>
    <x v="269"/>
  </r>
  <r>
    <d v="2014-01-07T00:00:00"/>
    <x v="130"/>
    <x v="9"/>
    <x v="0"/>
    <x v="3"/>
    <x v="261"/>
    <x v="268"/>
    <n v="6"/>
    <x v="270"/>
  </r>
  <r>
    <d v="2014-02-07T00:00:00"/>
    <x v="131"/>
    <x v="11"/>
    <x v="2"/>
    <x v="6"/>
    <x v="262"/>
    <x v="269"/>
    <n v="2"/>
    <x v="271"/>
  </r>
  <r>
    <d v="2014-02-07T00:00:00"/>
    <x v="131"/>
    <x v="11"/>
    <x v="0"/>
    <x v="4"/>
    <x v="193"/>
    <x v="270"/>
    <n v="1"/>
    <x v="272"/>
  </r>
  <r>
    <d v="2014-04-07T00:00:00"/>
    <x v="51"/>
    <x v="19"/>
    <x v="0"/>
    <x v="0"/>
    <x v="133"/>
    <x v="271"/>
    <n v="4"/>
    <x v="273"/>
  </r>
  <r>
    <d v="2014-04-07T00:00:00"/>
    <x v="51"/>
    <x v="19"/>
    <x v="0"/>
    <x v="13"/>
    <x v="263"/>
    <x v="272"/>
    <n v="2"/>
    <x v="274"/>
  </r>
  <r>
    <d v="2014-04-07T00:00:00"/>
    <x v="132"/>
    <x v="6"/>
    <x v="0"/>
    <x v="0"/>
    <x v="264"/>
    <x v="273"/>
    <n v="3"/>
    <x v="275"/>
  </r>
  <r>
    <d v="2014-04-07T00:00:00"/>
    <x v="132"/>
    <x v="6"/>
    <x v="0"/>
    <x v="3"/>
    <x v="95"/>
    <x v="274"/>
    <n v="5"/>
    <x v="276"/>
  </r>
  <r>
    <d v="2014-05-07T00:00:00"/>
    <x v="133"/>
    <x v="32"/>
    <x v="2"/>
    <x v="9"/>
    <x v="265"/>
    <x v="72"/>
    <n v="3"/>
    <x v="277"/>
  </r>
  <r>
    <d v="2014-05-07T00:00:00"/>
    <x v="133"/>
    <x v="32"/>
    <x v="0"/>
    <x v="1"/>
    <x v="266"/>
    <x v="275"/>
    <n v="2"/>
    <x v="41"/>
  </r>
  <r>
    <d v="2014-05-07T00:00:00"/>
    <x v="133"/>
    <x v="32"/>
    <x v="0"/>
    <x v="0"/>
    <x v="267"/>
    <x v="5"/>
    <n v="3"/>
    <x v="5"/>
  </r>
  <r>
    <d v="2014-05-07T00:00:00"/>
    <x v="134"/>
    <x v="0"/>
    <x v="0"/>
    <x v="2"/>
    <x v="268"/>
    <x v="276"/>
    <n v="3"/>
    <x v="278"/>
  </r>
  <r>
    <d v="2014-05-07T00:00:00"/>
    <x v="134"/>
    <x v="0"/>
    <x v="0"/>
    <x v="2"/>
    <x v="269"/>
    <x v="277"/>
    <n v="11"/>
    <x v="279"/>
  </r>
  <r>
    <d v="2014-05-07T00:00:00"/>
    <x v="135"/>
    <x v="3"/>
    <x v="0"/>
    <x v="3"/>
    <x v="270"/>
    <x v="24"/>
    <n v="6"/>
    <x v="280"/>
  </r>
  <r>
    <d v="2014-05-07T00:00:00"/>
    <x v="136"/>
    <x v="31"/>
    <x v="0"/>
    <x v="4"/>
    <x v="243"/>
    <x v="278"/>
    <n v="3"/>
    <x v="281"/>
  </r>
  <r>
    <d v="2014-05-07T00:00:00"/>
    <x v="137"/>
    <x v="9"/>
    <x v="1"/>
    <x v="8"/>
    <x v="271"/>
    <x v="279"/>
    <n v="2"/>
    <x v="282"/>
  </r>
  <r>
    <d v="2014-05-07T00:00:00"/>
    <x v="137"/>
    <x v="9"/>
    <x v="0"/>
    <x v="3"/>
    <x v="272"/>
    <x v="280"/>
    <n v="5"/>
    <x v="283"/>
  </r>
  <r>
    <d v="2014-05-07T00:00:00"/>
    <x v="137"/>
    <x v="9"/>
    <x v="1"/>
    <x v="8"/>
    <x v="101"/>
    <x v="281"/>
    <n v="3"/>
    <x v="284"/>
  </r>
  <r>
    <d v="2014-06-07T00:00:00"/>
    <x v="138"/>
    <x v="12"/>
    <x v="2"/>
    <x v="15"/>
    <x v="273"/>
    <x v="282"/>
    <n v="1"/>
    <x v="285"/>
  </r>
  <r>
    <d v="2014-06-07T00:00:00"/>
    <x v="139"/>
    <x v="3"/>
    <x v="1"/>
    <x v="5"/>
    <x v="274"/>
    <x v="283"/>
    <n v="2"/>
    <x v="286"/>
  </r>
  <r>
    <d v="2014-07-07T00:00:00"/>
    <x v="140"/>
    <x v="2"/>
    <x v="1"/>
    <x v="5"/>
    <x v="275"/>
    <x v="284"/>
    <n v="2"/>
    <x v="287"/>
  </r>
  <r>
    <d v="2014-07-07T00:00:00"/>
    <x v="140"/>
    <x v="2"/>
    <x v="1"/>
    <x v="8"/>
    <x v="276"/>
    <x v="285"/>
    <n v="2"/>
    <x v="288"/>
  </r>
  <r>
    <d v="2014-08-07T00:00:00"/>
    <x v="141"/>
    <x v="12"/>
    <x v="1"/>
    <x v="5"/>
    <x v="239"/>
    <x v="286"/>
    <n v="1"/>
    <x v="249"/>
  </r>
  <r>
    <d v="2014-08-07T00:00:00"/>
    <x v="142"/>
    <x v="3"/>
    <x v="1"/>
    <x v="10"/>
    <x v="37"/>
    <x v="287"/>
    <n v="3"/>
    <x v="289"/>
  </r>
  <r>
    <d v="2014-08-07T00:00:00"/>
    <x v="142"/>
    <x v="3"/>
    <x v="0"/>
    <x v="3"/>
    <x v="277"/>
    <x v="288"/>
    <n v="6"/>
    <x v="290"/>
  </r>
  <r>
    <d v="2014-09-07T00:00:00"/>
    <x v="143"/>
    <x v="0"/>
    <x v="0"/>
    <x v="0"/>
    <x v="278"/>
    <x v="148"/>
    <n v="2"/>
    <x v="150"/>
  </r>
  <r>
    <d v="2014-09-07T00:00:00"/>
    <x v="143"/>
    <x v="0"/>
    <x v="0"/>
    <x v="0"/>
    <x v="279"/>
    <x v="289"/>
    <n v="3"/>
    <x v="291"/>
  </r>
  <r>
    <d v="2014-09-07T00:00:00"/>
    <x v="144"/>
    <x v="3"/>
    <x v="0"/>
    <x v="1"/>
    <x v="280"/>
    <x v="290"/>
    <n v="1"/>
    <x v="292"/>
  </r>
  <r>
    <d v="2014-09-07T00:00:00"/>
    <x v="144"/>
    <x v="3"/>
    <x v="0"/>
    <x v="3"/>
    <x v="38"/>
    <x v="291"/>
    <n v="6"/>
    <x v="293"/>
  </r>
  <r>
    <d v="2014-09-07T00:00:00"/>
    <x v="144"/>
    <x v="3"/>
    <x v="0"/>
    <x v="2"/>
    <x v="281"/>
    <x v="292"/>
    <n v="4"/>
    <x v="189"/>
  </r>
  <r>
    <d v="2014-09-07T00:00:00"/>
    <x v="145"/>
    <x v="3"/>
    <x v="0"/>
    <x v="3"/>
    <x v="282"/>
    <x v="293"/>
    <n v="6"/>
    <x v="294"/>
  </r>
  <r>
    <d v="2014-09-07T00:00:00"/>
    <x v="145"/>
    <x v="3"/>
    <x v="1"/>
    <x v="12"/>
    <x v="283"/>
    <x v="294"/>
    <n v="1"/>
    <x v="295"/>
  </r>
  <r>
    <d v="2014-09-07T00:00:00"/>
    <x v="145"/>
    <x v="3"/>
    <x v="0"/>
    <x v="4"/>
    <x v="284"/>
    <x v="295"/>
    <n v="2"/>
    <x v="296"/>
  </r>
  <r>
    <d v="2014-09-07T00:00:00"/>
    <x v="145"/>
    <x v="3"/>
    <x v="0"/>
    <x v="0"/>
    <x v="285"/>
    <x v="159"/>
    <n v="5"/>
    <x v="161"/>
  </r>
  <r>
    <d v="2014-11-07T00:00:00"/>
    <x v="146"/>
    <x v="11"/>
    <x v="0"/>
    <x v="0"/>
    <x v="177"/>
    <x v="296"/>
    <n v="5"/>
    <x v="118"/>
  </r>
  <r>
    <d v="2014-11-07T00:00:00"/>
    <x v="146"/>
    <x v="11"/>
    <x v="2"/>
    <x v="6"/>
    <x v="286"/>
    <x v="297"/>
    <n v="3"/>
    <x v="297"/>
  </r>
  <r>
    <d v="2014-11-07T00:00:00"/>
    <x v="146"/>
    <x v="11"/>
    <x v="1"/>
    <x v="5"/>
    <x v="287"/>
    <x v="298"/>
    <n v="3"/>
    <x v="298"/>
  </r>
  <r>
    <d v="2014-11-07T00:00:00"/>
    <x v="146"/>
    <x v="11"/>
    <x v="1"/>
    <x v="8"/>
    <x v="288"/>
    <x v="299"/>
    <n v="9"/>
    <x v="299"/>
  </r>
  <r>
    <d v="2014-11-07T00:00:00"/>
    <x v="146"/>
    <x v="11"/>
    <x v="0"/>
    <x v="1"/>
    <x v="289"/>
    <x v="300"/>
    <n v="5"/>
    <x v="300"/>
  </r>
  <r>
    <d v="2014-11-07T00:00:00"/>
    <x v="147"/>
    <x v="0"/>
    <x v="2"/>
    <x v="6"/>
    <x v="290"/>
    <x v="301"/>
    <n v="4"/>
    <x v="301"/>
  </r>
  <r>
    <d v="2014-11-07T00:00:00"/>
    <x v="147"/>
    <x v="0"/>
    <x v="0"/>
    <x v="0"/>
    <x v="291"/>
    <x v="148"/>
    <n v="2"/>
    <x v="150"/>
  </r>
  <r>
    <d v="2014-11-07T00:00:00"/>
    <x v="148"/>
    <x v="12"/>
    <x v="0"/>
    <x v="0"/>
    <x v="292"/>
    <x v="302"/>
    <n v="4"/>
    <x v="302"/>
  </r>
  <r>
    <d v="2014-11-07T00:00:00"/>
    <x v="148"/>
    <x v="12"/>
    <x v="0"/>
    <x v="3"/>
    <x v="293"/>
    <x v="303"/>
    <n v="5"/>
    <x v="303"/>
  </r>
  <r>
    <d v="2014-11-07T00:00:00"/>
    <x v="149"/>
    <x v="12"/>
    <x v="2"/>
    <x v="6"/>
    <x v="294"/>
    <x v="304"/>
    <n v="3"/>
    <x v="304"/>
  </r>
  <r>
    <d v="2014-12-07T00:00:00"/>
    <x v="150"/>
    <x v="3"/>
    <x v="0"/>
    <x v="3"/>
    <x v="295"/>
    <x v="305"/>
    <n v="2"/>
    <x v="305"/>
  </r>
  <r>
    <d v="2014-12-07T00:00:00"/>
    <x v="150"/>
    <x v="3"/>
    <x v="1"/>
    <x v="10"/>
    <x v="296"/>
    <x v="306"/>
    <n v="3"/>
    <x v="306"/>
  </r>
  <r>
    <d v="2014-12-07T00:00:00"/>
    <x v="151"/>
    <x v="3"/>
    <x v="0"/>
    <x v="2"/>
    <x v="187"/>
    <x v="307"/>
    <n v="9"/>
    <x v="307"/>
  </r>
  <r>
    <d v="2014-12-07T00:00:00"/>
    <x v="151"/>
    <x v="3"/>
    <x v="2"/>
    <x v="6"/>
    <x v="297"/>
    <x v="308"/>
    <n v="8"/>
    <x v="308"/>
  </r>
  <r>
    <d v="2014-12-07T00:00:00"/>
    <x v="36"/>
    <x v="10"/>
    <x v="1"/>
    <x v="5"/>
    <x v="298"/>
    <x v="309"/>
    <n v="4"/>
    <x v="309"/>
  </r>
  <r>
    <d v="2014-12-07T00:00:00"/>
    <x v="36"/>
    <x v="10"/>
    <x v="0"/>
    <x v="3"/>
    <x v="299"/>
    <x v="310"/>
    <n v="4"/>
    <x v="310"/>
  </r>
  <r>
    <d v="2014-12-07T00:00:00"/>
    <x v="152"/>
    <x v="1"/>
    <x v="0"/>
    <x v="0"/>
    <x v="300"/>
    <x v="311"/>
    <n v="9"/>
    <x v="311"/>
  </r>
  <r>
    <d v="2014-12-07T00:00:00"/>
    <x v="152"/>
    <x v="1"/>
    <x v="2"/>
    <x v="9"/>
    <x v="301"/>
    <x v="312"/>
    <n v="4"/>
    <x v="312"/>
  </r>
  <r>
    <d v="2014-12-07T00:00:00"/>
    <x v="153"/>
    <x v="0"/>
    <x v="1"/>
    <x v="5"/>
    <x v="302"/>
    <x v="313"/>
    <n v="3"/>
    <x v="313"/>
  </r>
  <r>
    <d v="2014-12-07T00:00:00"/>
    <x v="153"/>
    <x v="0"/>
    <x v="0"/>
    <x v="7"/>
    <x v="86"/>
    <x v="314"/>
    <n v="2"/>
    <x v="314"/>
  </r>
  <r>
    <d v="2014-12-07T00:00:00"/>
    <x v="153"/>
    <x v="0"/>
    <x v="0"/>
    <x v="4"/>
    <x v="303"/>
    <x v="315"/>
    <n v="7"/>
    <x v="172"/>
  </r>
  <r>
    <d v="2014-12-07T00:00:00"/>
    <x v="153"/>
    <x v="0"/>
    <x v="0"/>
    <x v="0"/>
    <x v="304"/>
    <x v="316"/>
    <n v="3"/>
    <x v="315"/>
  </r>
  <r>
    <d v="2014-01-08T00:00:00"/>
    <x v="154"/>
    <x v="15"/>
    <x v="0"/>
    <x v="1"/>
    <x v="305"/>
    <x v="317"/>
    <n v="3"/>
    <x v="316"/>
  </r>
  <r>
    <d v="2014-01-08T00:00:00"/>
    <x v="154"/>
    <x v="15"/>
    <x v="1"/>
    <x v="8"/>
    <x v="288"/>
    <x v="318"/>
    <n v="4"/>
    <x v="317"/>
  </r>
  <r>
    <d v="2014-01-08T00:00:00"/>
    <x v="154"/>
    <x v="15"/>
    <x v="0"/>
    <x v="13"/>
    <x v="306"/>
    <x v="319"/>
    <n v="1"/>
    <x v="318"/>
  </r>
  <r>
    <d v="2014-01-08T00:00:00"/>
    <x v="154"/>
    <x v="15"/>
    <x v="0"/>
    <x v="0"/>
    <x v="307"/>
    <x v="320"/>
    <n v="2"/>
    <x v="319"/>
  </r>
  <r>
    <d v="2014-01-08T00:00:00"/>
    <x v="155"/>
    <x v="3"/>
    <x v="0"/>
    <x v="3"/>
    <x v="308"/>
    <x v="321"/>
    <n v="3"/>
    <x v="320"/>
  </r>
  <r>
    <d v="2014-01-08T00:00:00"/>
    <x v="156"/>
    <x v="2"/>
    <x v="0"/>
    <x v="7"/>
    <x v="309"/>
    <x v="322"/>
    <n v="2"/>
    <x v="321"/>
  </r>
  <r>
    <d v="2014-02-08T00:00:00"/>
    <x v="157"/>
    <x v="14"/>
    <x v="0"/>
    <x v="3"/>
    <x v="310"/>
    <x v="119"/>
    <n v="5"/>
    <x v="322"/>
  </r>
  <r>
    <d v="2014-02-08T00:00:00"/>
    <x v="157"/>
    <x v="14"/>
    <x v="2"/>
    <x v="9"/>
    <x v="311"/>
    <x v="323"/>
    <n v="2"/>
    <x v="323"/>
  </r>
  <r>
    <d v="2014-02-08T00:00:00"/>
    <x v="157"/>
    <x v="14"/>
    <x v="0"/>
    <x v="2"/>
    <x v="312"/>
    <x v="324"/>
    <n v="2"/>
    <x v="324"/>
  </r>
  <r>
    <d v="2014-03-08T00:00:00"/>
    <x v="158"/>
    <x v="19"/>
    <x v="1"/>
    <x v="10"/>
    <x v="313"/>
    <x v="325"/>
    <n v="2"/>
    <x v="325"/>
  </r>
  <r>
    <d v="2014-03-08T00:00:00"/>
    <x v="158"/>
    <x v="19"/>
    <x v="0"/>
    <x v="13"/>
    <x v="314"/>
    <x v="326"/>
    <n v="1"/>
    <x v="326"/>
  </r>
  <r>
    <d v="2014-03-08T00:00:00"/>
    <x v="159"/>
    <x v="12"/>
    <x v="0"/>
    <x v="0"/>
    <x v="315"/>
    <x v="195"/>
    <n v="2"/>
    <x v="327"/>
  </r>
  <r>
    <d v="2014-03-08T00:00:00"/>
    <x v="159"/>
    <x v="12"/>
    <x v="0"/>
    <x v="14"/>
    <x v="316"/>
    <x v="327"/>
    <n v="10"/>
    <x v="328"/>
  </r>
  <r>
    <d v="2014-03-08T00:00:00"/>
    <x v="159"/>
    <x v="12"/>
    <x v="0"/>
    <x v="2"/>
    <x v="317"/>
    <x v="328"/>
    <n v="2"/>
    <x v="329"/>
  </r>
  <r>
    <d v="2014-03-08T00:00:00"/>
    <x v="144"/>
    <x v="23"/>
    <x v="0"/>
    <x v="0"/>
    <x v="318"/>
    <x v="329"/>
    <n v="3"/>
    <x v="330"/>
  </r>
  <r>
    <d v="2014-04-08T00:00:00"/>
    <x v="160"/>
    <x v="30"/>
    <x v="0"/>
    <x v="13"/>
    <x v="319"/>
    <x v="330"/>
    <n v="3"/>
    <x v="331"/>
  </r>
  <r>
    <d v="2014-04-08T00:00:00"/>
    <x v="160"/>
    <x v="30"/>
    <x v="0"/>
    <x v="0"/>
    <x v="320"/>
    <x v="331"/>
    <n v="8"/>
    <x v="332"/>
  </r>
  <r>
    <d v="2014-04-08T00:00:00"/>
    <x v="160"/>
    <x v="30"/>
    <x v="0"/>
    <x v="4"/>
    <x v="321"/>
    <x v="332"/>
    <n v="5"/>
    <x v="333"/>
  </r>
  <r>
    <d v="2014-04-08T00:00:00"/>
    <x v="160"/>
    <x v="30"/>
    <x v="2"/>
    <x v="6"/>
    <x v="322"/>
    <x v="144"/>
    <n v="5"/>
    <x v="334"/>
  </r>
  <r>
    <d v="2014-04-08T00:00:00"/>
    <x v="160"/>
    <x v="30"/>
    <x v="0"/>
    <x v="2"/>
    <x v="323"/>
    <x v="333"/>
    <n v="5"/>
    <x v="335"/>
  </r>
  <r>
    <d v="2014-04-08T00:00:00"/>
    <x v="160"/>
    <x v="30"/>
    <x v="0"/>
    <x v="3"/>
    <x v="123"/>
    <x v="334"/>
    <n v="1"/>
    <x v="336"/>
  </r>
  <r>
    <d v="2014-04-08T00:00:00"/>
    <x v="161"/>
    <x v="33"/>
    <x v="0"/>
    <x v="13"/>
    <x v="324"/>
    <x v="335"/>
    <n v="2"/>
    <x v="337"/>
  </r>
  <r>
    <d v="2014-04-08T00:00:00"/>
    <x v="161"/>
    <x v="33"/>
    <x v="0"/>
    <x v="0"/>
    <x v="194"/>
    <x v="336"/>
    <n v="13"/>
    <x v="338"/>
  </r>
  <r>
    <d v="2014-04-08T00:00:00"/>
    <x v="161"/>
    <x v="33"/>
    <x v="2"/>
    <x v="9"/>
    <x v="325"/>
    <x v="337"/>
    <n v="9"/>
    <x v="339"/>
  </r>
  <r>
    <d v="2014-05-08T00:00:00"/>
    <x v="162"/>
    <x v="3"/>
    <x v="0"/>
    <x v="0"/>
    <x v="326"/>
    <x v="338"/>
    <n v="3"/>
    <x v="340"/>
  </r>
  <r>
    <d v="2014-05-08T00:00:00"/>
    <x v="162"/>
    <x v="3"/>
    <x v="0"/>
    <x v="0"/>
    <x v="327"/>
    <x v="339"/>
    <n v="2"/>
    <x v="341"/>
  </r>
  <r>
    <d v="2014-05-08T00:00:00"/>
    <x v="162"/>
    <x v="3"/>
    <x v="1"/>
    <x v="5"/>
    <x v="328"/>
    <x v="340"/>
    <n v="7"/>
    <x v="342"/>
  </r>
  <r>
    <d v="2014-05-08T00:00:00"/>
    <x v="163"/>
    <x v="3"/>
    <x v="2"/>
    <x v="9"/>
    <x v="329"/>
    <x v="341"/>
    <n v="1"/>
    <x v="343"/>
  </r>
  <r>
    <d v="2014-05-08T00:00:00"/>
    <x v="163"/>
    <x v="3"/>
    <x v="0"/>
    <x v="2"/>
    <x v="330"/>
    <x v="342"/>
    <n v="2"/>
    <x v="344"/>
  </r>
  <r>
    <d v="2014-05-08T00:00:00"/>
    <x v="163"/>
    <x v="3"/>
    <x v="0"/>
    <x v="4"/>
    <x v="331"/>
    <x v="343"/>
    <n v="2"/>
    <x v="345"/>
  </r>
  <r>
    <d v="2014-05-08T00:00:00"/>
    <x v="164"/>
    <x v="27"/>
    <x v="0"/>
    <x v="13"/>
    <x v="332"/>
    <x v="344"/>
    <n v="3"/>
    <x v="346"/>
  </r>
  <r>
    <d v="2014-05-08T00:00:00"/>
    <x v="164"/>
    <x v="27"/>
    <x v="0"/>
    <x v="4"/>
    <x v="333"/>
    <x v="345"/>
    <n v="2"/>
    <x v="347"/>
  </r>
  <r>
    <d v="2014-05-08T00:00:00"/>
    <x v="164"/>
    <x v="27"/>
    <x v="1"/>
    <x v="5"/>
    <x v="334"/>
    <x v="346"/>
    <n v="5"/>
    <x v="348"/>
  </r>
  <r>
    <d v="2014-05-08T00:00:00"/>
    <x v="165"/>
    <x v="12"/>
    <x v="2"/>
    <x v="6"/>
    <x v="335"/>
    <x v="347"/>
    <n v="1"/>
    <x v="349"/>
  </r>
  <r>
    <d v="2014-05-08T00:00:00"/>
    <x v="165"/>
    <x v="12"/>
    <x v="0"/>
    <x v="4"/>
    <x v="333"/>
    <x v="348"/>
    <n v="7"/>
    <x v="93"/>
  </r>
  <r>
    <d v="2014-05-08T00:00:00"/>
    <x v="166"/>
    <x v="0"/>
    <x v="1"/>
    <x v="10"/>
    <x v="336"/>
    <x v="349"/>
    <n v="2"/>
    <x v="350"/>
  </r>
  <r>
    <d v="2014-06-08T00:00:00"/>
    <x v="167"/>
    <x v="17"/>
    <x v="2"/>
    <x v="9"/>
    <x v="337"/>
    <x v="350"/>
    <n v="3"/>
    <x v="351"/>
  </r>
  <r>
    <d v="2014-06-08T00:00:00"/>
    <x v="168"/>
    <x v="12"/>
    <x v="2"/>
    <x v="9"/>
    <x v="338"/>
    <x v="351"/>
    <n v="2"/>
    <x v="352"/>
  </r>
  <r>
    <d v="2014-08-08T00:00:00"/>
    <x v="169"/>
    <x v="3"/>
    <x v="0"/>
    <x v="13"/>
    <x v="339"/>
    <x v="352"/>
    <n v="2"/>
    <x v="353"/>
  </r>
  <r>
    <d v="2014-08-08T00:00:00"/>
    <x v="169"/>
    <x v="3"/>
    <x v="2"/>
    <x v="15"/>
    <x v="340"/>
    <x v="353"/>
    <n v="3"/>
    <x v="354"/>
  </r>
  <r>
    <d v="2014-08-08T00:00:00"/>
    <x v="169"/>
    <x v="3"/>
    <x v="2"/>
    <x v="6"/>
    <x v="341"/>
    <x v="354"/>
    <n v="5"/>
    <x v="355"/>
  </r>
  <r>
    <d v="2014-08-08T00:00:00"/>
    <x v="169"/>
    <x v="3"/>
    <x v="1"/>
    <x v="8"/>
    <x v="342"/>
    <x v="355"/>
    <n v="8"/>
    <x v="356"/>
  </r>
  <r>
    <d v="2014-08-08T00:00:00"/>
    <x v="170"/>
    <x v="23"/>
    <x v="1"/>
    <x v="8"/>
    <x v="343"/>
    <x v="356"/>
    <n v="4"/>
    <x v="357"/>
  </r>
  <r>
    <d v="2014-08-08T00:00:00"/>
    <x v="170"/>
    <x v="23"/>
    <x v="2"/>
    <x v="9"/>
    <x v="344"/>
    <x v="357"/>
    <n v="3"/>
    <x v="358"/>
  </r>
  <r>
    <d v="2014-08-08T00:00:00"/>
    <x v="171"/>
    <x v="3"/>
    <x v="0"/>
    <x v="2"/>
    <x v="345"/>
    <x v="358"/>
    <n v="11"/>
    <x v="359"/>
  </r>
  <r>
    <d v="2014-08-08T00:00:00"/>
    <x v="172"/>
    <x v="18"/>
    <x v="2"/>
    <x v="15"/>
    <x v="346"/>
    <x v="359"/>
    <n v="1"/>
    <x v="360"/>
  </r>
  <r>
    <d v="2014-08-08T00:00:00"/>
    <x v="172"/>
    <x v="18"/>
    <x v="0"/>
    <x v="13"/>
    <x v="347"/>
    <x v="360"/>
    <n v="3"/>
    <x v="361"/>
  </r>
  <r>
    <d v="2014-08-08T00:00:00"/>
    <x v="172"/>
    <x v="18"/>
    <x v="0"/>
    <x v="11"/>
    <x v="348"/>
    <x v="361"/>
    <n v="3"/>
    <x v="362"/>
  </r>
  <r>
    <d v="2014-08-08T00:00:00"/>
    <x v="172"/>
    <x v="18"/>
    <x v="1"/>
    <x v="8"/>
    <x v="349"/>
    <x v="362"/>
    <n v="6"/>
    <x v="363"/>
  </r>
  <r>
    <d v="2014-08-08T00:00:00"/>
    <x v="172"/>
    <x v="18"/>
    <x v="2"/>
    <x v="6"/>
    <x v="97"/>
    <x v="363"/>
    <n v="2"/>
    <x v="352"/>
  </r>
  <r>
    <d v="2014-08-08T00:00:00"/>
    <x v="173"/>
    <x v="9"/>
    <x v="1"/>
    <x v="12"/>
    <x v="350"/>
    <x v="364"/>
    <n v="4"/>
    <x v="364"/>
  </r>
  <r>
    <d v="2014-09-08T00:00:00"/>
    <x v="174"/>
    <x v="9"/>
    <x v="2"/>
    <x v="6"/>
    <x v="341"/>
    <x v="365"/>
    <n v="2"/>
    <x v="365"/>
  </r>
  <r>
    <d v="2014-09-08T00:00:00"/>
    <x v="174"/>
    <x v="9"/>
    <x v="0"/>
    <x v="0"/>
    <x v="351"/>
    <x v="70"/>
    <n v="3"/>
    <x v="366"/>
  </r>
  <r>
    <d v="2014-09-08T00:00:00"/>
    <x v="175"/>
    <x v="3"/>
    <x v="0"/>
    <x v="1"/>
    <x v="352"/>
    <x v="366"/>
    <n v="8"/>
    <x v="367"/>
  </r>
  <r>
    <d v="2014-09-08T00:00:00"/>
    <x v="176"/>
    <x v="10"/>
    <x v="2"/>
    <x v="6"/>
    <x v="353"/>
    <x v="367"/>
    <n v="4"/>
    <x v="368"/>
  </r>
  <r>
    <d v="2014-09-08T00:00:00"/>
    <x v="176"/>
    <x v="10"/>
    <x v="2"/>
    <x v="6"/>
    <x v="354"/>
    <x v="368"/>
    <n v="2"/>
    <x v="369"/>
  </r>
  <r>
    <d v="2014-09-08T00:00:00"/>
    <x v="177"/>
    <x v="10"/>
    <x v="0"/>
    <x v="3"/>
    <x v="355"/>
    <x v="369"/>
    <n v="7"/>
    <x v="370"/>
  </r>
  <r>
    <d v="2014-09-08T00:00:00"/>
    <x v="178"/>
    <x v="3"/>
    <x v="0"/>
    <x v="0"/>
    <x v="356"/>
    <x v="370"/>
    <n v="1"/>
    <x v="371"/>
  </r>
  <r>
    <d v="2014-09-08T00:00:00"/>
    <x v="179"/>
    <x v="23"/>
    <x v="0"/>
    <x v="7"/>
    <x v="357"/>
    <x v="371"/>
    <n v="3"/>
    <x v="372"/>
  </r>
  <r>
    <d v="2014-09-08T00:00:00"/>
    <x v="179"/>
    <x v="23"/>
    <x v="0"/>
    <x v="3"/>
    <x v="358"/>
    <x v="372"/>
    <n v="5"/>
    <x v="373"/>
  </r>
  <r>
    <d v="2014-11-08T00:00:00"/>
    <x v="98"/>
    <x v="10"/>
    <x v="1"/>
    <x v="8"/>
    <x v="359"/>
    <x v="22"/>
    <n v="1"/>
    <x v="374"/>
  </r>
  <r>
    <d v="2014-11-08T00:00:00"/>
    <x v="98"/>
    <x v="10"/>
    <x v="0"/>
    <x v="4"/>
    <x v="360"/>
    <x v="373"/>
    <n v="1"/>
    <x v="249"/>
  </r>
  <r>
    <d v="2014-11-08T00:00:00"/>
    <x v="98"/>
    <x v="10"/>
    <x v="0"/>
    <x v="7"/>
    <x v="361"/>
    <x v="115"/>
    <n v="2"/>
    <x v="375"/>
  </r>
  <r>
    <d v="2014-11-08T00:00:00"/>
    <x v="180"/>
    <x v="12"/>
    <x v="0"/>
    <x v="2"/>
    <x v="362"/>
    <x v="374"/>
    <n v="1"/>
    <x v="376"/>
  </r>
  <r>
    <d v="2014-12-08T00:00:00"/>
    <x v="181"/>
    <x v="11"/>
    <x v="0"/>
    <x v="3"/>
    <x v="363"/>
    <x v="375"/>
    <n v="7"/>
    <x v="377"/>
  </r>
  <r>
    <d v="2014-12-08T00:00:00"/>
    <x v="182"/>
    <x v="3"/>
    <x v="2"/>
    <x v="6"/>
    <x v="364"/>
    <x v="376"/>
    <n v="8"/>
    <x v="378"/>
  </r>
  <r>
    <d v="2014-12-08T00:00:00"/>
    <x v="182"/>
    <x v="3"/>
    <x v="1"/>
    <x v="8"/>
    <x v="225"/>
    <x v="377"/>
    <n v="3"/>
    <x v="379"/>
  </r>
  <r>
    <d v="2014-12-08T00:00:00"/>
    <x v="183"/>
    <x v="9"/>
    <x v="0"/>
    <x v="0"/>
    <x v="365"/>
    <x v="378"/>
    <n v="6"/>
    <x v="380"/>
  </r>
  <r>
    <d v="2014-12-08T00:00:00"/>
    <x v="183"/>
    <x v="9"/>
    <x v="0"/>
    <x v="4"/>
    <x v="366"/>
    <x v="379"/>
    <n v="5"/>
    <x v="381"/>
  </r>
  <r>
    <d v="2014-12-08T00:00:00"/>
    <x v="183"/>
    <x v="9"/>
    <x v="2"/>
    <x v="9"/>
    <x v="325"/>
    <x v="380"/>
    <n v="7"/>
    <x v="382"/>
  </r>
  <r>
    <d v="2014-12-08T00:00:00"/>
    <x v="183"/>
    <x v="9"/>
    <x v="0"/>
    <x v="13"/>
    <x v="367"/>
    <x v="381"/>
    <n v="6"/>
    <x v="383"/>
  </r>
  <r>
    <d v="2014-12-08T00:00:00"/>
    <x v="183"/>
    <x v="9"/>
    <x v="0"/>
    <x v="14"/>
    <x v="368"/>
    <x v="382"/>
    <n v="2"/>
    <x v="384"/>
  </r>
  <r>
    <d v="2014-12-08T00:00:00"/>
    <x v="183"/>
    <x v="9"/>
    <x v="0"/>
    <x v="1"/>
    <x v="369"/>
    <x v="383"/>
    <n v="1"/>
    <x v="385"/>
  </r>
  <r>
    <d v="2014-12-08T00:00:00"/>
    <x v="184"/>
    <x v="4"/>
    <x v="0"/>
    <x v="3"/>
    <x v="370"/>
    <x v="384"/>
    <n v="3"/>
    <x v="386"/>
  </r>
  <r>
    <d v="2014-12-08T00:00:00"/>
    <x v="184"/>
    <x v="4"/>
    <x v="2"/>
    <x v="9"/>
    <x v="337"/>
    <x v="385"/>
    <n v="13"/>
    <x v="387"/>
  </r>
  <r>
    <d v="2014-01-09T00:00:00"/>
    <x v="185"/>
    <x v="3"/>
    <x v="0"/>
    <x v="4"/>
    <x v="371"/>
    <x v="386"/>
    <n v="3"/>
    <x v="388"/>
  </r>
  <r>
    <d v="2014-01-09T00:00:00"/>
    <x v="186"/>
    <x v="0"/>
    <x v="0"/>
    <x v="3"/>
    <x v="372"/>
    <x v="387"/>
    <n v="3"/>
    <x v="389"/>
  </r>
  <r>
    <d v="2014-01-09T00:00:00"/>
    <x v="186"/>
    <x v="0"/>
    <x v="0"/>
    <x v="0"/>
    <x v="373"/>
    <x v="378"/>
    <n v="6"/>
    <x v="380"/>
  </r>
  <r>
    <d v="2014-01-09T00:00:00"/>
    <x v="187"/>
    <x v="12"/>
    <x v="0"/>
    <x v="3"/>
    <x v="374"/>
    <x v="388"/>
    <n v="2"/>
    <x v="390"/>
  </r>
  <r>
    <d v="2014-01-09T00:00:00"/>
    <x v="187"/>
    <x v="12"/>
    <x v="2"/>
    <x v="9"/>
    <x v="375"/>
    <x v="389"/>
    <n v="3"/>
    <x v="391"/>
  </r>
  <r>
    <d v="2014-02-09T00:00:00"/>
    <x v="188"/>
    <x v="12"/>
    <x v="0"/>
    <x v="13"/>
    <x v="376"/>
    <x v="390"/>
    <n v="1"/>
    <x v="392"/>
  </r>
  <r>
    <d v="2014-02-09T00:00:00"/>
    <x v="188"/>
    <x v="12"/>
    <x v="1"/>
    <x v="8"/>
    <x v="377"/>
    <x v="391"/>
    <n v="1"/>
    <x v="393"/>
  </r>
  <r>
    <d v="2014-02-09T00:00:00"/>
    <x v="36"/>
    <x v="12"/>
    <x v="0"/>
    <x v="4"/>
    <x v="378"/>
    <x v="392"/>
    <n v="3"/>
    <x v="394"/>
  </r>
  <r>
    <d v="2014-02-09T00:00:00"/>
    <x v="189"/>
    <x v="12"/>
    <x v="0"/>
    <x v="4"/>
    <x v="379"/>
    <x v="393"/>
    <n v="5"/>
    <x v="395"/>
  </r>
  <r>
    <d v="2014-02-09T00:00:00"/>
    <x v="189"/>
    <x v="12"/>
    <x v="0"/>
    <x v="0"/>
    <x v="177"/>
    <x v="41"/>
    <n v="3"/>
    <x v="93"/>
  </r>
  <r>
    <d v="2014-02-09T00:00:00"/>
    <x v="190"/>
    <x v="1"/>
    <x v="2"/>
    <x v="9"/>
    <x v="380"/>
    <x v="394"/>
    <n v="3"/>
    <x v="396"/>
  </r>
  <r>
    <d v="2014-02-09T00:00:00"/>
    <x v="174"/>
    <x v="0"/>
    <x v="2"/>
    <x v="16"/>
    <x v="381"/>
    <x v="395"/>
    <n v="3"/>
    <x v="397"/>
  </r>
  <r>
    <d v="2014-02-09T00:00:00"/>
    <x v="23"/>
    <x v="29"/>
    <x v="0"/>
    <x v="3"/>
    <x v="382"/>
    <x v="396"/>
    <n v="2"/>
    <x v="398"/>
  </r>
  <r>
    <d v="2014-02-09T00:00:00"/>
    <x v="115"/>
    <x v="1"/>
    <x v="2"/>
    <x v="9"/>
    <x v="383"/>
    <x v="397"/>
    <n v="7"/>
    <x v="399"/>
  </r>
  <r>
    <d v="2014-03-09T00:00:00"/>
    <x v="191"/>
    <x v="12"/>
    <x v="0"/>
    <x v="1"/>
    <x v="289"/>
    <x v="300"/>
    <n v="5"/>
    <x v="300"/>
  </r>
  <r>
    <d v="2014-03-09T00:00:00"/>
    <x v="192"/>
    <x v="0"/>
    <x v="0"/>
    <x v="3"/>
    <x v="384"/>
    <x v="398"/>
    <n v="5"/>
    <x v="400"/>
  </r>
  <r>
    <d v="2014-05-09T00:00:00"/>
    <x v="193"/>
    <x v="16"/>
    <x v="0"/>
    <x v="2"/>
    <x v="385"/>
    <x v="399"/>
    <n v="2"/>
    <x v="401"/>
  </r>
  <r>
    <d v="2014-05-09T00:00:00"/>
    <x v="194"/>
    <x v="9"/>
    <x v="1"/>
    <x v="8"/>
    <x v="386"/>
    <x v="400"/>
    <n v="2"/>
    <x v="402"/>
  </r>
  <r>
    <d v="2014-06-09T00:00:00"/>
    <x v="195"/>
    <x v="3"/>
    <x v="1"/>
    <x v="8"/>
    <x v="242"/>
    <x v="401"/>
    <n v="6"/>
    <x v="403"/>
  </r>
  <r>
    <d v="2014-06-09T00:00:00"/>
    <x v="195"/>
    <x v="3"/>
    <x v="0"/>
    <x v="1"/>
    <x v="266"/>
    <x v="402"/>
    <n v="8"/>
    <x v="404"/>
  </r>
  <r>
    <d v="2014-07-09T00:00:00"/>
    <x v="95"/>
    <x v="2"/>
    <x v="0"/>
    <x v="2"/>
    <x v="76"/>
    <x v="403"/>
    <n v="1"/>
    <x v="405"/>
  </r>
  <r>
    <d v="2014-07-09T00:00:00"/>
    <x v="95"/>
    <x v="2"/>
    <x v="2"/>
    <x v="6"/>
    <x v="387"/>
    <x v="404"/>
    <n v="3"/>
    <x v="406"/>
  </r>
  <r>
    <d v="2014-07-09T00:00:00"/>
    <x v="95"/>
    <x v="2"/>
    <x v="1"/>
    <x v="8"/>
    <x v="388"/>
    <x v="405"/>
    <n v="2"/>
    <x v="407"/>
  </r>
  <r>
    <d v="2014-07-09T00:00:00"/>
    <x v="95"/>
    <x v="2"/>
    <x v="2"/>
    <x v="16"/>
    <x v="389"/>
    <x v="406"/>
    <n v="4"/>
    <x v="408"/>
  </r>
  <r>
    <d v="2014-07-09T00:00:00"/>
    <x v="13"/>
    <x v="34"/>
    <x v="1"/>
    <x v="8"/>
    <x v="390"/>
    <x v="407"/>
    <n v="3"/>
    <x v="409"/>
  </r>
  <r>
    <d v="2014-07-09T00:00:00"/>
    <x v="13"/>
    <x v="34"/>
    <x v="0"/>
    <x v="3"/>
    <x v="391"/>
    <x v="408"/>
    <n v="3"/>
    <x v="410"/>
  </r>
  <r>
    <d v="2014-07-09T00:00:00"/>
    <x v="13"/>
    <x v="34"/>
    <x v="0"/>
    <x v="0"/>
    <x v="392"/>
    <x v="113"/>
    <n v="2"/>
    <x v="411"/>
  </r>
  <r>
    <d v="2014-07-09T00:00:00"/>
    <x v="13"/>
    <x v="34"/>
    <x v="1"/>
    <x v="8"/>
    <x v="393"/>
    <x v="409"/>
    <n v="6"/>
    <x v="412"/>
  </r>
  <r>
    <d v="2014-07-09T00:00:00"/>
    <x v="13"/>
    <x v="34"/>
    <x v="2"/>
    <x v="6"/>
    <x v="394"/>
    <x v="410"/>
    <n v="3"/>
    <x v="413"/>
  </r>
  <r>
    <d v="2014-07-09T00:00:00"/>
    <x v="196"/>
    <x v="12"/>
    <x v="2"/>
    <x v="6"/>
    <x v="395"/>
    <x v="411"/>
    <n v="3"/>
    <x v="414"/>
  </r>
  <r>
    <d v="2014-07-09T00:00:00"/>
    <x v="197"/>
    <x v="0"/>
    <x v="2"/>
    <x v="6"/>
    <x v="396"/>
    <x v="412"/>
    <n v="3"/>
    <x v="415"/>
  </r>
  <r>
    <d v="2014-07-09T00:00:00"/>
    <x v="197"/>
    <x v="0"/>
    <x v="0"/>
    <x v="3"/>
    <x v="397"/>
    <x v="413"/>
    <n v="2"/>
    <x v="416"/>
  </r>
  <r>
    <d v="2014-07-09T00:00:00"/>
    <x v="197"/>
    <x v="0"/>
    <x v="1"/>
    <x v="10"/>
    <x v="398"/>
    <x v="414"/>
    <n v="1"/>
    <x v="417"/>
  </r>
  <r>
    <d v="2014-07-09T00:00:00"/>
    <x v="197"/>
    <x v="0"/>
    <x v="2"/>
    <x v="9"/>
    <x v="399"/>
    <x v="415"/>
    <n v="4"/>
    <x v="418"/>
  </r>
  <r>
    <d v="2014-07-09T00:00:00"/>
    <x v="197"/>
    <x v="0"/>
    <x v="0"/>
    <x v="4"/>
    <x v="400"/>
    <x v="416"/>
    <n v="3"/>
    <x v="419"/>
  </r>
  <r>
    <d v="2014-07-09T00:00:00"/>
    <x v="198"/>
    <x v="34"/>
    <x v="1"/>
    <x v="10"/>
    <x v="126"/>
    <x v="417"/>
    <n v="5"/>
    <x v="420"/>
  </r>
  <r>
    <d v="2014-07-09T00:00:00"/>
    <x v="198"/>
    <x v="34"/>
    <x v="0"/>
    <x v="3"/>
    <x v="401"/>
    <x v="418"/>
    <n v="2"/>
    <x v="421"/>
  </r>
  <r>
    <d v="2014-07-09T00:00:00"/>
    <x v="198"/>
    <x v="34"/>
    <x v="1"/>
    <x v="5"/>
    <x v="402"/>
    <x v="419"/>
    <n v="2"/>
    <x v="422"/>
  </r>
  <r>
    <d v="2014-07-09T00:00:00"/>
    <x v="198"/>
    <x v="34"/>
    <x v="0"/>
    <x v="2"/>
    <x v="403"/>
    <x v="420"/>
    <n v="2"/>
    <x v="423"/>
  </r>
  <r>
    <d v="2014-07-09T00:00:00"/>
    <x v="199"/>
    <x v="3"/>
    <x v="0"/>
    <x v="14"/>
    <x v="404"/>
    <x v="421"/>
    <n v="4"/>
    <x v="424"/>
  </r>
  <r>
    <d v="2014-07-09T00:00:00"/>
    <x v="199"/>
    <x v="3"/>
    <x v="0"/>
    <x v="0"/>
    <x v="0"/>
    <x v="422"/>
    <n v="2"/>
    <x v="425"/>
  </r>
  <r>
    <d v="2014-07-09T00:00:00"/>
    <x v="199"/>
    <x v="3"/>
    <x v="0"/>
    <x v="3"/>
    <x v="405"/>
    <x v="423"/>
    <n v="5"/>
    <x v="426"/>
  </r>
  <r>
    <d v="2014-07-09T00:00:00"/>
    <x v="200"/>
    <x v="1"/>
    <x v="0"/>
    <x v="7"/>
    <x v="406"/>
    <x v="424"/>
    <n v="5"/>
    <x v="427"/>
  </r>
  <r>
    <d v="2014-07-09T00:00:00"/>
    <x v="200"/>
    <x v="1"/>
    <x v="0"/>
    <x v="3"/>
    <x v="407"/>
    <x v="425"/>
    <n v="3"/>
    <x v="428"/>
  </r>
  <r>
    <d v="2014-07-09T00:00:00"/>
    <x v="200"/>
    <x v="1"/>
    <x v="0"/>
    <x v="3"/>
    <x v="8"/>
    <x v="426"/>
    <n v="5"/>
    <x v="429"/>
  </r>
  <r>
    <d v="2014-08-09T00:00:00"/>
    <x v="201"/>
    <x v="0"/>
    <x v="0"/>
    <x v="4"/>
    <x v="408"/>
    <x v="20"/>
    <n v="3"/>
    <x v="430"/>
  </r>
  <r>
    <d v="2014-08-09T00:00:00"/>
    <x v="201"/>
    <x v="0"/>
    <x v="2"/>
    <x v="16"/>
    <x v="409"/>
    <x v="427"/>
    <n v="8"/>
    <x v="431"/>
  </r>
  <r>
    <d v="2014-08-09T00:00:00"/>
    <x v="201"/>
    <x v="0"/>
    <x v="0"/>
    <x v="2"/>
    <x v="122"/>
    <x v="428"/>
    <n v="3"/>
    <x v="432"/>
  </r>
  <r>
    <d v="2014-08-09T00:00:00"/>
    <x v="201"/>
    <x v="0"/>
    <x v="1"/>
    <x v="5"/>
    <x v="410"/>
    <x v="429"/>
    <n v="9"/>
    <x v="433"/>
  </r>
  <r>
    <d v="2014-08-09T00:00:00"/>
    <x v="201"/>
    <x v="0"/>
    <x v="0"/>
    <x v="4"/>
    <x v="229"/>
    <x v="418"/>
    <n v="6"/>
    <x v="434"/>
  </r>
  <r>
    <d v="2014-08-09T00:00:00"/>
    <x v="201"/>
    <x v="0"/>
    <x v="0"/>
    <x v="13"/>
    <x v="411"/>
    <x v="430"/>
    <n v="5"/>
    <x v="435"/>
  </r>
  <r>
    <d v="2014-08-09T00:00:00"/>
    <x v="201"/>
    <x v="0"/>
    <x v="2"/>
    <x v="6"/>
    <x v="412"/>
    <x v="431"/>
    <n v="3"/>
    <x v="436"/>
  </r>
  <r>
    <d v="2014-08-09T00:00:00"/>
    <x v="166"/>
    <x v="3"/>
    <x v="2"/>
    <x v="9"/>
    <x v="413"/>
    <x v="432"/>
    <n v="2"/>
    <x v="437"/>
  </r>
  <r>
    <d v="2014-08-09T00:00:00"/>
    <x v="202"/>
    <x v="0"/>
    <x v="0"/>
    <x v="3"/>
    <x v="414"/>
    <x v="433"/>
    <n v="4"/>
    <x v="438"/>
  </r>
  <r>
    <d v="2014-08-09T00:00:00"/>
    <x v="203"/>
    <x v="4"/>
    <x v="2"/>
    <x v="9"/>
    <x v="415"/>
    <x v="434"/>
    <n v="3"/>
    <x v="439"/>
  </r>
  <r>
    <d v="2014-08-09T00:00:00"/>
    <x v="203"/>
    <x v="4"/>
    <x v="2"/>
    <x v="9"/>
    <x v="337"/>
    <x v="435"/>
    <n v="4"/>
    <x v="440"/>
  </r>
  <r>
    <d v="2014-08-09T00:00:00"/>
    <x v="135"/>
    <x v="3"/>
    <x v="0"/>
    <x v="13"/>
    <x v="416"/>
    <x v="436"/>
    <n v="5"/>
    <x v="441"/>
  </r>
  <r>
    <d v="2014-08-09T00:00:00"/>
    <x v="135"/>
    <x v="3"/>
    <x v="0"/>
    <x v="2"/>
    <x v="417"/>
    <x v="437"/>
    <n v="1"/>
    <x v="442"/>
  </r>
  <r>
    <d v="2014-08-09T00:00:00"/>
    <x v="135"/>
    <x v="3"/>
    <x v="0"/>
    <x v="7"/>
    <x v="418"/>
    <x v="438"/>
    <n v="2"/>
    <x v="252"/>
  </r>
  <r>
    <d v="2014-08-09T00:00:00"/>
    <x v="204"/>
    <x v="6"/>
    <x v="0"/>
    <x v="7"/>
    <x v="419"/>
    <x v="439"/>
    <n v="9"/>
    <x v="443"/>
  </r>
  <r>
    <d v="2014-08-09T00:00:00"/>
    <x v="204"/>
    <x v="6"/>
    <x v="2"/>
    <x v="16"/>
    <x v="420"/>
    <x v="440"/>
    <n v="3"/>
    <x v="444"/>
  </r>
  <r>
    <d v="2014-08-09T00:00:00"/>
    <x v="205"/>
    <x v="12"/>
    <x v="0"/>
    <x v="13"/>
    <x v="421"/>
    <x v="441"/>
    <n v="2"/>
    <x v="381"/>
  </r>
  <r>
    <d v="2014-08-09T00:00:00"/>
    <x v="206"/>
    <x v="10"/>
    <x v="0"/>
    <x v="4"/>
    <x v="422"/>
    <x v="442"/>
    <n v="2"/>
    <x v="224"/>
  </r>
  <r>
    <d v="2014-08-09T00:00:00"/>
    <x v="206"/>
    <x v="10"/>
    <x v="1"/>
    <x v="5"/>
    <x v="423"/>
    <x v="443"/>
    <n v="5"/>
    <x v="445"/>
  </r>
  <r>
    <d v="2014-08-09T00:00:00"/>
    <x v="206"/>
    <x v="10"/>
    <x v="0"/>
    <x v="4"/>
    <x v="424"/>
    <x v="444"/>
    <n v="8"/>
    <x v="446"/>
  </r>
  <r>
    <d v="2014-08-09T00:00:00"/>
    <x v="206"/>
    <x v="10"/>
    <x v="0"/>
    <x v="2"/>
    <x v="425"/>
    <x v="445"/>
    <n v="6"/>
    <x v="222"/>
  </r>
  <r>
    <d v="2014-08-09T00:00:00"/>
    <x v="207"/>
    <x v="0"/>
    <x v="0"/>
    <x v="0"/>
    <x v="82"/>
    <x v="446"/>
    <n v="2"/>
    <x v="447"/>
  </r>
  <r>
    <d v="2014-08-09T00:00:00"/>
    <x v="207"/>
    <x v="0"/>
    <x v="1"/>
    <x v="5"/>
    <x v="410"/>
    <x v="447"/>
    <n v="5"/>
    <x v="448"/>
  </r>
  <r>
    <d v="2014-08-09T00:00:00"/>
    <x v="207"/>
    <x v="0"/>
    <x v="0"/>
    <x v="0"/>
    <x v="426"/>
    <x v="448"/>
    <n v="6"/>
    <x v="449"/>
  </r>
  <r>
    <d v="2014-08-09T00:00:00"/>
    <x v="208"/>
    <x v="12"/>
    <x v="1"/>
    <x v="5"/>
    <x v="427"/>
    <x v="449"/>
    <n v="2"/>
    <x v="450"/>
  </r>
  <r>
    <d v="2014-08-09T00:00:00"/>
    <x v="208"/>
    <x v="12"/>
    <x v="0"/>
    <x v="4"/>
    <x v="428"/>
    <x v="450"/>
    <n v="2"/>
    <x v="451"/>
  </r>
  <r>
    <d v="2014-08-09T00:00:00"/>
    <x v="209"/>
    <x v="3"/>
    <x v="0"/>
    <x v="3"/>
    <x v="429"/>
    <x v="451"/>
    <n v="2"/>
    <x v="13"/>
  </r>
  <r>
    <d v="2014-09-09T00:00:00"/>
    <x v="210"/>
    <x v="18"/>
    <x v="0"/>
    <x v="1"/>
    <x v="430"/>
    <x v="452"/>
    <n v="7"/>
    <x v="452"/>
  </r>
  <r>
    <d v="2014-09-09T00:00:00"/>
    <x v="211"/>
    <x v="20"/>
    <x v="0"/>
    <x v="0"/>
    <x v="327"/>
    <x v="453"/>
    <n v="3"/>
    <x v="453"/>
  </r>
  <r>
    <d v="2014-09-09T00:00:00"/>
    <x v="211"/>
    <x v="20"/>
    <x v="1"/>
    <x v="5"/>
    <x v="431"/>
    <x v="454"/>
    <n v="6"/>
    <x v="454"/>
  </r>
  <r>
    <d v="2014-09-09T00:00:00"/>
    <x v="211"/>
    <x v="20"/>
    <x v="0"/>
    <x v="0"/>
    <x v="432"/>
    <x v="455"/>
    <n v="2"/>
    <x v="455"/>
  </r>
  <r>
    <d v="2014-09-09T00:00:00"/>
    <x v="211"/>
    <x v="20"/>
    <x v="0"/>
    <x v="2"/>
    <x v="83"/>
    <x v="456"/>
    <n v="5"/>
    <x v="456"/>
  </r>
  <r>
    <d v="2014-09-09T00:00:00"/>
    <x v="212"/>
    <x v="2"/>
    <x v="0"/>
    <x v="0"/>
    <x v="433"/>
    <x v="70"/>
    <n v="3"/>
    <x v="366"/>
  </r>
  <r>
    <d v="2014-09-09T00:00:00"/>
    <x v="212"/>
    <x v="2"/>
    <x v="2"/>
    <x v="9"/>
    <x v="434"/>
    <x v="457"/>
    <n v="6"/>
    <x v="457"/>
  </r>
  <r>
    <d v="2014-09-09T00:00:00"/>
    <x v="212"/>
    <x v="2"/>
    <x v="1"/>
    <x v="8"/>
    <x v="435"/>
    <x v="49"/>
    <n v="3"/>
    <x v="458"/>
  </r>
  <r>
    <d v="2014-09-09T00:00:00"/>
    <x v="212"/>
    <x v="2"/>
    <x v="2"/>
    <x v="6"/>
    <x v="436"/>
    <x v="458"/>
    <n v="1"/>
    <x v="459"/>
  </r>
  <r>
    <d v="2014-09-09T00:00:00"/>
    <x v="213"/>
    <x v="15"/>
    <x v="2"/>
    <x v="16"/>
    <x v="437"/>
    <x v="459"/>
    <n v="2"/>
    <x v="460"/>
  </r>
  <r>
    <d v="2014-09-09T00:00:00"/>
    <x v="214"/>
    <x v="16"/>
    <x v="1"/>
    <x v="8"/>
    <x v="438"/>
    <x v="460"/>
    <n v="6"/>
    <x v="461"/>
  </r>
  <r>
    <d v="2014-09-09T00:00:00"/>
    <x v="214"/>
    <x v="16"/>
    <x v="0"/>
    <x v="4"/>
    <x v="439"/>
    <x v="461"/>
    <n v="9"/>
    <x v="462"/>
  </r>
  <r>
    <d v="2014-09-09T00:00:00"/>
    <x v="215"/>
    <x v="1"/>
    <x v="0"/>
    <x v="0"/>
    <x v="440"/>
    <x v="165"/>
    <n v="3"/>
    <x v="463"/>
  </r>
  <r>
    <d v="2014-10-09T00:00:00"/>
    <x v="216"/>
    <x v="6"/>
    <x v="0"/>
    <x v="3"/>
    <x v="295"/>
    <x v="42"/>
    <n v="2"/>
    <x v="242"/>
  </r>
  <r>
    <d v="2014-10-09T00:00:00"/>
    <x v="36"/>
    <x v="35"/>
    <x v="0"/>
    <x v="11"/>
    <x v="441"/>
    <x v="462"/>
    <n v="7"/>
    <x v="464"/>
  </r>
  <r>
    <d v="2014-10-09T00:00:00"/>
    <x v="36"/>
    <x v="35"/>
    <x v="1"/>
    <x v="5"/>
    <x v="442"/>
    <x v="463"/>
    <n v="5"/>
    <x v="465"/>
  </r>
  <r>
    <d v="2014-10-09T00:00:00"/>
    <x v="217"/>
    <x v="11"/>
    <x v="0"/>
    <x v="13"/>
    <x v="443"/>
    <x v="464"/>
    <n v="4"/>
    <x v="466"/>
  </r>
  <r>
    <d v="2014-10-09T00:00:00"/>
    <x v="217"/>
    <x v="11"/>
    <x v="1"/>
    <x v="8"/>
    <x v="444"/>
    <x v="465"/>
    <n v="5"/>
    <x v="467"/>
  </r>
  <r>
    <d v="2014-11-09T00:00:00"/>
    <x v="218"/>
    <x v="3"/>
    <x v="1"/>
    <x v="8"/>
    <x v="445"/>
    <x v="466"/>
    <n v="3"/>
    <x v="468"/>
  </r>
  <r>
    <d v="2014-12-09T00:00:00"/>
    <x v="62"/>
    <x v="12"/>
    <x v="2"/>
    <x v="16"/>
    <x v="420"/>
    <x v="467"/>
    <n v="1"/>
    <x v="469"/>
  </r>
  <r>
    <d v="2014-12-09T00:00:00"/>
    <x v="219"/>
    <x v="15"/>
    <x v="0"/>
    <x v="0"/>
    <x v="446"/>
    <x v="148"/>
    <n v="2"/>
    <x v="150"/>
  </r>
  <r>
    <d v="2014-12-09T00:00:00"/>
    <x v="219"/>
    <x v="15"/>
    <x v="0"/>
    <x v="13"/>
    <x v="447"/>
    <x v="468"/>
    <n v="5"/>
    <x v="376"/>
  </r>
  <r>
    <d v="2014-12-09T00:00:00"/>
    <x v="219"/>
    <x v="15"/>
    <x v="2"/>
    <x v="9"/>
    <x v="448"/>
    <x v="469"/>
    <n v="1"/>
    <x v="470"/>
  </r>
  <r>
    <d v="2014-12-09T00:00:00"/>
    <x v="220"/>
    <x v="0"/>
    <x v="0"/>
    <x v="3"/>
    <x v="449"/>
    <x v="268"/>
    <n v="5"/>
    <x v="471"/>
  </r>
  <r>
    <d v="2014-12-09T00:00:00"/>
    <x v="97"/>
    <x v="16"/>
    <x v="0"/>
    <x v="3"/>
    <x v="450"/>
    <x v="470"/>
    <n v="7"/>
    <x v="472"/>
  </r>
  <r>
    <d v="2014-12-09T00:00:00"/>
    <x v="221"/>
    <x v="36"/>
    <x v="0"/>
    <x v="14"/>
    <x v="451"/>
    <x v="471"/>
    <n v="3"/>
    <x v="473"/>
  </r>
  <r>
    <d v="2014-12-09T00:00:00"/>
    <x v="221"/>
    <x v="36"/>
    <x v="2"/>
    <x v="9"/>
    <x v="452"/>
    <x v="472"/>
    <n v="5"/>
    <x v="474"/>
  </r>
  <r>
    <d v="2014-12-09T00:00:00"/>
    <x v="221"/>
    <x v="36"/>
    <x v="0"/>
    <x v="3"/>
    <x v="453"/>
    <x v="473"/>
    <n v="2"/>
    <x v="475"/>
  </r>
  <r>
    <d v="2014-12-09T00:00:00"/>
    <x v="221"/>
    <x v="36"/>
    <x v="1"/>
    <x v="8"/>
    <x v="454"/>
    <x v="474"/>
    <n v="2"/>
    <x v="476"/>
  </r>
  <r>
    <d v="2014-12-09T00:00:00"/>
    <x v="222"/>
    <x v="12"/>
    <x v="1"/>
    <x v="5"/>
    <x v="455"/>
    <x v="475"/>
    <n v="6"/>
    <x v="477"/>
  </r>
  <r>
    <d v="2014-01-10T00:00:00"/>
    <x v="223"/>
    <x v="13"/>
    <x v="0"/>
    <x v="7"/>
    <x v="456"/>
    <x v="476"/>
    <n v="1"/>
    <x v="52"/>
  </r>
  <r>
    <d v="2014-02-10T00:00:00"/>
    <x v="224"/>
    <x v="23"/>
    <x v="0"/>
    <x v="0"/>
    <x v="457"/>
    <x v="477"/>
    <n v="2"/>
    <x v="463"/>
  </r>
  <r>
    <d v="2014-02-10T00:00:00"/>
    <x v="224"/>
    <x v="23"/>
    <x v="0"/>
    <x v="7"/>
    <x v="22"/>
    <x v="478"/>
    <n v="2"/>
    <x v="478"/>
  </r>
  <r>
    <d v="2014-02-10T00:00:00"/>
    <x v="224"/>
    <x v="23"/>
    <x v="2"/>
    <x v="6"/>
    <x v="458"/>
    <x v="479"/>
    <n v="2"/>
    <x v="479"/>
  </r>
  <r>
    <d v="2014-02-10T00:00:00"/>
    <x v="224"/>
    <x v="23"/>
    <x v="0"/>
    <x v="11"/>
    <x v="459"/>
    <x v="480"/>
    <n v="6"/>
    <x v="480"/>
  </r>
  <r>
    <d v="2014-02-10T00:00:00"/>
    <x v="224"/>
    <x v="23"/>
    <x v="0"/>
    <x v="14"/>
    <x v="460"/>
    <x v="481"/>
    <n v="2"/>
    <x v="481"/>
  </r>
  <r>
    <d v="2014-02-10T00:00:00"/>
    <x v="224"/>
    <x v="23"/>
    <x v="2"/>
    <x v="6"/>
    <x v="156"/>
    <x v="482"/>
    <n v="3"/>
    <x v="482"/>
  </r>
  <r>
    <d v="2014-02-10T00:00:00"/>
    <x v="224"/>
    <x v="23"/>
    <x v="2"/>
    <x v="9"/>
    <x v="461"/>
    <x v="483"/>
    <n v="1"/>
    <x v="483"/>
  </r>
  <r>
    <d v="2014-03-10T00:00:00"/>
    <x v="225"/>
    <x v="1"/>
    <x v="1"/>
    <x v="5"/>
    <x v="275"/>
    <x v="484"/>
    <n v="3"/>
    <x v="484"/>
  </r>
  <r>
    <d v="2014-03-10T00:00:00"/>
    <x v="226"/>
    <x v="3"/>
    <x v="1"/>
    <x v="10"/>
    <x v="54"/>
    <x v="485"/>
    <n v="1"/>
    <x v="485"/>
  </r>
  <r>
    <d v="2014-03-10T00:00:00"/>
    <x v="226"/>
    <x v="3"/>
    <x v="1"/>
    <x v="5"/>
    <x v="462"/>
    <x v="486"/>
    <n v="3"/>
    <x v="486"/>
  </r>
  <r>
    <d v="2014-03-10T00:00:00"/>
    <x v="227"/>
    <x v="15"/>
    <x v="0"/>
    <x v="2"/>
    <x v="345"/>
    <x v="487"/>
    <n v="2"/>
    <x v="487"/>
  </r>
  <r>
    <d v="2014-03-10T00:00:00"/>
    <x v="227"/>
    <x v="15"/>
    <x v="0"/>
    <x v="4"/>
    <x v="255"/>
    <x v="488"/>
    <n v="3"/>
    <x v="488"/>
  </r>
  <r>
    <d v="2014-03-10T00:00:00"/>
    <x v="228"/>
    <x v="16"/>
    <x v="0"/>
    <x v="4"/>
    <x v="463"/>
    <x v="489"/>
    <n v="2"/>
    <x v="381"/>
  </r>
  <r>
    <d v="2014-03-10T00:00:00"/>
    <x v="228"/>
    <x v="16"/>
    <x v="0"/>
    <x v="11"/>
    <x v="464"/>
    <x v="490"/>
    <n v="5"/>
    <x v="489"/>
  </r>
  <r>
    <d v="2014-03-10T00:00:00"/>
    <x v="228"/>
    <x v="16"/>
    <x v="2"/>
    <x v="9"/>
    <x v="465"/>
    <x v="491"/>
    <n v="3"/>
    <x v="490"/>
  </r>
  <r>
    <d v="2014-03-10T00:00:00"/>
    <x v="229"/>
    <x v="0"/>
    <x v="0"/>
    <x v="7"/>
    <x v="466"/>
    <x v="492"/>
    <n v="3"/>
    <x v="491"/>
  </r>
  <r>
    <d v="2014-03-10T00:00:00"/>
    <x v="229"/>
    <x v="0"/>
    <x v="1"/>
    <x v="8"/>
    <x v="388"/>
    <x v="493"/>
    <n v="3"/>
    <x v="492"/>
  </r>
  <r>
    <d v="2014-03-10T00:00:00"/>
    <x v="229"/>
    <x v="0"/>
    <x v="0"/>
    <x v="1"/>
    <x v="467"/>
    <x v="494"/>
    <n v="2"/>
    <x v="493"/>
  </r>
  <r>
    <d v="2014-03-10T00:00:00"/>
    <x v="229"/>
    <x v="0"/>
    <x v="0"/>
    <x v="3"/>
    <x v="282"/>
    <x v="495"/>
    <n v="3"/>
    <x v="494"/>
  </r>
  <r>
    <d v="2014-03-10T00:00:00"/>
    <x v="229"/>
    <x v="0"/>
    <x v="0"/>
    <x v="7"/>
    <x v="456"/>
    <x v="496"/>
    <n v="4"/>
    <x v="495"/>
  </r>
  <r>
    <d v="2014-04-10T00:00:00"/>
    <x v="230"/>
    <x v="3"/>
    <x v="0"/>
    <x v="1"/>
    <x v="468"/>
    <x v="497"/>
    <n v="5"/>
    <x v="496"/>
  </r>
  <r>
    <d v="2014-04-10T00:00:00"/>
    <x v="230"/>
    <x v="3"/>
    <x v="0"/>
    <x v="3"/>
    <x v="469"/>
    <x v="498"/>
    <n v="2"/>
    <x v="497"/>
  </r>
  <r>
    <d v="2014-04-10T00:00:00"/>
    <x v="231"/>
    <x v="10"/>
    <x v="0"/>
    <x v="1"/>
    <x v="470"/>
    <x v="499"/>
    <n v="4"/>
    <x v="498"/>
  </r>
  <r>
    <d v="2014-04-10T00:00:00"/>
    <x v="215"/>
    <x v="12"/>
    <x v="1"/>
    <x v="5"/>
    <x v="471"/>
    <x v="500"/>
    <n v="5"/>
    <x v="499"/>
  </r>
  <r>
    <d v="2014-05-10T00:00:00"/>
    <x v="232"/>
    <x v="16"/>
    <x v="0"/>
    <x v="13"/>
    <x v="246"/>
    <x v="501"/>
    <n v="5"/>
    <x v="500"/>
  </r>
  <r>
    <d v="2014-05-10T00:00:00"/>
    <x v="233"/>
    <x v="3"/>
    <x v="2"/>
    <x v="9"/>
    <x v="472"/>
    <x v="112"/>
    <n v="2"/>
    <x v="501"/>
  </r>
  <r>
    <d v="2014-06-10T00:00:00"/>
    <x v="234"/>
    <x v="3"/>
    <x v="2"/>
    <x v="9"/>
    <x v="473"/>
    <x v="502"/>
    <n v="3"/>
    <x v="502"/>
  </r>
  <r>
    <d v="2014-06-10T00:00:00"/>
    <x v="235"/>
    <x v="37"/>
    <x v="0"/>
    <x v="3"/>
    <x v="384"/>
    <x v="481"/>
    <n v="2"/>
    <x v="503"/>
  </r>
  <r>
    <d v="2014-06-10T00:00:00"/>
    <x v="231"/>
    <x v="2"/>
    <x v="0"/>
    <x v="2"/>
    <x v="474"/>
    <x v="423"/>
    <n v="5"/>
    <x v="504"/>
  </r>
  <r>
    <d v="2014-06-10T00:00:00"/>
    <x v="195"/>
    <x v="26"/>
    <x v="0"/>
    <x v="2"/>
    <x v="475"/>
    <x v="503"/>
    <n v="2"/>
    <x v="505"/>
  </r>
  <r>
    <d v="2014-07-10T00:00:00"/>
    <x v="192"/>
    <x v="2"/>
    <x v="1"/>
    <x v="8"/>
    <x v="476"/>
    <x v="504"/>
    <n v="5"/>
    <x v="506"/>
  </r>
  <r>
    <d v="2014-07-10T00:00:00"/>
    <x v="58"/>
    <x v="0"/>
    <x v="0"/>
    <x v="2"/>
    <x v="477"/>
    <x v="505"/>
    <n v="10"/>
    <x v="84"/>
  </r>
  <r>
    <d v="2014-08-10T00:00:00"/>
    <x v="236"/>
    <x v="15"/>
    <x v="2"/>
    <x v="9"/>
    <x v="478"/>
    <x v="506"/>
    <n v="3"/>
    <x v="507"/>
  </r>
  <r>
    <d v="2014-08-10T00:00:00"/>
    <x v="237"/>
    <x v="12"/>
    <x v="0"/>
    <x v="0"/>
    <x v="479"/>
    <x v="507"/>
    <n v="4"/>
    <x v="508"/>
  </r>
  <r>
    <d v="2014-09-10T00:00:00"/>
    <x v="119"/>
    <x v="15"/>
    <x v="0"/>
    <x v="0"/>
    <x v="112"/>
    <x v="508"/>
    <n v="2"/>
    <x v="509"/>
  </r>
  <r>
    <d v="2014-09-10T00:00:00"/>
    <x v="238"/>
    <x v="3"/>
    <x v="0"/>
    <x v="4"/>
    <x v="211"/>
    <x v="509"/>
    <n v="3"/>
    <x v="350"/>
  </r>
  <r>
    <d v="2014-09-10T00:00:00"/>
    <x v="238"/>
    <x v="3"/>
    <x v="2"/>
    <x v="6"/>
    <x v="480"/>
    <x v="510"/>
    <n v="1"/>
    <x v="510"/>
  </r>
  <r>
    <d v="2014-10-10T00:00:00"/>
    <x v="239"/>
    <x v="3"/>
    <x v="1"/>
    <x v="5"/>
    <x v="462"/>
    <x v="486"/>
    <n v="3"/>
    <x v="486"/>
  </r>
  <r>
    <d v="2014-10-10T00:00:00"/>
    <x v="239"/>
    <x v="3"/>
    <x v="0"/>
    <x v="11"/>
    <x v="481"/>
    <x v="225"/>
    <n v="2"/>
    <x v="228"/>
  </r>
  <r>
    <d v="2014-10-10T00:00:00"/>
    <x v="62"/>
    <x v="23"/>
    <x v="1"/>
    <x v="8"/>
    <x v="482"/>
    <x v="511"/>
    <n v="7"/>
    <x v="511"/>
  </r>
  <r>
    <d v="2014-10-10T00:00:00"/>
    <x v="40"/>
    <x v="0"/>
    <x v="2"/>
    <x v="6"/>
    <x v="97"/>
    <x v="512"/>
    <n v="6"/>
    <x v="512"/>
  </r>
  <r>
    <d v="2014-10-10T00:00:00"/>
    <x v="40"/>
    <x v="0"/>
    <x v="2"/>
    <x v="6"/>
    <x v="483"/>
    <x v="513"/>
    <n v="7"/>
    <x v="513"/>
  </r>
  <r>
    <d v="2014-10-10T00:00:00"/>
    <x v="40"/>
    <x v="0"/>
    <x v="0"/>
    <x v="3"/>
    <x v="151"/>
    <x v="514"/>
    <n v="5"/>
    <x v="514"/>
  </r>
  <r>
    <d v="2014-10-10T00:00:00"/>
    <x v="40"/>
    <x v="0"/>
    <x v="0"/>
    <x v="3"/>
    <x v="107"/>
    <x v="515"/>
    <n v="1"/>
    <x v="515"/>
  </r>
  <r>
    <d v="2014-10-10T00:00:00"/>
    <x v="46"/>
    <x v="16"/>
    <x v="2"/>
    <x v="16"/>
    <x v="484"/>
    <x v="516"/>
    <n v="2"/>
    <x v="516"/>
  </r>
  <r>
    <d v="2014-10-10T00:00:00"/>
    <x v="46"/>
    <x v="16"/>
    <x v="0"/>
    <x v="3"/>
    <x v="450"/>
    <x v="517"/>
    <n v="2"/>
    <x v="517"/>
  </r>
  <r>
    <d v="2014-10-10T00:00:00"/>
    <x v="240"/>
    <x v="38"/>
    <x v="0"/>
    <x v="4"/>
    <x v="485"/>
    <x v="518"/>
    <n v="7"/>
    <x v="518"/>
  </r>
  <r>
    <d v="2014-11-10T00:00:00"/>
    <x v="241"/>
    <x v="2"/>
    <x v="0"/>
    <x v="2"/>
    <x v="486"/>
    <x v="519"/>
    <n v="2"/>
    <x v="519"/>
  </r>
  <r>
    <d v="2014-11-10T00:00:00"/>
    <x v="241"/>
    <x v="2"/>
    <x v="0"/>
    <x v="11"/>
    <x v="487"/>
    <x v="520"/>
    <n v="3"/>
    <x v="520"/>
  </r>
  <r>
    <d v="2014-11-10T00:00:00"/>
    <x v="242"/>
    <x v="10"/>
    <x v="1"/>
    <x v="8"/>
    <x v="488"/>
    <x v="521"/>
    <n v="11"/>
    <x v="521"/>
  </r>
  <r>
    <d v="2014-11-10T00:00:00"/>
    <x v="242"/>
    <x v="10"/>
    <x v="2"/>
    <x v="9"/>
    <x v="489"/>
    <x v="522"/>
    <n v="5"/>
    <x v="522"/>
  </r>
  <r>
    <d v="2014-11-10T00:00:00"/>
    <x v="243"/>
    <x v="3"/>
    <x v="0"/>
    <x v="2"/>
    <x v="490"/>
    <x v="523"/>
    <n v="4"/>
    <x v="523"/>
  </r>
  <r>
    <d v="2014-11-10T00:00:00"/>
    <x v="243"/>
    <x v="3"/>
    <x v="1"/>
    <x v="5"/>
    <x v="491"/>
    <x v="524"/>
    <n v="2"/>
    <x v="524"/>
  </r>
  <r>
    <d v="2014-11-10T00:00:00"/>
    <x v="244"/>
    <x v="29"/>
    <x v="0"/>
    <x v="1"/>
    <x v="305"/>
    <x v="525"/>
    <n v="1"/>
    <x v="525"/>
  </r>
  <r>
    <d v="2014-11-10T00:00:00"/>
    <x v="244"/>
    <x v="29"/>
    <x v="1"/>
    <x v="8"/>
    <x v="492"/>
    <x v="526"/>
    <n v="4"/>
    <x v="526"/>
  </r>
  <r>
    <d v="2014-11-10T00:00:00"/>
    <x v="245"/>
    <x v="3"/>
    <x v="0"/>
    <x v="11"/>
    <x v="481"/>
    <x v="527"/>
    <n v="1"/>
    <x v="527"/>
  </r>
  <r>
    <d v="2014-12-10T00:00:00"/>
    <x v="237"/>
    <x v="3"/>
    <x v="0"/>
    <x v="4"/>
    <x v="493"/>
    <x v="528"/>
    <n v="5"/>
    <x v="528"/>
  </r>
  <r>
    <d v="2014-12-10T00:00:00"/>
    <x v="237"/>
    <x v="3"/>
    <x v="0"/>
    <x v="2"/>
    <x v="494"/>
    <x v="529"/>
    <n v="1"/>
    <x v="529"/>
  </r>
  <r>
    <d v="2014-12-10T00:00:00"/>
    <x v="246"/>
    <x v="1"/>
    <x v="0"/>
    <x v="14"/>
    <x v="495"/>
    <x v="530"/>
    <n v="2"/>
    <x v="530"/>
  </r>
  <r>
    <d v="2014-01-11T00:00:00"/>
    <x v="247"/>
    <x v="19"/>
    <x v="0"/>
    <x v="4"/>
    <x v="180"/>
    <x v="531"/>
    <n v="3"/>
    <x v="406"/>
  </r>
  <r>
    <d v="2014-01-11T00:00:00"/>
    <x v="247"/>
    <x v="19"/>
    <x v="2"/>
    <x v="6"/>
    <x v="496"/>
    <x v="532"/>
    <n v="4"/>
    <x v="531"/>
  </r>
  <r>
    <d v="2014-01-11T00:00:00"/>
    <x v="248"/>
    <x v="35"/>
    <x v="0"/>
    <x v="2"/>
    <x v="497"/>
    <x v="533"/>
    <n v="5"/>
    <x v="532"/>
  </r>
  <r>
    <d v="2014-01-11T00:00:00"/>
    <x v="248"/>
    <x v="35"/>
    <x v="2"/>
    <x v="6"/>
    <x v="498"/>
    <x v="534"/>
    <n v="3"/>
    <x v="533"/>
  </r>
  <r>
    <d v="2014-01-11T00:00:00"/>
    <x v="249"/>
    <x v="15"/>
    <x v="0"/>
    <x v="7"/>
    <x v="22"/>
    <x v="535"/>
    <n v="5"/>
    <x v="292"/>
  </r>
  <r>
    <d v="2014-01-11T00:00:00"/>
    <x v="249"/>
    <x v="15"/>
    <x v="0"/>
    <x v="4"/>
    <x v="439"/>
    <x v="536"/>
    <n v="3"/>
    <x v="534"/>
  </r>
  <r>
    <d v="2014-01-11T00:00:00"/>
    <x v="249"/>
    <x v="15"/>
    <x v="0"/>
    <x v="1"/>
    <x v="222"/>
    <x v="537"/>
    <n v="12"/>
    <x v="535"/>
  </r>
  <r>
    <d v="2014-01-11T00:00:00"/>
    <x v="249"/>
    <x v="15"/>
    <x v="2"/>
    <x v="6"/>
    <x v="499"/>
    <x v="538"/>
    <n v="9"/>
    <x v="536"/>
  </r>
  <r>
    <d v="2014-01-11T00:00:00"/>
    <x v="250"/>
    <x v="1"/>
    <x v="0"/>
    <x v="0"/>
    <x v="500"/>
    <x v="539"/>
    <n v="3"/>
    <x v="537"/>
  </r>
  <r>
    <d v="2014-01-11T00:00:00"/>
    <x v="4"/>
    <x v="5"/>
    <x v="0"/>
    <x v="2"/>
    <x v="501"/>
    <x v="540"/>
    <n v="2"/>
    <x v="538"/>
  </r>
  <r>
    <d v="2014-01-11T00:00:00"/>
    <x v="4"/>
    <x v="5"/>
    <x v="0"/>
    <x v="4"/>
    <x v="502"/>
    <x v="541"/>
    <n v="3"/>
    <x v="343"/>
  </r>
  <r>
    <d v="2014-01-11T00:00:00"/>
    <x v="251"/>
    <x v="3"/>
    <x v="0"/>
    <x v="1"/>
    <x v="503"/>
    <x v="542"/>
    <n v="3"/>
    <x v="539"/>
  </r>
  <r>
    <d v="2014-01-11T00:00:00"/>
    <x v="251"/>
    <x v="3"/>
    <x v="0"/>
    <x v="0"/>
    <x v="177"/>
    <x v="543"/>
    <n v="5"/>
    <x v="540"/>
  </r>
  <r>
    <d v="2014-01-11T00:00:00"/>
    <x v="213"/>
    <x v="12"/>
    <x v="0"/>
    <x v="13"/>
    <x v="411"/>
    <x v="544"/>
    <n v="3"/>
    <x v="541"/>
  </r>
  <r>
    <d v="2014-01-11T00:00:00"/>
    <x v="213"/>
    <x v="12"/>
    <x v="0"/>
    <x v="0"/>
    <x v="320"/>
    <x v="545"/>
    <n v="3"/>
    <x v="542"/>
  </r>
  <r>
    <d v="2014-01-11T00:00:00"/>
    <x v="213"/>
    <x v="12"/>
    <x v="1"/>
    <x v="8"/>
    <x v="504"/>
    <x v="546"/>
    <n v="6"/>
    <x v="543"/>
  </r>
  <r>
    <d v="2014-01-11T00:00:00"/>
    <x v="252"/>
    <x v="11"/>
    <x v="0"/>
    <x v="13"/>
    <x v="339"/>
    <x v="352"/>
    <n v="2"/>
    <x v="353"/>
  </r>
  <r>
    <d v="2014-01-11T00:00:00"/>
    <x v="253"/>
    <x v="16"/>
    <x v="1"/>
    <x v="8"/>
    <x v="505"/>
    <x v="547"/>
    <n v="2"/>
    <x v="544"/>
  </r>
  <r>
    <d v="2014-01-11T00:00:00"/>
    <x v="253"/>
    <x v="16"/>
    <x v="0"/>
    <x v="3"/>
    <x v="506"/>
    <x v="548"/>
    <n v="2"/>
    <x v="545"/>
  </r>
  <r>
    <d v="2014-01-11T00:00:00"/>
    <x v="253"/>
    <x v="16"/>
    <x v="0"/>
    <x v="3"/>
    <x v="216"/>
    <x v="549"/>
    <n v="3"/>
    <x v="546"/>
  </r>
  <r>
    <d v="2014-02-11T00:00:00"/>
    <x v="179"/>
    <x v="12"/>
    <x v="0"/>
    <x v="1"/>
    <x v="507"/>
    <x v="550"/>
    <n v="7"/>
    <x v="547"/>
  </r>
  <r>
    <d v="2014-02-11T00:00:00"/>
    <x v="179"/>
    <x v="12"/>
    <x v="1"/>
    <x v="8"/>
    <x v="508"/>
    <x v="551"/>
    <n v="6"/>
    <x v="548"/>
  </r>
  <r>
    <d v="2014-02-11T00:00:00"/>
    <x v="254"/>
    <x v="0"/>
    <x v="2"/>
    <x v="6"/>
    <x v="262"/>
    <x v="552"/>
    <n v="3"/>
    <x v="549"/>
  </r>
  <r>
    <d v="2014-02-11T00:00:00"/>
    <x v="255"/>
    <x v="16"/>
    <x v="2"/>
    <x v="6"/>
    <x v="509"/>
    <x v="553"/>
    <n v="6"/>
    <x v="550"/>
  </r>
  <r>
    <d v="2014-02-11T00:00:00"/>
    <x v="255"/>
    <x v="16"/>
    <x v="2"/>
    <x v="6"/>
    <x v="510"/>
    <x v="554"/>
    <n v="7"/>
    <x v="67"/>
  </r>
  <r>
    <d v="2014-02-11T00:00:00"/>
    <x v="255"/>
    <x v="16"/>
    <x v="0"/>
    <x v="3"/>
    <x v="511"/>
    <x v="555"/>
    <n v="3"/>
    <x v="551"/>
  </r>
  <r>
    <d v="2014-02-11T00:00:00"/>
    <x v="256"/>
    <x v="9"/>
    <x v="2"/>
    <x v="9"/>
    <x v="136"/>
    <x v="556"/>
    <n v="10"/>
    <x v="552"/>
  </r>
  <r>
    <d v="2014-02-11T00:00:00"/>
    <x v="257"/>
    <x v="3"/>
    <x v="2"/>
    <x v="6"/>
    <x v="32"/>
    <x v="557"/>
    <n v="2"/>
    <x v="553"/>
  </r>
  <r>
    <d v="2014-02-11T00:00:00"/>
    <x v="257"/>
    <x v="3"/>
    <x v="0"/>
    <x v="2"/>
    <x v="512"/>
    <x v="558"/>
    <n v="2"/>
    <x v="554"/>
  </r>
  <r>
    <d v="2014-02-11T00:00:00"/>
    <x v="258"/>
    <x v="10"/>
    <x v="2"/>
    <x v="9"/>
    <x v="337"/>
    <x v="559"/>
    <n v="2"/>
    <x v="555"/>
  </r>
  <r>
    <d v="2014-02-11T00:00:00"/>
    <x v="258"/>
    <x v="10"/>
    <x v="2"/>
    <x v="6"/>
    <x v="513"/>
    <x v="560"/>
    <n v="1"/>
    <x v="487"/>
  </r>
  <r>
    <d v="2014-03-11T00:00:00"/>
    <x v="132"/>
    <x v="2"/>
    <x v="0"/>
    <x v="14"/>
    <x v="451"/>
    <x v="561"/>
    <n v="3"/>
    <x v="556"/>
  </r>
  <r>
    <d v="2014-03-11T00:00:00"/>
    <x v="259"/>
    <x v="12"/>
    <x v="2"/>
    <x v="6"/>
    <x v="89"/>
    <x v="562"/>
    <n v="4"/>
    <x v="557"/>
  </r>
  <r>
    <d v="2014-03-11T00:00:00"/>
    <x v="259"/>
    <x v="12"/>
    <x v="0"/>
    <x v="3"/>
    <x v="23"/>
    <x v="563"/>
    <n v="2"/>
    <x v="558"/>
  </r>
  <r>
    <d v="2014-03-11T00:00:00"/>
    <x v="259"/>
    <x v="12"/>
    <x v="0"/>
    <x v="3"/>
    <x v="514"/>
    <x v="564"/>
    <n v="2"/>
    <x v="559"/>
  </r>
  <r>
    <d v="2014-03-11T00:00:00"/>
    <x v="260"/>
    <x v="27"/>
    <x v="0"/>
    <x v="14"/>
    <x v="515"/>
    <x v="565"/>
    <n v="3"/>
    <x v="560"/>
  </r>
  <r>
    <d v="2014-03-11T00:00:00"/>
    <x v="261"/>
    <x v="31"/>
    <x v="0"/>
    <x v="0"/>
    <x v="516"/>
    <x v="314"/>
    <n v="2"/>
    <x v="561"/>
  </r>
  <r>
    <d v="2014-03-11T00:00:00"/>
    <x v="261"/>
    <x v="31"/>
    <x v="0"/>
    <x v="0"/>
    <x v="315"/>
    <x v="566"/>
    <n v="9"/>
    <x v="562"/>
  </r>
  <r>
    <d v="2014-03-11T00:00:00"/>
    <x v="257"/>
    <x v="15"/>
    <x v="0"/>
    <x v="2"/>
    <x v="35"/>
    <x v="567"/>
    <n v="2"/>
    <x v="563"/>
  </r>
  <r>
    <d v="2014-03-11T00:00:00"/>
    <x v="257"/>
    <x v="15"/>
    <x v="1"/>
    <x v="10"/>
    <x v="517"/>
    <x v="568"/>
    <n v="6"/>
    <x v="564"/>
  </r>
  <r>
    <d v="2014-03-11T00:00:00"/>
    <x v="257"/>
    <x v="15"/>
    <x v="0"/>
    <x v="3"/>
    <x v="518"/>
    <x v="293"/>
    <n v="7"/>
    <x v="565"/>
  </r>
  <r>
    <d v="2014-03-11T00:00:00"/>
    <x v="257"/>
    <x v="15"/>
    <x v="1"/>
    <x v="8"/>
    <x v="519"/>
    <x v="569"/>
    <n v="3"/>
    <x v="566"/>
  </r>
  <r>
    <d v="2014-03-11T00:00:00"/>
    <x v="262"/>
    <x v="11"/>
    <x v="0"/>
    <x v="3"/>
    <x v="261"/>
    <x v="570"/>
    <n v="2"/>
    <x v="567"/>
  </r>
  <r>
    <d v="2014-03-11T00:00:00"/>
    <x v="165"/>
    <x v="37"/>
    <x v="2"/>
    <x v="9"/>
    <x v="520"/>
    <x v="571"/>
    <n v="3"/>
    <x v="568"/>
  </r>
  <r>
    <d v="2014-03-11T00:00:00"/>
    <x v="263"/>
    <x v="3"/>
    <x v="0"/>
    <x v="4"/>
    <x v="521"/>
    <x v="572"/>
    <n v="4"/>
    <x v="569"/>
  </r>
  <r>
    <d v="2014-04-11T00:00:00"/>
    <x v="20"/>
    <x v="12"/>
    <x v="1"/>
    <x v="5"/>
    <x v="522"/>
    <x v="573"/>
    <n v="1"/>
    <x v="570"/>
  </r>
  <r>
    <d v="2014-04-11T00:00:00"/>
    <x v="20"/>
    <x v="12"/>
    <x v="2"/>
    <x v="16"/>
    <x v="523"/>
    <x v="574"/>
    <n v="2"/>
    <x v="571"/>
  </r>
  <r>
    <d v="2014-04-11T00:00:00"/>
    <x v="20"/>
    <x v="12"/>
    <x v="2"/>
    <x v="6"/>
    <x v="524"/>
    <x v="575"/>
    <n v="6"/>
    <x v="572"/>
  </r>
  <r>
    <d v="2014-04-11T00:00:00"/>
    <x v="20"/>
    <x v="12"/>
    <x v="2"/>
    <x v="9"/>
    <x v="525"/>
    <x v="576"/>
    <n v="4"/>
    <x v="573"/>
  </r>
  <r>
    <d v="2014-04-11T00:00:00"/>
    <x v="20"/>
    <x v="12"/>
    <x v="0"/>
    <x v="2"/>
    <x v="526"/>
    <x v="577"/>
    <n v="1"/>
    <x v="574"/>
  </r>
  <r>
    <d v="2014-04-11T00:00:00"/>
    <x v="264"/>
    <x v="15"/>
    <x v="0"/>
    <x v="7"/>
    <x v="527"/>
    <x v="578"/>
    <n v="3"/>
    <x v="182"/>
  </r>
  <r>
    <d v="2014-04-11T00:00:00"/>
    <x v="264"/>
    <x v="15"/>
    <x v="0"/>
    <x v="13"/>
    <x v="215"/>
    <x v="579"/>
    <n v="5"/>
    <x v="537"/>
  </r>
  <r>
    <d v="2014-04-11T00:00:00"/>
    <x v="265"/>
    <x v="3"/>
    <x v="1"/>
    <x v="8"/>
    <x v="528"/>
    <x v="580"/>
    <n v="2"/>
    <x v="575"/>
  </r>
  <r>
    <d v="2014-04-11T00:00:00"/>
    <x v="266"/>
    <x v="3"/>
    <x v="2"/>
    <x v="6"/>
    <x v="529"/>
    <x v="581"/>
    <n v="7"/>
    <x v="576"/>
  </r>
  <r>
    <d v="2014-04-11T00:00:00"/>
    <x v="266"/>
    <x v="3"/>
    <x v="1"/>
    <x v="10"/>
    <x v="237"/>
    <x v="582"/>
    <n v="4"/>
    <x v="577"/>
  </r>
  <r>
    <d v="2014-04-11T00:00:00"/>
    <x v="266"/>
    <x v="3"/>
    <x v="0"/>
    <x v="3"/>
    <x v="530"/>
    <x v="583"/>
    <n v="3"/>
    <x v="578"/>
  </r>
  <r>
    <d v="2014-04-11T00:00:00"/>
    <x v="266"/>
    <x v="3"/>
    <x v="0"/>
    <x v="0"/>
    <x v="392"/>
    <x v="5"/>
    <n v="3"/>
    <x v="5"/>
  </r>
  <r>
    <d v="2014-04-11T00:00:00"/>
    <x v="266"/>
    <x v="3"/>
    <x v="2"/>
    <x v="16"/>
    <x v="531"/>
    <x v="584"/>
    <n v="4"/>
    <x v="147"/>
  </r>
  <r>
    <d v="2014-04-11T00:00:00"/>
    <x v="197"/>
    <x v="12"/>
    <x v="0"/>
    <x v="3"/>
    <x v="532"/>
    <x v="585"/>
    <n v="4"/>
    <x v="579"/>
  </r>
  <r>
    <d v="2014-04-11T00:00:00"/>
    <x v="267"/>
    <x v="3"/>
    <x v="0"/>
    <x v="4"/>
    <x v="533"/>
    <x v="586"/>
    <n v="1"/>
    <x v="580"/>
  </r>
  <r>
    <d v="2014-05-11T00:00:00"/>
    <x v="268"/>
    <x v="3"/>
    <x v="1"/>
    <x v="8"/>
    <x v="534"/>
    <x v="587"/>
    <n v="6"/>
    <x v="581"/>
  </r>
  <r>
    <d v="2014-05-11T00:00:00"/>
    <x v="269"/>
    <x v="6"/>
    <x v="2"/>
    <x v="9"/>
    <x v="535"/>
    <x v="588"/>
    <n v="3"/>
    <x v="582"/>
  </r>
  <r>
    <d v="2014-05-11T00:00:00"/>
    <x v="270"/>
    <x v="2"/>
    <x v="1"/>
    <x v="8"/>
    <x v="519"/>
    <x v="589"/>
    <n v="2"/>
    <x v="583"/>
  </r>
  <r>
    <d v="2014-05-11T00:00:00"/>
    <x v="270"/>
    <x v="2"/>
    <x v="0"/>
    <x v="3"/>
    <x v="178"/>
    <x v="590"/>
    <n v="2"/>
    <x v="584"/>
  </r>
  <r>
    <d v="2014-05-11T00:00:00"/>
    <x v="270"/>
    <x v="2"/>
    <x v="0"/>
    <x v="2"/>
    <x v="536"/>
    <x v="591"/>
    <n v="6"/>
    <x v="585"/>
  </r>
  <r>
    <d v="2014-05-11T00:00:00"/>
    <x v="270"/>
    <x v="2"/>
    <x v="2"/>
    <x v="9"/>
    <x v="537"/>
    <x v="592"/>
    <n v="5"/>
    <x v="586"/>
  </r>
  <r>
    <d v="2014-05-11T00:00:00"/>
    <x v="270"/>
    <x v="2"/>
    <x v="2"/>
    <x v="9"/>
    <x v="538"/>
    <x v="593"/>
    <n v="2"/>
    <x v="587"/>
  </r>
  <r>
    <d v="2014-05-11T00:00:00"/>
    <x v="271"/>
    <x v="6"/>
    <x v="1"/>
    <x v="5"/>
    <x v="539"/>
    <x v="594"/>
    <n v="5"/>
    <x v="588"/>
  </r>
  <r>
    <d v="2014-06-11T00:00:00"/>
    <x v="272"/>
    <x v="4"/>
    <x v="0"/>
    <x v="0"/>
    <x v="56"/>
    <x v="595"/>
    <n v="6"/>
    <x v="589"/>
  </r>
  <r>
    <d v="2014-07-11T00:00:00"/>
    <x v="273"/>
    <x v="0"/>
    <x v="0"/>
    <x v="3"/>
    <x v="540"/>
    <x v="596"/>
    <n v="3"/>
    <x v="590"/>
  </r>
  <r>
    <d v="2014-07-11T00:00:00"/>
    <x v="273"/>
    <x v="0"/>
    <x v="0"/>
    <x v="11"/>
    <x v="55"/>
    <x v="597"/>
    <n v="3"/>
    <x v="591"/>
  </r>
  <r>
    <d v="2014-07-11T00:00:00"/>
    <x v="187"/>
    <x v="3"/>
    <x v="0"/>
    <x v="3"/>
    <x v="178"/>
    <x v="309"/>
    <n v="7"/>
    <x v="592"/>
  </r>
  <r>
    <d v="2014-07-11T00:00:00"/>
    <x v="110"/>
    <x v="0"/>
    <x v="1"/>
    <x v="5"/>
    <x v="238"/>
    <x v="598"/>
    <n v="4"/>
    <x v="52"/>
  </r>
  <r>
    <d v="2014-07-11T00:00:00"/>
    <x v="110"/>
    <x v="0"/>
    <x v="0"/>
    <x v="3"/>
    <x v="541"/>
    <x v="599"/>
    <n v="3"/>
    <x v="593"/>
  </r>
  <r>
    <d v="2014-07-11T00:00:00"/>
    <x v="110"/>
    <x v="0"/>
    <x v="0"/>
    <x v="14"/>
    <x v="542"/>
    <x v="600"/>
    <n v="7"/>
    <x v="594"/>
  </r>
  <r>
    <d v="2014-07-11T00:00:00"/>
    <x v="210"/>
    <x v="8"/>
    <x v="0"/>
    <x v="13"/>
    <x v="543"/>
    <x v="601"/>
    <n v="6"/>
    <x v="290"/>
  </r>
  <r>
    <d v="2014-07-11T00:00:00"/>
    <x v="210"/>
    <x v="8"/>
    <x v="0"/>
    <x v="2"/>
    <x v="544"/>
    <x v="602"/>
    <n v="3"/>
    <x v="169"/>
  </r>
  <r>
    <d v="2014-07-11T00:00:00"/>
    <x v="210"/>
    <x v="8"/>
    <x v="0"/>
    <x v="2"/>
    <x v="545"/>
    <x v="603"/>
    <n v="2"/>
    <x v="595"/>
  </r>
  <r>
    <d v="2014-07-11T00:00:00"/>
    <x v="210"/>
    <x v="8"/>
    <x v="0"/>
    <x v="3"/>
    <x v="546"/>
    <x v="604"/>
    <n v="3"/>
    <x v="596"/>
  </r>
  <r>
    <d v="2014-07-11T00:00:00"/>
    <x v="119"/>
    <x v="12"/>
    <x v="0"/>
    <x v="7"/>
    <x v="142"/>
    <x v="605"/>
    <n v="4"/>
    <x v="170"/>
  </r>
  <r>
    <d v="2014-07-11T00:00:00"/>
    <x v="119"/>
    <x v="12"/>
    <x v="0"/>
    <x v="0"/>
    <x v="547"/>
    <x v="606"/>
    <n v="3"/>
    <x v="597"/>
  </r>
  <r>
    <d v="2014-07-11T00:00:00"/>
    <x v="274"/>
    <x v="35"/>
    <x v="0"/>
    <x v="0"/>
    <x v="267"/>
    <x v="212"/>
    <n v="5"/>
    <x v="107"/>
  </r>
  <r>
    <d v="2014-07-11T00:00:00"/>
    <x v="274"/>
    <x v="35"/>
    <x v="0"/>
    <x v="4"/>
    <x v="548"/>
    <x v="607"/>
    <n v="4"/>
    <x v="598"/>
  </r>
  <r>
    <d v="2014-08-11T00:00:00"/>
    <x v="89"/>
    <x v="3"/>
    <x v="2"/>
    <x v="6"/>
    <x v="549"/>
    <x v="608"/>
    <n v="3"/>
    <x v="599"/>
  </r>
  <r>
    <d v="2014-09-11T00:00:00"/>
    <x v="275"/>
    <x v="3"/>
    <x v="0"/>
    <x v="2"/>
    <x v="2"/>
    <x v="609"/>
    <n v="3"/>
    <x v="463"/>
  </r>
  <r>
    <d v="2014-09-11T00:00:00"/>
    <x v="275"/>
    <x v="3"/>
    <x v="1"/>
    <x v="12"/>
    <x v="550"/>
    <x v="610"/>
    <n v="2"/>
    <x v="600"/>
  </r>
  <r>
    <d v="2014-09-11T00:00:00"/>
    <x v="275"/>
    <x v="3"/>
    <x v="2"/>
    <x v="6"/>
    <x v="551"/>
    <x v="611"/>
    <n v="4"/>
    <x v="601"/>
  </r>
  <r>
    <d v="2014-09-11T00:00:00"/>
    <x v="275"/>
    <x v="3"/>
    <x v="0"/>
    <x v="2"/>
    <x v="552"/>
    <x v="612"/>
    <n v="6"/>
    <x v="602"/>
  </r>
  <r>
    <d v="2014-09-11T00:00:00"/>
    <x v="275"/>
    <x v="3"/>
    <x v="0"/>
    <x v="0"/>
    <x v="553"/>
    <x v="613"/>
    <n v="7"/>
    <x v="603"/>
  </r>
  <r>
    <d v="2014-09-11T00:00:00"/>
    <x v="275"/>
    <x v="3"/>
    <x v="0"/>
    <x v="0"/>
    <x v="554"/>
    <x v="614"/>
    <n v="5"/>
    <x v="604"/>
  </r>
  <r>
    <d v="2014-09-11T00:00:00"/>
    <x v="276"/>
    <x v="12"/>
    <x v="1"/>
    <x v="8"/>
    <x v="555"/>
    <x v="615"/>
    <n v="9"/>
    <x v="605"/>
  </r>
  <r>
    <d v="2014-10-11T00:00:00"/>
    <x v="59"/>
    <x v="3"/>
    <x v="2"/>
    <x v="6"/>
    <x v="556"/>
    <x v="616"/>
    <n v="8"/>
    <x v="606"/>
  </r>
  <r>
    <d v="2014-10-11T00:00:00"/>
    <x v="59"/>
    <x v="3"/>
    <x v="2"/>
    <x v="9"/>
    <x v="415"/>
    <x v="617"/>
    <n v="1"/>
    <x v="607"/>
  </r>
  <r>
    <d v="2014-10-11T00:00:00"/>
    <x v="59"/>
    <x v="3"/>
    <x v="1"/>
    <x v="8"/>
    <x v="557"/>
    <x v="618"/>
    <n v="2"/>
    <x v="608"/>
  </r>
  <r>
    <d v="2014-10-11T00:00:00"/>
    <x v="59"/>
    <x v="3"/>
    <x v="0"/>
    <x v="0"/>
    <x v="87"/>
    <x v="619"/>
    <n v="8"/>
    <x v="609"/>
  </r>
  <r>
    <d v="2014-10-11T00:00:00"/>
    <x v="59"/>
    <x v="3"/>
    <x v="1"/>
    <x v="8"/>
    <x v="558"/>
    <x v="620"/>
    <n v="5"/>
    <x v="610"/>
  </r>
  <r>
    <d v="2014-10-11T00:00:00"/>
    <x v="59"/>
    <x v="3"/>
    <x v="0"/>
    <x v="1"/>
    <x v="559"/>
    <x v="621"/>
    <n v="8"/>
    <x v="611"/>
  </r>
  <r>
    <d v="2014-10-11T00:00:00"/>
    <x v="34"/>
    <x v="18"/>
    <x v="0"/>
    <x v="4"/>
    <x v="560"/>
    <x v="622"/>
    <n v="2"/>
    <x v="612"/>
  </r>
  <r>
    <d v="2014-10-11T00:00:00"/>
    <x v="34"/>
    <x v="18"/>
    <x v="0"/>
    <x v="0"/>
    <x v="561"/>
    <x v="623"/>
    <n v="3"/>
    <x v="254"/>
  </r>
  <r>
    <d v="2014-10-11T00:00:00"/>
    <x v="34"/>
    <x v="18"/>
    <x v="0"/>
    <x v="0"/>
    <x v="562"/>
    <x v="98"/>
    <n v="3"/>
    <x v="98"/>
  </r>
  <r>
    <d v="2014-10-11T00:00:00"/>
    <x v="34"/>
    <x v="18"/>
    <x v="1"/>
    <x v="5"/>
    <x v="563"/>
    <x v="624"/>
    <n v="3"/>
    <x v="613"/>
  </r>
  <r>
    <d v="2014-10-11T00:00:00"/>
    <x v="34"/>
    <x v="18"/>
    <x v="0"/>
    <x v="2"/>
    <x v="564"/>
    <x v="625"/>
    <n v="3"/>
    <x v="614"/>
  </r>
  <r>
    <d v="2014-10-11T00:00:00"/>
    <x v="34"/>
    <x v="18"/>
    <x v="0"/>
    <x v="2"/>
    <x v="220"/>
    <x v="626"/>
    <n v="3"/>
    <x v="615"/>
  </r>
  <r>
    <d v="2014-11-11T00:00:00"/>
    <x v="277"/>
    <x v="8"/>
    <x v="0"/>
    <x v="2"/>
    <x v="565"/>
    <x v="627"/>
    <n v="6"/>
    <x v="616"/>
  </r>
  <r>
    <d v="2014-11-11T00:00:00"/>
    <x v="278"/>
    <x v="19"/>
    <x v="0"/>
    <x v="4"/>
    <x v="566"/>
    <x v="628"/>
    <n v="1"/>
    <x v="617"/>
  </r>
  <r>
    <d v="2014-11-11T00:00:00"/>
    <x v="278"/>
    <x v="19"/>
    <x v="2"/>
    <x v="6"/>
    <x v="567"/>
    <x v="629"/>
    <n v="2"/>
    <x v="618"/>
  </r>
  <r>
    <d v="2014-11-11T00:00:00"/>
    <x v="278"/>
    <x v="19"/>
    <x v="1"/>
    <x v="5"/>
    <x v="568"/>
    <x v="630"/>
    <n v="5"/>
    <x v="619"/>
  </r>
  <r>
    <d v="2014-11-11T00:00:00"/>
    <x v="279"/>
    <x v="0"/>
    <x v="0"/>
    <x v="3"/>
    <x v="382"/>
    <x v="631"/>
    <n v="5"/>
    <x v="620"/>
  </r>
  <r>
    <d v="2014-11-11T00:00:00"/>
    <x v="279"/>
    <x v="0"/>
    <x v="0"/>
    <x v="3"/>
    <x v="569"/>
    <x v="632"/>
    <n v="1"/>
    <x v="621"/>
  </r>
  <r>
    <d v="2014-11-11T00:00:00"/>
    <x v="279"/>
    <x v="0"/>
    <x v="0"/>
    <x v="4"/>
    <x v="570"/>
    <x v="633"/>
    <n v="3"/>
    <x v="622"/>
  </r>
  <r>
    <d v="2014-11-11T00:00:00"/>
    <x v="279"/>
    <x v="0"/>
    <x v="0"/>
    <x v="0"/>
    <x v="571"/>
    <x v="634"/>
    <n v="5"/>
    <x v="623"/>
  </r>
  <r>
    <d v="2014-11-11T00:00:00"/>
    <x v="279"/>
    <x v="0"/>
    <x v="0"/>
    <x v="0"/>
    <x v="572"/>
    <x v="635"/>
    <n v="8"/>
    <x v="624"/>
  </r>
  <r>
    <d v="2014-11-11T00:00:00"/>
    <x v="279"/>
    <x v="0"/>
    <x v="2"/>
    <x v="6"/>
    <x v="573"/>
    <x v="636"/>
    <n v="2"/>
    <x v="625"/>
  </r>
  <r>
    <d v="2014-11-11T00:00:00"/>
    <x v="279"/>
    <x v="0"/>
    <x v="2"/>
    <x v="6"/>
    <x v="574"/>
    <x v="637"/>
    <n v="3"/>
    <x v="626"/>
  </r>
  <r>
    <d v="2014-11-11T00:00:00"/>
    <x v="280"/>
    <x v="3"/>
    <x v="0"/>
    <x v="4"/>
    <x v="575"/>
    <x v="638"/>
    <n v="3"/>
    <x v="627"/>
  </r>
  <r>
    <d v="2014-11-11T00:00:00"/>
    <x v="280"/>
    <x v="3"/>
    <x v="1"/>
    <x v="5"/>
    <x v="576"/>
    <x v="639"/>
    <n v="1"/>
    <x v="628"/>
  </r>
  <r>
    <d v="2014-11-11T00:00:00"/>
    <x v="281"/>
    <x v="2"/>
    <x v="1"/>
    <x v="8"/>
    <x v="577"/>
    <x v="640"/>
    <n v="2"/>
    <x v="629"/>
  </r>
  <r>
    <d v="2014-11-11T00:00:00"/>
    <x v="281"/>
    <x v="2"/>
    <x v="1"/>
    <x v="12"/>
    <x v="578"/>
    <x v="641"/>
    <n v="4"/>
    <x v="630"/>
  </r>
  <r>
    <d v="2014-11-11T00:00:00"/>
    <x v="172"/>
    <x v="3"/>
    <x v="2"/>
    <x v="6"/>
    <x v="219"/>
    <x v="642"/>
    <n v="9"/>
    <x v="106"/>
  </r>
  <r>
    <d v="2014-11-11T00:00:00"/>
    <x v="172"/>
    <x v="3"/>
    <x v="0"/>
    <x v="13"/>
    <x v="226"/>
    <x v="643"/>
    <n v="2"/>
    <x v="631"/>
  </r>
  <r>
    <d v="2014-11-11T00:00:00"/>
    <x v="172"/>
    <x v="3"/>
    <x v="0"/>
    <x v="0"/>
    <x v="579"/>
    <x v="507"/>
    <n v="4"/>
    <x v="508"/>
  </r>
  <r>
    <d v="2014-11-11T00:00:00"/>
    <x v="54"/>
    <x v="10"/>
    <x v="0"/>
    <x v="13"/>
    <x v="246"/>
    <x v="644"/>
    <n v="1"/>
    <x v="143"/>
  </r>
  <r>
    <d v="2014-11-11T00:00:00"/>
    <x v="54"/>
    <x v="10"/>
    <x v="2"/>
    <x v="9"/>
    <x v="399"/>
    <x v="645"/>
    <n v="7"/>
    <x v="632"/>
  </r>
  <r>
    <d v="2014-11-11T00:00:00"/>
    <x v="54"/>
    <x v="10"/>
    <x v="0"/>
    <x v="3"/>
    <x v="580"/>
    <x v="646"/>
    <n v="2"/>
    <x v="633"/>
  </r>
  <r>
    <d v="2014-11-11T00:00:00"/>
    <x v="123"/>
    <x v="1"/>
    <x v="1"/>
    <x v="8"/>
    <x v="581"/>
    <x v="647"/>
    <n v="2"/>
    <x v="634"/>
  </r>
  <r>
    <d v="2014-11-11T00:00:00"/>
    <x v="123"/>
    <x v="1"/>
    <x v="1"/>
    <x v="5"/>
    <x v="287"/>
    <x v="648"/>
    <n v="4"/>
    <x v="635"/>
  </r>
  <r>
    <d v="2014-11-11T00:00:00"/>
    <x v="29"/>
    <x v="12"/>
    <x v="0"/>
    <x v="0"/>
    <x v="582"/>
    <x v="649"/>
    <n v="5"/>
    <x v="636"/>
  </r>
  <r>
    <d v="2014-11-11T00:00:00"/>
    <x v="29"/>
    <x v="12"/>
    <x v="0"/>
    <x v="0"/>
    <x v="583"/>
    <x v="650"/>
    <n v="4"/>
    <x v="637"/>
  </r>
  <r>
    <d v="2014-11-11T00:00:00"/>
    <x v="29"/>
    <x v="12"/>
    <x v="0"/>
    <x v="14"/>
    <x v="584"/>
    <x v="651"/>
    <n v="2"/>
    <x v="638"/>
  </r>
  <r>
    <d v="2014-12-11T00:00:00"/>
    <x v="282"/>
    <x v="0"/>
    <x v="0"/>
    <x v="2"/>
    <x v="585"/>
    <x v="74"/>
    <n v="4"/>
    <x v="639"/>
  </r>
  <r>
    <d v="2014-12-11T00:00:00"/>
    <x v="283"/>
    <x v="3"/>
    <x v="0"/>
    <x v="0"/>
    <x v="586"/>
    <x v="652"/>
    <n v="2"/>
    <x v="640"/>
  </r>
  <r>
    <d v="2014-12-11T00:00:00"/>
    <x v="283"/>
    <x v="3"/>
    <x v="1"/>
    <x v="10"/>
    <x v="587"/>
    <x v="653"/>
    <n v="3"/>
    <x v="641"/>
  </r>
  <r>
    <d v="2014-12-11T00:00:00"/>
    <x v="262"/>
    <x v="15"/>
    <x v="0"/>
    <x v="4"/>
    <x v="173"/>
    <x v="654"/>
    <n v="3"/>
    <x v="642"/>
  </r>
  <r>
    <d v="2014-12-11T00:00:00"/>
    <x v="284"/>
    <x v="0"/>
    <x v="0"/>
    <x v="4"/>
    <x v="588"/>
    <x v="655"/>
    <n v="1"/>
    <x v="643"/>
  </r>
  <r>
    <d v="2014-12-11T00:00:00"/>
    <x v="284"/>
    <x v="0"/>
    <x v="0"/>
    <x v="14"/>
    <x v="368"/>
    <x v="656"/>
    <n v="6"/>
    <x v="644"/>
  </r>
  <r>
    <d v="2014-12-11T00:00:00"/>
    <x v="284"/>
    <x v="0"/>
    <x v="2"/>
    <x v="9"/>
    <x v="589"/>
    <x v="657"/>
    <n v="3"/>
    <x v="645"/>
  </r>
  <r>
    <d v="2014-12-11T00:00:00"/>
    <x v="284"/>
    <x v="0"/>
    <x v="0"/>
    <x v="0"/>
    <x v="373"/>
    <x v="658"/>
    <n v="7"/>
    <x v="646"/>
  </r>
  <r>
    <d v="2014-12-11T00:00:00"/>
    <x v="284"/>
    <x v="0"/>
    <x v="1"/>
    <x v="12"/>
    <x v="192"/>
    <x v="659"/>
    <n v="1"/>
    <x v="647"/>
  </r>
  <r>
    <d v="2014-12-11T00:00:00"/>
    <x v="0"/>
    <x v="0"/>
    <x v="1"/>
    <x v="8"/>
    <x v="590"/>
    <x v="660"/>
    <n v="3"/>
    <x v="648"/>
  </r>
  <r>
    <d v="2014-12-11T00:00:00"/>
    <x v="0"/>
    <x v="0"/>
    <x v="2"/>
    <x v="9"/>
    <x v="591"/>
    <x v="661"/>
    <n v="2"/>
    <x v="649"/>
  </r>
  <r>
    <d v="2014-01-12T00:00:00"/>
    <x v="260"/>
    <x v="8"/>
    <x v="1"/>
    <x v="5"/>
    <x v="592"/>
    <x v="662"/>
    <n v="8"/>
    <x v="650"/>
  </r>
  <r>
    <d v="2014-01-12T00:00:00"/>
    <x v="260"/>
    <x v="8"/>
    <x v="0"/>
    <x v="4"/>
    <x v="593"/>
    <x v="663"/>
    <n v="4"/>
    <x v="651"/>
  </r>
  <r>
    <d v="2014-01-12T00:00:00"/>
    <x v="285"/>
    <x v="3"/>
    <x v="1"/>
    <x v="8"/>
    <x v="594"/>
    <x v="664"/>
    <n v="3"/>
    <x v="652"/>
  </r>
  <r>
    <d v="2014-01-12T00:00:00"/>
    <x v="286"/>
    <x v="15"/>
    <x v="2"/>
    <x v="6"/>
    <x v="595"/>
    <x v="665"/>
    <n v="4"/>
    <x v="367"/>
  </r>
  <r>
    <d v="2014-01-12T00:00:00"/>
    <x v="287"/>
    <x v="16"/>
    <x v="2"/>
    <x v="15"/>
    <x v="346"/>
    <x v="666"/>
    <n v="2"/>
    <x v="653"/>
  </r>
  <r>
    <d v="2014-01-12T00:00:00"/>
    <x v="287"/>
    <x v="16"/>
    <x v="1"/>
    <x v="8"/>
    <x v="596"/>
    <x v="667"/>
    <n v="2"/>
    <x v="654"/>
  </r>
  <r>
    <d v="2014-01-12T00:00:00"/>
    <x v="287"/>
    <x v="16"/>
    <x v="0"/>
    <x v="0"/>
    <x v="597"/>
    <x v="658"/>
    <n v="7"/>
    <x v="646"/>
  </r>
  <r>
    <d v="2014-01-12T00:00:00"/>
    <x v="287"/>
    <x v="16"/>
    <x v="1"/>
    <x v="5"/>
    <x v="203"/>
    <x v="668"/>
    <n v="6"/>
    <x v="655"/>
  </r>
  <r>
    <d v="2014-01-12T00:00:00"/>
    <x v="288"/>
    <x v="0"/>
    <x v="1"/>
    <x v="5"/>
    <x v="598"/>
    <x v="669"/>
    <n v="3"/>
    <x v="656"/>
  </r>
  <r>
    <d v="2014-01-12T00:00:00"/>
    <x v="289"/>
    <x v="20"/>
    <x v="2"/>
    <x v="6"/>
    <x v="499"/>
    <x v="670"/>
    <n v="2"/>
    <x v="657"/>
  </r>
  <r>
    <d v="2014-01-12T00:00:00"/>
    <x v="289"/>
    <x v="20"/>
    <x v="1"/>
    <x v="8"/>
    <x v="599"/>
    <x v="671"/>
    <n v="3"/>
    <x v="658"/>
  </r>
  <r>
    <d v="2014-01-12T00:00:00"/>
    <x v="289"/>
    <x v="20"/>
    <x v="1"/>
    <x v="8"/>
    <x v="600"/>
    <x v="672"/>
    <n v="2"/>
    <x v="274"/>
  </r>
  <r>
    <d v="2014-02-12T00:00:00"/>
    <x v="290"/>
    <x v="12"/>
    <x v="2"/>
    <x v="9"/>
    <x v="601"/>
    <x v="673"/>
    <n v="4"/>
    <x v="181"/>
  </r>
  <r>
    <d v="2014-02-12T00:00:00"/>
    <x v="290"/>
    <x v="12"/>
    <x v="1"/>
    <x v="12"/>
    <x v="227"/>
    <x v="674"/>
    <n v="5"/>
    <x v="659"/>
  </r>
  <r>
    <d v="2014-02-12T00:00:00"/>
    <x v="290"/>
    <x v="12"/>
    <x v="0"/>
    <x v="3"/>
    <x v="397"/>
    <x v="675"/>
    <n v="8"/>
    <x v="660"/>
  </r>
  <r>
    <d v="2014-02-12T00:00:00"/>
    <x v="291"/>
    <x v="0"/>
    <x v="1"/>
    <x v="8"/>
    <x v="602"/>
    <x v="676"/>
    <n v="5"/>
    <x v="661"/>
  </r>
  <r>
    <d v="2014-02-12T00:00:00"/>
    <x v="291"/>
    <x v="0"/>
    <x v="0"/>
    <x v="4"/>
    <x v="533"/>
    <x v="677"/>
    <n v="7"/>
    <x v="662"/>
  </r>
  <r>
    <d v="2014-02-12T00:00:00"/>
    <x v="291"/>
    <x v="0"/>
    <x v="1"/>
    <x v="8"/>
    <x v="603"/>
    <x v="195"/>
    <n v="5"/>
    <x v="663"/>
  </r>
  <r>
    <d v="2014-02-12T00:00:00"/>
    <x v="292"/>
    <x v="16"/>
    <x v="2"/>
    <x v="9"/>
    <x v="604"/>
    <x v="678"/>
    <n v="5"/>
    <x v="664"/>
  </r>
  <r>
    <d v="2014-02-12T00:00:00"/>
    <x v="293"/>
    <x v="1"/>
    <x v="0"/>
    <x v="13"/>
    <x v="202"/>
    <x v="679"/>
    <n v="1"/>
    <x v="665"/>
  </r>
  <r>
    <d v="2014-02-12T00:00:00"/>
    <x v="264"/>
    <x v="39"/>
    <x v="1"/>
    <x v="8"/>
    <x v="605"/>
    <x v="680"/>
    <n v="3"/>
    <x v="666"/>
  </r>
  <r>
    <d v="2014-02-12T00:00:00"/>
    <x v="264"/>
    <x v="39"/>
    <x v="0"/>
    <x v="0"/>
    <x v="606"/>
    <x v="681"/>
    <n v="3"/>
    <x v="667"/>
  </r>
  <r>
    <d v="2014-02-12T00:00:00"/>
    <x v="264"/>
    <x v="39"/>
    <x v="1"/>
    <x v="5"/>
    <x v="539"/>
    <x v="682"/>
    <n v="8"/>
    <x v="668"/>
  </r>
  <r>
    <d v="2014-02-12T00:00:00"/>
    <x v="264"/>
    <x v="39"/>
    <x v="0"/>
    <x v="1"/>
    <x v="607"/>
    <x v="683"/>
    <n v="6"/>
    <x v="30"/>
  </r>
  <r>
    <d v="2014-02-12T00:00:00"/>
    <x v="294"/>
    <x v="4"/>
    <x v="2"/>
    <x v="9"/>
    <x v="608"/>
    <x v="684"/>
    <n v="1"/>
    <x v="142"/>
  </r>
  <r>
    <d v="2014-02-12T00:00:00"/>
    <x v="294"/>
    <x v="4"/>
    <x v="0"/>
    <x v="0"/>
    <x v="609"/>
    <x v="685"/>
    <n v="3"/>
    <x v="473"/>
  </r>
  <r>
    <d v="2014-03-12T00:00:00"/>
    <x v="295"/>
    <x v="34"/>
    <x v="2"/>
    <x v="6"/>
    <x v="610"/>
    <x v="686"/>
    <n v="4"/>
    <x v="669"/>
  </r>
  <r>
    <d v="2014-03-12T00:00:00"/>
    <x v="296"/>
    <x v="14"/>
    <x v="0"/>
    <x v="0"/>
    <x v="597"/>
    <x v="212"/>
    <n v="4"/>
    <x v="215"/>
  </r>
  <r>
    <d v="2014-04-12T00:00:00"/>
    <x v="297"/>
    <x v="12"/>
    <x v="2"/>
    <x v="6"/>
    <x v="498"/>
    <x v="687"/>
    <n v="2"/>
    <x v="670"/>
  </r>
  <r>
    <d v="2014-05-12T00:00:00"/>
    <x v="298"/>
    <x v="23"/>
    <x v="0"/>
    <x v="4"/>
    <x v="611"/>
    <x v="688"/>
    <n v="8"/>
    <x v="671"/>
  </r>
  <r>
    <d v="2014-05-12T00:00:00"/>
    <x v="298"/>
    <x v="23"/>
    <x v="2"/>
    <x v="6"/>
    <x v="612"/>
    <x v="187"/>
    <n v="4"/>
    <x v="672"/>
  </r>
  <r>
    <d v="2014-05-12T00:00:00"/>
    <x v="299"/>
    <x v="1"/>
    <x v="0"/>
    <x v="2"/>
    <x v="117"/>
    <x v="689"/>
    <n v="2"/>
    <x v="673"/>
  </r>
  <r>
    <d v="2014-05-12T00:00:00"/>
    <x v="299"/>
    <x v="1"/>
    <x v="2"/>
    <x v="9"/>
    <x v="127"/>
    <x v="690"/>
    <n v="7"/>
    <x v="674"/>
  </r>
  <r>
    <d v="2014-05-12T00:00:00"/>
    <x v="300"/>
    <x v="6"/>
    <x v="0"/>
    <x v="2"/>
    <x v="613"/>
    <x v="173"/>
    <n v="2"/>
    <x v="675"/>
  </r>
  <r>
    <d v="2014-05-12T00:00:00"/>
    <x v="301"/>
    <x v="2"/>
    <x v="0"/>
    <x v="11"/>
    <x v="614"/>
    <x v="691"/>
    <n v="7"/>
    <x v="676"/>
  </r>
  <r>
    <d v="2014-05-12T00:00:00"/>
    <x v="301"/>
    <x v="2"/>
    <x v="0"/>
    <x v="2"/>
    <x v="52"/>
    <x v="692"/>
    <n v="4"/>
    <x v="677"/>
  </r>
  <r>
    <d v="2014-05-12T00:00:00"/>
    <x v="253"/>
    <x v="16"/>
    <x v="0"/>
    <x v="0"/>
    <x v="572"/>
    <x v="693"/>
    <n v="3"/>
    <x v="678"/>
  </r>
  <r>
    <d v="2014-05-12T00:00:00"/>
    <x v="253"/>
    <x v="16"/>
    <x v="0"/>
    <x v="3"/>
    <x v="124"/>
    <x v="694"/>
    <n v="4"/>
    <x v="679"/>
  </r>
  <r>
    <d v="2014-05-12T00:00:00"/>
    <x v="253"/>
    <x v="16"/>
    <x v="0"/>
    <x v="0"/>
    <x v="48"/>
    <x v="49"/>
    <n v="3"/>
    <x v="50"/>
  </r>
  <r>
    <d v="2014-05-12T00:00:00"/>
    <x v="253"/>
    <x v="16"/>
    <x v="2"/>
    <x v="6"/>
    <x v="615"/>
    <x v="695"/>
    <n v="1"/>
    <x v="680"/>
  </r>
  <r>
    <d v="2014-05-12T00:00:00"/>
    <x v="253"/>
    <x v="16"/>
    <x v="2"/>
    <x v="6"/>
    <x v="616"/>
    <x v="696"/>
    <n v="2"/>
    <x v="681"/>
  </r>
  <r>
    <d v="2014-05-12T00:00:00"/>
    <x v="302"/>
    <x v="3"/>
    <x v="0"/>
    <x v="4"/>
    <x v="422"/>
    <x v="697"/>
    <n v="9"/>
    <x v="682"/>
  </r>
  <r>
    <d v="2014-05-12T00:00:00"/>
    <x v="302"/>
    <x v="3"/>
    <x v="0"/>
    <x v="0"/>
    <x v="174"/>
    <x v="302"/>
    <n v="4"/>
    <x v="302"/>
  </r>
  <r>
    <d v="2014-05-12T00:00:00"/>
    <x v="302"/>
    <x v="3"/>
    <x v="0"/>
    <x v="7"/>
    <x v="419"/>
    <x v="30"/>
    <n v="3"/>
    <x v="30"/>
  </r>
  <r>
    <d v="2014-05-12T00:00:00"/>
    <x v="303"/>
    <x v="3"/>
    <x v="0"/>
    <x v="13"/>
    <x v="447"/>
    <x v="698"/>
    <n v="6"/>
    <x v="683"/>
  </r>
  <r>
    <d v="2014-06-12T00:00:00"/>
    <x v="304"/>
    <x v="0"/>
    <x v="1"/>
    <x v="8"/>
    <x v="603"/>
    <x v="699"/>
    <n v="3"/>
    <x v="684"/>
  </r>
  <r>
    <d v="2014-06-12T00:00:00"/>
    <x v="305"/>
    <x v="35"/>
    <x v="0"/>
    <x v="2"/>
    <x v="617"/>
    <x v="700"/>
    <n v="3"/>
    <x v="685"/>
  </r>
  <r>
    <d v="2014-06-12T00:00:00"/>
    <x v="305"/>
    <x v="35"/>
    <x v="1"/>
    <x v="10"/>
    <x v="232"/>
    <x v="701"/>
    <n v="1"/>
    <x v="686"/>
  </r>
  <r>
    <d v="2014-06-12T00:00:00"/>
    <x v="159"/>
    <x v="1"/>
    <x v="0"/>
    <x v="13"/>
    <x v="618"/>
    <x v="702"/>
    <n v="4"/>
    <x v="687"/>
  </r>
  <r>
    <d v="2014-06-12T00:00:00"/>
    <x v="159"/>
    <x v="1"/>
    <x v="1"/>
    <x v="10"/>
    <x v="126"/>
    <x v="703"/>
    <n v="5"/>
    <x v="688"/>
  </r>
  <r>
    <d v="2014-06-12T00:00:00"/>
    <x v="159"/>
    <x v="1"/>
    <x v="2"/>
    <x v="6"/>
    <x v="619"/>
    <x v="704"/>
    <n v="4"/>
    <x v="689"/>
  </r>
  <r>
    <d v="2014-06-12T00:00:00"/>
    <x v="159"/>
    <x v="1"/>
    <x v="1"/>
    <x v="8"/>
    <x v="349"/>
    <x v="705"/>
    <n v="3"/>
    <x v="457"/>
  </r>
  <r>
    <d v="2014-06-12T00:00:00"/>
    <x v="159"/>
    <x v="1"/>
    <x v="0"/>
    <x v="3"/>
    <x v="620"/>
    <x v="706"/>
    <n v="2"/>
    <x v="690"/>
  </r>
  <r>
    <d v="2014-06-12T00:00:00"/>
    <x v="159"/>
    <x v="1"/>
    <x v="0"/>
    <x v="2"/>
    <x v="621"/>
    <x v="707"/>
    <n v="2"/>
    <x v="691"/>
  </r>
  <r>
    <d v="2014-06-12T00:00:00"/>
    <x v="67"/>
    <x v="3"/>
    <x v="0"/>
    <x v="2"/>
    <x v="622"/>
    <x v="708"/>
    <n v="7"/>
    <x v="692"/>
  </r>
  <r>
    <d v="2014-06-12T00:00:00"/>
    <x v="271"/>
    <x v="31"/>
    <x v="0"/>
    <x v="0"/>
    <x v="256"/>
    <x v="709"/>
    <n v="2"/>
    <x v="693"/>
  </r>
  <r>
    <d v="2014-07-12T00:00:00"/>
    <x v="254"/>
    <x v="6"/>
    <x v="0"/>
    <x v="0"/>
    <x v="256"/>
    <x v="710"/>
    <n v="4"/>
    <x v="694"/>
  </r>
  <r>
    <d v="2014-07-12T00:00:00"/>
    <x v="306"/>
    <x v="3"/>
    <x v="0"/>
    <x v="4"/>
    <x v="623"/>
    <x v="183"/>
    <n v="3"/>
    <x v="695"/>
  </r>
  <r>
    <d v="2014-07-12T00:00:00"/>
    <x v="156"/>
    <x v="10"/>
    <x v="0"/>
    <x v="2"/>
    <x v="345"/>
    <x v="711"/>
    <n v="7"/>
    <x v="696"/>
  </r>
  <r>
    <d v="2014-07-12T00:00:00"/>
    <x v="307"/>
    <x v="3"/>
    <x v="0"/>
    <x v="0"/>
    <x v="624"/>
    <x v="712"/>
    <n v="3"/>
    <x v="697"/>
  </r>
  <r>
    <d v="2014-08-12T00:00:00"/>
    <x v="308"/>
    <x v="0"/>
    <x v="0"/>
    <x v="2"/>
    <x v="625"/>
    <x v="713"/>
    <n v="2"/>
    <x v="29"/>
  </r>
  <r>
    <d v="2014-08-12T00:00:00"/>
    <x v="309"/>
    <x v="35"/>
    <x v="0"/>
    <x v="1"/>
    <x v="507"/>
    <x v="714"/>
    <n v="7"/>
    <x v="598"/>
  </r>
  <r>
    <d v="2014-08-12T00:00:00"/>
    <x v="309"/>
    <x v="35"/>
    <x v="0"/>
    <x v="3"/>
    <x v="626"/>
    <x v="715"/>
    <n v="4"/>
    <x v="698"/>
  </r>
  <r>
    <d v="2014-08-12T00:00:00"/>
    <x v="309"/>
    <x v="35"/>
    <x v="2"/>
    <x v="6"/>
    <x v="627"/>
    <x v="716"/>
    <n v="3"/>
    <x v="699"/>
  </r>
  <r>
    <d v="2014-08-12T00:00:00"/>
    <x v="309"/>
    <x v="35"/>
    <x v="0"/>
    <x v="14"/>
    <x v="368"/>
    <x v="717"/>
    <n v="5"/>
    <x v="700"/>
  </r>
  <r>
    <d v="2014-08-12T00:00:00"/>
    <x v="309"/>
    <x v="35"/>
    <x v="2"/>
    <x v="9"/>
    <x v="628"/>
    <x v="718"/>
    <n v="10"/>
    <x v="701"/>
  </r>
  <r>
    <d v="2014-08-12T00:00:00"/>
    <x v="309"/>
    <x v="35"/>
    <x v="0"/>
    <x v="1"/>
    <x v="629"/>
    <x v="719"/>
    <n v="5"/>
    <x v="527"/>
  </r>
  <r>
    <d v="2014-08-12T00:00:00"/>
    <x v="309"/>
    <x v="35"/>
    <x v="0"/>
    <x v="0"/>
    <x v="630"/>
    <x v="148"/>
    <n v="2"/>
    <x v="150"/>
  </r>
  <r>
    <d v="2014-08-12T00:00:00"/>
    <x v="309"/>
    <x v="35"/>
    <x v="0"/>
    <x v="2"/>
    <x v="118"/>
    <x v="720"/>
    <n v="3"/>
    <x v="702"/>
  </r>
  <r>
    <d v="2014-08-12T00:00:00"/>
    <x v="310"/>
    <x v="10"/>
    <x v="0"/>
    <x v="0"/>
    <x v="631"/>
    <x v="721"/>
    <n v="2"/>
    <x v="703"/>
  </r>
  <r>
    <d v="2014-08-12T00:00:00"/>
    <x v="310"/>
    <x v="10"/>
    <x v="1"/>
    <x v="5"/>
    <x v="522"/>
    <x v="630"/>
    <n v="5"/>
    <x v="704"/>
  </r>
  <r>
    <d v="2014-08-12T00:00:00"/>
    <x v="311"/>
    <x v="3"/>
    <x v="1"/>
    <x v="8"/>
    <x v="557"/>
    <x v="618"/>
    <n v="2"/>
    <x v="608"/>
  </r>
  <r>
    <d v="2014-08-12T00:00:00"/>
    <x v="311"/>
    <x v="3"/>
    <x v="1"/>
    <x v="8"/>
    <x v="388"/>
    <x v="722"/>
    <n v="3"/>
    <x v="705"/>
  </r>
  <r>
    <d v="2014-09-12T00:00:00"/>
    <x v="18"/>
    <x v="3"/>
    <x v="0"/>
    <x v="0"/>
    <x v="632"/>
    <x v="723"/>
    <n v="6"/>
    <x v="706"/>
  </r>
  <r>
    <d v="2014-09-12T00:00:00"/>
    <x v="312"/>
    <x v="23"/>
    <x v="0"/>
    <x v="2"/>
    <x v="564"/>
    <x v="724"/>
    <n v="6"/>
    <x v="707"/>
  </r>
  <r>
    <d v="2014-09-12T00:00:00"/>
    <x v="195"/>
    <x v="0"/>
    <x v="0"/>
    <x v="0"/>
    <x v="304"/>
    <x v="725"/>
    <n v="2"/>
    <x v="527"/>
  </r>
  <r>
    <d v="2014-09-12T00:00:00"/>
    <x v="195"/>
    <x v="0"/>
    <x v="0"/>
    <x v="2"/>
    <x v="633"/>
    <x v="726"/>
    <n v="3"/>
    <x v="708"/>
  </r>
  <r>
    <d v="2014-09-12T00:00:00"/>
    <x v="127"/>
    <x v="1"/>
    <x v="0"/>
    <x v="0"/>
    <x v="634"/>
    <x v="727"/>
    <n v="2"/>
    <x v="709"/>
  </r>
  <r>
    <d v="2014-09-12T00:00:00"/>
    <x v="127"/>
    <x v="1"/>
    <x v="0"/>
    <x v="13"/>
    <x v="635"/>
    <x v="728"/>
    <n v="2"/>
    <x v="710"/>
  </r>
  <r>
    <d v="2014-09-12T00:00:00"/>
    <x v="306"/>
    <x v="2"/>
    <x v="0"/>
    <x v="11"/>
    <x v="348"/>
    <x v="729"/>
    <n v="3"/>
    <x v="711"/>
  </r>
  <r>
    <d v="2014-09-12T00:00:00"/>
    <x v="306"/>
    <x v="2"/>
    <x v="2"/>
    <x v="15"/>
    <x v="636"/>
    <x v="730"/>
    <n v="4"/>
    <x v="712"/>
  </r>
  <r>
    <d v="2014-10-12T00:00:00"/>
    <x v="313"/>
    <x v="12"/>
    <x v="0"/>
    <x v="0"/>
    <x v="637"/>
    <x v="56"/>
    <n v="2"/>
    <x v="713"/>
  </r>
  <r>
    <d v="2014-10-12T00:00:00"/>
    <x v="313"/>
    <x v="12"/>
    <x v="0"/>
    <x v="3"/>
    <x v="638"/>
    <x v="731"/>
    <n v="7"/>
    <x v="714"/>
  </r>
  <r>
    <d v="2014-10-12T00:00:00"/>
    <x v="314"/>
    <x v="24"/>
    <x v="1"/>
    <x v="5"/>
    <x v="639"/>
    <x v="732"/>
    <n v="3"/>
    <x v="715"/>
  </r>
  <r>
    <d v="2014-10-12T00:00:00"/>
    <x v="314"/>
    <x v="24"/>
    <x v="0"/>
    <x v="0"/>
    <x v="640"/>
    <x v="212"/>
    <n v="4"/>
    <x v="215"/>
  </r>
  <r>
    <d v="2014-10-12T00:00:00"/>
    <x v="314"/>
    <x v="24"/>
    <x v="0"/>
    <x v="0"/>
    <x v="641"/>
    <x v="733"/>
    <n v="4"/>
    <x v="716"/>
  </r>
  <r>
    <d v="2014-12-12T00:00:00"/>
    <x v="193"/>
    <x v="3"/>
    <x v="1"/>
    <x v="10"/>
    <x v="642"/>
    <x v="734"/>
    <n v="6"/>
    <x v="717"/>
  </r>
  <r>
    <d v="2014-12-12T00:00:00"/>
    <x v="193"/>
    <x v="3"/>
    <x v="1"/>
    <x v="10"/>
    <x v="643"/>
    <x v="735"/>
    <n v="12"/>
    <x v="718"/>
  </r>
  <r>
    <d v="2014-12-12T00:00:00"/>
    <x v="193"/>
    <x v="3"/>
    <x v="1"/>
    <x v="12"/>
    <x v="192"/>
    <x v="736"/>
    <n v="3"/>
    <x v="719"/>
  </r>
  <r>
    <d v="2014-12-12T00:00:00"/>
    <x v="266"/>
    <x v="3"/>
    <x v="1"/>
    <x v="8"/>
    <x v="644"/>
    <x v="737"/>
    <n v="1"/>
    <x v="720"/>
  </r>
  <r>
    <d v="2014-12-12T00:00:00"/>
    <x v="315"/>
    <x v="0"/>
    <x v="0"/>
    <x v="3"/>
    <x v="645"/>
    <x v="738"/>
    <n v="2"/>
    <x v="721"/>
  </r>
  <r>
    <d v="2014-12-12T00:00:00"/>
    <x v="316"/>
    <x v="3"/>
    <x v="1"/>
    <x v="8"/>
    <x v="646"/>
    <x v="739"/>
    <n v="3"/>
    <x v="722"/>
  </r>
  <r>
    <d v="2014-12-12T00:00:00"/>
    <x v="316"/>
    <x v="3"/>
    <x v="0"/>
    <x v="2"/>
    <x v="647"/>
    <x v="740"/>
    <n v="3"/>
    <x v="344"/>
  </r>
  <r>
    <d v="2014-12-12T00:00:00"/>
    <x v="316"/>
    <x v="3"/>
    <x v="1"/>
    <x v="8"/>
    <x v="648"/>
    <x v="741"/>
    <n v="3"/>
    <x v="723"/>
  </r>
  <r>
    <d v="2014-12-12T00:00:00"/>
    <x v="317"/>
    <x v="9"/>
    <x v="0"/>
    <x v="11"/>
    <x v="55"/>
    <x v="506"/>
    <n v="3"/>
    <x v="724"/>
  </r>
  <r>
    <d v="2015-02-01T00:00:00"/>
    <x v="102"/>
    <x v="16"/>
    <x v="0"/>
    <x v="1"/>
    <x v="649"/>
    <x v="742"/>
    <n v="2"/>
    <x v="725"/>
  </r>
  <r>
    <d v="2015-02-01T00:00:00"/>
    <x v="102"/>
    <x v="16"/>
    <x v="1"/>
    <x v="12"/>
    <x v="650"/>
    <x v="743"/>
    <n v="5"/>
    <x v="726"/>
  </r>
  <r>
    <d v="2015-02-01T00:00:00"/>
    <x v="102"/>
    <x v="16"/>
    <x v="2"/>
    <x v="6"/>
    <x v="651"/>
    <x v="744"/>
    <n v="3"/>
    <x v="727"/>
  </r>
  <r>
    <d v="2015-02-01T00:00:00"/>
    <x v="102"/>
    <x v="16"/>
    <x v="2"/>
    <x v="16"/>
    <x v="652"/>
    <x v="745"/>
    <n v="9"/>
    <x v="728"/>
  </r>
  <r>
    <d v="2015-02-01T00:00:00"/>
    <x v="102"/>
    <x v="16"/>
    <x v="2"/>
    <x v="9"/>
    <x v="186"/>
    <x v="746"/>
    <n v="2"/>
    <x v="729"/>
  </r>
  <r>
    <d v="2015-02-01T00:00:00"/>
    <x v="318"/>
    <x v="7"/>
    <x v="0"/>
    <x v="2"/>
    <x v="653"/>
    <x v="747"/>
    <n v="2"/>
    <x v="730"/>
  </r>
  <r>
    <d v="2015-02-01T00:00:00"/>
    <x v="318"/>
    <x v="7"/>
    <x v="0"/>
    <x v="4"/>
    <x v="654"/>
    <x v="748"/>
    <n v="3"/>
    <x v="731"/>
  </r>
  <r>
    <d v="2015-02-01T00:00:00"/>
    <x v="318"/>
    <x v="7"/>
    <x v="0"/>
    <x v="0"/>
    <x v="655"/>
    <x v="587"/>
    <n v="3"/>
    <x v="732"/>
  </r>
  <r>
    <d v="2015-03-01T00:00:00"/>
    <x v="319"/>
    <x v="0"/>
    <x v="0"/>
    <x v="0"/>
    <x v="351"/>
    <x v="148"/>
    <n v="2"/>
    <x v="150"/>
  </r>
  <r>
    <d v="2015-03-01T00:00:00"/>
    <x v="320"/>
    <x v="0"/>
    <x v="2"/>
    <x v="9"/>
    <x v="656"/>
    <x v="749"/>
    <n v="5"/>
    <x v="733"/>
  </r>
  <r>
    <d v="2015-03-01T00:00:00"/>
    <x v="320"/>
    <x v="0"/>
    <x v="0"/>
    <x v="4"/>
    <x v="657"/>
    <x v="750"/>
    <n v="3"/>
    <x v="580"/>
  </r>
  <r>
    <d v="2015-03-01T00:00:00"/>
    <x v="320"/>
    <x v="0"/>
    <x v="1"/>
    <x v="12"/>
    <x v="227"/>
    <x v="751"/>
    <n v="9"/>
    <x v="734"/>
  </r>
  <r>
    <d v="2015-04-01T00:00:00"/>
    <x v="19"/>
    <x v="28"/>
    <x v="0"/>
    <x v="3"/>
    <x v="29"/>
    <x v="752"/>
    <n v="3"/>
    <x v="735"/>
  </r>
  <r>
    <d v="2015-04-01T00:00:00"/>
    <x v="19"/>
    <x v="28"/>
    <x v="0"/>
    <x v="0"/>
    <x v="207"/>
    <x v="753"/>
    <n v="5"/>
    <x v="736"/>
  </r>
  <r>
    <d v="2015-04-01T00:00:00"/>
    <x v="321"/>
    <x v="6"/>
    <x v="1"/>
    <x v="8"/>
    <x v="168"/>
    <x v="754"/>
    <n v="14"/>
    <x v="737"/>
  </r>
  <r>
    <d v="2015-05-01T00:00:00"/>
    <x v="269"/>
    <x v="10"/>
    <x v="1"/>
    <x v="5"/>
    <x v="658"/>
    <x v="755"/>
    <n v="1"/>
    <x v="738"/>
  </r>
  <r>
    <d v="2015-05-01T00:00:00"/>
    <x v="101"/>
    <x v="12"/>
    <x v="0"/>
    <x v="4"/>
    <x v="659"/>
    <x v="71"/>
    <n v="3"/>
    <x v="72"/>
  </r>
  <r>
    <d v="2015-05-01T00:00:00"/>
    <x v="101"/>
    <x v="12"/>
    <x v="0"/>
    <x v="11"/>
    <x v="233"/>
    <x v="756"/>
    <n v="2"/>
    <x v="739"/>
  </r>
  <r>
    <d v="2015-05-01T00:00:00"/>
    <x v="101"/>
    <x v="12"/>
    <x v="0"/>
    <x v="3"/>
    <x v="308"/>
    <x v="757"/>
    <n v="2"/>
    <x v="740"/>
  </r>
  <r>
    <d v="2015-05-01T00:00:00"/>
    <x v="322"/>
    <x v="3"/>
    <x v="0"/>
    <x v="13"/>
    <x v="215"/>
    <x v="758"/>
    <n v="6"/>
    <x v="741"/>
  </r>
  <r>
    <d v="2015-05-01T00:00:00"/>
    <x v="322"/>
    <x v="3"/>
    <x v="0"/>
    <x v="3"/>
    <x v="167"/>
    <x v="759"/>
    <n v="6"/>
    <x v="742"/>
  </r>
  <r>
    <d v="2015-06-01T00:00:00"/>
    <x v="205"/>
    <x v="19"/>
    <x v="0"/>
    <x v="0"/>
    <x v="660"/>
    <x v="94"/>
    <n v="5"/>
    <x v="743"/>
  </r>
  <r>
    <d v="2015-06-01T00:00:00"/>
    <x v="205"/>
    <x v="19"/>
    <x v="0"/>
    <x v="3"/>
    <x v="158"/>
    <x v="760"/>
    <n v="2"/>
    <x v="744"/>
  </r>
  <r>
    <d v="2015-09-01T00:00:00"/>
    <x v="323"/>
    <x v="5"/>
    <x v="0"/>
    <x v="0"/>
    <x v="177"/>
    <x v="761"/>
    <n v="3"/>
    <x v="745"/>
  </r>
  <r>
    <d v="2015-09-01T00:00:00"/>
    <x v="323"/>
    <x v="5"/>
    <x v="0"/>
    <x v="13"/>
    <x v="661"/>
    <x v="762"/>
    <n v="3"/>
    <x v="746"/>
  </r>
  <r>
    <d v="2015-09-01T00:00:00"/>
    <x v="323"/>
    <x v="5"/>
    <x v="0"/>
    <x v="4"/>
    <x v="662"/>
    <x v="763"/>
    <n v="2"/>
    <x v="747"/>
  </r>
  <r>
    <d v="2015-09-01T00:00:00"/>
    <x v="323"/>
    <x v="5"/>
    <x v="0"/>
    <x v="0"/>
    <x v="663"/>
    <x v="764"/>
    <n v="5"/>
    <x v="748"/>
  </r>
  <r>
    <d v="2015-10-01T00:00:00"/>
    <x v="324"/>
    <x v="12"/>
    <x v="1"/>
    <x v="10"/>
    <x v="664"/>
    <x v="765"/>
    <n v="4"/>
    <x v="749"/>
  </r>
  <r>
    <d v="2015-12-01T00:00:00"/>
    <x v="325"/>
    <x v="7"/>
    <x v="0"/>
    <x v="2"/>
    <x v="665"/>
    <x v="766"/>
    <n v="3"/>
    <x v="750"/>
  </r>
  <r>
    <d v="2015-12-01T00:00:00"/>
    <x v="326"/>
    <x v="16"/>
    <x v="0"/>
    <x v="4"/>
    <x v="68"/>
    <x v="148"/>
    <n v="2"/>
    <x v="751"/>
  </r>
  <r>
    <d v="2015-12-01T00:00:00"/>
    <x v="326"/>
    <x v="16"/>
    <x v="2"/>
    <x v="6"/>
    <x v="10"/>
    <x v="767"/>
    <n v="2"/>
    <x v="752"/>
  </r>
  <r>
    <d v="2015-12-01T00:00:00"/>
    <x v="326"/>
    <x v="16"/>
    <x v="2"/>
    <x v="6"/>
    <x v="666"/>
    <x v="768"/>
    <n v="4"/>
    <x v="753"/>
  </r>
  <r>
    <d v="2015-12-01T00:00:00"/>
    <x v="326"/>
    <x v="16"/>
    <x v="2"/>
    <x v="9"/>
    <x v="667"/>
    <x v="769"/>
    <n v="2"/>
    <x v="754"/>
  </r>
  <r>
    <d v="2015-12-01T00:00:00"/>
    <x v="326"/>
    <x v="16"/>
    <x v="2"/>
    <x v="6"/>
    <x v="668"/>
    <x v="770"/>
    <n v="3"/>
    <x v="755"/>
  </r>
  <r>
    <d v="2015-03-02T00:00:00"/>
    <x v="327"/>
    <x v="37"/>
    <x v="1"/>
    <x v="8"/>
    <x v="669"/>
    <x v="771"/>
    <n v="2"/>
    <x v="200"/>
  </r>
  <r>
    <d v="2015-03-02T00:00:00"/>
    <x v="327"/>
    <x v="37"/>
    <x v="2"/>
    <x v="9"/>
    <x v="670"/>
    <x v="772"/>
    <n v="3"/>
    <x v="756"/>
  </r>
  <r>
    <d v="2015-03-02T00:00:00"/>
    <x v="328"/>
    <x v="3"/>
    <x v="1"/>
    <x v="8"/>
    <x v="671"/>
    <x v="773"/>
    <n v="4"/>
    <x v="757"/>
  </r>
  <r>
    <d v="2015-03-02T00:00:00"/>
    <x v="249"/>
    <x v="30"/>
    <x v="0"/>
    <x v="3"/>
    <x v="672"/>
    <x v="774"/>
    <n v="3"/>
    <x v="758"/>
  </r>
  <r>
    <d v="2015-03-02T00:00:00"/>
    <x v="126"/>
    <x v="4"/>
    <x v="0"/>
    <x v="11"/>
    <x v="55"/>
    <x v="775"/>
    <n v="9"/>
    <x v="759"/>
  </r>
  <r>
    <d v="2015-03-02T00:00:00"/>
    <x v="329"/>
    <x v="12"/>
    <x v="1"/>
    <x v="5"/>
    <x v="673"/>
    <x v="776"/>
    <n v="1"/>
    <x v="760"/>
  </r>
  <r>
    <d v="2015-06-02T00:00:00"/>
    <x v="102"/>
    <x v="10"/>
    <x v="0"/>
    <x v="4"/>
    <x v="674"/>
    <x v="777"/>
    <n v="3"/>
    <x v="761"/>
  </r>
  <r>
    <d v="2015-06-02T00:00:00"/>
    <x v="155"/>
    <x v="7"/>
    <x v="1"/>
    <x v="5"/>
    <x v="639"/>
    <x v="778"/>
    <n v="9"/>
    <x v="762"/>
  </r>
  <r>
    <d v="2015-06-02T00:00:00"/>
    <x v="155"/>
    <x v="7"/>
    <x v="1"/>
    <x v="12"/>
    <x v="675"/>
    <x v="779"/>
    <n v="4"/>
    <x v="763"/>
  </r>
  <r>
    <d v="2015-06-02T00:00:00"/>
    <x v="155"/>
    <x v="7"/>
    <x v="0"/>
    <x v="4"/>
    <x v="676"/>
    <x v="322"/>
    <n v="2"/>
    <x v="764"/>
  </r>
  <r>
    <d v="2015-06-02T00:00:00"/>
    <x v="330"/>
    <x v="0"/>
    <x v="0"/>
    <x v="3"/>
    <x v="677"/>
    <x v="780"/>
    <n v="3"/>
    <x v="765"/>
  </r>
  <r>
    <d v="2015-06-02T00:00:00"/>
    <x v="330"/>
    <x v="0"/>
    <x v="2"/>
    <x v="9"/>
    <x v="678"/>
    <x v="781"/>
    <n v="2"/>
    <x v="766"/>
  </r>
  <r>
    <d v="2015-06-02T00:00:00"/>
    <x v="330"/>
    <x v="0"/>
    <x v="0"/>
    <x v="2"/>
    <x v="241"/>
    <x v="782"/>
    <n v="3"/>
    <x v="767"/>
  </r>
  <r>
    <d v="2015-06-02T00:00:00"/>
    <x v="331"/>
    <x v="6"/>
    <x v="0"/>
    <x v="2"/>
    <x v="679"/>
    <x v="783"/>
    <n v="3"/>
    <x v="702"/>
  </r>
  <r>
    <d v="2015-06-02T00:00:00"/>
    <x v="331"/>
    <x v="6"/>
    <x v="0"/>
    <x v="0"/>
    <x v="680"/>
    <x v="784"/>
    <n v="5"/>
    <x v="768"/>
  </r>
  <r>
    <d v="2015-07-02T00:00:00"/>
    <x v="332"/>
    <x v="6"/>
    <x v="0"/>
    <x v="11"/>
    <x v="614"/>
    <x v="785"/>
    <n v="5"/>
    <x v="769"/>
  </r>
  <r>
    <d v="2015-07-02T00:00:00"/>
    <x v="332"/>
    <x v="6"/>
    <x v="0"/>
    <x v="0"/>
    <x v="114"/>
    <x v="113"/>
    <n v="2"/>
    <x v="113"/>
  </r>
  <r>
    <d v="2015-08-02T00:00:00"/>
    <x v="202"/>
    <x v="16"/>
    <x v="2"/>
    <x v="6"/>
    <x v="412"/>
    <x v="786"/>
    <n v="3"/>
    <x v="770"/>
  </r>
  <r>
    <d v="2015-08-02T00:00:00"/>
    <x v="123"/>
    <x v="36"/>
    <x v="0"/>
    <x v="0"/>
    <x v="681"/>
    <x v="787"/>
    <n v="2"/>
    <x v="607"/>
  </r>
  <r>
    <d v="2015-08-02T00:00:00"/>
    <x v="123"/>
    <x v="36"/>
    <x v="0"/>
    <x v="7"/>
    <x v="682"/>
    <x v="788"/>
    <n v="1"/>
    <x v="771"/>
  </r>
  <r>
    <d v="2015-08-02T00:00:00"/>
    <x v="123"/>
    <x v="36"/>
    <x v="0"/>
    <x v="4"/>
    <x v="683"/>
    <x v="570"/>
    <n v="2"/>
    <x v="772"/>
  </r>
  <r>
    <d v="2015-09-02T00:00:00"/>
    <x v="333"/>
    <x v="0"/>
    <x v="2"/>
    <x v="9"/>
    <x v="17"/>
    <x v="789"/>
    <n v="2"/>
    <x v="773"/>
  </r>
  <r>
    <d v="2015-09-02T00:00:00"/>
    <x v="334"/>
    <x v="0"/>
    <x v="0"/>
    <x v="1"/>
    <x v="234"/>
    <x v="790"/>
    <n v="4"/>
    <x v="774"/>
  </r>
  <r>
    <d v="2015-09-02T00:00:00"/>
    <x v="334"/>
    <x v="0"/>
    <x v="1"/>
    <x v="8"/>
    <x v="444"/>
    <x v="791"/>
    <n v="2"/>
    <x v="775"/>
  </r>
  <r>
    <d v="2015-09-02T00:00:00"/>
    <x v="335"/>
    <x v="3"/>
    <x v="1"/>
    <x v="5"/>
    <x v="462"/>
    <x v="792"/>
    <n v="5"/>
    <x v="776"/>
  </r>
  <r>
    <d v="2015-09-02T00:00:00"/>
    <x v="241"/>
    <x v="1"/>
    <x v="2"/>
    <x v="9"/>
    <x v="146"/>
    <x v="793"/>
    <n v="6"/>
    <x v="777"/>
  </r>
  <r>
    <d v="2015-10-02T00:00:00"/>
    <x v="301"/>
    <x v="2"/>
    <x v="0"/>
    <x v="2"/>
    <x v="684"/>
    <x v="794"/>
    <n v="5"/>
    <x v="778"/>
  </r>
  <r>
    <d v="2015-01-03T00:00:00"/>
    <x v="336"/>
    <x v="4"/>
    <x v="0"/>
    <x v="3"/>
    <x v="685"/>
    <x v="795"/>
    <n v="4"/>
    <x v="779"/>
  </r>
  <r>
    <d v="2015-01-03T00:00:00"/>
    <x v="337"/>
    <x v="3"/>
    <x v="2"/>
    <x v="6"/>
    <x v="249"/>
    <x v="796"/>
    <n v="2"/>
    <x v="780"/>
  </r>
  <r>
    <d v="2015-01-03T00:00:00"/>
    <x v="337"/>
    <x v="3"/>
    <x v="1"/>
    <x v="5"/>
    <x v="658"/>
    <x v="797"/>
    <n v="3"/>
    <x v="781"/>
  </r>
  <r>
    <d v="2015-01-03T00:00:00"/>
    <x v="260"/>
    <x v="2"/>
    <x v="0"/>
    <x v="13"/>
    <x v="686"/>
    <x v="798"/>
    <n v="2"/>
    <x v="782"/>
  </r>
  <r>
    <d v="2015-01-03T00:00:00"/>
    <x v="40"/>
    <x v="0"/>
    <x v="0"/>
    <x v="4"/>
    <x v="687"/>
    <x v="799"/>
    <n v="2"/>
    <x v="411"/>
  </r>
  <r>
    <d v="2015-01-03T00:00:00"/>
    <x v="40"/>
    <x v="0"/>
    <x v="1"/>
    <x v="12"/>
    <x v="688"/>
    <x v="800"/>
    <n v="6"/>
    <x v="783"/>
  </r>
  <r>
    <d v="2015-01-03T00:00:00"/>
    <x v="338"/>
    <x v="0"/>
    <x v="2"/>
    <x v="6"/>
    <x v="689"/>
    <x v="801"/>
    <n v="4"/>
    <x v="784"/>
  </r>
  <r>
    <d v="2015-02-03T00:00:00"/>
    <x v="339"/>
    <x v="10"/>
    <x v="1"/>
    <x v="10"/>
    <x v="517"/>
    <x v="802"/>
    <n v="3"/>
    <x v="785"/>
  </r>
  <r>
    <d v="2015-02-03T00:00:00"/>
    <x v="340"/>
    <x v="26"/>
    <x v="0"/>
    <x v="4"/>
    <x v="575"/>
    <x v="803"/>
    <n v="1"/>
    <x v="753"/>
  </r>
  <r>
    <d v="2015-02-03T00:00:00"/>
    <x v="340"/>
    <x v="26"/>
    <x v="0"/>
    <x v="11"/>
    <x v="690"/>
    <x v="804"/>
    <n v="6"/>
    <x v="786"/>
  </r>
  <r>
    <d v="2015-05-03T00:00:00"/>
    <x v="304"/>
    <x v="12"/>
    <x v="0"/>
    <x v="11"/>
    <x v="55"/>
    <x v="805"/>
    <n v="3"/>
    <x v="787"/>
  </r>
  <r>
    <d v="2015-05-03T00:00:00"/>
    <x v="304"/>
    <x v="12"/>
    <x v="1"/>
    <x v="5"/>
    <x v="39"/>
    <x v="806"/>
    <n v="7"/>
    <x v="788"/>
  </r>
  <r>
    <d v="2015-05-03T00:00:00"/>
    <x v="304"/>
    <x v="12"/>
    <x v="0"/>
    <x v="2"/>
    <x v="691"/>
    <x v="807"/>
    <n v="4"/>
    <x v="789"/>
  </r>
  <r>
    <d v="2015-05-03T00:00:00"/>
    <x v="341"/>
    <x v="26"/>
    <x v="2"/>
    <x v="6"/>
    <x v="510"/>
    <x v="292"/>
    <n v="2"/>
    <x v="236"/>
  </r>
  <r>
    <d v="2015-05-03T00:00:00"/>
    <x v="341"/>
    <x v="26"/>
    <x v="0"/>
    <x v="13"/>
    <x v="202"/>
    <x v="808"/>
    <n v="7"/>
    <x v="790"/>
  </r>
  <r>
    <d v="2015-05-03T00:00:00"/>
    <x v="292"/>
    <x v="2"/>
    <x v="2"/>
    <x v="6"/>
    <x v="692"/>
    <x v="809"/>
    <n v="7"/>
    <x v="791"/>
  </r>
  <r>
    <d v="2015-05-03T00:00:00"/>
    <x v="292"/>
    <x v="2"/>
    <x v="2"/>
    <x v="9"/>
    <x v="537"/>
    <x v="810"/>
    <n v="1"/>
    <x v="792"/>
  </r>
  <r>
    <d v="2015-05-03T00:00:00"/>
    <x v="292"/>
    <x v="2"/>
    <x v="0"/>
    <x v="3"/>
    <x v="693"/>
    <x v="811"/>
    <n v="3"/>
    <x v="793"/>
  </r>
  <r>
    <d v="2015-05-03T00:00:00"/>
    <x v="342"/>
    <x v="2"/>
    <x v="1"/>
    <x v="5"/>
    <x v="239"/>
    <x v="812"/>
    <n v="2"/>
    <x v="794"/>
  </r>
  <r>
    <d v="2015-05-03T00:00:00"/>
    <x v="342"/>
    <x v="2"/>
    <x v="1"/>
    <x v="8"/>
    <x v="694"/>
    <x v="813"/>
    <n v="2"/>
    <x v="795"/>
  </r>
  <r>
    <d v="2015-05-03T00:00:00"/>
    <x v="343"/>
    <x v="0"/>
    <x v="2"/>
    <x v="6"/>
    <x v="695"/>
    <x v="523"/>
    <n v="2"/>
    <x v="796"/>
  </r>
  <r>
    <d v="2015-05-03T00:00:00"/>
    <x v="344"/>
    <x v="1"/>
    <x v="0"/>
    <x v="7"/>
    <x v="142"/>
    <x v="814"/>
    <n v="6"/>
    <x v="146"/>
  </r>
  <r>
    <d v="2015-05-03T00:00:00"/>
    <x v="210"/>
    <x v="1"/>
    <x v="0"/>
    <x v="3"/>
    <x v="363"/>
    <x v="815"/>
    <n v="2"/>
    <x v="797"/>
  </r>
  <r>
    <d v="2015-05-03T00:00:00"/>
    <x v="210"/>
    <x v="1"/>
    <x v="1"/>
    <x v="8"/>
    <x v="85"/>
    <x v="476"/>
    <n v="2"/>
    <x v="798"/>
  </r>
  <r>
    <d v="2015-05-03T00:00:00"/>
    <x v="210"/>
    <x v="1"/>
    <x v="0"/>
    <x v="13"/>
    <x v="696"/>
    <x v="816"/>
    <n v="5"/>
    <x v="799"/>
  </r>
  <r>
    <d v="2015-05-03T00:00:00"/>
    <x v="210"/>
    <x v="1"/>
    <x v="0"/>
    <x v="2"/>
    <x v="625"/>
    <x v="713"/>
    <n v="2"/>
    <x v="29"/>
  </r>
  <r>
    <d v="2015-06-03T00:00:00"/>
    <x v="345"/>
    <x v="3"/>
    <x v="1"/>
    <x v="8"/>
    <x v="697"/>
    <x v="817"/>
    <n v="7"/>
    <x v="800"/>
  </r>
  <r>
    <d v="2015-06-03T00:00:00"/>
    <x v="345"/>
    <x v="3"/>
    <x v="2"/>
    <x v="15"/>
    <x v="698"/>
    <x v="818"/>
    <n v="2"/>
    <x v="801"/>
  </r>
  <r>
    <d v="2015-07-03T00:00:00"/>
    <x v="346"/>
    <x v="7"/>
    <x v="2"/>
    <x v="9"/>
    <x v="699"/>
    <x v="819"/>
    <n v="3"/>
    <x v="802"/>
  </r>
  <r>
    <d v="2015-07-03T00:00:00"/>
    <x v="346"/>
    <x v="7"/>
    <x v="0"/>
    <x v="3"/>
    <x v="700"/>
    <x v="820"/>
    <n v="2"/>
    <x v="803"/>
  </r>
  <r>
    <d v="2015-07-03T00:00:00"/>
    <x v="346"/>
    <x v="7"/>
    <x v="0"/>
    <x v="3"/>
    <x v="214"/>
    <x v="821"/>
    <n v="2"/>
    <x v="804"/>
  </r>
  <r>
    <d v="2015-07-03T00:00:00"/>
    <x v="346"/>
    <x v="7"/>
    <x v="2"/>
    <x v="6"/>
    <x v="701"/>
    <x v="92"/>
    <n v="3"/>
    <x v="805"/>
  </r>
  <r>
    <d v="2015-08-03T00:00:00"/>
    <x v="347"/>
    <x v="8"/>
    <x v="1"/>
    <x v="12"/>
    <x v="702"/>
    <x v="822"/>
    <n v="3"/>
    <x v="806"/>
  </r>
  <r>
    <d v="2015-08-03T00:00:00"/>
    <x v="347"/>
    <x v="8"/>
    <x v="1"/>
    <x v="5"/>
    <x v="703"/>
    <x v="823"/>
    <n v="7"/>
    <x v="807"/>
  </r>
  <r>
    <d v="2015-08-03T00:00:00"/>
    <x v="347"/>
    <x v="8"/>
    <x v="2"/>
    <x v="6"/>
    <x v="704"/>
    <x v="824"/>
    <n v="5"/>
    <x v="808"/>
  </r>
  <r>
    <d v="2015-08-03T00:00:00"/>
    <x v="347"/>
    <x v="8"/>
    <x v="0"/>
    <x v="4"/>
    <x v="705"/>
    <x v="825"/>
    <n v="1"/>
    <x v="291"/>
  </r>
  <r>
    <d v="2015-08-03T00:00:00"/>
    <x v="347"/>
    <x v="8"/>
    <x v="1"/>
    <x v="8"/>
    <x v="697"/>
    <x v="826"/>
    <n v="6"/>
    <x v="809"/>
  </r>
  <r>
    <d v="2015-08-03T00:00:00"/>
    <x v="348"/>
    <x v="12"/>
    <x v="0"/>
    <x v="0"/>
    <x v="706"/>
    <x v="5"/>
    <n v="3"/>
    <x v="5"/>
  </r>
  <r>
    <d v="2015-08-03T00:00:00"/>
    <x v="240"/>
    <x v="19"/>
    <x v="0"/>
    <x v="4"/>
    <x v="6"/>
    <x v="827"/>
    <n v="1"/>
    <x v="642"/>
  </r>
  <r>
    <d v="2015-08-03T00:00:00"/>
    <x v="126"/>
    <x v="1"/>
    <x v="0"/>
    <x v="3"/>
    <x v="707"/>
    <x v="828"/>
    <n v="3"/>
    <x v="810"/>
  </r>
  <r>
    <d v="2015-09-03T00:00:00"/>
    <x v="349"/>
    <x v="0"/>
    <x v="2"/>
    <x v="9"/>
    <x v="325"/>
    <x v="829"/>
    <n v="5"/>
    <x v="811"/>
  </r>
  <r>
    <d v="2015-09-03T00:00:00"/>
    <x v="349"/>
    <x v="0"/>
    <x v="2"/>
    <x v="6"/>
    <x v="616"/>
    <x v="830"/>
    <n v="3"/>
    <x v="812"/>
  </r>
  <r>
    <d v="2015-09-03T00:00:00"/>
    <x v="350"/>
    <x v="15"/>
    <x v="0"/>
    <x v="1"/>
    <x v="289"/>
    <x v="831"/>
    <n v="2"/>
    <x v="813"/>
  </r>
  <r>
    <d v="2015-10-03T00:00:00"/>
    <x v="209"/>
    <x v="0"/>
    <x v="0"/>
    <x v="3"/>
    <x v="708"/>
    <x v="832"/>
    <n v="2"/>
    <x v="814"/>
  </r>
  <r>
    <d v="2015-10-03T00:00:00"/>
    <x v="55"/>
    <x v="39"/>
    <x v="0"/>
    <x v="2"/>
    <x v="417"/>
    <x v="833"/>
    <n v="6"/>
    <x v="815"/>
  </r>
  <r>
    <d v="2015-12-03T00:00:00"/>
    <x v="351"/>
    <x v="9"/>
    <x v="0"/>
    <x v="11"/>
    <x v="464"/>
    <x v="834"/>
    <n v="3"/>
    <x v="702"/>
  </r>
  <r>
    <d v="2015-12-03T00:00:00"/>
    <x v="351"/>
    <x v="9"/>
    <x v="1"/>
    <x v="8"/>
    <x v="709"/>
    <x v="835"/>
    <n v="4"/>
    <x v="816"/>
  </r>
  <r>
    <d v="2015-12-03T00:00:00"/>
    <x v="351"/>
    <x v="9"/>
    <x v="1"/>
    <x v="8"/>
    <x v="710"/>
    <x v="836"/>
    <n v="3"/>
    <x v="662"/>
  </r>
  <r>
    <d v="2015-12-03T00:00:00"/>
    <x v="352"/>
    <x v="15"/>
    <x v="0"/>
    <x v="1"/>
    <x v="104"/>
    <x v="837"/>
    <n v="2"/>
    <x v="764"/>
  </r>
  <r>
    <d v="2015-02-04T00:00:00"/>
    <x v="353"/>
    <x v="0"/>
    <x v="0"/>
    <x v="13"/>
    <x v="711"/>
    <x v="838"/>
    <n v="2"/>
    <x v="817"/>
  </r>
  <r>
    <d v="2015-02-04T00:00:00"/>
    <x v="353"/>
    <x v="0"/>
    <x v="2"/>
    <x v="9"/>
    <x v="461"/>
    <x v="839"/>
    <n v="7"/>
    <x v="818"/>
  </r>
  <r>
    <d v="2015-02-04T00:00:00"/>
    <x v="353"/>
    <x v="0"/>
    <x v="2"/>
    <x v="9"/>
    <x v="712"/>
    <x v="840"/>
    <n v="3"/>
    <x v="771"/>
  </r>
  <r>
    <d v="2015-02-04T00:00:00"/>
    <x v="354"/>
    <x v="0"/>
    <x v="0"/>
    <x v="3"/>
    <x v="713"/>
    <x v="841"/>
    <n v="3"/>
    <x v="819"/>
  </r>
  <r>
    <d v="2015-02-04T00:00:00"/>
    <x v="355"/>
    <x v="3"/>
    <x v="2"/>
    <x v="16"/>
    <x v="714"/>
    <x v="842"/>
    <n v="3"/>
    <x v="820"/>
  </r>
  <r>
    <d v="2015-02-04T00:00:00"/>
    <x v="345"/>
    <x v="23"/>
    <x v="2"/>
    <x v="6"/>
    <x v="627"/>
    <x v="843"/>
    <n v="5"/>
    <x v="821"/>
  </r>
  <r>
    <d v="2015-04-04T00:00:00"/>
    <x v="214"/>
    <x v="12"/>
    <x v="0"/>
    <x v="4"/>
    <x v="193"/>
    <x v="104"/>
    <n v="2"/>
    <x v="822"/>
  </r>
  <r>
    <d v="2015-04-04T00:00:00"/>
    <x v="214"/>
    <x v="12"/>
    <x v="1"/>
    <x v="8"/>
    <x v="715"/>
    <x v="844"/>
    <n v="2"/>
    <x v="823"/>
  </r>
  <r>
    <d v="2015-04-04T00:00:00"/>
    <x v="214"/>
    <x v="12"/>
    <x v="0"/>
    <x v="3"/>
    <x v="716"/>
    <x v="845"/>
    <n v="3"/>
    <x v="824"/>
  </r>
  <r>
    <d v="2015-04-04T00:00:00"/>
    <x v="214"/>
    <x v="12"/>
    <x v="0"/>
    <x v="3"/>
    <x v="693"/>
    <x v="502"/>
    <n v="4"/>
    <x v="825"/>
  </r>
  <r>
    <d v="2015-04-04T00:00:00"/>
    <x v="86"/>
    <x v="18"/>
    <x v="0"/>
    <x v="13"/>
    <x v="717"/>
    <x v="846"/>
    <n v="2"/>
    <x v="826"/>
  </r>
  <r>
    <d v="2015-04-04T00:00:00"/>
    <x v="86"/>
    <x v="18"/>
    <x v="0"/>
    <x v="7"/>
    <x v="22"/>
    <x v="847"/>
    <n v="2"/>
    <x v="827"/>
  </r>
  <r>
    <d v="2015-04-04T00:00:00"/>
    <x v="86"/>
    <x v="18"/>
    <x v="0"/>
    <x v="3"/>
    <x v="718"/>
    <x v="848"/>
    <n v="2"/>
    <x v="595"/>
  </r>
  <r>
    <d v="2015-04-04T00:00:00"/>
    <x v="86"/>
    <x v="18"/>
    <x v="2"/>
    <x v="6"/>
    <x v="619"/>
    <x v="849"/>
    <n v="1"/>
    <x v="782"/>
  </r>
  <r>
    <d v="2015-04-04T00:00:00"/>
    <x v="86"/>
    <x v="18"/>
    <x v="2"/>
    <x v="15"/>
    <x v="163"/>
    <x v="850"/>
    <n v="2"/>
    <x v="828"/>
  </r>
  <r>
    <d v="2015-05-04T00:00:00"/>
    <x v="356"/>
    <x v="31"/>
    <x v="0"/>
    <x v="3"/>
    <x v="645"/>
    <x v="851"/>
    <n v="1"/>
    <x v="829"/>
  </r>
  <r>
    <d v="2015-05-04T00:00:00"/>
    <x v="118"/>
    <x v="2"/>
    <x v="0"/>
    <x v="13"/>
    <x v="618"/>
    <x v="852"/>
    <n v="7"/>
    <x v="830"/>
  </r>
  <r>
    <d v="2015-05-04T00:00:00"/>
    <x v="118"/>
    <x v="2"/>
    <x v="0"/>
    <x v="2"/>
    <x v="486"/>
    <x v="853"/>
    <n v="4"/>
    <x v="831"/>
  </r>
  <r>
    <d v="2015-05-04T00:00:00"/>
    <x v="118"/>
    <x v="2"/>
    <x v="0"/>
    <x v="3"/>
    <x v="719"/>
    <x v="15"/>
    <n v="4"/>
    <x v="832"/>
  </r>
  <r>
    <d v="2015-05-04T00:00:00"/>
    <x v="118"/>
    <x v="2"/>
    <x v="1"/>
    <x v="8"/>
    <x v="519"/>
    <x v="854"/>
    <n v="4"/>
    <x v="833"/>
  </r>
  <r>
    <d v="2015-05-04T00:00:00"/>
    <x v="118"/>
    <x v="2"/>
    <x v="2"/>
    <x v="6"/>
    <x v="720"/>
    <x v="855"/>
    <n v="5"/>
    <x v="834"/>
  </r>
  <r>
    <d v="2015-05-04T00:00:00"/>
    <x v="118"/>
    <x v="2"/>
    <x v="2"/>
    <x v="6"/>
    <x v="651"/>
    <x v="856"/>
    <n v="2"/>
    <x v="835"/>
  </r>
  <r>
    <d v="2015-05-04T00:00:00"/>
    <x v="118"/>
    <x v="2"/>
    <x v="1"/>
    <x v="8"/>
    <x v="721"/>
    <x v="857"/>
    <n v="1"/>
    <x v="836"/>
  </r>
  <r>
    <d v="2015-05-04T00:00:00"/>
    <x v="118"/>
    <x v="2"/>
    <x v="1"/>
    <x v="12"/>
    <x v="283"/>
    <x v="858"/>
    <n v="5"/>
    <x v="837"/>
  </r>
  <r>
    <d v="2015-05-04T00:00:00"/>
    <x v="204"/>
    <x v="2"/>
    <x v="0"/>
    <x v="1"/>
    <x v="507"/>
    <x v="859"/>
    <n v="6"/>
    <x v="549"/>
  </r>
  <r>
    <d v="2015-05-04T00:00:00"/>
    <x v="357"/>
    <x v="3"/>
    <x v="1"/>
    <x v="5"/>
    <x v="442"/>
    <x v="860"/>
    <n v="3"/>
    <x v="838"/>
  </r>
  <r>
    <d v="2015-05-04T00:00:00"/>
    <x v="358"/>
    <x v="10"/>
    <x v="2"/>
    <x v="9"/>
    <x v="344"/>
    <x v="861"/>
    <n v="6"/>
    <x v="839"/>
  </r>
  <r>
    <d v="2015-05-04T00:00:00"/>
    <x v="358"/>
    <x v="10"/>
    <x v="0"/>
    <x v="4"/>
    <x v="722"/>
    <x v="312"/>
    <n v="8"/>
    <x v="840"/>
  </r>
  <r>
    <d v="2015-06-04T00:00:00"/>
    <x v="359"/>
    <x v="0"/>
    <x v="0"/>
    <x v="4"/>
    <x v="16"/>
    <x v="862"/>
    <n v="9"/>
    <x v="841"/>
  </r>
  <r>
    <d v="2015-06-04T00:00:00"/>
    <x v="359"/>
    <x v="0"/>
    <x v="2"/>
    <x v="9"/>
    <x v="535"/>
    <x v="863"/>
    <n v="2"/>
    <x v="239"/>
  </r>
  <r>
    <d v="2015-06-04T00:00:00"/>
    <x v="359"/>
    <x v="0"/>
    <x v="0"/>
    <x v="3"/>
    <x v="620"/>
    <x v="864"/>
    <n v="3"/>
    <x v="842"/>
  </r>
  <r>
    <d v="2015-06-04T00:00:00"/>
    <x v="359"/>
    <x v="0"/>
    <x v="0"/>
    <x v="3"/>
    <x v="120"/>
    <x v="865"/>
    <n v="6"/>
    <x v="843"/>
  </r>
  <r>
    <d v="2015-06-04T00:00:00"/>
    <x v="359"/>
    <x v="0"/>
    <x v="0"/>
    <x v="0"/>
    <x v="300"/>
    <x v="866"/>
    <n v="2"/>
    <x v="844"/>
  </r>
  <r>
    <d v="2015-06-04T00:00:00"/>
    <x v="148"/>
    <x v="15"/>
    <x v="0"/>
    <x v="0"/>
    <x v="315"/>
    <x v="867"/>
    <n v="3"/>
    <x v="845"/>
  </r>
  <r>
    <d v="2015-07-04T00:00:00"/>
    <x v="88"/>
    <x v="0"/>
    <x v="0"/>
    <x v="13"/>
    <x v="723"/>
    <x v="868"/>
    <n v="8"/>
    <x v="846"/>
  </r>
  <r>
    <d v="2015-07-04T00:00:00"/>
    <x v="88"/>
    <x v="0"/>
    <x v="2"/>
    <x v="9"/>
    <x v="724"/>
    <x v="869"/>
    <n v="6"/>
    <x v="847"/>
  </r>
  <r>
    <d v="2015-07-04T00:00:00"/>
    <x v="360"/>
    <x v="2"/>
    <x v="0"/>
    <x v="4"/>
    <x v="725"/>
    <x v="870"/>
    <n v="3"/>
    <x v="848"/>
  </r>
  <r>
    <d v="2015-07-04T00:00:00"/>
    <x v="260"/>
    <x v="12"/>
    <x v="0"/>
    <x v="0"/>
    <x v="726"/>
    <x v="212"/>
    <n v="4"/>
    <x v="215"/>
  </r>
  <r>
    <d v="2015-07-04T00:00:00"/>
    <x v="260"/>
    <x v="12"/>
    <x v="0"/>
    <x v="2"/>
    <x v="545"/>
    <x v="603"/>
    <n v="2"/>
    <x v="595"/>
  </r>
  <r>
    <d v="2015-09-04T00:00:00"/>
    <x v="73"/>
    <x v="3"/>
    <x v="1"/>
    <x v="10"/>
    <x v="727"/>
    <x v="871"/>
    <n v="3"/>
    <x v="849"/>
  </r>
  <r>
    <d v="2015-09-04T00:00:00"/>
    <x v="361"/>
    <x v="12"/>
    <x v="0"/>
    <x v="2"/>
    <x v="281"/>
    <x v="77"/>
    <n v="3"/>
    <x v="850"/>
  </r>
  <r>
    <d v="2015-09-04T00:00:00"/>
    <x v="362"/>
    <x v="27"/>
    <x v="0"/>
    <x v="13"/>
    <x v="728"/>
    <x v="872"/>
    <n v="3"/>
    <x v="851"/>
  </r>
  <r>
    <d v="2015-10-04T00:00:00"/>
    <x v="312"/>
    <x v="3"/>
    <x v="0"/>
    <x v="3"/>
    <x v="729"/>
    <x v="873"/>
    <n v="2"/>
    <x v="720"/>
  </r>
  <r>
    <d v="2015-10-04T00:00:00"/>
    <x v="363"/>
    <x v="12"/>
    <x v="0"/>
    <x v="2"/>
    <x v="730"/>
    <x v="874"/>
    <n v="4"/>
    <x v="852"/>
  </r>
  <r>
    <d v="2015-10-04T00:00:00"/>
    <x v="363"/>
    <x v="12"/>
    <x v="0"/>
    <x v="4"/>
    <x v="731"/>
    <x v="875"/>
    <n v="3"/>
    <x v="853"/>
  </r>
  <r>
    <d v="2015-11-04T00:00:00"/>
    <x v="74"/>
    <x v="12"/>
    <x v="2"/>
    <x v="9"/>
    <x v="325"/>
    <x v="876"/>
    <n v="3"/>
    <x v="854"/>
  </r>
  <r>
    <d v="2015-11-04T00:00:00"/>
    <x v="74"/>
    <x v="12"/>
    <x v="2"/>
    <x v="6"/>
    <x v="732"/>
    <x v="877"/>
    <n v="1"/>
    <x v="855"/>
  </r>
  <r>
    <d v="2015-11-04T00:00:00"/>
    <x v="74"/>
    <x v="12"/>
    <x v="0"/>
    <x v="13"/>
    <x v="733"/>
    <x v="878"/>
    <n v="5"/>
    <x v="856"/>
  </r>
  <r>
    <d v="2015-11-04T00:00:00"/>
    <x v="194"/>
    <x v="9"/>
    <x v="1"/>
    <x v="8"/>
    <x v="734"/>
    <x v="879"/>
    <n v="2"/>
    <x v="857"/>
  </r>
  <r>
    <d v="2015-11-04T00:00:00"/>
    <x v="194"/>
    <x v="9"/>
    <x v="1"/>
    <x v="8"/>
    <x v="735"/>
    <x v="880"/>
    <n v="3"/>
    <x v="858"/>
  </r>
  <r>
    <d v="2015-11-04T00:00:00"/>
    <x v="364"/>
    <x v="3"/>
    <x v="2"/>
    <x v="15"/>
    <x v="736"/>
    <x v="881"/>
    <n v="4"/>
    <x v="859"/>
  </r>
  <r>
    <d v="2015-11-04T00:00:00"/>
    <x v="364"/>
    <x v="3"/>
    <x v="0"/>
    <x v="0"/>
    <x v="177"/>
    <x v="882"/>
    <n v="2"/>
    <x v="860"/>
  </r>
  <r>
    <d v="2015-12-04T00:00:00"/>
    <x v="365"/>
    <x v="10"/>
    <x v="0"/>
    <x v="2"/>
    <x v="737"/>
    <x v="883"/>
    <n v="3"/>
    <x v="861"/>
  </r>
  <r>
    <d v="2015-01-05T00:00:00"/>
    <x v="366"/>
    <x v="3"/>
    <x v="2"/>
    <x v="6"/>
    <x v="738"/>
    <x v="884"/>
    <n v="3"/>
    <x v="862"/>
  </r>
  <r>
    <d v="2015-01-05T00:00:00"/>
    <x v="367"/>
    <x v="9"/>
    <x v="1"/>
    <x v="8"/>
    <x v="51"/>
    <x v="52"/>
    <n v="3"/>
    <x v="863"/>
  </r>
  <r>
    <d v="2015-01-05T00:00:00"/>
    <x v="367"/>
    <x v="9"/>
    <x v="0"/>
    <x v="14"/>
    <x v="739"/>
    <x v="885"/>
    <n v="3"/>
    <x v="294"/>
  </r>
  <r>
    <d v="2015-01-05T00:00:00"/>
    <x v="367"/>
    <x v="9"/>
    <x v="0"/>
    <x v="4"/>
    <x v="740"/>
    <x v="886"/>
    <n v="6"/>
    <x v="375"/>
  </r>
  <r>
    <d v="2015-01-05T00:00:00"/>
    <x v="254"/>
    <x v="3"/>
    <x v="0"/>
    <x v="3"/>
    <x v="700"/>
    <x v="169"/>
    <n v="1"/>
    <x v="864"/>
  </r>
  <r>
    <d v="2015-01-05T00:00:00"/>
    <x v="254"/>
    <x v="3"/>
    <x v="0"/>
    <x v="2"/>
    <x v="153"/>
    <x v="887"/>
    <n v="3"/>
    <x v="865"/>
  </r>
  <r>
    <d v="2015-01-05T00:00:00"/>
    <x v="254"/>
    <x v="3"/>
    <x v="0"/>
    <x v="14"/>
    <x v="741"/>
    <x v="888"/>
    <n v="2"/>
    <x v="866"/>
  </r>
  <r>
    <d v="2015-02-05T00:00:00"/>
    <x v="368"/>
    <x v="0"/>
    <x v="0"/>
    <x v="1"/>
    <x v="369"/>
    <x v="889"/>
    <n v="3"/>
    <x v="867"/>
  </r>
  <r>
    <d v="2015-02-05T00:00:00"/>
    <x v="368"/>
    <x v="0"/>
    <x v="2"/>
    <x v="6"/>
    <x v="513"/>
    <x v="890"/>
    <n v="3"/>
    <x v="868"/>
  </r>
  <r>
    <d v="2015-03-05T00:00:00"/>
    <x v="369"/>
    <x v="3"/>
    <x v="1"/>
    <x v="8"/>
    <x v="42"/>
    <x v="627"/>
    <n v="6"/>
    <x v="869"/>
  </r>
  <r>
    <d v="2015-03-05T00:00:00"/>
    <x v="78"/>
    <x v="2"/>
    <x v="0"/>
    <x v="4"/>
    <x v="742"/>
    <x v="891"/>
    <n v="2"/>
    <x v="870"/>
  </r>
  <r>
    <d v="2015-03-05T00:00:00"/>
    <x v="78"/>
    <x v="2"/>
    <x v="0"/>
    <x v="13"/>
    <x v="743"/>
    <x v="892"/>
    <n v="2"/>
    <x v="871"/>
  </r>
  <r>
    <d v="2015-03-05T00:00:00"/>
    <x v="78"/>
    <x v="2"/>
    <x v="0"/>
    <x v="0"/>
    <x v="744"/>
    <x v="866"/>
    <n v="2"/>
    <x v="844"/>
  </r>
  <r>
    <d v="2015-03-05T00:00:00"/>
    <x v="78"/>
    <x v="2"/>
    <x v="0"/>
    <x v="13"/>
    <x v="314"/>
    <x v="893"/>
    <n v="7"/>
    <x v="872"/>
  </r>
  <r>
    <d v="2015-03-05T00:00:00"/>
    <x v="78"/>
    <x v="2"/>
    <x v="2"/>
    <x v="9"/>
    <x v="452"/>
    <x v="894"/>
    <n v="3"/>
    <x v="873"/>
  </r>
  <r>
    <d v="2015-03-05T00:00:00"/>
    <x v="78"/>
    <x v="2"/>
    <x v="1"/>
    <x v="5"/>
    <x v="745"/>
    <x v="895"/>
    <n v="6"/>
    <x v="874"/>
  </r>
  <r>
    <d v="2015-03-05T00:00:00"/>
    <x v="78"/>
    <x v="2"/>
    <x v="0"/>
    <x v="2"/>
    <x v="269"/>
    <x v="896"/>
    <n v="3"/>
    <x v="875"/>
  </r>
  <r>
    <d v="2015-03-05T00:00:00"/>
    <x v="370"/>
    <x v="3"/>
    <x v="0"/>
    <x v="4"/>
    <x v="657"/>
    <x v="897"/>
    <n v="3"/>
    <x v="876"/>
  </r>
  <r>
    <d v="2015-03-05T00:00:00"/>
    <x v="370"/>
    <x v="3"/>
    <x v="0"/>
    <x v="3"/>
    <x v="746"/>
    <x v="898"/>
    <n v="2"/>
    <x v="877"/>
  </r>
  <r>
    <d v="2015-03-05T00:00:00"/>
    <x v="370"/>
    <x v="3"/>
    <x v="2"/>
    <x v="9"/>
    <x v="383"/>
    <x v="899"/>
    <n v="4"/>
    <x v="878"/>
  </r>
  <r>
    <d v="2015-03-05T00:00:00"/>
    <x v="370"/>
    <x v="3"/>
    <x v="0"/>
    <x v="3"/>
    <x v="747"/>
    <x v="900"/>
    <n v="2"/>
    <x v="879"/>
  </r>
  <r>
    <d v="2015-03-05T00:00:00"/>
    <x v="214"/>
    <x v="3"/>
    <x v="0"/>
    <x v="3"/>
    <x v="748"/>
    <x v="901"/>
    <n v="3"/>
    <x v="880"/>
  </r>
  <r>
    <d v="2015-04-05T00:00:00"/>
    <x v="371"/>
    <x v="12"/>
    <x v="1"/>
    <x v="8"/>
    <x v="749"/>
    <x v="902"/>
    <n v="2"/>
    <x v="439"/>
  </r>
  <r>
    <d v="2015-04-05T00:00:00"/>
    <x v="146"/>
    <x v="1"/>
    <x v="1"/>
    <x v="8"/>
    <x v="750"/>
    <x v="315"/>
    <n v="7"/>
    <x v="881"/>
  </r>
  <r>
    <d v="2015-04-05T00:00:00"/>
    <x v="50"/>
    <x v="0"/>
    <x v="2"/>
    <x v="6"/>
    <x v="751"/>
    <x v="903"/>
    <n v="7"/>
    <x v="882"/>
  </r>
  <r>
    <d v="2015-04-05T00:00:00"/>
    <x v="372"/>
    <x v="26"/>
    <x v="0"/>
    <x v="4"/>
    <x v="180"/>
    <x v="904"/>
    <n v="7"/>
    <x v="883"/>
  </r>
  <r>
    <d v="2015-07-05T00:00:00"/>
    <x v="373"/>
    <x v="0"/>
    <x v="1"/>
    <x v="10"/>
    <x v="752"/>
    <x v="905"/>
    <n v="2"/>
    <x v="884"/>
  </r>
  <r>
    <d v="2015-07-05T00:00:00"/>
    <x v="373"/>
    <x v="0"/>
    <x v="0"/>
    <x v="0"/>
    <x v="90"/>
    <x v="226"/>
    <n v="4"/>
    <x v="885"/>
  </r>
  <r>
    <d v="2015-07-05T00:00:00"/>
    <x v="215"/>
    <x v="5"/>
    <x v="0"/>
    <x v="0"/>
    <x v="753"/>
    <x v="721"/>
    <n v="2"/>
    <x v="703"/>
  </r>
  <r>
    <d v="2015-08-05T00:00:00"/>
    <x v="318"/>
    <x v="16"/>
    <x v="1"/>
    <x v="8"/>
    <x v="170"/>
    <x v="906"/>
    <n v="6"/>
    <x v="886"/>
  </r>
  <r>
    <d v="2015-08-05T00:00:00"/>
    <x v="327"/>
    <x v="35"/>
    <x v="0"/>
    <x v="4"/>
    <x v="115"/>
    <x v="907"/>
    <n v="2"/>
    <x v="887"/>
  </r>
  <r>
    <d v="2015-08-05T00:00:00"/>
    <x v="213"/>
    <x v="28"/>
    <x v="0"/>
    <x v="3"/>
    <x v="178"/>
    <x v="908"/>
    <n v="2"/>
    <x v="888"/>
  </r>
  <r>
    <d v="2015-08-05T00:00:00"/>
    <x v="213"/>
    <x v="28"/>
    <x v="2"/>
    <x v="6"/>
    <x v="754"/>
    <x v="411"/>
    <n v="3"/>
    <x v="889"/>
  </r>
  <r>
    <d v="2015-08-05T00:00:00"/>
    <x v="213"/>
    <x v="28"/>
    <x v="1"/>
    <x v="8"/>
    <x v="200"/>
    <x v="909"/>
    <n v="3"/>
    <x v="890"/>
  </r>
  <r>
    <d v="2015-08-05T00:00:00"/>
    <x v="374"/>
    <x v="12"/>
    <x v="0"/>
    <x v="0"/>
    <x v="554"/>
    <x v="910"/>
    <n v="2"/>
    <x v="891"/>
  </r>
  <r>
    <d v="2015-08-05T00:00:00"/>
    <x v="375"/>
    <x v="12"/>
    <x v="1"/>
    <x v="8"/>
    <x v="51"/>
    <x v="722"/>
    <n v="3"/>
    <x v="892"/>
  </r>
  <r>
    <d v="2015-08-05T00:00:00"/>
    <x v="375"/>
    <x v="12"/>
    <x v="0"/>
    <x v="14"/>
    <x v="451"/>
    <x v="471"/>
    <n v="3"/>
    <x v="473"/>
  </r>
  <r>
    <d v="2015-08-05T00:00:00"/>
    <x v="375"/>
    <x v="12"/>
    <x v="1"/>
    <x v="5"/>
    <x v="239"/>
    <x v="911"/>
    <n v="2"/>
    <x v="893"/>
  </r>
  <r>
    <d v="2015-08-05T00:00:00"/>
    <x v="375"/>
    <x v="12"/>
    <x v="2"/>
    <x v="15"/>
    <x v="340"/>
    <x v="912"/>
    <n v="7"/>
    <x v="894"/>
  </r>
  <r>
    <d v="2015-08-05T00:00:00"/>
    <x v="375"/>
    <x v="12"/>
    <x v="0"/>
    <x v="0"/>
    <x v="755"/>
    <x v="5"/>
    <n v="3"/>
    <x v="5"/>
  </r>
  <r>
    <d v="2015-09-05T00:00:00"/>
    <x v="152"/>
    <x v="5"/>
    <x v="0"/>
    <x v="3"/>
    <x v="532"/>
    <x v="913"/>
    <n v="3"/>
    <x v="895"/>
  </r>
  <r>
    <d v="2015-10-05T00:00:00"/>
    <x v="135"/>
    <x v="1"/>
    <x v="0"/>
    <x v="13"/>
    <x v="756"/>
    <x v="914"/>
    <n v="5"/>
    <x v="896"/>
  </r>
  <r>
    <d v="2015-10-05T00:00:00"/>
    <x v="135"/>
    <x v="1"/>
    <x v="0"/>
    <x v="4"/>
    <x v="331"/>
    <x v="915"/>
    <n v="2"/>
    <x v="897"/>
  </r>
  <r>
    <d v="2015-10-05T00:00:00"/>
    <x v="376"/>
    <x v="19"/>
    <x v="2"/>
    <x v="9"/>
    <x v="399"/>
    <x v="415"/>
    <n v="4"/>
    <x v="418"/>
  </r>
  <r>
    <d v="2015-11-05T00:00:00"/>
    <x v="377"/>
    <x v="23"/>
    <x v="1"/>
    <x v="5"/>
    <x v="757"/>
    <x v="916"/>
    <n v="7"/>
    <x v="898"/>
  </r>
  <r>
    <d v="2015-12-05T00:00:00"/>
    <x v="378"/>
    <x v="3"/>
    <x v="0"/>
    <x v="0"/>
    <x v="758"/>
    <x v="623"/>
    <n v="3"/>
    <x v="254"/>
  </r>
  <r>
    <d v="2015-12-05T00:00:00"/>
    <x v="378"/>
    <x v="3"/>
    <x v="0"/>
    <x v="0"/>
    <x v="759"/>
    <x v="917"/>
    <n v="6"/>
    <x v="899"/>
  </r>
  <r>
    <d v="2015-12-05T00:00:00"/>
    <x v="185"/>
    <x v="19"/>
    <x v="2"/>
    <x v="6"/>
    <x v="754"/>
    <x v="918"/>
    <n v="2"/>
    <x v="482"/>
  </r>
  <r>
    <d v="2015-12-05T00:00:00"/>
    <x v="379"/>
    <x v="12"/>
    <x v="0"/>
    <x v="2"/>
    <x v="544"/>
    <x v="602"/>
    <n v="3"/>
    <x v="169"/>
  </r>
  <r>
    <d v="2015-12-05T00:00:00"/>
    <x v="380"/>
    <x v="10"/>
    <x v="0"/>
    <x v="3"/>
    <x v="372"/>
    <x v="919"/>
    <n v="3"/>
    <x v="900"/>
  </r>
  <r>
    <d v="2015-12-05T00:00:00"/>
    <x v="381"/>
    <x v="0"/>
    <x v="1"/>
    <x v="8"/>
    <x v="581"/>
    <x v="920"/>
    <n v="4"/>
    <x v="901"/>
  </r>
  <r>
    <d v="2015-12-05T00:00:00"/>
    <x v="381"/>
    <x v="0"/>
    <x v="2"/>
    <x v="6"/>
    <x v="760"/>
    <x v="921"/>
    <n v="6"/>
    <x v="902"/>
  </r>
  <r>
    <d v="2015-12-05T00:00:00"/>
    <x v="381"/>
    <x v="0"/>
    <x v="0"/>
    <x v="0"/>
    <x v="631"/>
    <x v="922"/>
    <n v="7"/>
    <x v="903"/>
  </r>
  <r>
    <d v="2015-01-06T00:00:00"/>
    <x v="51"/>
    <x v="0"/>
    <x v="0"/>
    <x v="3"/>
    <x v="761"/>
    <x v="923"/>
    <n v="8"/>
    <x v="904"/>
  </r>
  <r>
    <d v="2015-01-06T00:00:00"/>
    <x v="51"/>
    <x v="0"/>
    <x v="0"/>
    <x v="0"/>
    <x v="762"/>
    <x v="924"/>
    <n v="10"/>
    <x v="905"/>
  </r>
  <r>
    <d v="2015-01-06T00:00:00"/>
    <x v="31"/>
    <x v="18"/>
    <x v="2"/>
    <x v="6"/>
    <x v="509"/>
    <x v="363"/>
    <n v="2"/>
    <x v="352"/>
  </r>
  <r>
    <d v="2015-01-06T00:00:00"/>
    <x v="31"/>
    <x v="18"/>
    <x v="0"/>
    <x v="3"/>
    <x v="77"/>
    <x v="925"/>
    <n v="6"/>
    <x v="906"/>
  </r>
  <r>
    <d v="2015-01-06T00:00:00"/>
    <x v="31"/>
    <x v="18"/>
    <x v="2"/>
    <x v="6"/>
    <x v="763"/>
    <x v="291"/>
    <n v="2"/>
    <x v="907"/>
  </r>
  <r>
    <d v="2015-01-06T00:00:00"/>
    <x v="31"/>
    <x v="18"/>
    <x v="0"/>
    <x v="1"/>
    <x v="764"/>
    <x v="926"/>
    <n v="7"/>
    <x v="908"/>
  </r>
  <r>
    <d v="2015-01-06T00:00:00"/>
    <x v="382"/>
    <x v="3"/>
    <x v="0"/>
    <x v="0"/>
    <x v="457"/>
    <x v="927"/>
    <n v="2"/>
    <x v="423"/>
  </r>
  <r>
    <d v="2015-04-06T00:00:00"/>
    <x v="184"/>
    <x v="10"/>
    <x v="0"/>
    <x v="1"/>
    <x v="369"/>
    <x v="928"/>
    <n v="2"/>
    <x v="909"/>
  </r>
  <r>
    <d v="2015-04-06T00:00:00"/>
    <x v="184"/>
    <x v="10"/>
    <x v="0"/>
    <x v="4"/>
    <x v="121"/>
    <x v="929"/>
    <n v="2"/>
    <x v="97"/>
  </r>
  <r>
    <d v="2015-04-06T00:00:00"/>
    <x v="263"/>
    <x v="12"/>
    <x v="0"/>
    <x v="0"/>
    <x v="765"/>
    <x v="820"/>
    <n v="4"/>
    <x v="858"/>
  </r>
  <r>
    <d v="2015-04-06T00:00:00"/>
    <x v="263"/>
    <x v="12"/>
    <x v="1"/>
    <x v="8"/>
    <x v="766"/>
    <x v="930"/>
    <n v="3"/>
    <x v="719"/>
  </r>
  <r>
    <d v="2015-04-06T00:00:00"/>
    <x v="383"/>
    <x v="3"/>
    <x v="2"/>
    <x v="9"/>
    <x v="150"/>
    <x v="931"/>
    <n v="2"/>
    <x v="910"/>
  </r>
  <r>
    <d v="2015-04-06T00:00:00"/>
    <x v="383"/>
    <x v="3"/>
    <x v="2"/>
    <x v="9"/>
    <x v="767"/>
    <x v="932"/>
    <n v="3"/>
    <x v="911"/>
  </r>
  <r>
    <d v="2015-05-06T00:00:00"/>
    <x v="351"/>
    <x v="12"/>
    <x v="1"/>
    <x v="5"/>
    <x v="563"/>
    <x v="933"/>
    <n v="9"/>
    <x v="912"/>
  </r>
  <r>
    <d v="2015-05-06T00:00:00"/>
    <x v="384"/>
    <x v="14"/>
    <x v="0"/>
    <x v="0"/>
    <x v="768"/>
    <x v="934"/>
    <n v="2"/>
    <x v="913"/>
  </r>
  <r>
    <d v="2015-07-06T00:00:00"/>
    <x v="385"/>
    <x v="3"/>
    <x v="0"/>
    <x v="3"/>
    <x v="769"/>
    <x v="535"/>
    <n v="5"/>
    <x v="827"/>
  </r>
  <r>
    <d v="2015-07-06T00:00:00"/>
    <x v="103"/>
    <x v="2"/>
    <x v="0"/>
    <x v="3"/>
    <x v="713"/>
    <x v="935"/>
    <n v="4"/>
    <x v="914"/>
  </r>
  <r>
    <d v="2015-07-06T00:00:00"/>
    <x v="103"/>
    <x v="2"/>
    <x v="0"/>
    <x v="0"/>
    <x v="291"/>
    <x v="212"/>
    <n v="5"/>
    <x v="107"/>
  </r>
  <r>
    <d v="2015-07-06T00:00:00"/>
    <x v="103"/>
    <x v="2"/>
    <x v="0"/>
    <x v="4"/>
    <x v="588"/>
    <x v="936"/>
    <n v="3"/>
    <x v="385"/>
  </r>
  <r>
    <d v="2015-08-06T00:00:00"/>
    <x v="386"/>
    <x v="1"/>
    <x v="2"/>
    <x v="9"/>
    <x v="770"/>
    <x v="937"/>
    <n v="3"/>
    <x v="915"/>
  </r>
  <r>
    <d v="2015-08-06T00:00:00"/>
    <x v="386"/>
    <x v="1"/>
    <x v="0"/>
    <x v="13"/>
    <x v="717"/>
    <x v="938"/>
    <n v="2"/>
    <x v="916"/>
  </r>
  <r>
    <d v="2015-08-06T00:00:00"/>
    <x v="321"/>
    <x v="9"/>
    <x v="0"/>
    <x v="0"/>
    <x v="771"/>
    <x v="939"/>
    <n v="7"/>
    <x v="917"/>
  </r>
  <r>
    <d v="2015-08-06T00:00:00"/>
    <x v="321"/>
    <x v="9"/>
    <x v="0"/>
    <x v="2"/>
    <x v="772"/>
    <x v="940"/>
    <n v="4"/>
    <x v="918"/>
  </r>
  <r>
    <d v="2015-08-06T00:00:00"/>
    <x v="321"/>
    <x v="9"/>
    <x v="1"/>
    <x v="8"/>
    <x v="773"/>
    <x v="941"/>
    <n v="7"/>
    <x v="919"/>
  </r>
  <r>
    <d v="2015-08-06T00:00:00"/>
    <x v="321"/>
    <x v="9"/>
    <x v="0"/>
    <x v="4"/>
    <x v="774"/>
    <x v="942"/>
    <n v="2"/>
    <x v="643"/>
  </r>
  <r>
    <d v="2015-08-06T00:00:00"/>
    <x v="321"/>
    <x v="9"/>
    <x v="0"/>
    <x v="1"/>
    <x v="775"/>
    <x v="943"/>
    <n v="3"/>
    <x v="920"/>
  </r>
  <r>
    <d v="2015-08-06T00:00:00"/>
    <x v="321"/>
    <x v="9"/>
    <x v="0"/>
    <x v="0"/>
    <x v="776"/>
    <x v="924"/>
    <n v="10"/>
    <x v="905"/>
  </r>
  <r>
    <d v="2015-08-06T00:00:00"/>
    <x v="321"/>
    <x v="9"/>
    <x v="0"/>
    <x v="3"/>
    <x v="450"/>
    <x v="517"/>
    <n v="2"/>
    <x v="517"/>
  </r>
  <r>
    <d v="2015-09-06T00:00:00"/>
    <x v="387"/>
    <x v="6"/>
    <x v="0"/>
    <x v="3"/>
    <x v="270"/>
    <x v="944"/>
    <n v="3"/>
    <x v="921"/>
  </r>
  <r>
    <d v="2015-09-06T00:00:00"/>
    <x v="83"/>
    <x v="18"/>
    <x v="0"/>
    <x v="0"/>
    <x v="267"/>
    <x v="113"/>
    <n v="2"/>
    <x v="411"/>
  </r>
  <r>
    <d v="2015-09-06T00:00:00"/>
    <x v="388"/>
    <x v="24"/>
    <x v="1"/>
    <x v="8"/>
    <x v="101"/>
    <x v="945"/>
    <n v="4"/>
    <x v="922"/>
  </r>
  <r>
    <d v="2015-09-06T00:00:00"/>
    <x v="388"/>
    <x v="24"/>
    <x v="2"/>
    <x v="6"/>
    <x v="777"/>
    <x v="946"/>
    <n v="3"/>
    <x v="923"/>
  </r>
  <r>
    <d v="2015-09-06T00:00:00"/>
    <x v="389"/>
    <x v="9"/>
    <x v="0"/>
    <x v="3"/>
    <x v="240"/>
    <x v="947"/>
    <n v="5"/>
    <x v="924"/>
  </r>
  <r>
    <d v="2015-09-06T00:00:00"/>
    <x v="389"/>
    <x v="9"/>
    <x v="0"/>
    <x v="3"/>
    <x v="778"/>
    <x v="948"/>
    <n v="3"/>
    <x v="925"/>
  </r>
  <r>
    <d v="2015-09-06T00:00:00"/>
    <x v="389"/>
    <x v="9"/>
    <x v="2"/>
    <x v="9"/>
    <x v="779"/>
    <x v="949"/>
    <n v="5"/>
    <x v="926"/>
  </r>
  <r>
    <d v="2015-11-06T00:00:00"/>
    <x v="390"/>
    <x v="21"/>
    <x v="2"/>
    <x v="9"/>
    <x v="461"/>
    <x v="950"/>
    <n v="6"/>
    <x v="927"/>
  </r>
  <r>
    <d v="2015-11-06T00:00:00"/>
    <x v="390"/>
    <x v="21"/>
    <x v="0"/>
    <x v="3"/>
    <x v="780"/>
    <x v="951"/>
    <n v="7"/>
    <x v="928"/>
  </r>
  <r>
    <d v="2015-11-06T00:00:00"/>
    <x v="390"/>
    <x v="21"/>
    <x v="0"/>
    <x v="4"/>
    <x v="570"/>
    <x v="952"/>
    <n v="2"/>
    <x v="929"/>
  </r>
  <r>
    <d v="2015-11-06T00:00:00"/>
    <x v="390"/>
    <x v="21"/>
    <x v="0"/>
    <x v="0"/>
    <x v="781"/>
    <x v="159"/>
    <n v="5"/>
    <x v="161"/>
  </r>
  <r>
    <d v="2015-11-06T00:00:00"/>
    <x v="390"/>
    <x v="21"/>
    <x v="1"/>
    <x v="8"/>
    <x v="782"/>
    <x v="953"/>
    <n v="2"/>
    <x v="375"/>
  </r>
  <r>
    <d v="2015-11-06T00:00:00"/>
    <x v="391"/>
    <x v="9"/>
    <x v="1"/>
    <x v="5"/>
    <x v="783"/>
    <x v="954"/>
    <n v="5"/>
    <x v="930"/>
  </r>
  <r>
    <d v="2015-11-06T00:00:00"/>
    <x v="391"/>
    <x v="9"/>
    <x v="2"/>
    <x v="6"/>
    <x v="784"/>
    <x v="955"/>
    <n v="2"/>
    <x v="931"/>
  </r>
  <r>
    <d v="2015-11-06T00:00:00"/>
    <x v="391"/>
    <x v="9"/>
    <x v="1"/>
    <x v="8"/>
    <x v="454"/>
    <x v="956"/>
    <n v="3"/>
    <x v="932"/>
  </r>
  <r>
    <d v="2015-11-06T00:00:00"/>
    <x v="391"/>
    <x v="9"/>
    <x v="0"/>
    <x v="4"/>
    <x v="424"/>
    <x v="957"/>
    <n v="2"/>
    <x v="464"/>
  </r>
  <r>
    <d v="2015-11-06T00:00:00"/>
    <x v="391"/>
    <x v="9"/>
    <x v="0"/>
    <x v="3"/>
    <x v="25"/>
    <x v="958"/>
    <n v="5"/>
    <x v="933"/>
  </r>
  <r>
    <d v="2015-11-06T00:00:00"/>
    <x v="391"/>
    <x v="9"/>
    <x v="0"/>
    <x v="3"/>
    <x v="785"/>
    <x v="959"/>
    <n v="2"/>
    <x v="934"/>
  </r>
  <r>
    <d v="2015-11-06T00:00:00"/>
    <x v="391"/>
    <x v="9"/>
    <x v="0"/>
    <x v="2"/>
    <x v="786"/>
    <x v="960"/>
    <n v="2"/>
    <x v="935"/>
  </r>
  <r>
    <d v="2015-11-06T00:00:00"/>
    <x v="391"/>
    <x v="9"/>
    <x v="0"/>
    <x v="2"/>
    <x v="486"/>
    <x v="853"/>
    <n v="4"/>
    <x v="831"/>
  </r>
  <r>
    <d v="2015-12-06T00:00:00"/>
    <x v="392"/>
    <x v="2"/>
    <x v="0"/>
    <x v="0"/>
    <x v="706"/>
    <x v="961"/>
    <n v="4"/>
    <x v="202"/>
  </r>
  <r>
    <d v="2015-12-06T00:00:00"/>
    <x v="392"/>
    <x v="2"/>
    <x v="1"/>
    <x v="8"/>
    <x v="787"/>
    <x v="962"/>
    <n v="2"/>
    <x v="720"/>
  </r>
  <r>
    <d v="2015-12-06T00:00:00"/>
    <x v="393"/>
    <x v="7"/>
    <x v="0"/>
    <x v="2"/>
    <x v="281"/>
    <x v="784"/>
    <n v="5"/>
    <x v="936"/>
  </r>
  <r>
    <d v="2015-12-06T00:00:00"/>
    <x v="394"/>
    <x v="9"/>
    <x v="2"/>
    <x v="6"/>
    <x v="651"/>
    <x v="489"/>
    <n v="2"/>
    <x v="381"/>
  </r>
  <r>
    <d v="2015-12-06T00:00:00"/>
    <x v="197"/>
    <x v="26"/>
    <x v="0"/>
    <x v="2"/>
    <x v="613"/>
    <x v="173"/>
    <n v="2"/>
    <x v="675"/>
  </r>
  <r>
    <d v="2015-02-07T00:00:00"/>
    <x v="46"/>
    <x v="0"/>
    <x v="0"/>
    <x v="13"/>
    <x v="543"/>
    <x v="963"/>
    <n v="4"/>
    <x v="937"/>
  </r>
  <r>
    <d v="2015-02-07T00:00:00"/>
    <x v="395"/>
    <x v="1"/>
    <x v="1"/>
    <x v="5"/>
    <x v="788"/>
    <x v="964"/>
    <n v="2"/>
    <x v="938"/>
  </r>
  <r>
    <d v="2015-02-07T00:00:00"/>
    <x v="395"/>
    <x v="1"/>
    <x v="1"/>
    <x v="5"/>
    <x v="789"/>
    <x v="965"/>
    <n v="6"/>
    <x v="939"/>
  </r>
  <r>
    <d v="2015-02-07T00:00:00"/>
    <x v="395"/>
    <x v="1"/>
    <x v="0"/>
    <x v="2"/>
    <x v="790"/>
    <x v="966"/>
    <n v="5"/>
    <x v="940"/>
  </r>
  <r>
    <d v="2015-02-07T00:00:00"/>
    <x v="395"/>
    <x v="1"/>
    <x v="0"/>
    <x v="2"/>
    <x v="512"/>
    <x v="967"/>
    <n v="3"/>
    <x v="941"/>
  </r>
  <r>
    <d v="2015-02-07T00:00:00"/>
    <x v="395"/>
    <x v="1"/>
    <x v="0"/>
    <x v="0"/>
    <x v="326"/>
    <x v="968"/>
    <n v="2"/>
    <x v="942"/>
  </r>
  <r>
    <d v="2015-02-07T00:00:00"/>
    <x v="396"/>
    <x v="9"/>
    <x v="0"/>
    <x v="0"/>
    <x v="177"/>
    <x v="969"/>
    <n v="3"/>
    <x v="943"/>
  </r>
  <r>
    <d v="2015-02-07T00:00:00"/>
    <x v="396"/>
    <x v="9"/>
    <x v="0"/>
    <x v="0"/>
    <x v="114"/>
    <x v="70"/>
    <n v="3"/>
    <x v="944"/>
  </r>
  <r>
    <d v="2015-02-07T00:00:00"/>
    <x v="269"/>
    <x v="12"/>
    <x v="0"/>
    <x v="0"/>
    <x v="110"/>
    <x v="5"/>
    <n v="3"/>
    <x v="5"/>
  </r>
  <r>
    <d v="2015-02-07T00:00:00"/>
    <x v="334"/>
    <x v="15"/>
    <x v="2"/>
    <x v="6"/>
    <x v="573"/>
    <x v="970"/>
    <n v="1"/>
    <x v="945"/>
  </r>
  <r>
    <d v="2015-02-07T00:00:00"/>
    <x v="334"/>
    <x v="15"/>
    <x v="1"/>
    <x v="8"/>
    <x v="791"/>
    <x v="971"/>
    <n v="10"/>
    <x v="946"/>
  </r>
  <r>
    <d v="2015-02-07T00:00:00"/>
    <x v="334"/>
    <x v="15"/>
    <x v="0"/>
    <x v="3"/>
    <x v="41"/>
    <x v="18"/>
    <n v="2"/>
    <x v="947"/>
  </r>
  <r>
    <d v="2015-02-07T00:00:00"/>
    <x v="334"/>
    <x v="15"/>
    <x v="0"/>
    <x v="0"/>
    <x v="792"/>
    <x v="972"/>
    <n v="2"/>
    <x v="825"/>
  </r>
  <r>
    <d v="2015-03-07T00:00:00"/>
    <x v="397"/>
    <x v="5"/>
    <x v="1"/>
    <x v="5"/>
    <x v="793"/>
    <x v="973"/>
    <n v="1"/>
    <x v="948"/>
  </r>
  <r>
    <d v="2015-03-07T00:00:00"/>
    <x v="397"/>
    <x v="5"/>
    <x v="0"/>
    <x v="1"/>
    <x v="258"/>
    <x v="974"/>
    <n v="3"/>
    <x v="949"/>
  </r>
  <r>
    <d v="2015-03-07T00:00:00"/>
    <x v="252"/>
    <x v="2"/>
    <x v="1"/>
    <x v="8"/>
    <x v="794"/>
    <x v="975"/>
    <n v="2"/>
    <x v="950"/>
  </r>
  <r>
    <d v="2015-03-07T00:00:00"/>
    <x v="252"/>
    <x v="2"/>
    <x v="0"/>
    <x v="0"/>
    <x v="795"/>
    <x v="572"/>
    <n v="2"/>
    <x v="951"/>
  </r>
  <r>
    <d v="2015-03-07T00:00:00"/>
    <x v="252"/>
    <x v="2"/>
    <x v="1"/>
    <x v="8"/>
    <x v="796"/>
    <x v="976"/>
    <n v="9"/>
    <x v="952"/>
  </r>
  <r>
    <d v="2015-04-07T00:00:00"/>
    <x v="398"/>
    <x v="8"/>
    <x v="2"/>
    <x v="6"/>
    <x v="797"/>
    <x v="977"/>
    <n v="4"/>
    <x v="953"/>
  </r>
  <r>
    <d v="2015-04-07T00:00:00"/>
    <x v="399"/>
    <x v="12"/>
    <x v="0"/>
    <x v="4"/>
    <x v="798"/>
    <x v="978"/>
    <n v="3"/>
    <x v="291"/>
  </r>
  <r>
    <d v="2015-04-07T00:00:00"/>
    <x v="400"/>
    <x v="3"/>
    <x v="0"/>
    <x v="3"/>
    <x v="707"/>
    <x v="979"/>
    <n v="2"/>
    <x v="954"/>
  </r>
  <r>
    <d v="2015-05-07T00:00:00"/>
    <x v="154"/>
    <x v="15"/>
    <x v="1"/>
    <x v="8"/>
    <x v="799"/>
    <x v="494"/>
    <n v="2"/>
    <x v="915"/>
  </r>
  <r>
    <d v="2015-05-07T00:00:00"/>
    <x v="154"/>
    <x v="15"/>
    <x v="0"/>
    <x v="3"/>
    <x v="41"/>
    <x v="980"/>
    <n v="5"/>
    <x v="955"/>
  </r>
  <r>
    <d v="2015-05-07T00:00:00"/>
    <x v="401"/>
    <x v="18"/>
    <x v="0"/>
    <x v="3"/>
    <x v="800"/>
    <x v="981"/>
    <n v="5"/>
    <x v="956"/>
  </r>
  <r>
    <d v="2015-05-07T00:00:00"/>
    <x v="402"/>
    <x v="2"/>
    <x v="2"/>
    <x v="9"/>
    <x v="801"/>
    <x v="982"/>
    <n v="3"/>
    <x v="272"/>
  </r>
  <r>
    <d v="2015-05-07T00:00:00"/>
    <x v="402"/>
    <x v="2"/>
    <x v="0"/>
    <x v="2"/>
    <x v="35"/>
    <x v="983"/>
    <n v="3"/>
    <x v="957"/>
  </r>
  <r>
    <d v="2015-05-07T00:00:00"/>
    <x v="67"/>
    <x v="15"/>
    <x v="1"/>
    <x v="8"/>
    <x v="799"/>
    <x v="494"/>
    <n v="2"/>
    <x v="915"/>
  </r>
  <r>
    <d v="2015-05-07T00:00:00"/>
    <x v="67"/>
    <x v="15"/>
    <x v="0"/>
    <x v="1"/>
    <x v="1"/>
    <x v="1"/>
    <n v="3"/>
    <x v="1"/>
  </r>
  <r>
    <d v="2015-06-07T00:00:00"/>
    <x v="403"/>
    <x v="12"/>
    <x v="1"/>
    <x v="8"/>
    <x v="228"/>
    <x v="233"/>
    <n v="2"/>
    <x v="236"/>
  </r>
  <r>
    <d v="2015-06-07T00:00:00"/>
    <x v="403"/>
    <x v="12"/>
    <x v="1"/>
    <x v="8"/>
    <x v="19"/>
    <x v="984"/>
    <n v="3"/>
    <x v="958"/>
  </r>
  <r>
    <d v="2015-06-07T00:00:00"/>
    <x v="403"/>
    <x v="12"/>
    <x v="2"/>
    <x v="6"/>
    <x v="802"/>
    <x v="985"/>
    <n v="5"/>
    <x v="530"/>
  </r>
  <r>
    <d v="2015-06-07T00:00:00"/>
    <x v="403"/>
    <x v="12"/>
    <x v="0"/>
    <x v="2"/>
    <x v="803"/>
    <x v="986"/>
    <n v="5"/>
    <x v="959"/>
  </r>
  <r>
    <d v="2015-06-07T00:00:00"/>
    <x v="208"/>
    <x v="20"/>
    <x v="1"/>
    <x v="12"/>
    <x v="804"/>
    <x v="987"/>
    <n v="2"/>
    <x v="960"/>
  </r>
  <r>
    <d v="2015-06-07T00:00:00"/>
    <x v="335"/>
    <x v="3"/>
    <x v="1"/>
    <x v="5"/>
    <x v="805"/>
    <x v="246"/>
    <n v="3"/>
    <x v="961"/>
  </r>
  <r>
    <d v="2015-06-07T00:00:00"/>
    <x v="154"/>
    <x v="11"/>
    <x v="0"/>
    <x v="4"/>
    <x v="806"/>
    <x v="988"/>
    <n v="4"/>
    <x v="844"/>
  </r>
  <r>
    <d v="2015-08-07T00:00:00"/>
    <x v="404"/>
    <x v="0"/>
    <x v="0"/>
    <x v="0"/>
    <x v="96"/>
    <x v="989"/>
    <n v="5"/>
    <x v="962"/>
  </r>
  <r>
    <d v="2015-09-07T00:00:00"/>
    <x v="318"/>
    <x v="20"/>
    <x v="0"/>
    <x v="0"/>
    <x v="807"/>
    <x v="990"/>
    <n v="2"/>
    <x v="963"/>
  </r>
  <r>
    <d v="2015-09-07T00:00:00"/>
    <x v="318"/>
    <x v="20"/>
    <x v="0"/>
    <x v="3"/>
    <x v="277"/>
    <x v="991"/>
    <n v="3"/>
    <x v="964"/>
  </r>
  <r>
    <d v="2015-09-07T00:00:00"/>
    <x v="89"/>
    <x v="31"/>
    <x v="0"/>
    <x v="4"/>
    <x v="808"/>
    <x v="992"/>
    <n v="3"/>
    <x v="965"/>
  </r>
  <r>
    <d v="2015-09-07T00:00:00"/>
    <x v="405"/>
    <x v="39"/>
    <x v="0"/>
    <x v="7"/>
    <x v="809"/>
    <x v="993"/>
    <n v="4"/>
    <x v="966"/>
  </r>
  <r>
    <d v="2015-09-07T00:00:00"/>
    <x v="405"/>
    <x v="39"/>
    <x v="2"/>
    <x v="16"/>
    <x v="810"/>
    <x v="994"/>
    <n v="3"/>
    <x v="967"/>
  </r>
  <r>
    <d v="2015-09-07T00:00:00"/>
    <x v="405"/>
    <x v="39"/>
    <x v="1"/>
    <x v="8"/>
    <x v="811"/>
    <x v="995"/>
    <n v="2"/>
    <x v="968"/>
  </r>
  <r>
    <d v="2015-09-07T00:00:00"/>
    <x v="405"/>
    <x v="39"/>
    <x v="0"/>
    <x v="1"/>
    <x v="812"/>
    <x v="604"/>
    <n v="3"/>
    <x v="969"/>
  </r>
  <r>
    <d v="2015-09-07T00:00:00"/>
    <x v="405"/>
    <x v="39"/>
    <x v="0"/>
    <x v="3"/>
    <x v="363"/>
    <x v="996"/>
    <n v="3"/>
    <x v="970"/>
  </r>
  <r>
    <d v="2015-09-07T00:00:00"/>
    <x v="405"/>
    <x v="39"/>
    <x v="0"/>
    <x v="4"/>
    <x v="161"/>
    <x v="109"/>
    <n v="4"/>
    <x v="971"/>
  </r>
  <r>
    <d v="2015-09-07T00:00:00"/>
    <x v="405"/>
    <x v="39"/>
    <x v="0"/>
    <x v="3"/>
    <x v="813"/>
    <x v="997"/>
    <n v="9"/>
    <x v="972"/>
  </r>
  <r>
    <d v="2015-09-07T00:00:00"/>
    <x v="405"/>
    <x v="39"/>
    <x v="0"/>
    <x v="3"/>
    <x v="814"/>
    <x v="595"/>
    <n v="6"/>
    <x v="973"/>
  </r>
  <r>
    <d v="2015-09-07T00:00:00"/>
    <x v="405"/>
    <x v="39"/>
    <x v="0"/>
    <x v="2"/>
    <x v="815"/>
    <x v="998"/>
    <n v="7"/>
    <x v="974"/>
  </r>
  <r>
    <d v="2015-09-07T00:00:00"/>
    <x v="293"/>
    <x v="2"/>
    <x v="2"/>
    <x v="6"/>
    <x v="816"/>
    <x v="999"/>
    <n v="3"/>
    <x v="975"/>
  </r>
  <r>
    <d v="2015-09-07T00:00:00"/>
    <x v="77"/>
    <x v="0"/>
    <x v="0"/>
    <x v="13"/>
    <x v="817"/>
    <x v="1000"/>
    <n v="2"/>
    <x v="976"/>
  </r>
  <r>
    <d v="2015-10-07T00:00:00"/>
    <x v="131"/>
    <x v="23"/>
    <x v="0"/>
    <x v="3"/>
    <x v="818"/>
    <x v="1001"/>
    <n v="3"/>
    <x v="977"/>
  </r>
  <r>
    <d v="2015-10-07T00:00:00"/>
    <x v="343"/>
    <x v="3"/>
    <x v="0"/>
    <x v="3"/>
    <x v="124"/>
    <x v="1002"/>
    <n v="2"/>
    <x v="978"/>
  </r>
  <r>
    <d v="2015-11-07T00:00:00"/>
    <x v="406"/>
    <x v="2"/>
    <x v="1"/>
    <x v="8"/>
    <x v="819"/>
    <x v="1003"/>
    <n v="7"/>
    <x v="979"/>
  </r>
  <r>
    <d v="2015-11-07T00:00:00"/>
    <x v="406"/>
    <x v="2"/>
    <x v="0"/>
    <x v="3"/>
    <x v="708"/>
    <x v="1004"/>
    <n v="3"/>
    <x v="980"/>
  </r>
  <r>
    <d v="2015-11-07T00:00:00"/>
    <x v="406"/>
    <x v="2"/>
    <x v="0"/>
    <x v="3"/>
    <x v="820"/>
    <x v="1005"/>
    <n v="4"/>
    <x v="981"/>
  </r>
  <r>
    <d v="2015-11-07T00:00:00"/>
    <x v="406"/>
    <x v="2"/>
    <x v="1"/>
    <x v="5"/>
    <x v="821"/>
    <x v="1006"/>
    <n v="8"/>
    <x v="982"/>
  </r>
  <r>
    <d v="2015-11-07T00:00:00"/>
    <x v="406"/>
    <x v="2"/>
    <x v="0"/>
    <x v="4"/>
    <x v="806"/>
    <x v="988"/>
    <n v="5"/>
    <x v="142"/>
  </r>
  <r>
    <d v="2015-11-07T00:00:00"/>
    <x v="406"/>
    <x v="2"/>
    <x v="1"/>
    <x v="8"/>
    <x v="504"/>
    <x v="1007"/>
    <n v="6"/>
    <x v="983"/>
  </r>
  <r>
    <d v="2015-11-07T00:00:00"/>
    <x v="27"/>
    <x v="10"/>
    <x v="0"/>
    <x v="0"/>
    <x v="822"/>
    <x v="1008"/>
    <n v="3"/>
    <x v="984"/>
  </r>
  <r>
    <d v="2015-11-07T00:00:00"/>
    <x v="27"/>
    <x v="10"/>
    <x v="0"/>
    <x v="3"/>
    <x v="277"/>
    <x v="1009"/>
    <n v="3"/>
    <x v="985"/>
  </r>
  <r>
    <d v="2015-11-07T00:00:00"/>
    <x v="407"/>
    <x v="7"/>
    <x v="1"/>
    <x v="10"/>
    <x v="823"/>
    <x v="1010"/>
    <n v="4"/>
    <x v="986"/>
  </r>
  <r>
    <d v="2015-11-07T00:00:00"/>
    <x v="407"/>
    <x v="7"/>
    <x v="2"/>
    <x v="6"/>
    <x v="195"/>
    <x v="1011"/>
    <n v="2"/>
    <x v="987"/>
  </r>
  <r>
    <d v="2015-11-07T00:00:00"/>
    <x v="407"/>
    <x v="7"/>
    <x v="0"/>
    <x v="3"/>
    <x v="824"/>
    <x v="1012"/>
    <n v="7"/>
    <x v="988"/>
  </r>
  <r>
    <d v="2015-12-07T00:00:00"/>
    <x v="302"/>
    <x v="1"/>
    <x v="1"/>
    <x v="5"/>
    <x v="74"/>
    <x v="806"/>
    <n v="9"/>
    <x v="989"/>
  </r>
  <r>
    <d v="2015-12-07T00:00:00"/>
    <x v="302"/>
    <x v="1"/>
    <x v="2"/>
    <x v="6"/>
    <x v="573"/>
    <x v="636"/>
    <n v="2"/>
    <x v="625"/>
  </r>
  <r>
    <d v="2015-12-07T00:00:00"/>
    <x v="302"/>
    <x v="1"/>
    <x v="2"/>
    <x v="6"/>
    <x v="825"/>
    <x v="1013"/>
    <n v="7"/>
    <x v="990"/>
  </r>
  <r>
    <d v="2015-12-07T00:00:00"/>
    <x v="302"/>
    <x v="1"/>
    <x v="0"/>
    <x v="3"/>
    <x v="295"/>
    <x v="1014"/>
    <n v="2"/>
    <x v="991"/>
  </r>
  <r>
    <d v="2015-12-07T00:00:00"/>
    <x v="302"/>
    <x v="1"/>
    <x v="0"/>
    <x v="4"/>
    <x v="623"/>
    <x v="146"/>
    <n v="3"/>
    <x v="992"/>
  </r>
  <r>
    <d v="2015-12-07T00:00:00"/>
    <x v="302"/>
    <x v="1"/>
    <x v="1"/>
    <x v="8"/>
    <x v="594"/>
    <x v="1015"/>
    <n v="1"/>
    <x v="993"/>
  </r>
  <r>
    <d v="2015-12-07T00:00:00"/>
    <x v="302"/>
    <x v="1"/>
    <x v="2"/>
    <x v="6"/>
    <x v="826"/>
    <x v="1016"/>
    <n v="4"/>
    <x v="994"/>
  </r>
  <r>
    <d v="2015-12-07T00:00:00"/>
    <x v="408"/>
    <x v="0"/>
    <x v="2"/>
    <x v="6"/>
    <x v="825"/>
    <x v="1017"/>
    <n v="4"/>
    <x v="995"/>
  </r>
  <r>
    <d v="2015-01-08T00:00:00"/>
    <x v="71"/>
    <x v="3"/>
    <x v="0"/>
    <x v="4"/>
    <x v="521"/>
    <x v="572"/>
    <n v="4"/>
    <x v="569"/>
  </r>
  <r>
    <d v="2015-01-08T00:00:00"/>
    <x v="71"/>
    <x v="3"/>
    <x v="1"/>
    <x v="10"/>
    <x v="37"/>
    <x v="1018"/>
    <n v="6"/>
    <x v="996"/>
  </r>
  <r>
    <d v="2015-02-08T00:00:00"/>
    <x v="409"/>
    <x v="10"/>
    <x v="0"/>
    <x v="3"/>
    <x v="827"/>
    <x v="1019"/>
    <n v="2"/>
    <x v="997"/>
  </r>
  <r>
    <d v="2015-02-08T00:00:00"/>
    <x v="409"/>
    <x v="10"/>
    <x v="2"/>
    <x v="16"/>
    <x v="828"/>
    <x v="1020"/>
    <n v="2"/>
    <x v="998"/>
  </r>
  <r>
    <d v="2015-02-08T00:00:00"/>
    <x v="410"/>
    <x v="40"/>
    <x v="2"/>
    <x v="6"/>
    <x v="829"/>
    <x v="1021"/>
    <n v="3"/>
    <x v="999"/>
  </r>
  <r>
    <d v="2015-02-08T00:00:00"/>
    <x v="410"/>
    <x v="40"/>
    <x v="0"/>
    <x v="0"/>
    <x v="795"/>
    <x v="1022"/>
    <n v="2"/>
    <x v="1000"/>
  </r>
  <r>
    <d v="2015-02-08T00:00:00"/>
    <x v="410"/>
    <x v="40"/>
    <x v="2"/>
    <x v="9"/>
    <x v="338"/>
    <x v="351"/>
    <n v="2"/>
    <x v="352"/>
  </r>
  <r>
    <d v="2015-02-08T00:00:00"/>
    <x v="410"/>
    <x v="40"/>
    <x v="1"/>
    <x v="5"/>
    <x v="830"/>
    <x v="1023"/>
    <n v="1"/>
    <x v="535"/>
  </r>
  <r>
    <d v="2015-02-08T00:00:00"/>
    <x v="411"/>
    <x v="35"/>
    <x v="1"/>
    <x v="10"/>
    <x v="182"/>
    <x v="1024"/>
    <n v="4"/>
    <x v="1001"/>
  </r>
  <r>
    <d v="2015-05-08T00:00:00"/>
    <x v="50"/>
    <x v="0"/>
    <x v="0"/>
    <x v="2"/>
    <x v="281"/>
    <x v="102"/>
    <n v="7"/>
    <x v="707"/>
  </r>
  <r>
    <d v="2015-05-08T00:00:00"/>
    <x v="50"/>
    <x v="0"/>
    <x v="0"/>
    <x v="14"/>
    <x v="460"/>
    <x v="1025"/>
    <n v="3"/>
    <x v="1002"/>
  </r>
  <r>
    <d v="2015-05-08T00:00:00"/>
    <x v="50"/>
    <x v="0"/>
    <x v="0"/>
    <x v="3"/>
    <x v="518"/>
    <x v="1026"/>
    <n v="1"/>
    <x v="1003"/>
  </r>
  <r>
    <d v="2015-05-08T00:00:00"/>
    <x v="50"/>
    <x v="0"/>
    <x v="1"/>
    <x v="8"/>
    <x v="831"/>
    <x v="1027"/>
    <n v="5"/>
    <x v="1004"/>
  </r>
  <r>
    <d v="2015-06-08T00:00:00"/>
    <x v="333"/>
    <x v="0"/>
    <x v="0"/>
    <x v="0"/>
    <x v="832"/>
    <x v="1028"/>
    <n v="3"/>
    <x v="1005"/>
  </r>
  <r>
    <d v="2015-06-08T00:00:00"/>
    <x v="412"/>
    <x v="0"/>
    <x v="0"/>
    <x v="1"/>
    <x v="649"/>
    <x v="1029"/>
    <n v="3"/>
    <x v="616"/>
  </r>
  <r>
    <d v="2015-06-08T00:00:00"/>
    <x v="412"/>
    <x v="0"/>
    <x v="0"/>
    <x v="3"/>
    <x v="358"/>
    <x v="1030"/>
    <n v="5"/>
    <x v="1006"/>
  </r>
  <r>
    <d v="2015-06-08T00:00:00"/>
    <x v="412"/>
    <x v="0"/>
    <x v="0"/>
    <x v="0"/>
    <x v="833"/>
    <x v="1031"/>
    <n v="2"/>
    <x v="1007"/>
  </r>
  <r>
    <d v="2015-06-08T00:00:00"/>
    <x v="412"/>
    <x v="0"/>
    <x v="1"/>
    <x v="12"/>
    <x v="834"/>
    <x v="1032"/>
    <n v="3"/>
    <x v="1008"/>
  </r>
  <r>
    <d v="2015-07-08T00:00:00"/>
    <x v="349"/>
    <x v="24"/>
    <x v="0"/>
    <x v="3"/>
    <x v="546"/>
    <x v="1033"/>
    <n v="1"/>
    <x v="1009"/>
  </r>
  <r>
    <d v="2015-07-08T00:00:00"/>
    <x v="413"/>
    <x v="3"/>
    <x v="0"/>
    <x v="3"/>
    <x v="835"/>
    <x v="1034"/>
    <n v="3"/>
    <x v="1010"/>
  </r>
  <r>
    <d v="2015-07-08T00:00:00"/>
    <x v="414"/>
    <x v="14"/>
    <x v="0"/>
    <x v="3"/>
    <x v="836"/>
    <x v="771"/>
    <n v="4"/>
    <x v="1011"/>
  </r>
  <r>
    <d v="2015-07-08T00:00:00"/>
    <x v="414"/>
    <x v="14"/>
    <x v="1"/>
    <x v="8"/>
    <x v="837"/>
    <x v="1035"/>
    <n v="3"/>
    <x v="1012"/>
  </r>
  <r>
    <d v="2015-07-08T00:00:00"/>
    <x v="310"/>
    <x v="2"/>
    <x v="0"/>
    <x v="4"/>
    <x v="119"/>
    <x v="1036"/>
    <n v="10"/>
    <x v="1013"/>
  </r>
  <r>
    <d v="2015-07-08T00:00:00"/>
    <x v="349"/>
    <x v="39"/>
    <x v="0"/>
    <x v="13"/>
    <x v="838"/>
    <x v="1037"/>
    <n v="9"/>
    <x v="1014"/>
  </r>
  <r>
    <d v="2015-07-08T00:00:00"/>
    <x v="415"/>
    <x v="6"/>
    <x v="2"/>
    <x v="6"/>
    <x v="839"/>
    <x v="1038"/>
    <n v="3"/>
    <x v="1015"/>
  </r>
  <r>
    <d v="2015-07-08T00:00:00"/>
    <x v="415"/>
    <x v="6"/>
    <x v="0"/>
    <x v="1"/>
    <x v="840"/>
    <x v="1039"/>
    <n v="2"/>
    <x v="1016"/>
  </r>
  <r>
    <d v="2015-08-08T00:00:00"/>
    <x v="359"/>
    <x v="3"/>
    <x v="0"/>
    <x v="3"/>
    <x v="546"/>
    <x v="1040"/>
    <n v="2"/>
    <x v="1017"/>
  </r>
  <r>
    <d v="2015-08-08T00:00:00"/>
    <x v="359"/>
    <x v="3"/>
    <x v="0"/>
    <x v="3"/>
    <x v="235"/>
    <x v="250"/>
    <n v="2"/>
    <x v="430"/>
  </r>
  <r>
    <d v="2015-08-08T00:00:00"/>
    <x v="359"/>
    <x v="3"/>
    <x v="1"/>
    <x v="5"/>
    <x v="841"/>
    <x v="1041"/>
    <n v="1"/>
    <x v="1018"/>
  </r>
  <r>
    <d v="2015-08-08T00:00:00"/>
    <x v="416"/>
    <x v="20"/>
    <x v="0"/>
    <x v="4"/>
    <x v="842"/>
    <x v="1042"/>
    <n v="2"/>
    <x v="1019"/>
  </r>
  <r>
    <d v="2015-08-08T00:00:00"/>
    <x v="416"/>
    <x v="20"/>
    <x v="0"/>
    <x v="13"/>
    <x v="843"/>
    <x v="1043"/>
    <n v="2"/>
    <x v="1020"/>
  </r>
  <r>
    <d v="2015-08-08T00:00:00"/>
    <x v="416"/>
    <x v="20"/>
    <x v="0"/>
    <x v="3"/>
    <x v="844"/>
    <x v="1044"/>
    <n v="7"/>
    <x v="1021"/>
  </r>
  <r>
    <d v="2015-08-08T00:00:00"/>
    <x v="49"/>
    <x v="12"/>
    <x v="2"/>
    <x v="9"/>
    <x v="103"/>
    <x v="1045"/>
    <n v="1"/>
    <x v="1022"/>
  </r>
  <r>
    <d v="2015-09-08T00:00:00"/>
    <x v="417"/>
    <x v="18"/>
    <x v="0"/>
    <x v="4"/>
    <x v="845"/>
    <x v="1046"/>
    <n v="1"/>
    <x v="1023"/>
  </r>
  <r>
    <d v="2015-09-08T00:00:00"/>
    <x v="417"/>
    <x v="18"/>
    <x v="1"/>
    <x v="10"/>
    <x v="145"/>
    <x v="1047"/>
    <n v="5"/>
    <x v="1024"/>
  </r>
  <r>
    <d v="2015-09-08T00:00:00"/>
    <x v="417"/>
    <x v="18"/>
    <x v="0"/>
    <x v="2"/>
    <x v="621"/>
    <x v="1048"/>
    <n v="1"/>
    <x v="1025"/>
  </r>
  <r>
    <d v="2015-09-08T00:00:00"/>
    <x v="418"/>
    <x v="12"/>
    <x v="2"/>
    <x v="6"/>
    <x v="704"/>
    <x v="1049"/>
    <n v="2"/>
    <x v="1026"/>
  </r>
  <r>
    <d v="2015-09-08T00:00:00"/>
    <x v="418"/>
    <x v="12"/>
    <x v="1"/>
    <x v="10"/>
    <x v="846"/>
    <x v="1050"/>
    <n v="9"/>
    <x v="1027"/>
  </r>
  <r>
    <d v="2015-09-08T00:00:00"/>
    <x v="418"/>
    <x v="12"/>
    <x v="0"/>
    <x v="2"/>
    <x v="474"/>
    <x v="1051"/>
    <n v="2"/>
    <x v="1028"/>
  </r>
  <r>
    <d v="2015-09-08T00:00:00"/>
    <x v="418"/>
    <x v="12"/>
    <x v="0"/>
    <x v="3"/>
    <x v="847"/>
    <x v="1052"/>
    <n v="2"/>
    <x v="1029"/>
  </r>
  <r>
    <d v="2015-09-08T00:00:00"/>
    <x v="418"/>
    <x v="12"/>
    <x v="1"/>
    <x v="8"/>
    <x v="848"/>
    <x v="1053"/>
    <n v="3"/>
    <x v="1030"/>
  </r>
  <r>
    <d v="2015-09-08T00:00:00"/>
    <x v="418"/>
    <x v="12"/>
    <x v="1"/>
    <x v="8"/>
    <x v="648"/>
    <x v="1054"/>
    <n v="2"/>
    <x v="709"/>
  </r>
  <r>
    <d v="2015-09-08T00:00:00"/>
    <x v="418"/>
    <x v="12"/>
    <x v="2"/>
    <x v="6"/>
    <x v="89"/>
    <x v="1055"/>
    <n v="5"/>
    <x v="1031"/>
  </r>
  <r>
    <d v="2015-09-08T00:00:00"/>
    <x v="418"/>
    <x v="12"/>
    <x v="0"/>
    <x v="0"/>
    <x v="849"/>
    <x v="1056"/>
    <n v="3"/>
    <x v="1032"/>
  </r>
  <r>
    <d v="2015-09-08T00:00:00"/>
    <x v="418"/>
    <x v="12"/>
    <x v="0"/>
    <x v="7"/>
    <x v="309"/>
    <x v="1057"/>
    <n v="3"/>
    <x v="1033"/>
  </r>
  <r>
    <d v="2015-09-08T00:00:00"/>
    <x v="418"/>
    <x v="12"/>
    <x v="2"/>
    <x v="9"/>
    <x v="850"/>
    <x v="1058"/>
    <n v="4"/>
    <x v="1034"/>
  </r>
  <r>
    <d v="2015-09-08T00:00:00"/>
    <x v="70"/>
    <x v="9"/>
    <x v="0"/>
    <x v="1"/>
    <x v="851"/>
    <x v="831"/>
    <n v="2"/>
    <x v="813"/>
  </r>
  <r>
    <d v="2015-09-08T00:00:00"/>
    <x v="25"/>
    <x v="8"/>
    <x v="1"/>
    <x v="12"/>
    <x v="852"/>
    <x v="1059"/>
    <n v="5"/>
    <x v="1035"/>
  </r>
  <r>
    <d v="2015-09-08T00:00:00"/>
    <x v="419"/>
    <x v="12"/>
    <x v="1"/>
    <x v="8"/>
    <x v="534"/>
    <x v="1060"/>
    <n v="3"/>
    <x v="864"/>
  </r>
  <r>
    <d v="2015-09-08T00:00:00"/>
    <x v="419"/>
    <x v="12"/>
    <x v="0"/>
    <x v="0"/>
    <x v="853"/>
    <x v="1061"/>
    <n v="3"/>
    <x v="1036"/>
  </r>
  <r>
    <d v="2015-10-08T00:00:00"/>
    <x v="256"/>
    <x v="28"/>
    <x v="0"/>
    <x v="1"/>
    <x v="30"/>
    <x v="1062"/>
    <n v="1"/>
    <x v="771"/>
  </r>
  <r>
    <d v="2015-10-08T00:00:00"/>
    <x v="256"/>
    <x v="28"/>
    <x v="0"/>
    <x v="1"/>
    <x v="854"/>
    <x v="1063"/>
    <n v="4"/>
    <x v="1037"/>
  </r>
  <r>
    <d v="2015-10-08T00:00:00"/>
    <x v="256"/>
    <x v="28"/>
    <x v="0"/>
    <x v="4"/>
    <x v="855"/>
    <x v="1064"/>
    <n v="3"/>
    <x v="1038"/>
  </r>
  <r>
    <d v="2015-10-08T00:00:00"/>
    <x v="266"/>
    <x v="35"/>
    <x v="2"/>
    <x v="6"/>
    <x v="157"/>
    <x v="156"/>
    <n v="4"/>
    <x v="158"/>
  </r>
  <r>
    <d v="2015-10-08T00:00:00"/>
    <x v="266"/>
    <x v="35"/>
    <x v="2"/>
    <x v="6"/>
    <x v="802"/>
    <x v="1065"/>
    <n v="7"/>
    <x v="1039"/>
  </r>
  <r>
    <d v="2015-10-08T00:00:00"/>
    <x v="266"/>
    <x v="35"/>
    <x v="0"/>
    <x v="13"/>
    <x v="447"/>
    <x v="1066"/>
    <n v="4"/>
    <x v="1040"/>
  </r>
  <r>
    <d v="2015-10-08T00:00:00"/>
    <x v="420"/>
    <x v="18"/>
    <x v="0"/>
    <x v="3"/>
    <x v="856"/>
    <x v="1067"/>
    <n v="5"/>
    <x v="1041"/>
  </r>
  <r>
    <d v="2015-11-08T00:00:00"/>
    <x v="421"/>
    <x v="15"/>
    <x v="1"/>
    <x v="8"/>
    <x v="390"/>
    <x v="1068"/>
    <n v="3"/>
    <x v="1042"/>
  </r>
  <r>
    <d v="2015-11-08T00:00:00"/>
    <x v="422"/>
    <x v="12"/>
    <x v="0"/>
    <x v="4"/>
    <x v="75"/>
    <x v="652"/>
    <n v="2"/>
    <x v="1043"/>
  </r>
  <r>
    <d v="2015-11-08T00:00:00"/>
    <x v="422"/>
    <x v="12"/>
    <x v="2"/>
    <x v="6"/>
    <x v="857"/>
    <x v="1069"/>
    <n v="2"/>
    <x v="1044"/>
  </r>
  <r>
    <d v="2015-01-09T00:00:00"/>
    <x v="423"/>
    <x v="3"/>
    <x v="0"/>
    <x v="3"/>
    <x v="176"/>
    <x v="1070"/>
    <n v="1"/>
    <x v="48"/>
  </r>
  <r>
    <d v="2015-01-09T00:00:00"/>
    <x v="423"/>
    <x v="3"/>
    <x v="2"/>
    <x v="15"/>
    <x v="185"/>
    <x v="1071"/>
    <n v="2"/>
    <x v="1045"/>
  </r>
  <r>
    <d v="2015-01-09T00:00:00"/>
    <x v="423"/>
    <x v="3"/>
    <x v="0"/>
    <x v="3"/>
    <x v="107"/>
    <x v="1072"/>
    <n v="4"/>
    <x v="291"/>
  </r>
  <r>
    <d v="2015-01-09T00:00:00"/>
    <x v="424"/>
    <x v="20"/>
    <x v="0"/>
    <x v="3"/>
    <x v="858"/>
    <x v="1073"/>
    <n v="5"/>
    <x v="1046"/>
  </r>
  <r>
    <d v="2015-01-09T00:00:00"/>
    <x v="424"/>
    <x v="20"/>
    <x v="1"/>
    <x v="5"/>
    <x v="328"/>
    <x v="1074"/>
    <n v="1"/>
    <x v="1047"/>
  </r>
  <r>
    <d v="2015-01-09T00:00:00"/>
    <x v="424"/>
    <x v="20"/>
    <x v="1"/>
    <x v="8"/>
    <x v="697"/>
    <x v="1075"/>
    <n v="2"/>
    <x v="1048"/>
  </r>
  <r>
    <d v="2015-01-09T00:00:00"/>
    <x v="424"/>
    <x v="20"/>
    <x v="0"/>
    <x v="2"/>
    <x v="512"/>
    <x v="1076"/>
    <n v="6"/>
    <x v="1049"/>
  </r>
  <r>
    <d v="2015-03-09T00:00:00"/>
    <x v="425"/>
    <x v="15"/>
    <x v="0"/>
    <x v="11"/>
    <x v="859"/>
    <x v="1077"/>
    <n v="7"/>
    <x v="1050"/>
  </r>
  <r>
    <d v="2015-03-09T00:00:00"/>
    <x v="426"/>
    <x v="2"/>
    <x v="0"/>
    <x v="2"/>
    <x v="860"/>
    <x v="1078"/>
    <n v="3"/>
    <x v="1051"/>
  </r>
  <r>
    <d v="2015-03-09T00:00:00"/>
    <x v="426"/>
    <x v="2"/>
    <x v="0"/>
    <x v="14"/>
    <x v="116"/>
    <x v="1079"/>
    <n v="1"/>
    <x v="1052"/>
  </r>
  <r>
    <d v="2015-03-09T00:00:00"/>
    <x v="426"/>
    <x v="2"/>
    <x v="0"/>
    <x v="11"/>
    <x v="861"/>
    <x v="1080"/>
    <n v="6"/>
    <x v="1053"/>
  </r>
  <r>
    <d v="2015-03-09T00:00:00"/>
    <x v="367"/>
    <x v="3"/>
    <x v="0"/>
    <x v="2"/>
    <x v="862"/>
    <x v="1081"/>
    <n v="3"/>
    <x v="1054"/>
  </r>
  <r>
    <d v="2015-03-09T00:00:00"/>
    <x v="367"/>
    <x v="3"/>
    <x v="2"/>
    <x v="9"/>
    <x v="461"/>
    <x v="446"/>
    <n v="2"/>
    <x v="61"/>
  </r>
  <r>
    <d v="2015-03-09T00:00:00"/>
    <x v="367"/>
    <x v="3"/>
    <x v="2"/>
    <x v="9"/>
    <x v="863"/>
    <x v="1082"/>
    <n v="5"/>
    <x v="1055"/>
  </r>
  <r>
    <d v="2015-03-09T00:00:00"/>
    <x v="366"/>
    <x v="27"/>
    <x v="0"/>
    <x v="13"/>
    <x v="864"/>
    <x v="1083"/>
    <n v="2"/>
    <x v="1056"/>
  </r>
  <r>
    <d v="2015-03-09T00:00:00"/>
    <x v="366"/>
    <x v="27"/>
    <x v="2"/>
    <x v="6"/>
    <x v="574"/>
    <x v="1084"/>
    <n v="1"/>
    <x v="1057"/>
  </r>
  <r>
    <d v="2015-03-09T00:00:00"/>
    <x v="366"/>
    <x v="12"/>
    <x v="0"/>
    <x v="2"/>
    <x v="803"/>
    <x v="1085"/>
    <n v="1"/>
    <x v="1058"/>
  </r>
  <r>
    <d v="2015-03-09T00:00:00"/>
    <x v="156"/>
    <x v="3"/>
    <x v="1"/>
    <x v="5"/>
    <x v="865"/>
    <x v="45"/>
    <n v="2"/>
    <x v="1059"/>
  </r>
  <r>
    <d v="2015-03-09T00:00:00"/>
    <x v="156"/>
    <x v="3"/>
    <x v="0"/>
    <x v="3"/>
    <x v="866"/>
    <x v="1019"/>
    <n v="2"/>
    <x v="997"/>
  </r>
  <r>
    <d v="2015-03-09T00:00:00"/>
    <x v="297"/>
    <x v="23"/>
    <x v="1"/>
    <x v="8"/>
    <x v="867"/>
    <x v="1086"/>
    <n v="3"/>
    <x v="1026"/>
  </r>
  <r>
    <d v="2015-03-09T00:00:00"/>
    <x v="427"/>
    <x v="18"/>
    <x v="0"/>
    <x v="1"/>
    <x v="775"/>
    <x v="1087"/>
    <n v="2"/>
    <x v="1060"/>
  </r>
  <r>
    <d v="2015-04-09T00:00:00"/>
    <x v="428"/>
    <x v="4"/>
    <x v="0"/>
    <x v="0"/>
    <x v="868"/>
    <x v="1088"/>
    <n v="5"/>
    <x v="1061"/>
  </r>
  <r>
    <d v="2015-04-09T00:00:00"/>
    <x v="428"/>
    <x v="4"/>
    <x v="2"/>
    <x v="9"/>
    <x v="869"/>
    <x v="1089"/>
    <n v="5"/>
    <x v="1062"/>
  </r>
  <r>
    <d v="2015-04-09T00:00:00"/>
    <x v="428"/>
    <x v="4"/>
    <x v="0"/>
    <x v="0"/>
    <x v="516"/>
    <x v="1090"/>
    <n v="2"/>
    <x v="872"/>
  </r>
  <r>
    <d v="2015-04-09T00:00:00"/>
    <x v="428"/>
    <x v="4"/>
    <x v="0"/>
    <x v="11"/>
    <x v="221"/>
    <x v="225"/>
    <n v="2"/>
    <x v="228"/>
  </r>
  <r>
    <d v="2015-04-09T00:00:00"/>
    <x v="55"/>
    <x v="35"/>
    <x v="0"/>
    <x v="3"/>
    <x v="532"/>
    <x v="1091"/>
    <n v="2"/>
    <x v="1063"/>
  </r>
  <r>
    <d v="2015-04-09T00:00:00"/>
    <x v="417"/>
    <x v="0"/>
    <x v="2"/>
    <x v="9"/>
    <x v="186"/>
    <x v="1092"/>
    <n v="3"/>
    <x v="1064"/>
  </r>
  <r>
    <d v="2015-04-09T00:00:00"/>
    <x v="429"/>
    <x v="2"/>
    <x v="0"/>
    <x v="3"/>
    <x v="407"/>
    <x v="1093"/>
    <n v="4"/>
    <x v="1065"/>
  </r>
  <r>
    <d v="2015-05-09T00:00:00"/>
    <x v="430"/>
    <x v="3"/>
    <x v="1"/>
    <x v="12"/>
    <x v="870"/>
    <x v="1094"/>
    <n v="4"/>
    <x v="1066"/>
  </r>
  <r>
    <d v="2015-05-09T00:00:00"/>
    <x v="430"/>
    <x v="3"/>
    <x v="0"/>
    <x v="3"/>
    <x v="871"/>
    <x v="1095"/>
    <n v="6"/>
    <x v="206"/>
  </r>
  <r>
    <d v="2015-05-09T00:00:00"/>
    <x v="430"/>
    <x v="3"/>
    <x v="1"/>
    <x v="12"/>
    <x v="872"/>
    <x v="1096"/>
    <n v="3"/>
    <x v="1067"/>
  </r>
  <r>
    <d v="2015-05-09T00:00:00"/>
    <x v="431"/>
    <x v="0"/>
    <x v="0"/>
    <x v="3"/>
    <x v="532"/>
    <x v="1097"/>
    <n v="5"/>
    <x v="1068"/>
  </r>
  <r>
    <d v="2015-05-09T00:00:00"/>
    <x v="431"/>
    <x v="0"/>
    <x v="0"/>
    <x v="14"/>
    <x v="460"/>
    <x v="1098"/>
    <n v="9"/>
    <x v="1069"/>
  </r>
  <r>
    <d v="2015-05-09T00:00:00"/>
    <x v="431"/>
    <x v="0"/>
    <x v="0"/>
    <x v="3"/>
    <x v="15"/>
    <x v="1099"/>
    <n v="3"/>
    <x v="1070"/>
  </r>
  <r>
    <d v="2015-05-09T00:00:00"/>
    <x v="432"/>
    <x v="28"/>
    <x v="1"/>
    <x v="8"/>
    <x v="648"/>
    <x v="1054"/>
    <n v="2"/>
    <x v="709"/>
  </r>
  <r>
    <d v="2015-05-09T00:00:00"/>
    <x v="432"/>
    <x v="28"/>
    <x v="0"/>
    <x v="0"/>
    <x v="292"/>
    <x v="1100"/>
    <n v="3"/>
    <x v="1071"/>
  </r>
  <r>
    <d v="2015-05-09T00:00:00"/>
    <x v="433"/>
    <x v="6"/>
    <x v="1"/>
    <x v="8"/>
    <x v="873"/>
    <x v="1101"/>
    <n v="4"/>
    <x v="1072"/>
  </r>
  <r>
    <d v="2015-06-09T00:00:00"/>
    <x v="434"/>
    <x v="10"/>
    <x v="0"/>
    <x v="3"/>
    <x v="874"/>
    <x v="1102"/>
    <n v="2"/>
    <x v="1073"/>
  </r>
  <r>
    <d v="2015-06-09T00:00:00"/>
    <x v="434"/>
    <x v="10"/>
    <x v="1"/>
    <x v="8"/>
    <x v="875"/>
    <x v="1103"/>
    <n v="3"/>
    <x v="1074"/>
  </r>
  <r>
    <d v="2015-06-09T00:00:00"/>
    <x v="331"/>
    <x v="3"/>
    <x v="2"/>
    <x v="9"/>
    <x v="678"/>
    <x v="1104"/>
    <n v="4"/>
    <x v="1075"/>
  </r>
  <r>
    <d v="2015-06-09T00:00:00"/>
    <x v="435"/>
    <x v="12"/>
    <x v="1"/>
    <x v="5"/>
    <x v="568"/>
    <x v="1105"/>
    <n v="2"/>
    <x v="960"/>
  </r>
  <r>
    <d v="2015-06-09T00:00:00"/>
    <x v="18"/>
    <x v="31"/>
    <x v="0"/>
    <x v="7"/>
    <x v="876"/>
    <x v="1106"/>
    <n v="5"/>
    <x v="561"/>
  </r>
  <r>
    <d v="2015-06-09T00:00:00"/>
    <x v="436"/>
    <x v="9"/>
    <x v="0"/>
    <x v="3"/>
    <x v="877"/>
    <x v="1107"/>
    <n v="1"/>
    <x v="1076"/>
  </r>
  <r>
    <d v="2015-06-09T00:00:00"/>
    <x v="298"/>
    <x v="12"/>
    <x v="0"/>
    <x v="13"/>
    <x v="421"/>
    <x v="1108"/>
    <n v="1"/>
    <x v="1077"/>
  </r>
  <r>
    <d v="2015-06-09T00:00:00"/>
    <x v="298"/>
    <x v="12"/>
    <x v="2"/>
    <x v="6"/>
    <x v="751"/>
    <x v="1109"/>
    <n v="2"/>
    <x v="1078"/>
  </r>
  <r>
    <d v="2015-06-09T00:00:00"/>
    <x v="174"/>
    <x v="6"/>
    <x v="0"/>
    <x v="3"/>
    <x v="780"/>
    <x v="1110"/>
    <n v="9"/>
    <x v="1079"/>
  </r>
  <r>
    <d v="2015-06-09T00:00:00"/>
    <x v="437"/>
    <x v="21"/>
    <x v="1"/>
    <x v="10"/>
    <x v="126"/>
    <x v="1111"/>
    <n v="1"/>
    <x v="1080"/>
  </r>
  <r>
    <d v="2015-07-09T00:00:00"/>
    <x v="243"/>
    <x v="3"/>
    <x v="0"/>
    <x v="2"/>
    <x v="878"/>
    <x v="1112"/>
    <n v="7"/>
    <x v="482"/>
  </r>
  <r>
    <d v="2015-07-09T00:00:00"/>
    <x v="438"/>
    <x v="0"/>
    <x v="1"/>
    <x v="5"/>
    <x v="879"/>
    <x v="1113"/>
    <n v="2"/>
    <x v="1081"/>
  </r>
  <r>
    <d v="2015-07-09T00:00:00"/>
    <x v="206"/>
    <x v="12"/>
    <x v="0"/>
    <x v="2"/>
    <x v="64"/>
    <x v="233"/>
    <n v="2"/>
    <x v="1082"/>
  </r>
  <r>
    <d v="2015-07-09T00:00:00"/>
    <x v="206"/>
    <x v="12"/>
    <x v="1"/>
    <x v="10"/>
    <x v="880"/>
    <x v="1114"/>
    <n v="3"/>
    <x v="1083"/>
  </r>
  <r>
    <d v="2015-07-09T00:00:00"/>
    <x v="199"/>
    <x v="2"/>
    <x v="0"/>
    <x v="3"/>
    <x v="881"/>
    <x v="1115"/>
    <n v="1"/>
    <x v="1084"/>
  </r>
  <r>
    <d v="2015-07-09T00:00:00"/>
    <x v="199"/>
    <x v="2"/>
    <x v="2"/>
    <x v="6"/>
    <x v="551"/>
    <x v="1116"/>
    <n v="6"/>
    <x v="1085"/>
  </r>
  <r>
    <d v="2015-07-09T00:00:00"/>
    <x v="199"/>
    <x v="2"/>
    <x v="0"/>
    <x v="3"/>
    <x v="882"/>
    <x v="1117"/>
    <n v="3"/>
    <x v="1086"/>
  </r>
  <r>
    <d v="2015-07-09T00:00:00"/>
    <x v="439"/>
    <x v="15"/>
    <x v="0"/>
    <x v="4"/>
    <x v="251"/>
    <x v="178"/>
    <n v="4"/>
    <x v="1087"/>
  </r>
  <r>
    <d v="2015-07-09T00:00:00"/>
    <x v="239"/>
    <x v="12"/>
    <x v="2"/>
    <x v="9"/>
    <x v="724"/>
    <x v="1118"/>
    <n v="7"/>
    <x v="1088"/>
  </r>
  <r>
    <d v="2015-07-09T00:00:00"/>
    <x v="174"/>
    <x v="12"/>
    <x v="0"/>
    <x v="2"/>
    <x v="883"/>
    <x v="1119"/>
    <n v="3"/>
    <x v="1089"/>
  </r>
  <r>
    <d v="2015-07-09T00:00:00"/>
    <x v="174"/>
    <x v="12"/>
    <x v="2"/>
    <x v="9"/>
    <x v="884"/>
    <x v="1120"/>
    <n v="5"/>
    <x v="1090"/>
  </r>
  <r>
    <d v="2015-07-09T00:00:00"/>
    <x v="174"/>
    <x v="12"/>
    <x v="0"/>
    <x v="3"/>
    <x v="885"/>
    <x v="1102"/>
    <n v="2"/>
    <x v="1091"/>
  </r>
  <r>
    <d v="2015-07-09T00:00:00"/>
    <x v="174"/>
    <x v="12"/>
    <x v="1"/>
    <x v="10"/>
    <x v="886"/>
    <x v="1121"/>
    <n v="2"/>
    <x v="1092"/>
  </r>
  <r>
    <d v="2015-07-09T00:00:00"/>
    <x v="174"/>
    <x v="12"/>
    <x v="0"/>
    <x v="7"/>
    <x v="876"/>
    <x v="1106"/>
    <n v="4"/>
    <x v="796"/>
  </r>
  <r>
    <d v="2015-08-09T00:00:00"/>
    <x v="440"/>
    <x v="3"/>
    <x v="0"/>
    <x v="0"/>
    <x v="762"/>
    <x v="1122"/>
    <n v="5"/>
    <x v="1093"/>
  </r>
  <r>
    <d v="2015-08-09T00:00:00"/>
    <x v="440"/>
    <x v="3"/>
    <x v="0"/>
    <x v="2"/>
    <x v="64"/>
    <x v="401"/>
    <n v="6"/>
    <x v="965"/>
  </r>
  <r>
    <d v="2015-08-09T00:00:00"/>
    <x v="102"/>
    <x v="22"/>
    <x v="1"/>
    <x v="8"/>
    <x v="710"/>
    <x v="328"/>
    <n v="8"/>
    <x v="1094"/>
  </r>
  <r>
    <d v="2015-10-09T00:00:00"/>
    <x v="438"/>
    <x v="3"/>
    <x v="0"/>
    <x v="14"/>
    <x v="125"/>
    <x v="1123"/>
    <n v="4"/>
    <x v="1095"/>
  </r>
  <r>
    <d v="2015-10-09T00:00:00"/>
    <x v="37"/>
    <x v="34"/>
    <x v="0"/>
    <x v="0"/>
    <x v="887"/>
    <x v="41"/>
    <n v="3"/>
    <x v="93"/>
  </r>
  <r>
    <d v="2015-10-09T00:00:00"/>
    <x v="79"/>
    <x v="20"/>
    <x v="0"/>
    <x v="13"/>
    <x v="98"/>
    <x v="1124"/>
    <n v="2"/>
    <x v="1096"/>
  </r>
  <r>
    <d v="2015-10-09T00:00:00"/>
    <x v="79"/>
    <x v="20"/>
    <x v="1"/>
    <x v="12"/>
    <x v="650"/>
    <x v="1125"/>
    <n v="2"/>
    <x v="1097"/>
  </r>
  <r>
    <d v="2015-10-09T00:00:00"/>
    <x v="79"/>
    <x v="20"/>
    <x v="0"/>
    <x v="0"/>
    <x v="888"/>
    <x v="1126"/>
    <n v="9"/>
    <x v="1098"/>
  </r>
  <r>
    <d v="2015-10-09T00:00:00"/>
    <x v="293"/>
    <x v="10"/>
    <x v="0"/>
    <x v="2"/>
    <x v="889"/>
    <x v="1127"/>
    <n v="6"/>
    <x v="1099"/>
  </r>
  <r>
    <d v="2015-10-09T00:00:00"/>
    <x v="441"/>
    <x v="12"/>
    <x v="0"/>
    <x v="4"/>
    <x v="890"/>
    <x v="1128"/>
    <n v="2"/>
    <x v="94"/>
  </r>
  <r>
    <d v="2015-10-09T00:00:00"/>
    <x v="334"/>
    <x v="3"/>
    <x v="1"/>
    <x v="8"/>
    <x v="891"/>
    <x v="1129"/>
    <n v="6"/>
    <x v="1100"/>
  </r>
  <r>
    <d v="2015-10-09T00:00:00"/>
    <x v="442"/>
    <x v="0"/>
    <x v="1"/>
    <x v="5"/>
    <x v="892"/>
    <x v="1130"/>
    <n v="1"/>
    <x v="1101"/>
  </r>
  <r>
    <d v="2015-11-09T00:00:00"/>
    <x v="110"/>
    <x v="3"/>
    <x v="0"/>
    <x v="4"/>
    <x v="893"/>
    <x v="1131"/>
    <n v="9"/>
    <x v="1102"/>
  </r>
  <r>
    <d v="2015-11-09T00:00:00"/>
    <x v="110"/>
    <x v="3"/>
    <x v="0"/>
    <x v="1"/>
    <x v="894"/>
    <x v="183"/>
    <n v="3"/>
    <x v="715"/>
  </r>
  <r>
    <d v="2015-11-09T00:00:00"/>
    <x v="95"/>
    <x v="3"/>
    <x v="0"/>
    <x v="4"/>
    <x v="424"/>
    <x v="1132"/>
    <n v="7"/>
    <x v="1103"/>
  </r>
  <r>
    <d v="2015-11-09T00:00:00"/>
    <x v="137"/>
    <x v="12"/>
    <x v="1"/>
    <x v="8"/>
    <x v="895"/>
    <x v="1133"/>
    <n v="2"/>
    <x v="1104"/>
  </r>
  <r>
    <d v="2015-11-09T00:00:00"/>
    <x v="137"/>
    <x v="12"/>
    <x v="0"/>
    <x v="2"/>
    <x v="896"/>
    <x v="1134"/>
    <n v="1"/>
    <x v="1105"/>
  </r>
  <r>
    <d v="2015-11-09T00:00:00"/>
    <x v="137"/>
    <x v="12"/>
    <x v="2"/>
    <x v="9"/>
    <x v="897"/>
    <x v="1135"/>
    <n v="1"/>
    <x v="1106"/>
  </r>
  <r>
    <d v="2015-11-09T00:00:00"/>
    <x v="137"/>
    <x v="12"/>
    <x v="0"/>
    <x v="2"/>
    <x v="475"/>
    <x v="1136"/>
    <n v="4"/>
    <x v="1107"/>
  </r>
  <r>
    <d v="2015-11-09T00:00:00"/>
    <x v="443"/>
    <x v="19"/>
    <x v="1"/>
    <x v="8"/>
    <x v="898"/>
    <x v="1137"/>
    <n v="4"/>
    <x v="1108"/>
  </r>
  <r>
    <d v="2015-11-09T00:00:00"/>
    <x v="444"/>
    <x v="11"/>
    <x v="0"/>
    <x v="1"/>
    <x v="899"/>
    <x v="1138"/>
    <n v="3"/>
    <x v="610"/>
  </r>
  <r>
    <d v="2015-11-09T00:00:00"/>
    <x v="444"/>
    <x v="11"/>
    <x v="1"/>
    <x v="8"/>
    <x v="492"/>
    <x v="526"/>
    <n v="4"/>
    <x v="526"/>
  </r>
  <r>
    <d v="2015-11-09T00:00:00"/>
    <x v="444"/>
    <x v="11"/>
    <x v="0"/>
    <x v="3"/>
    <x v="25"/>
    <x v="1139"/>
    <n v="4"/>
    <x v="1109"/>
  </r>
  <r>
    <d v="2015-11-09T00:00:00"/>
    <x v="444"/>
    <x v="11"/>
    <x v="0"/>
    <x v="13"/>
    <x v="900"/>
    <x v="1140"/>
    <n v="4"/>
    <x v="1110"/>
  </r>
  <r>
    <d v="2015-11-09T00:00:00"/>
    <x v="444"/>
    <x v="11"/>
    <x v="0"/>
    <x v="0"/>
    <x v="901"/>
    <x v="1141"/>
    <n v="6"/>
    <x v="1111"/>
  </r>
  <r>
    <d v="2015-12-09T00:00:00"/>
    <x v="99"/>
    <x v="12"/>
    <x v="2"/>
    <x v="15"/>
    <x v="902"/>
    <x v="162"/>
    <n v="2"/>
    <x v="1112"/>
  </r>
  <r>
    <d v="2015-12-09T00:00:00"/>
    <x v="99"/>
    <x v="12"/>
    <x v="0"/>
    <x v="1"/>
    <x v="903"/>
    <x v="1142"/>
    <n v="4"/>
    <x v="1113"/>
  </r>
  <r>
    <d v="2015-12-09T00:00:00"/>
    <x v="171"/>
    <x v="12"/>
    <x v="0"/>
    <x v="4"/>
    <x v="121"/>
    <x v="929"/>
    <n v="2"/>
    <x v="97"/>
  </r>
  <r>
    <d v="2015-12-09T00:00:00"/>
    <x v="171"/>
    <x v="12"/>
    <x v="0"/>
    <x v="2"/>
    <x v="904"/>
    <x v="1143"/>
    <n v="2"/>
    <x v="174"/>
  </r>
  <r>
    <d v="2015-12-09T00:00:00"/>
    <x v="171"/>
    <x v="12"/>
    <x v="0"/>
    <x v="7"/>
    <x v="905"/>
    <x v="1144"/>
    <n v="1"/>
    <x v="1114"/>
  </r>
  <r>
    <d v="2015-12-09T00:00:00"/>
    <x v="171"/>
    <x v="12"/>
    <x v="0"/>
    <x v="1"/>
    <x v="854"/>
    <x v="1145"/>
    <n v="2"/>
    <x v="1115"/>
  </r>
  <r>
    <d v="2015-12-09T00:00:00"/>
    <x v="171"/>
    <x v="12"/>
    <x v="0"/>
    <x v="0"/>
    <x v="906"/>
    <x v="1146"/>
    <n v="5"/>
    <x v="1116"/>
  </r>
  <r>
    <d v="2015-12-09T00:00:00"/>
    <x v="171"/>
    <x v="12"/>
    <x v="0"/>
    <x v="11"/>
    <x v="907"/>
    <x v="1147"/>
    <n v="1"/>
    <x v="1117"/>
  </r>
  <r>
    <d v="2015-12-09T00:00:00"/>
    <x v="445"/>
    <x v="10"/>
    <x v="2"/>
    <x v="9"/>
    <x v="415"/>
    <x v="1048"/>
    <n v="2"/>
    <x v="1118"/>
  </r>
  <r>
    <d v="2015-01-10T00:00:00"/>
    <x v="429"/>
    <x v="19"/>
    <x v="0"/>
    <x v="2"/>
    <x v="526"/>
    <x v="1148"/>
    <n v="4"/>
    <x v="1119"/>
  </r>
  <r>
    <d v="2015-01-10T00:00:00"/>
    <x v="446"/>
    <x v="20"/>
    <x v="2"/>
    <x v="6"/>
    <x v="784"/>
    <x v="1149"/>
    <n v="2"/>
    <x v="1120"/>
  </r>
  <r>
    <d v="2015-01-10T00:00:00"/>
    <x v="446"/>
    <x v="20"/>
    <x v="0"/>
    <x v="3"/>
    <x v="107"/>
    <x v="1150"/>
    <n v="5"/>
    <x v="1121"/>
  </r>
  <r>
    <d v="2015-01-10T00:00:00"/>
    <x v="447"/>
    <x v="1"/>
    <x v="0"/>
    <x v="3"/>
    <x v="818"/>
    <x v="1151"/>
    <n v="4"/>
    <x v="1122"/>
  </r>
  <r>
    <d v="2015-01-10T00:00:00"/>
    <x v="447"/>
    <x v="1"/>
    <x v="2"/>
    <x v="9"/>
    <x v="908"/>
    <x v="1152"/>
    <n v="4"/>
    <x v="182"/>
  </r>
  <r>
    <d v="2015-01-10T00:00:00"/>
    <x v="447"/>
    <x v="35"/>
    <x v="2"/>
    <x v="6"/>
    <x v="195"/>
    <x v="1153"/>
    <n v="2"/>
    <x v="1123"/>
  </r>
  <r>
    <d v="2015-02-10T00:00:00"/>
    <x v="142"/>
    <x v="3"/>
    <x v="0"/>
    <x v="3"/>
    <x v="151"/>
    <x v="1154"/>
    <n v="6"/>
    <x v="1124"/>
  </r>
  <r>
    <d v="2015-02-10T00:00:00"/>
    <x v="448"/>
    <x v="11"/>
    <x v="0"/>
    <x v="0"/>
    <x v="909"/>
    <x v="614"/>
    <n v="5"/>
    <x v="604"/>
  </r>
  <r>
    <d v="2015-02-10T00:00:00"/>
    <x v="448"/>
    <x v="11"/>
    <x v="0"/>
    <x v="11"/>
    <x v="348"/>
    <x v="1155"/>
    <n v="4"/>
    <x v="1125"/>
  </r>
  <r>
    <d v="2015-02-10T00:00:00"/>
    <x v="448"/>
    <x v="11"/>
    <x v="2"/>
    <x v="9"/>
    <x v="525"/>
    <x v="1120"/>
    <n v="1"/>
    <x v="1126"/>
  </r>
  <r>
    <d v="2015-02-10T00:00:00"/>
    <x v="449"/>
    <x v="3"/>
    <x v="0"/>
    <x v="2"/>
    <x v="684"/>
    <x v="1156"/>
    <n v="14"/>
    <x v="1127"/>
  </r>
  <r>
    <d v="2015-02-10T00:00:00"/>
    <x v="39"/>
    <x v="15"/>
    <x v="0"/>
    <x v="3"/>
    <x v="910"/>
    <x v="928"/>
    <n v="5"/>
    <x v="1128"/>
  </r>
  <r>
    <d v="2015-02-10T00:00:00"/>
    <x v="450"/>
    <x v="3"/>
    <x v="0"/>
    <x v="3"/>
    <x v="910"/>
    <x v="1157"/>
    <n v="3"/>
    <x v="1129"/>
  </r>
  <r>
    <d v="2015-02-10T00:00:00"/>
    <x v="450"/>
    <x v="3"/>
    <x v="0"/>
    <x v="3"/>
    <x v="165"/>
    <x v="1158"/>
    <n v="4"/>
    <x v="1130"/>
  </r>
  <r>
    <d v="2015-02-10T00:00:00"/>
    <x v="450"/>
    <x v="3"/>
    <x v="2"/>
    <x v="6"/>
    <x v="911"/>
    <x v="1159"/>
    <n v="5"/>
    <x v="378"/>
  </r>
  <r>
    <d v="2015-02-10T00:00:00"/>
    <x v="451"/>
    <x v="27"/>
    <x v="0"/>
    <x v="3"/>
    <x v="181"/>
    <x v="1160"/>
    <n v="5"/>
    <x v="1131"/>
  </r>
  <r>
    <d v="2015-02-10T00:00:00"/>
    <x v="452"/>
    <x v="39"/>
    <x v="0"/>
    <x v="0"/>
    <x v="912"/>
    <x v="5"/>
    <n v="3"/>
    <x v="5"/>
  </r>
  <r>
    <d v="2015-02-10T00:00:00"/>
    <x v="452"/>
    <x v="39"/>
    <x v="0"/>
    <x v="3"/>
    <x v="913"/>
    <x v="928"/>
    <n v="1"/>
    <x v="1132"/>
  </r>
  <r>
    <d v="2015-02-10T00:00:00"/>
    <x v="260"/>
    <x v="19"/>
    <x v="0"/>
    <x v="14"/>
    <x v="404"/>
    <x v="1161"/>
    <n v="2"/>
    <x v="1133"/>
  </r>
  <r>
    <d v="2015-02-10T00:00:00"/>
    <x v="43"/>
    <x v="35"/>
    <x v="1"/>
    <x v="8"/>
    <x v="288"/>
    <x v="1162"/>
    <n v="1"/>
    <x v="963"/>
  </r>
  <r>
    <d v="2015-02-10T00:00:00"/>
    <x v="43"/>
    <x v="35"/>
    <x v="2"/>
    <x v="9"/>
    <x v="914"/>
    <x v="1163"/>
    <n v="3"/>
    <x v="1134"/>
  </r>
  <r>
    <d v="2015-03-10T00:00:00"/>
    <x v="115"/>
    <x v="16"/>
    <x v="0"/>
    <x v="3"/>
    <x v="511"/>
    <x v="1164"/>
    <n v="5"/>
    <x v="1135"/>
  </r>
  <r>
    <d v="2015-03-10T00:00:00"/>
    <x v="115"/>
    <x v="16"/>
    <x v="2"/>
    <x v="9"/>
    <x v="915"/>
    <x v="1165"/>
    <n v="2"/>
    <x v="1136"/>
  </r>
  <r>
    <d v="2015-03-10T00:00:00"/>
    <x v="115"/>
    <x v="16"/>
    <x v="1"/>
    <x v="12"/>
    <x v="916"/>
    <x v="1166"/>
    <n v="1"/>
    <x v="1137"/>
  </r>
  <r>
    <d v="2015-03-10T00:00:00"/>
    <x v="115"/>
    <x v="16"/>
    <x v="2"/>
    <x v="9"/>
    <x v="917"/>
    <x v="840"/>
    <n v="2"/>
    <x v="258"/>
  </r>
  <r>
    <d v="2015-03-10T00:00:00"/>
    <x v="54"/>
    <x v="2"/>
    <x v="0"/>
    <x v="2"/>
    <x v="317"/>
    <x v="1167"/>
    <n v="2"/>
    <x v="1138"/>
  </r>
  <r>
    <d v="2015-03-10T00:00:00"/>
    <x v="158"/>
    <x v="3"/>
    <x v="1"/>
    <x v="12"/>
    <x v="916"/>
    <x v="1168"/>
    <n v="2"/>
    <x v="134"/>
  </r>
  <r>
    <d v="2015-04-10T00:00:00"/>
    <x v="311"/>
    <x v="4"/>
    <x v="1"/>
    <x v="5"/>
    <x v="918"/>
    <x v="1169"/>
    <n v="3"/>
    <x v="1139"/>
  </r>
  <r>
    <d v="2015-04-10T00:00:00"/>
    <x v="453"/>
    <x v="3"/>
    <x v="0"/>
    <x v="2"/>
    <x v="919"/>
    <x v="1170"/>
    <n v="2"/>
    <x v="1140"/>
  </r>
  <r>
    <d v="2015-04-10T00:00:00"/>
    <x v="256"/>
    <x v="2"/>
    <x v="1"/>
    <x v="8"/>
    <x v="787"/>
    <x v="1171"/>
    <n v="3"/>
    <x v="1141"/>
  </r>
  <r>
    <d v="2015-04-10T00:00:00"/>
    <x v="256"/>
    <x v="2"/>
    <x v="0"/>
    <x v="0"/>
    <x v="920"/>
    <x v="961"/>
    <n v="4"/>
    <x v="202"/>
  </r>
  <r>
    <d v="2015-05-10T00:00:00"/>
    <x v="454"/>
    <x v="6"/>
    <x v="0"/>
    <x v="4"/>
    <x v="379"/>
    <x v="1172"/>
    <n v="4"/>
    <x v="1142"/>
  </r>
  <r>
    <d v="2015-05-10T00:00:00"/>
    <x v="454"/>
    <x v="6"/>
    <x v="0"/>
    <x v="13"/>
    <x v="171"/>
    <x v="1173"/>
    <n v="2"/>
    <x v="1143"/>
  </r>
  <r>
    <d v="2015-05-10T00:00:00"/>
    <x v="319"/>
    <x v="7"/>
    <x v="0"/>
    <x v="2"/>
    <x v="585"/>
    <x v="1174"/>
    <n v="5"/>
    <x v="1144"/>
  </r>
  <r>
    <d v="2015-05-10T00:00:00"/>
    <x v="170"/>
    <x v="16"/>
    <x v="2"/>
    <x v="9"/>
    <x v="914"/>
    <x v="1163"/>
    <n v="3"/>
    <x v="1134"/>
  </r>
  <r>
    <d v="2015-05-10T00:00:00"/>
    <x v="455"/>
    <x v="35"/>
    <x v="1"/>
    <x v="12"/>
    <x v="921"/>
    <x v="1175"/>
    <n v="1"/>
    <x v="1145"/>
  </r>
  <r>
    <d v="2015-05-10T00:00:00"/>
    <x v="455"/>
    <x v="35"/>
    <x v="1"/>
    <x v="5"/>
    <x v="922"/>
    <x v="1176"/>
    <n v="4"/>
    <x v="1146"/>
  </r>
  <r>
    <d v="2015-05-10T00:00:00"/>
    <x v="155"/>
    <x v="16"/>
    <x v="2"/>
    <x v="9"/>
    <x v="525"/>
    <x v="1177"/>
    <n v="4"/>
    <x v="1147"/>
  </r>
  <r>
    <d v="2015-08-10T00:00:00"/>
    <x v="170"/>
    <x v="3"/>
    <x v="1"/>
    <x v="8"/>
    <x v="602"/>
    <x v="1178"/>
    <n v="5"/>
    <x v="1148"/>
  </r>
  <r>
    <d v="2015-08-10T00:00:00"/>
    <x v="405"/>
    <x v="0"/>
    <x v="0"/>
    <x v="4"/>
    <x v="808"/>
    <x v="1107"/>
    <n v="2"/>
    <x v="1149"/>
  </r>
  <r>
    <d v="2015-08-10T00:00:00"/>
    <x v="456"/>
    <x v="0"/>
    <x v="1"/>
    <x v="8"/>
    <x v="923"/>
    <x v="1179"/>
    <n v="3"/>
    <x v="1150"/>
  </r>
  <r>
    <d v="2015-09-10T00:00:00"/>
    <x v="339"/>
    <x v="6"/>
    <x v="0"/>
    <x v="2"/>
    <x v="552"/>
    <x v="1180"/>
    <n v="2"/>
    <x v="1151"/>
  </r>
  <r>
    <d v="2015-09-10T00:00:00"/>
    <x v="309"/>
    <x v="12"/>
    <x v="2"/>
    <x v="6"/>
    <x v="152"/>
    <x v="1181"/>
    <n v="4"/>
    <x v="1152"/>
  </r>
  <r>
    <d v="2015-09-10T00:00:00"/>
    <x v="309"/>
    <x v="12"/>
    <x v="0"/>
    <x v="0"/>
    <x v="279"/>
    <x v="292"/>
    <n v="4"/>
    <x v="1153"/>
  </r>
  <r>
    <d v="2015-09-10T00:00:00"/>
    <x v="143"/>
    <x v="18"/>
    <x v="2"/>
    <x v="9"/>
    <x v="869"/>
    <x v="1089"/>
    <n v="5"/>
    <x v="1062"/>
  </r>
  <r>
    <d v="2015-09-10T00:00:00"/>
    <x v="143"/>
    <x v="18"/>
    <x v="2"/>
    <x v="6"/>
    <x v="924"/>
    <x v="953"/>
    <n v="3"/>
    <x v="1154"/>
  </r>
  <r>
    <d v="2015-09-10T00:00:00"/>
    <x v="143"/>
    <x v="18"/>
    <x v="0"/>
    <x v="11"/>
    <x v="55"/>
    <x v="1182"/>
    <n v="7"/>
    <x v="1155"/>
  </r>
  <r>
    <d v="2015-09-10T00:00:00"/>
    <x v="143"/>
    <x v="18"/>
    <x v="0"/>
    <x v="13"/>
    <x v="162"/>
    <x v="1183"/>
    <n v="3"/>
    <x v="713"/>
  </r>
  <r>
    <d v="2015-09-10T00:00:00"/>
    <x v="457"/>
    <x v="9"/>
    <x v="0"/>
    <x v="3"/>
    <x v="95"/>
    <x v="1184"/>
    <n v="2"/>
    <x v="1156"/>
  </r>
  <r>
    <d v="2015-09-10T00:00:00"/>
    <x v="457"/>
    <x v="9"/>
    <x v="0"/>
    <x v="3"/>
    <x v="925"/>
    <x v="815"/>
    <n v="2"/>
    <x v="1157"/>
  </r>
  <r>
    <d v="2015-09-10T00:00:00"/>
    <x v="457"/>
    <x v="9"/>
    <x v="0"/>
    <x v="4"/>
    <x v="926"/>
    <x v="1185"/>
    <n v="8"/>
    <x v="121"/>
  </r>
  <r>
    <d v="2015-09-10T00:00:00"/>
    <x v="408"/>
    <x v="18"/>
    <x v="1"/>
    <x v="5"/>
    <x v="927"/>
    <x v="1186"/>
    <n v="3"/>
    <x v="1158"/>
  </r>
  <r>
    <d v="2015-09-10T00:00:00"/>
    <x v="408"/>
    <x v="18"/>
    <x v="0"/>
    <x v="13"/>
    <x v="928"/>
    <x v="1187"/>
    <n v="5"/>
    <x v="1159"/>
  </r>
  <r>
    <d v="2015-10-10T00:00:00"/>
    <x v="311"/>
    <x v="3"/>
    <x v="0"/>
    <x v="0"/>
    <x v="929"/>
    <x v="190"/>
    <n v="7"/>
    <x v="193"/>
  </r>
  <r>
    <d v="2015-10-10T00:00:00"/>
    <x v="355"/>
    <x v="9"/>
    <x v="0"/>
    <x v="2"/>
    <x v="362"/>
    <x v="1188"/>
    <n v="6"/>
    <x v="1160"/>
  </r>
  <r>
    <d v="2015-10-10T00:00:00"/>
    <x v="290"/>
    <x v="1"/>
    <x v="0"/>
    <x v="4"/>
    <x v="588"/>
    <x v="936"/>
    <n v="3"/>
    <x v="385"/>
  </r>
  <r>
    <d v="2015-10-10T00:00:00"/>
    <x v="292"/>
    <x v="3"/>
    <x v="1"/>
    <x v="5"/>
    <x v="930"/>
    <x v="1189"/>
    <n v="3"/>
    <x v="1161"/>
  </r>
  <r>
    <d v="2015-10-10T00:00:00"/>
    <x v="292"/>
    <x v="3"/>
    <x v="0"/>
    <x v="1"/>
    <x v="899"/>
    <x v="1138"/>
    <n v="3"/>
    <x v="610"/>
  </r>
  <r>
    <d v="2015-11-10T00:00:00"/>
    <x v="458"/>
    <x v="9"/>
    <x v="1"/>
    <x v="10"/>
    <x v="931"/>
    <x v="1190"/>
    <n v="5"/>
    <x v="1162"/>
  </r>
  <r>
    <d v="2015-11-10T00:00:00"/>
    <x v="458"/>
    <x v="9"/>
    <x v="0"/>
    <x v="2"/>
    <x v="932"/>
    <x v="1191"/>
    <n v="2"/>
    <x v="1163"/>
  </r>
  <r>
    <d v="2015-11-10T00:00:00"/>
    <x v="257"/>
    <x v="12"/>
    <x v="2"/>
    <x v="9"/>
    <x v="933"/>
    <x v="1192"/>
    <n v="1"/>
    <x v="1164"/>
  </r>
  <r>
    <d v="2015-12-10T00:00:00"/>
    <x v="113"/>
    <x v="12"/>
    <x v="1"/>
    <x v="12"/>
    <x v="934"/>
    <x v="1193"/>
    <n v="4"/>
    <x v="1165"/>
  </r>
  <r>
    <d v="2015-12-10T00:00:00"/>
    <x v="113"/>
    <x v="12"/>
    <x v="2"/>
    <x v="6"/>
    <x v="510"/>
    <x v="1194"/>
    <n v="6"/>
    <x v="1166"/>
  </r>
  <r>
    <d v="2015-12-10T00:00:00"/>
    <x v="113"/>
    <x v="12"/>
    <x v="0"/>
    <x v="0"/>
    <x v="209"/>
    <x v="1195"/>
    <n v="8"/>
    <x v="1167"/>
  </r>
  <r>
    <d v="2015-12-10T00:00:00"/>
    <x v="113"/>
    <x v="12"/>
    <x v="1"/>
    <x v="12"/>
    <x v="578"/>
    <x v="68"/>
    <n v="3"/>
    <x v="1168"/>
  </r>
  <r>
    <d v="2015-12-10T00:00:00"/>
    <x v="113"/>
    <x v="12"/>
    <x v="0"/>
    <x v="4"/>
    <x v="935"/>
    <x v="390"/>
    <n v="5"/>
    <x v="1169"/>
  </r>
  <r>
    <d v="2015-12-10T00:00:00"/>
    <x v="459"/>
    <x v="12"/>
    <x v="1"/>
    <x v="10"/>
    <x v="336"/>
    <x v="1196"/>
    <n v="1"/>
    <x v="1170"/>
  </r>
  <r>
    <d v="2015-12-10T00:00:00"/>
    <x v="213"/>
    <x v="26"/>
    <x v="2"/>
    <x v="6"/>
    <x v="24"/>
    <x v="1197"/>
    <n v="3"/>
    <x v="1171"/>
  </r>
  <r>
    <d v="2015-12-10T00:00:00"/>
    <x v="213"/>
    <x v="26"/>
    <x v="0"/>
    <x v="3"/>
    <x v="785"/>
    <x v="1198"/>
    <n v="2"/>
    <x v="1172"/>
  </r>
  <r>
    <d v="2015-12-10T00:00:00"/>
    <x v="213"/>
    <x v="26"/>
    <x v="2"/>
    <x v="6"/>
    <x v="513"/>
    <x v="1199"/>
    <n v="4"/>
    <x v="1173"/>
  </r>
  <r>
    <d v="2015-12-10T00:00:00"/>
    <x v="44"/>
    <x v="10"/>
    <x v="2"/>
    <x v="9"/>
    <x v="461"/>
    <x v="446"/>
    <n v="2"/>
    <x v="61"/>
  </r>
  <r>
    <d v="2015-12-10T00:00:00"/>
    <x v="44"/>
    <x v="10"/>
    <x v="0"/>
    <x v="2"/>
    <x v="79"/>
    <x v="1200"/>
    <n v="2"/>
    <x v="52"/>
  </r>
  <r>
    <d v="2015-01-11T00:00:00"/>
    <x v="68"/>
    <x v="2"/>
    <x v="2"/>
    <x v="9"/>
    <x v="914"/>
    <x v="1201"/>
    <n v="2"/>
    <x v="1174"/>
  </r>
  <r>
    <d v="2015-01-11T00:00:00"/>
    <x v="68"/>
    <x v="2"/>
    <x v="0"/>
    <x v="7"/>
    <x v="936"/>
    <x v="1202"/>
    <n v="2"/>
    <x v="1175"/>
  </r>
  <r>
    <d v="2015-01-11T00:00:00"/>
    <x v="108"/>
    <x v="12"/>
    <x v="2"/>
    <x v="6"/>
    <x v="720"/>
    <x v="1203"/>
    <n v="1"/>
    <x v="1176"/>
  </r>
  <r>
    <d v="2015-01-11T00:00:00"/>
    <x v="160"/>
    <x v="12"/>
    <x v="0"/>
    <x v="0"/>
    <x v="937"/>
    <x v="1204"/>
    <n v="4"/>
    <x v="411"/>
  </r>
  <r>
    <d v="2015-01-11T00:00:00"/>
    <x v="160"/>
    <x v="12"/>
    <x v="1"/>
    <x v="8"/>
    <x v="19"/>
    <x v="1205"/>
    <n v="5"/>
    <x v="1177"/>
  </r>
  <r>
    <d v="2015-01-11T00:00:00"/>
    <x v="160"/>
    <x v="12"/>
    <x v="2"/>
    <x v="6"/>
    <x v="829"/>
    <x v="1206"/>
    <n v="1"/>
    <x v="1178"/>
  </r>
  <r>
    <d v="2015-01-11T00:00:00"/>
    <x v="160"/>
    <x v="12"/>
    <x v="2"/>
    <x v="9"/>
    <x v="938"/>
    <x v="1207"/>
    <n v="7"/>
    <x v="1179"/>
  </r>
  <r>
    <d v="2015-01-11T00:00:00"/>
    <x v="160"/>
    <x v="12"/>
    <x v="2"/>
    <x v="6"/>
    <x v="199"/>
    <x v="1159"/>
    <n v="4"/>
    <x v="1180"/>
  </r>
  <r>
    <d v="2015-01-11T00:00:00"/>
    <x v="22"/>
    <x v="35"/>
    <x v="0"/>
    <x v="4"/>
    <x v="939"/>
    <x v="1208"/>
    <n v="1"/>
    <x v="1181"/>
  </r>
  <r>
    <d v="2015-01-11T00:00:00"/>
    <x v="265"/>
    <x v="29"/>
    <x v="1"/>
    <x v="10"/>
    <x v="940"/>
    <x v="987"/>
    <n v="2"/>
    <x v="704"/>
  </r>
  <r>
    <d v="2015-01-11T00:00:00"/>
    <x v="460"/>
    <x v="12"/>
    <x v="1"/>
    <x v="5"/>
    <x v="922"/>
    <x v="1209"/>
    <n v="4"/>
    <x v="82"/>
  </r>
  <r>
    <d v="2015-01-11T00:00:00"/>
    <x v="455"/>
    <x v="12"/>
    <x v="1"/>
    <x v="5"/>
    <x v="941"/>
    <x v="1210"/>
    <n v="2"/>
    <x v="1182"/>
  </r>
  <r>
    <d v="2015-02-11T00:00:00"/>
    <x v="461"/>
    <x v="3"/>
    <x v="1"/>
    <x v="10"/>
    <x v="942"/>
    <x v="1211"/>
    <n v="5"/>
    <x v="1183"/>
  </r>
  <r>
    <d v="2015-02-11T00:00:00"/>
    <x v="462"/>
    <x v="10"/>
    <x v="2"/>
    <x v="9"/>
    <x v="943"/>
    <x v="1212"/>
    <n v="9"/>
    <x v="1184"/>
  </r>
  <r>
    <d v="2015-02-11T00:00:00"/>
    <x v="463"/>
    <x v="12"/>
    <x v="1"/>
    <x v="5"/>
    <x v="944"/>
    <x v="1213"/>
    <n v="2"/>
    <x v="1185"/>
  </r>
  <r>
    <d v="2015-02-11T00:00:00"/>
    <x v="107"/>
    <x v="3"/>
    <x v="1"/>
    <x v="8"/>
    <x v="945"/>
    <x v="1214"/>
    <n v="6"/>
    <x v="1186"/>
  </r>
  <r>
    <d v="2015-02-11T00:00:00"/>
    <x v="107"/>
    <x v="3"/>
    <x v="0"/>
    <x v="3"/>
    <x v="946"/>
    <x v="1215"/>
    <n v="7"/>
    <x v="1187"/>
  </r>
  <r>
    <d v="2015-02-11T00:00:00"/>
    <x v="107"/>
    <x v="3"/>
    <x v="0"/>
    <x v="3"/>
    <x v="259"/>
    <x v="969"/>
    <n v="3"/>
    <x v="1188"/>
  </r>
  <r>
    <d v="2015-02-11T00:00:00"/>
    <x v="107"/>
    <x v="3"/>
    <x v="1"/>
    <x v="12"/>
    <x v="947"/>
    <x v="1216"/>
    <n v="3"/>
    <x v="1189"/>
  </r>
  <r>
    <d v="2015-02-11T00:00:00"/>
    <x v="175"/>
    <x v="12"/>
    <x v="1"/>
    <x v="5"/>
    <x v="948"/>
    <x v="1217"/>
    <n v="11"/>
    <x v="1190"/>
  </r>
  <r>
    <d v="2015-02-11T00:00:00"/>
    <x v="464"/>
    <x v="0"/>
    <x v="0"/>
    <x v="3"/>
    <x v="946"/>
    <x v="1218"/>
    <n v="7"/>
    <x v="1191"/>
  </r>
  <r>
    <d v="2015-02-11T00:00:00"/>
    <x v="464"/>
    <x v="0"/>
    <x v="2"/>
    <x v="6"/>
    <x v="949"/>
    <x v="1219"/>
    <n v="2"/>
    <x v="1192"/>
  </r>
  <r>
    <d v="2015-02-11T00:00:00"/>
    <x v="465"/>
    <x v="6"/>
    <x v="0"/>
    <x v="13"/>
    <x v="950"/>
    <x v="1220"/>
    <n v="4"/>
    <x v="1193"/>
  </r>
  <r>
    <d v="2015-03-11T00:00:00"/>
    <x v="466"/>
    <x v="3"/>
    <x v="2"/>
    <x v="6"/>
    <x v="951"/>
    <x v="1221"/>
    <n v="7"/>
    <x v="1194"/>
  </r>
  <r>
    <d v="2015-03-11T00:00:00"/>
    <x v="466"/>
    <x v="3"/>
    <x v="2"/>
    <x v="9"/>
    <x v="952"/>
    <x v="571"/>
    <n v="3"/>
    <x v="1195"/>
  </r>
  <r>
    <d v="2015-03-11T00:00:00"/>
    <x v="466"/>
    <x v="3"/>
    <x v="1"/>
    <x v="8"/>
    <x v="669"/>
    <x v="1222"/>
    <n v="3"/>
    <x v="1196"/>
  </r>
  <r>
    <d v="2015-03-11T00:00:00"/>
    <x v="19"/>
    <x v="0"/>
    <x v="0"/>
    <x v="11"/>
    <x v="953"/>
    <x v="1040"/>
    <n v="2"/>
    <x v="997"/>
  </r>
  <r>
    <d v="2015-03-11T00:00:00"/>
    <x v="467"/>
    <x v="12"/>
    <x v="1"/>
    <x v="5"/>
    <x v="954"/>
    <x v="1223"/>
    <n v="10"/>
    <x v="1197"/>
  </r>
  <r>
    <d v="2015-05-11T00:00:00"/>
    <x v="443"/>
    <x v="15"/>
    <x v="1"/>
    <x v="5"/>
    <x v="50"/>
    <x v="1224"/>
    <n v="3"/>
    <x v="1198"/>
  </r>
  <r>
    <d v="2015-05-11T00:00:00"/>
    <x v="160"/>
    <x v="9"/>
    <x v="0"/>
    <x v="13"/>
    <x v="955"/>
    <x v="1225"/>
    <n v="4"/>
    <x v="1199"/>
  </r>
  <r>
    <d v="2015-05-11T00:00:00"/>
    <x v="116"/>
    <x v="12"/>
    <x v="0"/>
    <x v="3"/>
    <x v="956"/>
    <x v="1007"/>
    <n v="6"/>
    <x v="1200"/>
  </r>
  <r>
    <d v="2015-05-11T00:00:00"/>
    <x v="295"/>
    <x v="1"/>
    <x v="0"/>
    <x v="1"/>
    <x v="957"/>
    <x v="1226"/>
    <n v="6"/>
    <x v="840"/>
  </r>
  <r>
    <d v="2015-05-11T00:00:00"/>
    <x v="188"/>
    <x v="3"/>
    <x v="0"/>
    <x v="2"/>
    <x v="958"/>
    <x v="1227"/>
    <n v="4"/>
    <x v="1201"/>
  </r>
  <r>
    <d v="2015-05-11T00:00:00"/>
    <x v="180"/>
    <x v="10"/>
    <x v="0"/>
    <x v="3"/>
    <x v="135"/>
    <x v="1009"/>
    <n v="3"/>
    <x v="1202"/>
  </r>
  <r>
    <d v="2015-05-11T00:00:00"/>
    <x v="468"/>
    <x v="16"/>
    <x v="0"/>
    <x v="3"/>
    <x v="729"/>
    <x v="1228"/>
    <n v="3"/>
    <x v="1203"/>
  </r>
  <r>
    <d v="2015-05-11T00:00:00"/>
    <x v="468"/>
    <x v="16"/>
    <x v="0"/>
    <x v="14"/>
    <x v="959"/>
    <x v="1229"/>
    <n v="4"/>
    <x v="1204"/>
  </r>
  <r>
    <d v="2015-06-11T00:00:00"/>
    <x v="469"/>
    <x v="23"/>
    <x v="0"/>
    <x v="11"/>
    <x v="960"/>
    <x v="1230"/>
    <n v="3"/>
    <x v="1205"/>
  </r>
  <r>
    <d v="2015-06-11T00:00:00"/>
    <x v="469"/>
    <x v="23"/>
    <x v="0"/>
    <x v="3"/>
    <x v="677"/>
    <x v="1231"/>
    <n v="3"/>
    <x v="1206"/>
  </r>
  <r>
    <d v="2015-07-11T00:00:00"/>
    <x v="470"/>
    <x v="3"/>
    <x v="1"/>
    <x v="5"/>
    <x v="961"/>
    <x v="1232"/>
    <n v="1"/>
    <x v="1207"/>
  </r>
  <r>
    <d v="2015-07-11T00:00:00"/>
    <x v="471"/>
    <x v="7"/>
    <x v="0"/>
    <x v="7"/>
    <x v="962"/>
    <x v="1233"/>
    <n v="7"/>
    <x v="1208"/>
  </r>
  <r>
    <d v="2015-07-11T00:00:00"/>
    <x v="471"/>
    <x v="7"/>
    <x v="0"/>
    <x v="0"/>
    <x v="963"/>
    <x v="651"/>
    <n v="2"/>
    <x v="1209"/>
  </r>
  <r>
    <d v="2015-07-11T00:00:00"/>
    <x v="470"/>
    <x v="2"/>
    <x v="0"/>
    <x v="11"/>
    <x v="964"/>
    <x v="1234"/>
    <n v="2"/>
    <x v="1210"/>
  </r>
  <r>
    <d v="2015-07-11T00:00:00"/>
    <x v="78"/>
    <x v="41"/>
    <x v="1"/>
    <x v="5"/>
    <x v="961"/>
    <x v="1235"/>
    <n v="3"/>
    <x v="1211"/>
  </r>
  <r>
    <d v="2015-07-11T00:00:00"/>
    <x v="472"/>
    <x v="9"/>
    <x v="0"/>
    <x v="3"/>
    <x v="965"/>
    <x v="1236"/>
    <n v="9"/>
    <x v="1212"/>
  </r>
  <r>
    <d v="2015-07-11T00:00:00"/>
    <x v="472"/>
    <x v="9"/>
    <x v="0"/>
    <x v="3"/>
    <x v="382"/>
    <x v="1237"/>
    <n v="5"/>
    <x v="1213"/>
  </r>
  <r>
    <d v="2015-07-11T00:00:00"/>
    <x v="473"/>
    <x v="0"/>
    <x v="0"/>
    <x v="0"/>
    <x v="849"/>
    <x v="1238"/>
    <n v="2"/>
    <x v="1214"/>
  </r>
  <r>
    <d v="2015-07-11T00:00:00"/>
    <x v="474"/>
    <x v="0"/>
    <x v="0"/>
    <x v="4"/>
    <x v="939"/>
    <x v="1239"/>
    <n v="3"/>
    <x v="1215"/>
  </r>
  <r>
    <d v="2015-07-11T00:00:00"/>
    <x v="474"/>
    <x v="0"/>
    <x v="0"/>
    <x v="2"/>
    <x v="904"/>
    <x v="1240"/>
    <n v="2"/>
    <x v="1216"/>
  </r>
  <r>
    <d v="2015-07-11T00:00:00"/>
    <x v="474"/>
    <x v="0"/>
    <x v="1"/>
    <x v="8"/>
    <x v="966"/>
    <x v="35"/>
    <n v="5"/>
    <x v="1217"/>
  </r>
  <r>
    <d v="2015-07-11T00:00:00"/>
    <x v="474"/>
    <x v="0"/>
    <x v="0"/>
    <x v="3"/>
    <x v="401"/>
    <x v="418"/>
    <n v="10"/>
    <x v="1218"/>
  </r>
  <r>
    <d v="2015-07-11T00:00:00"/>
    <x v="474"/>
    <x v="0"/>
    <x v="0"/>
    <x v="2"/>
    <x v="967"/>
    <x v="1241"/>
    <n v="2"/>
    <x v="1219"/>
  </r>
  <r>
    <d v="2015-07-11T00:00:00"/>
    <x v="474"/>
    <x v="0"/>
    <x v="2"/>
    <x v="16"/>
    <x v="968"/>
    <x v="1242"/>
    <n v="3"/>
    <x v="1220"/>
  </r>
  <r>
    <d v="2015-08-11T00:00:00"/>
    <x v="475"/>
    <x v="20"/>
    <x v="0"/>
    <x v="4"/>
    <x v="969"/>
    <x v="1243"/>
    <n v="5"/>
    <x v="560"/>
  </r>
  <r>
    <d v="2015-08-11T00:00:00"/>
    <x v="476"/>
    <x v="3"/>
    <x v="0"/>
    <x v="7"/>
    <x v="419"/>
    <x v="1244"/>
    <n v="1"/>
    <x v="1221"/>
  </r>
  <r>
    <d v="2015-08-11T00:00:00"/>
    <x v="476"/>
    <x v="3"/>
    <x v="2"/>
    <x v="9"/>
    <x v="869"/>
    <x v="1245"/>
    <n v="3"/>
    <x v="1222"/>
  </r>
  <r>
    <d v="2015-08-11T00:00:00"/>
    <x v="23"/>
    <x v="30"/>
    <x v="0"/>
    <x v="7"/>
    <x v="970"/>
    <x v="837"/>
    <n v="3"/>
    <x v="1223"/>
  </r>
  <r>
    <d v="2015-08-11T00:00:00"/>
    <x v="23"/>
    <x v="30"/>
    <x v="0"/>
    <x v="0"/>
    <x v="971"/>
    <x v="1246"/>
    <n v="3"/>
    <x v="1224"/>
  </r>
  <r>
    <d v="2015-08-11T00:00:00"/>
    <x v="23"/>
    <x v="30"/>
    <x v="1"/>
    <x v="8"/>
    <x v="972"/>
    <x v="1247"/>
    <n v="3"/>
    <x v="1225"/>
  </r>
  <r>
    <d v="2015-08-11T00:00:00"/>
    <x v="23"/>
    <x v="30"/>
    <x v="0"/>
    <x v="3"/>
    <x v="858"/>
    <x v="1248"/>
    <n v="5"/>
    <x v="1226"/>
  </r>
  <r>
    <d v="2015-08-11T00:00:00"/>
    <x v="477"/>
    <x v="12"/>
    <x v="0"/>
    <x v="3"/>
    <x v="176"/>
    <x v="1249"/>
    <n v="11"/>
    <x v="1227"/>
  </r>
  <r>
    <d v="2015-08-11T00:00:00"/>
    <x v="477"/>
    <x v="12"/>
    <x v="0"/>
    <x v="0"/>
    <x v="356"/>
    <x v="77"/>
    <n v="3"/>
    <x v="394"/>
  </r>
  <r>
    <d v="2015-08-11T00:00:00"/>
    <x v="478"/>
    <x v="0"/>
    <x v="0"/>
    <x v="3"/>
    <x v="38"/>
    <x v="1250"/>
    <n v="6"/>
    <x v="1228"/>
  </r>
  <r>
    <d v="2015-08-11T00:00:00"/>
    <x v="437"/>
    <x v="3"/>
    <x v="2"/>
    <x v="9"/>
    <x v="973"/>
    <x v="1251"/>
    <n v="2"/>
    <x v="1229"/>
  </r>
  <r>
    <d v="2015-08-11T00:00:00"/>
    <x v="395"/>
    <x v="6"/>
    <x v="0"/>
    <x v="13"/>
    <x v="743"/>
    <x v="1252"/>
    <n v="3"/>
    <x v="1111"/>
  </r>
  <r>
    <d v="2015-08-11T00:00:00"/>
    <x v="395"/>
    <x v="6"/>
    <x v="2"/>
    <x v="6"/>
    <x v="24"/>
    <x v="1253"/>
    <n v="5"/>
    <x v="1230"/>
  </r>
  <r>
    <d v="2015-08-11T00:00:00"/>
    <x v="395"/>
    <x v="6"/>
    <x v="1"/>
    <x v="8"/>
    <x v="697"/>
    <x v="1254"/>
    <n v="3"/>
    <x v="1231"/>
  </r>
  <r>
    <d v="2015-08-11T00:00:00"/>
    <x v="395"/>
    <x v="6"/>
    <x v="0"/>
    <x v="4"/>
    <x v="424"/>
    <x v="1132"/>
    <n v="7"/>
    <x v="1103"/>
  </r>
  <r>
    <d v="2015-08-11T00:00:00"/>
    <x v="395"/>
    <x v="6"/>
    <x v="0"/>
    <x v="4"/>
    <x v="974"/>
    <x v="1255"/>
    <n v="5"/>
    <x v="1232"/>
  </r>
  <r>
    <d v="2015-08-11T00:00:00"/>
    <x v="49"/>
    <x v="42"/>
    <x v="2"/>
    <x v="6"/>
    <x v="286"/>
    <x v="1199"/>
    <n v="4"/>
    <x v="1233"/>
  </r>
  <r>
    <d v="2015-08-11T00:00:00"/>
    <x v="479"/>
    <x v="12"/>
    <x v="0"/>
    <x v="2"/>
    <x v="975"/>
    <x v="1256"/>
    <n v="5"/>
    <x v="587"/>
  </r>
  <r>
    <d v="2015-08-11T00:00:00"/>
    <x v="479"/>
    <x v="12"/>
    <x v="2"/>
    <x v="6"/>
    <x v="797"/>
    <x v="1257"/>
    <n v="2"/>
    <x v="1234"/>
  </r>
  <r>
    <d v="2015-08-11T00:00:00"/>
    <x v="479"/>
    <x v="12"/>
    <x v="1"/>
    <x v="8"/>
    <x v="976"/>
    <x v="1258"/>
    <n v="3"/>
    <x v="1235"/>
  </r>
  <r>
    <d v="2015-08-11T00:00:00"/>
    <x v="479"/>
    <x v="12"/>
    <x v="2"/>
    <x v="16"/>
    <x v="977"/>
    <x v="1259"/>
    <n v="4"/>
    <x v="1236"/>
  </r>
  <r>
    <d v="2015-08-11T00:00:00"/>
    <x v="479"/>
    <x v="12"/>
    <x v="1"/>
    <x v="5"/>
    <x v="598"/>
    <x v="1260"/>
    <n v="2"/>
    <x v="1237"/>
  </r>
  <r>
    <d v="2015-08-11T00:00:00"/>
    <x v="349"/>
    <x v="15"/>
    <x v="0"/>
    <x v="7"/>
    <x v="978"/>
    <x v="1261"/>
    <n v="11"/>
    <x v="1238"/>
  </r>
  <r>
    <d v="2015-08-11T00:00:00"/>
    <x v="349"/>
    <x v="15"/>
    <x v="0"/>
    <x v="1"/>
    <x v="979"/>
    <x v="837"/>
    <n v="1"/>
    <x v="343"/>
  </r>
  <r>
    <d v="2015-08-11T00:00:00"/>
    <x v="349"/>
    <x v="15"/>
    <x v="0"/>
    <x v="3"/>
    <x v="638"/>
    <x v="618"/>
    <n v="7"/>
    <x v="1239"/>
  </r>
  <r>
    <d v="2015-08-11T00:00:00"/>
    <x v="349"/>
    <x v="15"/>
    <x v="1"/>
    <x v="8"/>
    <x v="85"/>
    <x v="476"/>
    <n v="1"/>
    <x v="292"/>
  </r>
  <r>
    <d v="2015-08-11T00:00:00"/>
    <x v="108"/>
    <x v="41"/>
    <x v="1"/>
    <x v="12"/>
    <x v="980"/>
    <x v="1262"/>
    <n v="5"/>
    <x v="1240"/>
  </r>
  <r>
    <d v="2015-09-11T00:00:00"/>
    <x v="480"/>
    <x v="2"/>
    <x v="0"/>
    <x v="0"/>
    <x v="981"/>
    <x v="1263"/>
    <n v="3"/>
    <x v="1000"/>
  </r>
  <r>
    <d v="2015-09-11T00:00:00"/>
    <x v="481"/>
    <x v="14"/>
    <x v="0"/>
    <x v="3"/>
    <x v="982"/>
    <x v="1264"/>
    <n v="3"/>
    <x v="627"/>
  </r>
  <r>
    <d v="2015-09-11T00:00:00"/>
    <x v="481"/>
    <x v="14"/>
    <x v="1"/>
    <x v="10"/>
    <x v="983"/>
    <x v="1265"/>
    <n v="7"/>
    <x v="1241"/>
  </r>
  <r>
    <d v="2015-09-11T00:00:00"/>
    <x v="481"/>
    <x v="14"/>
    <x v="0"/>
    <x v="11"/>
    <x v="233"/>
    <x v="1266"/>
    <n v="3"/>
    <x v="1242"/>
  </r>
  <r>
    <d v="2015-09-11T00:00:00"/>
    <x v="481"/>
    <x v="14"/>
    <x v="0"/>
    <x v="0"/>
    <x v="984"/>
    <x v="1267"/>
    <n v="3"/>
    <x v="437"/>
  </r>
  <r>
    <d v="2015-09-11T00:00:00"/>
    <x v="242"/>
    <x v="12"/>
    <x v="2"/>
    <x v="16"/>
    <x v="977"/>
    <x v="1268"/>
    <n v="2"/>
    <x v="1243"/>
  </r>
  <r>
    <d v="2015-09-11T00:00:00"/>
    <x v="242"/>
    <x v="12"/>
    <x v="0"/>
    <x v="2"/>
    <x v="281"/>
    <x v="77"/>
    <n v="3"/>
    <x v="850"/>
  </r>
  <r>
    <d v="2015-09-11T00:00:00"/>
    <x v="482"/>
    <x v="12"/>
    <x v="0"/>
    <x v="2"/>
    <x v="679"/>
    <x v="1269"/>
    <n v="5"/>
    <x v="489"/>
  </r>
  <r>
    <d v="2015-09-11T00:00:00"/>
    <x v="482"/>
    <x v="12"/>
    <x v="0"/>
    <x v="11"/>
    <x v="985"/>
    <x v="1270"/>
    <n v="6"/>
    <x v="1244"/>
  </r>
  <r>
    <d v="2015-09-11T00:00:00"/>
    <x v="482"/>
    <x v="12"/>
    <x v="2"/>
    <x v="9"/>
    <x v="986"/>
    <x v="239"/>
    <n v="2"/>
    <x v="853"/>
  </r>
  <r>
    <d v="2015-09-11T00:00:00"/>
    <x v="482"/>
    <x v="12"/>
    <x v="2"/>
    <x v="9"/>
    <x v="987"/>
    <x v="1271"/>
    <n v="5"/>
    <x v="1245"/>
  </r>
  <r>
    <d v="2015-09-11T00:00:00"/>
    <x v="483"/>
    <x v="3"/>
    <x v="0"/>
    <x v="7"/>
    <x v="905"/>
    <x v="1272"/>
    <n v="2"/>
    <x v="16"/>
  </r>
  <r>
    <d v="2015-09-11T00:00:00"/>
    <x v="387"/>
    <x v="26"/>
    <x v="0"/>
    <x v="3"/>
    <x v="761"/>
    <x v="1273"/>
    <n v="3"/>
    <x v="1246"/>
  </r>
  <r>
    <d v="2015-10-11T00:00:00"/>
    <x v="484"/>
    <x v="3"/>
    <x v="2"/>
    <x v="9"/>
    <x v="699"/>
    <x v="1274"/>
    <n v="2"/>
    <x v="1247"/>
  </r>
  <r>
    <d v="2015-10-11T00:00:00"/>
    <x v="485"/>
    <x v="26"/>
    <x v="0"/>
    <x v="2"/>
    <x v="988"/>
    <x v="1275"/>
    <n v="5"/>
    <x v="1248"/>
  </r>
  <r>
    <d v="2015-10-11T00:00:00"/>
    <x v="422"/>
    <x v="28"/>
    <x v="0"/>
    <x v="13"/>
    <x v="717"/>
    <x v="1276"/>
    <n v="2"/>
    <x v="1249"/>
  </r>
  <r>
    <d v="2015-10-11T00:00:00"/>
    <x v="422"/>
    <x v="28"/>
    <x v="0"/>
    <x v="2"/>
    <x v="83"/>
    <x v="1277"/>
    <n v="3"/>
    <x v="1250"/>
  </r>
  <r>
    <d v="2015-10-11T00:00:00"/>
    <x v="422"/>
    <x v="28"/>
    <x v="2"/>
    <x v="15"/>
    <x v="346"/>
    <x v="359"/>
    <n v="1"/>
    <x v="360"/>
  </r>
  <r>
    <d v="2015-10-11T00:00:00"/>
    <x v="422"/>
    <x v="28"/>
    <x v="0"/>
    <x v="3"/>
    <x v="216"/>
    <x v="1278"/>
    <n v="3"/>
    <x v="1251"/>
  </r>
  <r>
    <d v="2015-10-11T00:00:00"/>
    <x v="422"/>
    <x v="28"/>
    <x v="1"/>
    <x v="8"/>
    <x v="750"/>
    <x v="1279"/>
    <n v="3"/>
    <x v="439"/>
  </r>
  <r>
    <d v="2015-10-11T00:00:00"/>
    <x v="34"/>
    <x v="2"/>
    <x v="0"/>
    <x v="2"/>
    <x v="803"/>
    <x v="1280"/>
    <n v="6"/>
    <x v="1252"/>
  </r>
  <r>
    <d v="2015-11-11T00:00:00"/>
    <x v="321"/>
    <x v="18"/>
    <x v="0"/>
    <x v="2"/>
    <x v="989"/>
    <x v="1281"/>
    <n v="7"/>
    <x v="1253"/>
  </r>
  <r>
    <d v="2015-11-11T00:00:00"/>
    <x v="321"/>
    <x v="18"/>
    <x v="0"/>
    <x v="13"/>
    <x v="864"/>
    <x v="1282"/>
    <n v="2"/>
    <x v="1254"/>
  </r>
  <r>
    <d v="2015-12-11T00:00:00"/>
    <x v="486"/>
    <x v="3"/>
    <x v="0"/>
    <x v="0"/>
    <x v="172"/>
    <x v="539"/>
    <n v="5"/>
    <x v="1255"/>
  </r>
  <r>
    <d v="2015-12-11T00:00:00"/>
    <x v="50"/>
    <x v="9"/>
    <x v="0"/>
    <x v="4"/>
    <x v="657"/>
    <x v="927"/>
    <n v="5"/>
    <x v="1256"/>
  </r>
  <r>
    <d v="2015-12-11T00:00:00"/>
    <x v="50"/>
    <x v="9"/>
    <x v="0"/>
    <x v="3"/>
    <x v="38"/>
    <x v="1283"/>
    <n v="2"/>
    <x v="1257"/>
  </r>
  <r>
    <d v="2015-12-11T00:00:00"/>
    <x v="50"/>
    <x v="9"/>
    <x v="0"/>
    <x v="3"/>
    <x v="780"/>
    <x v="1284"/>
    <n v="3"/>
    <x v="1258"/>
  </r>
  <r>
    <d v="2015-12-11T00:00:00"/>
    <x v="50"/>
    <x v="9"/>
    <x v="1"/>
    <x v="5"/>
    <x v="471"/>
    <x v="1285"/>
    <n v="5"/>
    <x v="1259"/>
  </r>
  <r>
    <d v="2015-12-11T00:00:00"/>
    <x v="50"/>
    <x v="9"/>
    <x v="2"/>
    <x v="6"/>
    <x v="754"/>
    <x v="200"/>
    <n v="1"/>
    <x v="1260"/>
  </r>
  <r>
    <d v="2015-12-11T00:00:00"/>
    <x v="50"/>
    <x v="9"/>
    <x v="1"/>
    <x v="5"/>
    <x v="74"/>
    <x v="1286"/>
    <n v="3"/>
    <x v="1261"/>
  </r>
  <r>
    <d v="2015-12-11T00:00:00"/>
    <x v="419"/>
    <x v="0"/>
    <x v="0"/>
    <x v="2"/>
    <x v="76"/>
    <x v="403"/>
    <n v="1"/>
    <x v="405"/>
  </r>
  <r>
    <d v="2015-12-11T00:00:00"/>
    <x v="419"/>
    <x v="0"/>
    <x v="0"/>
    <x v="0"/>
    <x v="114"/>
    <x v="70"/>
    <n v="3"/>
    <x v="944"/>
  </r>
  <r>
    <d v="2015-12-11T00:00:00"/>
    <x v="419"/>
    <x v="0"/>
    <x v="0"/>
    <x v="11"/>
    <x v="990"/>
    <x v="1287"/>
    <n v="7"/>
    <x v="1262"/>
  </r>
  <r>
    <d v="2015-12-11T00:00:00"/>
    <x v="487"/>
    <x v="12"/>
    <x v="0"/>
    <x v="11"/>
    <x v="55"/>
    <x v="231"/>
    <n v="2"/>
    <x v="1263"/>
  </r>
  <r>
    <d v="2015-01-12T00:00:00"/>
    <x v="212"/>
    <x v="10"/>
    <x v="0"/>
    <x v="3"/>
    <x v="214"/>
    <x v="1288"/>
    <n v="2"/>
    <x v="1264"/>
  </r>
  <r>
    <d v="2015-01-12T00:00:00"/>
    <x v="440"/>
    <x v="0"/>
    <x v="1"/>
    <x v="8"/>
    <x v="646"/>
    <x v="1289"/>
    <n v="4"/>
    <x v="1265"/>
  </r>
  <r>
    <d v="2015-01-12T00:00:00"/>
    <x v="434"/>
    <x v="10"/>
    <x v="0"/>
    <x v="4"/>
    <x v="284"/>
    <x v="1290"/>
    <n v="5"/>
    <x v="1266"/>
  </r>
  <r>
    <d v="2015-01-12T00:00:00"/>
    <x v="479"/>
    <x v="6"/>
    <x v="0"/>
    <x v="2"/>
    <x v="552"/>
    <x v="1291"/>
    <n v="4"/>
    <x v="1267"/>
  </r>
  <r>
    <d v="2015-01-12T00:00:00"/>
    <x v="479"/>
    <x v="6"/>
    <x v="0"/>
    <x v="3"/>
    <x v="991"/>
    <x v="1292"/>
    <n v="4"/>
    <x v="1268"/>
  </r>
  <r>
    <d v="2015-01-12T00:00:00"/>
    <x v="433"/>
    <x v="10"/>
    <x v="1"/>
    <x v="5"/>
    <x v="992"/>
    <x v="1293"/>
    <n v="5"/>
    <x v="1269"/>
  </r>
  <r>
    <d v="2015-01-12T00:00:00"/>
    <x v="433"/>
    <x v="10"/>
    <x v="0"/>
    <x v="0"/>
    <x v="993"/>
    <x v="159"/>
    <n v="5"/>
    <x v="161"/>
  </r>
  <r>
    <d v="2015-01-12T00:00:00"/>
    <x v="433"/>
    <x v="10"/>
    <x v="1"/>
    <x v="10"/>
    <x v="994"/>
    <x v="1294"/>
    <n v="9"/>
    <x v="1270"/>
  </r>
  <r>
    <d v="2015-01-12T00:00:00"/>
    <x v="433"/>
    <x v="10"/>
    <x v="0"/>
    <x v="2"/>
    <x v="679"/>
    <x v="783"/>
    <n v="3"/>
    <x v="702"/>
  </r>
  <r>
    <d v="2015-01-12T00:00:00"/>
    <x v="433"/>
    <x v="10"/>
    <x v="0"/>
    <x v="0"/>
    <x v="641"/>
    <x v="1295"/>
    <n v="5"/>
    <x v="1271"/>
  </r>
  <r>
    <d v="2015-01-12T00:00:00"/>
    <x v="488"/>
    <x v="3"/>
    <x v="1"/>
    <x v="5"/>
    <x v="442"/>
    <x v="1296"/>
    <n v="9"/>
    <x v="1272"/>
  </r>
  <r>
    <d v="2015-01-12T00:00:00"/>
    <x v="172"/>
    <x v="18"/>
    <x v="0"/>
    <x v="0"/>
    <x v="995"/>
    <x v="5"/>
    <n v="3"/>
    <x v="5"/>
  </r>
  <r>
    <d v="2015-01-12T00:00:00"/>
    <x v="172"/>
    <x v="18"/>
    <x v="0"/>
    <x v="4"/>
    <x v="996"/>
    <x v="1297"/>
    <n v="2"/>
    <x v="1273"/>
  </r>
  <r>
    <d v="2015-01-12T00:00:00"/>
    <x v="172"/>
    <x v="18"/>
    <x v="0"/>
    <x v="0"/>
    <x v="582"/>
    <x v="1298"/>
    <n v="2"/>
    <x v="1274"/>
  </r>
  <r>
    <d v="2015-03-12T00:00:00"/>
    <x v="489"/>
    <x v="2"/>
    <x v="2"/>
    <x v="16"/>
    <x v="997"/>
    <x v="1299"/>
    <n v="4"/>
    <x v="1275"/>
  </r>
  <r>
    <d v="2015-03-12T00:00:00"/>
    <x v="489"/>
    <x v="2"/>
    <x v="1"/>
    <x v="8"/>
    <x v="212"/>
    <x v="1300"/>
    <n v="1"/>
    <x v="1276"/>
  </r>
  <r>
    <d v="2015-03-12T00:00:00"/>
    <x v="113"/>
    <x v="12"/>
    <x v="0"/>
    <x v="3"/>
    <x v="998"/>
    <x v="1301"/>
    <n v="4"/>
    <x v="569"/>
  </r>
  <r>
    <d v="2015-03-12T00:00:00"/>
    <x v="374"/>
    <x v="2"/>
    <x v="0"/>
    <x v="0"/>
    <x v="0"/>
    <x v="0"/>
    <n v="2"/>
    <x v="0"/>
  </r>
  <r>
    <d v="2015-03-12T00:00:00"/>
    <x v="374"/>
    <x v="2"/>
    <x v="2"/>
    <x v="9"/>
    <x v="999"/>
    <x v="915"/>
    <n v="2"/>
    <x v="1277"/>
  </r>
  <r>
    <d v="2015-03-12T00:00:00"/>
    <x v="490"/>
    <x v="12"/>
    <x v="0"/>
    <x v="3"/>
    <x v="1000"/>
    <x v="1302"/>
    <n v="6"/>
    <x v="1278"/>
  </r>
  <r>
    <d v="2015-03-12T00:00:00"/>
    <x v="491"/>
    <x v="3"/>
    <x v="1"/>
    <x v="12"/>
    <x v="1001"/>
    <x v="1303"/>
    <n v="3"/>
    <x v="1279"/>
  </r>
  <r>
    <d v="2015-03-12T00:00:00"/>
    <x v="236"/>
    <x v="15"/>
    <x v="1"/>
    <x v="8"/>
    <x v="476"/>
    <x v="1304"/>
    <n v="3"/>
    <x v="1280"/>
  </r>
  <r>
    <d v="2015-03-12T00:00:00"/>
    <x v="236"/>
    <x v="15"/>
    <x v="0"/>
    <x v="3"/>
    <x v="844"/>
    <x v="665"/>
    <n v="5"/>
    <x v="1281"/>
  </r>
  <r>
    <d v="2015-03-12T00:00:00"/>
    <x v="236"/>
    <x v="15"/>
    <x v="2"/>
    <x v="6"/>
    <x v="1002"/>
    <x v="153"/>
    <n v="2"/>
    <x v="155"/>
  </r>
  <r>
    <d v="2015-03-12T00:00:00"/>
    <x v="236"/>
    <x v="15"/>
    <x v="0"/>
    <x v="4"/>
    <x v="16"/>
    <x v="16"/>
    <n v="2"/>
    <x v="16"/>
  </r>
  <r>
    <d v="2015-03-12T00:00:00"/>
    <x v="91"/>
    <x v="43"/>
    <x v="0"/>
    <x v="0"/>
    <x v="1003"/>
    <x v="1305"/>
    <n v="7"/>
    <x v="1282"/>
  </r>
  <r>
    <d v="2015-04-12T00:00:00"/>
    <x v="492"/>
    <x v="9"/>
    <x v="0"/>
    <x v="3"/>
    <x v="1004"/>
    <x v="1306"/>
    <n v="3"/>
    <x v="1283"/>
  </r>
  <r>
    <d v="2015-04-12T00:00:00"/>
    <x v="458"/>
    <x v="12"/>
    <x v="1"/>
    <x v="8"/>
    <x v="1005"/>
    <x v="1307"/>
    <n v="3"/>
    <x v="1284"/>
  </r>
  <r>
    <d v="2015-04-12T00:00:00"/>
    <x v="458"/>
    <x v="12"/>
    <x v="1"/>
    <x v="5"/>
    <x v="865"/>
    <x v="1308"/>
    <n v="5"/>
    <x v="1285"/>
  </r>
  <r>
    <d v="2015-04-12T00:00:00"/>
    <x v="458"/>
    <x v="12"/>
    <x v="2"/>
    <x v="6"/>
    <x v="249"/>
    <x v="195"/>
    <n v="4"/>
    <x v="1286"/>
  </r>
  <r>
    <d v="2015-04-12T00:00:00"/>
    <x v="458"/>
    <x v="12"/>
    <x v="1"/>
    <x v="5"/>
    <x v="745"/>
    <x v="1309"/>
    <n v="2"/>
    <x v="1287"/>
  </r>
  <r>
    <d v="2015-04-12T00:00:00"/>
    <x v="210"/>
    <x v="12"/>
    <x v="0"/>
    <x v="11"/>
    <x v="1006"/>
    <x v="77"/>
    <n v="3"/>
    <x v="1288"/>
  </r>
  <r>
    <d v="2015-04-12T00:00:00"/>
    <x v="210"/>
    <x v="12"/>
    <x v="1"/>
    <x v="5"/>
    <x v="944"/>
    <x v="1310"/>
    <n v="7"/>
    <x v="1289"/>
  </r>
  <r>
    <d v="2015-04-12T00:00:00"/>
    <x v="210"/>
    <x v="12"/>
    <x v="2"/>
    <x v="6"/>
    <x v="260"/>
    <x v="1311"/>
    <n v="5"/>
    <x v="1290"/>
  </r>
  <r>
    <d v="2015-04-12T00:00:00"/>
    <x v="333"/>
    <x v="14"/>
    <x v="0"/>
    <x v="0"/>
    <x v="292"/>
    <x v="1312"/>
    <n v="7"/>
    <x v="1291"/>
  </r>
  <r>
    <d v="2015-04-12T00:00:00"/>
    <x v="380"/>
    <x v="31"/>
    <x v="0"/>
    <x v="3"/>
    <x v="847"/>
    <x v="1313"/>
    <n v="7"/>
    <x v="1292"/>
  </r>
  <r>
    <d v="2015-04-12T00:00:00"/>
    <x v="380"/>
    <x v="31"/>
    <x v="0"/>
    <x v="4"/>
    <x v="253"/>
    <x v="1314"/>
    <n v="4"/>
    <x v="1293"/>
  </r>
  <r>
    <d v="2015-04-12T00:00:00"/>
    <x v="493"/>
    <x v="3"/>
    <x v="0"/>
    <x v="11"/>
    <x v="1007"/>
    <x v="1315"/>
    <n v="3"/>
    <x v="1294"/>
  </r>
  <r>
    <d v="2015-04-12T00:00:00"/>
    <x v="493"/>
    <x v="3"/>
    <x v="2"/>
    <x v="6"/>
    <x v="1008"/>
    <x v="1316"/>
    <n v="3"/>
    <x v="1295"/>
  </r>
  <r>
    <d v="2015-04-12T00:00:00"/>
    <x v="493"/>
    <x v="3"/>
    <x v="1"/>
    <x v="8"/>
    <x v="36"/>
    <x v="57"/>
    <n v="5"/>
    <x v="1296"/>
  </r>
  <r>
    <d v="2015-04-12T00:00:00"/>
    <x v="278"/>
    <x v="3"/>
    <x v="0"/>
    <x v="4"/>
    <x v="1009"/>
    <x v="1317"/>
    <n v="5"/>
    <x v="1297"/>
  </r>
  <r>
    <d v="2015-04-12T00:00:00"/>
    <x v="278"/>
    <x v="3"/>
    <x v="1"/>
    <x v="8"/>
    <x v="646"/>
    <x v="1318"/>
    <n v="6"/>
    <x v="1298"/>
  </r>
  <r>
    <d v="2015-05-12T00:00:00"/>
    <x v="494"/>
    <x v="3"/>
    <x v="1"/>
    <x v="8"/>
    <x v="972"/>
    <x v="1319"/>
    <n v="2"/>
    <x v="787"/>
  </r>
  <r>
    <d v="2015-05-12T00:00:00"/>
    <x v="463"/>
    <x v="2"/>
    <x v="2"/>
    <x v="9"/>
    <x v="520"/>
    <x v="840"/>
    <n v="2"/>
    <x v="258"/>
  </r>
  <r>
    <d v="2015-05-12T00:00:00"/>
    <x v="463"/>
    <x v="2"/>
    <x v="0"/>
    <x v="3"/>
    <x v="1010"/>
    <x v="1320"/>
    <n v="6"/>
    <x v="1299"/>
  </r>
  <r>
    <d v="2015-05-12T00:00:00"/>
    <x v="495"/>
    <x v="18"/>
    <x v="0"/>
    <x v="3"/>
    <x v="23"/>
    <x v="1321"/>
    <n v="5"/>
    <x v="1300"/>
  </r>
  <r>
    <d v="2015-05-12T00:00:00"/>
    <x v="217"/>
    <x v="0"/>
    <x v="0"/>
    <x v="4"/>
    <x v="570"/>
    <x v="1322"/>
    <n v="2"/>
    <x v="1301"/>
  </r>
  <r>
    <d v="2015-05-12T00:00:00"/>
    <x v="232"/>
    <x v="12"/>
    <x v="0"/>
    <x v="3"/>
    <x v="204"/>
    <x v="1323"/>
    <n v="5"/>
    <x v="1302"/>
  </r>
  <r>
    <d v="2015-05-12T00:00:00"/>
    <x v="232"/>
    <x v="12"/>
    <x v="1"/>
    <x v="5"/>
    <x v="944"/>
    <x v="1324"/>
    <n v="3"/>
    <x v="1303"/>
  </r>
  <r>
    <d v="2015-05-12T00:00:00"/>
    <x v="232"/>
    <x v="12"/>
    <x v="0"/>
    <x v="0"/>
    <x v="832"/>
    <x v="1325"/>
    <n v="2"/>
    <x v="1304"/>
  </r>
  <r>
    <d v="2015-05-12T00:00:00"/>
    <x v="443"/>
    <x v="3"/>
    <x v="2"/>
    <x v="9"/>
    <x v="17"/>
    <x v="1326"/>
    <n v="3"/>
    <x v="742"/>
  </r>
  <r>
    <d v="2015-05-12T00:00:00"/>
    <x v="443"/>
    <x v="3"/>
    <x v="0"/>
    <x v="1"/>
    <x v="1011"/>
    <x v="1142"/>
    <n v="4"/>
    <x v="1113"/>
  </r>
  <r>
    <d v="2015-05-12T00:00:00"/>
    <x v="211"/>
    <x v="31"/>
    <x v="1"/>
    <x v="5"/>
    <x v="74"/>
    <x v="1327"/>
    <n v="2"/>
    <x v="1305"/>
  </r>
  <r>
    <d v="2015-05-12T00:00:00"/>
    <x v="309"/>
    <x v="1"/>
    <x v="0"/>
    <x v="11"/>
    <x v="221"/>
    <x v="1328"/>
    <n v="2"/>
    <x v="42"/>
  </r>
  <r>
    <d v="2015-06-12T00:00:00"/>
    <x v="418"/>
    <x v="3"/>
    <x v="0"/>
    <x v="4"/>
    <x v="119"/>
    <x v="1329"/>
    <n v="9"/>
    <x v="80"/>
  </r>
  <r>
    <d v="2015-06-12T00:00:00"/>
    <x v="418"/>
    <x v="3"/>
    <x v="2"/>
    <x v="6"/>
    <x v="157"/>
    <x v="1330"/>
    <n v="2"/>
    <x v="198"/>
  </r>
  <r>
    <d v="2015-06-12T00:00:00"/>
    <x v="496"/>
    <x v="0"/>
    <x v="0"/>
    <x v="3"/>
    <x v="1012"/>
    <x v="1331"/>
    <n v="7"/>
    <x v="457"/>
  </r>
  <r>
    <d v="2015-06-12T00:00:00"/>
    <x v="497"/>
    <x v="23"/>
    <x v="1"/>
    <x v="8"/>
    <x v="505"/>
    <x v="1332"/>
    <n v="6"/>
    <x v="1306"/>
  </r>
  <r>
    <d v="2015-06-12T00:00:00"/>
    <x v="497"/>
    <x v="23"/>
    <x v="0"/>
    <x v="0"/>
    <x v="1013"/>
    <x v="266"/>
    <n v="5"/>
    <x v="1064"/>
  </r>
  <r>
    <d v="2015-06-12T00:00:00"/>
    <x v="497"/>
    <x v="23"/>
    <x v="0"/>
    <x v="0"/>
    <x v="888"/>
    <x v="1333"/>
    <n v="8"/>
    <x v="1307"/>
  </r>
  <r>
    <d v="2015-06-12T00:00:00"/>
    <x v="497"/>
    <x v="23"/>
    <x v="0"/>
    <x v="2"/>
    <x v="1014"/>
    <x v="1334"/>
    <n v="6"/>
    <x v="1308"/>
  </r>
  <r>
    <d v="2015-06-12T00:00:00"/>
    <x v="497"/>
    <x v="23"/>
    <x v="0"/>
    <x v="4"/>
    <x v="371"/>
    <x v="1335"/>
    <n v="6"/>
    <x v="1309"/>
  </r>
  <r>
    <d v="2015-06-12T00:00:00"/>
    <x v="196"/>
    <x v="16"/>
    <x v="2"/>
    <x v="6"/>
    <x v="1015"/>
    <x v="1336"/>
    <n v="2"/>
    <x v="1310"/>
  </r>
  <r>
    <d v="2015-06-12T00:00:00"/>
    <x v="196"/>
    <x v="16"/>
    <x v="0"/>
    <x v="4"/>
    <x v="16"/>
    <x v="1185"/>
    <n v="8"/>
    <x v="685"/>
  </r>
  <r>
    <d v="2015-06-12T00:00:00"/>
    <x v="196"/>
    <x v="16"/>
    <x v="1"/>
    <x v="5"/>
    <x v="1016"/>
    <x v="1337"/>
    <n v="1"/>
    <x v="1311"/>
  </r>
  <r>
    <d v="2015-06-12T00:00:00"/>
    <x v="498"/>
    <x v="3"/>
    <x v="0"/>
    <x v="0"/>
    <x v="1017"/>
    <x v="1338"/>
    <n v="5"/>
    <x v="626"/>
  </r>
  <r>
    <d v="2015-06-12T00:00:00"/>
    <x v="259"/>
    <x v="12"/>
    <x v="0"/>
    <x v="0"/>
    <x v="993"/>
    <x v="1005"/>
    <n v="1"/>
    <x v="1043"/>
  </r>
  <r>
    <d v="2015-06-12T00:00:00"/>
    <x v="259"/>
    <x v="12"/>
    <x v="0"/>
    <x v="0"/>
    <x v="1018"/>
    <x v="1339"/>
    <n v="7"/>
    <x v="1312"/>
  </r>
  <r>
    <d v="2015-06-12T00:00:00"/>
    <x v="259"/>
    <x v="12"/>
    <x v="2"/>
    <x v="9"/>
    <x v="987"/>
    <x v="1340"/>
    <n v="9"/>
    <x v="1313"/>
  </r>
  <r>
    <d v="2015-06-12T00:00:00"/>
    <x v="259"/>
    <x v="12"/>
    <x v="1"/>
    <x v="8"/>
    <x v="225"/>
    <x v="1043"/>
    <n v="4"/>
    <x v="1314"/>
  </r>
  <r>
    <d v="2015-06-12T00:00:00"/>
    <x v="39"/>
    <x v="26"/>
    <x v="2"/>
    <x v="15"/>
    <x v="1019"/>
    <x v="1341"/>
    <n v="2"/>
    <x v="1315"/>
  </r>
  <r>
    <d v="2015-06-12T00:00:00"/>
    <x v="155"/>
    <x v="13"/>
    <x v="0"/>
    <x v="0"/>
    <x v="1020"/>
    <x v="1005"/>
    <n v="1"/>
    <x v="1043"/>
  </r>
  <r>
    <d v="2015-06-12T00:00:00"/>
    <x v="155"/>
    <x v="13"/>
    <x v="0"/>
    <x v="2"/>
    <x v="83"/>
    <x v="456"/>
    <n v="5"/>
    <x v="456"/>
  </r>
  <r>
    <d v="2015-06-12T00:00:00"/>
    <x v="155"/>
    <x v="13"/>
    <x v="0"/>
    <x v="1"/>
    <x v="40"/>
    <x v="41"/>
    <n v="3"/>
    <x v="41"/>
  </r>
  <r>
    <d v="2015-06-12T00:00:00"/>
    <x v="499"/>
    <x v="3"/>
    <x v="0"/>
    <x v="13"/>
    <x v="226"/>
    <x v="643"/>
    <n v="2"/>
    <x v="631"/>
  </r>
  <r>
    <d v="2015-06-12T00:00:00"/>
    <x v="380"/>
    <x v="6"/>
    <x v="2"/>
    <x v="6"/>
    <x v="32"/>
    <x v="1342"/>
    <n v="6"/>
    <x v="1316"/>
  </r>
  <r>
    <d v="2015-06-12T00:00:00"/>
    <x v="500"/>
    <x v="16"/>
    <x v="0"/>
    <x v="3"/>
    <x v="123"/>
    <x v="1343"/>
    <n v="3"/>
    <x v="1317"/>
  </r>
  <r>
    <d v="2015-06-12T00:00:00"/>
    <x v="367"/>
    <x v="3"/>
    <x v="0"/>
    <x v="0"/>
    <x v="1021"/>
    <x v="134"/>
    <n v="2"/>
    <x v="1318"/>
  </r>
  <r>
    <d v="2015-07-12T00:00:00"/>
    <x v="411"/>
    <x v="5"/>
    <x v="0"/>
    <x v="13"/>
    <x v="324"/>
    <x v="1344"/>
    <n v="3"/>
    <x v="1319"/>
  </r>
  <r>
    <d v="2015-07-12T00:00:00"/>
    <x v="411"/>
    <x v="5"/>
    <x v="1"/>
    <x v="5"/>
    <x v="239"/>
    <x v="779"/>
    <n v="4"/>
    <x v="1320"/>
  </r>
  <r>
    <d v="2015-07-12T00:00:00"/>
    <x v="455"/>
    <x v="10"/>
    <x v="0"/>
    <x v="7"/>
    <x v="1022"/>
    <x v="1345"/>
    <n v="2"/>
    <x v="52"/>
  </r>
  <r>
    <d v="2015-07-12T00:00:00"/>
    <x v="455"/>
    <x v="10"/>
    <x v="0"/>
    <x v="1"/>
    <x v="607"/>
    <x v="1346"/>
    <n v="1"/>
    <x v="780"/>
  </r>
  <r>
    <d v="2015-07-12T00:00:00"/>
    <x v="7"/>
    <x v="3"/>
    <x v="1"/>
    <x v="8"/>
    <x v="603"/>
    <x v="1347"/>
    <n v="4"/>
    <x v="1321"/>
  </r>
  <r>
    <d v="2015-07-12T00:00:00"/>
    <x v="484"/>
    <x v="12"/>
    <x v="0"/>
    <x v="3"/>
    <x v="1023"/>
    <x v="328"/>
    <n v="5"/>
    <x v="1322"/>
  </r>
  <r>
    <d v="2015-07-12T00:00:00"/>
    <x v="484"/>
    <x v="12"/>
    <x v="0"/>
    <x v="3"/>
    <x v="1024"/>
    <x v="1289"/>
    <n v="2"/>
    <x v="1323"/>
  </r>
  <r>
    <d v="2015-07-12T00:00:00"/>
    <x v="484"/>
    <x v="12"/>
    <x v="2"/>
    <x v="6"/>
    <x v="760"/>
    <x v="1348"/>
    <n v="6"/>
    <x v="1324"/>
  </r>
  <r>
    <d v="2015-07-12T00:00:00"/>
    <x v="501"/>
    <x v="3"/>
    <x v="0"/>
    <x v="0"/>
    <x v="1025"/>
    <x v="113"/>
    <n v="2"/>
    <x v="411"/>
  </r>
  <r>
    <d v="2015-08-12T00:00:00"/>
    <x v="502"/>
    <x v="0"/>
    <x v="0"/>
    <x v="0"/>
    <x v="139"/>
    <x v="1349"/>
    <n v="11"/>
    <x v="1325"/>
  </r>
  <r>
    <d v="2015-08-12T00:00:00"/>
    <x v="502"/>
    <x v="0"/>
    <x v="2"/>
    <x v="6"/>
    <x v="195"/>
    <x v="1350"/>
    <n v="6"/>
    <x v="1326"/>
  </r>
  <r>
    <d v="2015-08-12T00:00:00"/>
    <x v="454"/>
    <x v="0"/>
    <x v="2"/>
    <x v="6"/>
    <x v="1026"/>
    <x v="673"/>
    <n v="5"/>
    <x v="719"/>
  </r>
  <r>
    <d v="2015-08-12T00:00:00"/>
    <x v="325"/>
    <x v="3"/>
    <x v="0"/>
    <x v="2"/>
    <x v="565"/>
    <x v="1351"/>
    <n v="2"/>
    <x v="723"/>
  </r>
  <r>
    <d v="2015-08-12T00:00:00"/>
    <x v="325"/>
    <x v="3"/>
    <x v="2"/>
    <x v="9"/>
    <x v="1027"/>
    <x v="1352"/>
    <n v="4"/>
    <x v="1327"/>
  </r>
  <r>
    <d v="2015-08-12T00:00:00"/>
    <x v="503"/>
    <x v="19"/>
    <x v="0"/>
    <x v="0"/>
    <x v="500"/>
    <x v="539"/>
    <n v="3"/>
    <x v="537"/>
  </r>
  <r>
    <d v="2015-09-12T00:00:00"/>
    <x v="504"/>
    <x v="26"/>
    <x v="0"/>
    <x v="0"/>
    <x v="832"/>
    <x v="1353"/>
    <n v="3"/>
    <x v="1328"/>
  </r>
  <r>
    <d v="2015-10-12T00:00:00"/>
    <x v="479"/>
    <x v="18"/>
    <x v="0"/>
    <x v="4"/>
    <x v="560"/>
    <x v="622"/>
    <n v="2"/>
    <x v="612"/>
  </r>
  <r>
    <d v="2015-10-12T00:00:00"/>
    <x v="479"/>
    <x v="18"/>
    <x v="1"/>
    <x v="10"/>
    <x v="886"/>
    <x v="1354"/>
    <n v="2"/>
    <x v="1329"/>
  </r>
  <r>
    <d v="2015-10-12T00:00:00"/>
    <x v="479"/>
    <x v="18"/>
    <x v="1"/>
    <x v="5"/>
    <x v="427"/>
    <x v="1355"/>
    <n v="2"/>
    <x v="1330"/>
  </r>
  <r>
    <d v="2015-10-12T00:00:00"/>
    <x v="479"/>
    <x v="18"/>
    <x v="0"/>
    <x v="1"/>
    <x v="1028"/>
    <x v="1346"/>
    <n v="1"/>
    <x v="780"/>
  </r>
  <r>
    <d v="2015-10-12T00:00:00"/>
    <x v="505"/>
    <x v="4"/>
    <x v="0"/>
    <x v="4"/>
    <x v="1029"/>
    <x v="1356"/>
    <n v="1"/>
    <x v="1331"/>
  </r>
  <r>
    <d v="2015-10-12T00:00:00"/>
    <x v="505"/>
    <x v="4"/>
    <x v="0"/>
    <x v="0"/>
    <x v="1030"/>
    <x v="212"/>
    <n v="4"/>
    <x v="215"/>
  </r>
  <r>
    <d v="2015-10-12T00:00:00"/>
    <x v="505"/>
    <x v="4"/>
    <x v="2"/>
    <x v="9"/>
    <x v="1031"/>
    <x v="1357"/>
    <n v="6"/>
    <x v="1332"/>
  </r>
  <r>
    <d v="2015-10-12T00:00:00"/>
    <x v="172"/>
    <x v="12"/>
    <x v="0"/>
    <x v="1"/>
    <x v="1032"/>
    <x v="525"/>
    <n v="1"/>
    <x v="525"/>
  </r>
  <r>
    <d v="2015-10-12T00:00:00"/>
    <x v="172"/>
    <x v="12"/>
    <x v="2"/>
    <x v="15"/>
    <x v="1019"/>
    <x v="1358"/>
    <n v="2"/>
    <x v="1333"/>
  </r>
  <r>
    <d v="2015-10-12T00:00:00"/>
    <x v="172"/>
    <x v="12"/>
    <x v="0"/>
    <x v="0"/>
    <x v="1033"/>
    <x v="1359"/>
    <n v="6"/>
    <x v="1334"/>
  </r>
  <r>
    <d v="2015-10-12T00:00:00"/>
    <x v="172"/>
    <x v="12"/>
    <x v="0"/>
    <x v="0"/>
    <x v="1034"/>
    <x v="1305"/>
    <n v="7"/>
    <x v="1282"/>
  </r>
  <r>
    <d v="2015-10-12T00:00:00"/>
    <x v="403"/>
    <x v="39"/>
    <x v="0"/>
    <x v="4"/>
    <x v="890"/>
    <x v="421"/>
    <n v="9"/>
    <x v="111"/>
  </r>
  <r>
    <d v="2015-10-12T00:00:00"/>
    <x v="403"/>
    <x v="39"/>
    <x v="0"/>
    <x v="0"/>
    <x v="553"/>
    <x v="1360"/>
    <n v="5"/>
    <x v="1335"/>
  </r>
  <r>
    <d v="2015-10-12T00:00:00"/>
    <x v="403"/>
    <x v="39"/>
    <x v="2"/>
    <x v="6"/>
    <x v="483"/>
    <x v="1361"/>
    <n v="1"/>
    <x v="1336"/>
  </r>
  <r>
    <d v="2015-10-12T00:00:00"/>
    <x v="403"/>
    <x v="39"/>
    <x v="0"/>
    <x v="0"/>
    <x v="634"/>
    <x v="1122"/>
    <n v="5"/>
    <x v="1280"/>
  </r>
  <r>
    <d v="2015-10-12T00:00:00"/>
    <x v="403"/>
    <x v="39"/>
    <x v="1"/>
    <x v="5"/>
    <x v="841"/>
    <x v="1362"/>
    <n v="3"/>
    <x v="1337"/>
  </r>
  <r>
    <d v="2015-10-12T00:00:00"/>
    <x v="506"/>
    <x v="3"/>
    <x v="0"/>
    <x v="4"/>
    <x v="570"/>
    <x v="952"/>
    <n v="2"/>
    <x v="929"/>
  </r>
  <r>
    <d v="2015-10-12T00:00:00"/>
    <x v="507"/>
    <x v="1"/>
    <x v="0"/>
    <x v="13"/>
    <x v="1035"/>
    <x v="1363"/>
    <n v="7"/>
    <x v="1338"/>
  </r>
  <r>
    <d v="2015-10-12T00:00:00"/>
    <x v="469"/>
    <x v="3"/>
    <x v="0"/>
    <x v="1"/>
    <x v="851"/>
    <x v="570"/>
    <n v="2"/>
    <x v="567"/>
  </r>
  <r>
    <d v="2015-10-12T00:00:00"/>
    <x v="508"/>
    <x v="16"/>
    <x v="2"/>
    <x v="9"/>
    <x v="535"/>
    <x v="863"/>
    <n v="2"/>
    <x v="239"/>
  </r>
  <r>
    <d v="2015-11-12T00:00:00"/>
    <x v="437"/>
    <x v="6"/>
    <x v="0"/>
    <x v="1"/>
    <x v="258"/>
    <x v="1364"/>
    <n v="2"/>
    <x v="1339"/>
  </r>
  <r>
    <d v="2015-11-12T00:00:00"/>
    <x v="509"/>
    <x v="0"/>
    <x v="2"/>
    <x v="9"/>
    <x v="380"/>
    <x v="106"/>
    <n v="2"/>
    <x v="1340"/>
  </r>
  <r>
    <d v="2015-11-12T00:00:00"/>
    <x v="509"/>
    <x v="0"/>
    <x v="0"/>
    <x v="2"/>
    <x v="684"/>
    <x v="1365"/>
    <n v="3"/>
    <x v="480"/>
  </r>
  <r>
    <d v="2015-11-12T00:00:00"/>
    <x v="497"/>
    <x v="9"/>
    <x v="0"/>
    <x v="3"/>
    <x v="511"/>
    <x v="873"/>
    <n v="2"/>
    <x v="1341"/>
  </r>
  <r>
    <d v="2015-11-12T00:00:00"/>
    <x v="398"/>
    <x v="19"/>
    <x v="0"/>
    <x v="4"/>
    <x v="654"/>
    <x v="1366"/>
    <n v="5"/>
    <x v="1342"/>
  </r>
  <r>
    <d v="2015-11-12T00:00:00"/>
    <x v="398"/>
    <x v="19"/>
    <x v="1"/>
    <x v="12"/>
    <x v="1036"/>
    <x v="1367"/>
    <n v="4"/>
    <x v="1343"/>
  </r>
  <r>
    <d v="2015-11-12T00:00:00"/>
    <x v="398"/>
    <x v="19"/>
    <x v="0"/>
    <x v="4"/>
    <x v="1037"/>
    <x v="1368"/>
    <n v="3"/>
    <x v="1344"/>
  </r>
  <r>
    <d v="2015-11-12T00:00:00"/>
    <x v="398"/>
    <x v="19"/>
    <x v="2"/>
    <x v="9"/>
    <x v="779"/>
    <x v="1369"/>
    <n v="4"/>
    <x v="1345"/>
  </r>
  <r>
    <d v="2015-11-12T00:00:00"/>
    <x v="398"/>
    <x v="19"/>
    <x v="1"/>
    <x v="8"/>
    <x v="435"/>
    <x v="1370"/>
    <n v="9"/>
    <x v="626"/>
  </r>
  <r>
    <d v="2015-11-12T00:00:00"/>
    <x v="398"/>
    <x v="19"/>
    <x v="1"/>
    <x v="8"/>
    <x v="168"/>
    <x v="1371"/>
    <n v="5"/>
    <x v="1346"/>
  </r>
  <r>
    <d v="2015-11-12T00:00:00"/>
    <x v="398"/>
    <x v="19"/>
    <x v="1"/>
    <x v="10"/>
    <x v="1038"/>
    <x v="1372"/>
    <n v="5"/>
    <x v="1347"/>
  </r>
  <r>
    <d v="2015-11-12T00:00:00"/>
    <x v="398"/>
    <x v="19"/>
    <x v="0"/>
    <x v="0"/>
    <x v="1039"/>
    <x v="1373"/>
    <n v="3"/>
    <x v="1348"/>
  </r>
  <r>
    <d v="2015-11-12T00:00:00"/>
    <x v="398"/>
    <x v="19"/>
    <x v="0"/>
    <x v="0"/>
    <x v="1040"/>
    <x v="1374"/>
    <n v="3"/>
    <x v="1349"/>
  </r>
  <r>
    <d v="2015-11-12T00:00:00"/>
    <x v="510"/>
    <x v="16"/>
    <x v="0"/>
    <x v="3"/>
    <x v="877"/>
    <x v="1375"/>
    <n v="3"/>
    <x v="1350"/>
  </r>
  <r>
    <d v="2015-11-12T00:00:00"/>
    <x v="511"/>
    <x v="3"/>
    <x v="0"/>
    <x v="3"/>
    <x v="27"/>
    <x v="1376"/>
    <n v="4"/>
    <x v="1351"/>
  </r>
  <r>
    <d v="2015-11-12T00:00:00"/>
    <x v="512"/>
    <x v="18"/>
    <x v="2"/>
    <x v="9"/>
    <x v="1041"/>
    <x v="1377"/>
    <n v="11"/>
    <x v="1352"/>
  </r>
  <r>
    <d v="2015-11-12T00:00:00"/>
    <x v="512"/>
    <x v="18"/>
    <x v="2"/>
    <x v="6"/>
    <x v="364"/>
    <x v="1378"/>
    <n v="1"/>
    <x v="1353"/>
  </r>
  <r>
    <d v="2015-11-12T00:00:00"/>
    <x v="512"/>
    <x v="18"/>
    <x v="0"/>
    <x v="3"/>
    <x v="620"/>
    <x v="1379"/>
    <n v="2"/>
    <x v="165"/>
  </r>
  <r>
    <d v="2015-12-12T00:00:00"/>
    <x v="107"/>
    <x v="3"/>
    <x v="1"/>
    <x v="5"/>
    <x v="184"/>
    <x v="1380"/>
    <n v="2"/>
    <x v="1354"/>
  </r>
  <r>
    <d v="2015-12-12T00:00:00"/>
    <x v="196"/>
    <x v="3"/>
    <x v="0"/>
    <x v="7"/>
    <x v="22"/>
    <x v="564"/>
    <n v="2"/>
    <x v="1132"/>
  </r>
  <r>
    <d v="2015-12-12T00:00:00"/>
    <x v="196"/>
    <x v="3"/>
    <x v="0"/>
    <x v="3"/>
    <x v="1042"/>
    <x v="1381"/>
    <n v="2"/>
    <x v="1355"/>
  </r>
  <r>
    <d v="2015-12-12T00:00:00"/>
    <x v="447"/>
    <x v="39"/>
    <x v="0"/>
    <x v="4"/>
    <x v="9"/>
    <x v="1382"/>
    <n v="3"/>
    <x v="296"/>
  </r>
  <r>
    <d v="2015-12-12T00:00:00"/>
    <x v="303"/>
    <x v="0"/>
    <x v="2"/>
    <x v="9"/>
    <x v="986"/>
    <x v="1191"/>
    <n v="4"/>
    <x v="1356"/>
  </r>
  <r>
    <d v="2015-12-12T00:00:00"/>
    <x v="234"/>
    <x v="3"/>
    <x v="0"/>
    <x v="4"/>
    <x v="1043"/>
    <x v="1383"/>
    <n v="1"/>
    <x v="258"/>
  </r>
  <r>
    <d v="2015-12-12T00:00:00"/>
    <x v="234"/>
    <x v="3"/>
    <x v="0"/>
    <x v="11"/>
    <x v="441"/>
    <x v="1384"/>
    <n v="4"/>
    <x v="1357"/>
  </r>
  <r>
    <d v="2015-12-12T00:00:00"/>
    <x v="234"/>
    <x v="3"/>
    <x v="0"/>
    <x v="0"/>
    <x v="1044"/>
    <x v="1385"/>
    <n v="4"/>
    <x v="1358"/>
  </r>
  <r>
    <d v="2015-12-12T00:00:00"/>
    <x v="475"/>
    <x v="3"/>
    <x v="1"/>
    <x v="8"/>
    <x v="1045"/>
    <x v="1386"/>
    <n v="3"/>
    <x v="1359"/>
  </r>
  <r>
    <d v="2015-12-12T00:00:00"/>
    <x v="475"/>
    <x v="3"/>
    <x v="0"/>
    <x v="2"/>
    <x v="622"/>
    <x v="1387"/>
    <n v="2"/>
    <x v="1360"/>
  </r>
  <r>
    <d v="2015-12-12T00:00:00"/>
    <x v="513"/>
    <x v="13"/>
    <x v="0"/>
    <x v="0"/>
    <x v="1046"/>
    <x v="159"/>
    <n v="5"/>
    <x v="1361"/>
  </r>
  <r>
    <d v="2015-12-12T00:00:00"/>
    <x v="513"/>
    <x v="13"/>
    <x v="0"/>
    <x v="0"/>
    <x v="307"/>
    <x v="1388"/>
    <n v="2"/>
    <x v="1362"/>
  </r>
  <r>
    <d v="2015-12-12T00:00:00"/>
    <x v="279"/>
    <x v="3"/>
    <x v="2"/>
    <x v="9"/>
    <x v="109"/>
    <x v="1389"/>
    <n v="6"/>
    <x v="1363"/>
  </r>
  <r>
    <d v="2015-12-12T00:00:00"/>
    <x v="279"/>
    <x v="3"/>
    <x v="0"/>
    <x v="14"/>
    <x v="252"/>
    <x v="1390"/>
    <n v="7"/>
    <x v="1208"/>
  </r>
  <r>
    <d v="2016-02-01T00:00:00"/>
    <x v="514"/>
    <x v="39"/>
    <x v="1"/>
    <x v="12"/>
    <x v="1047"/>
    <x v="1342"/>
    <n v="3"/>
    <x v="1364"/>
  </r>
  <r>
    <d v="2016-02-01T00:00:00"/>
    <x v="514"/>
    <x v="39"/>
    <x v="2"/>
    <x v="6"/>
    <x v="1048"/>
    <x v="1391"/>
    <n v="2"/>
    <x v="1365"/>
  </r>
  <r>
    <d v="2016-03-01T00:00:00"/>
    <x v="169"/>
    <x v="3"/>
    <x v="0"/>
    <x v="2"/>
    <x v="53"/>
    <x v="1392"/>
    <n v="2"/>
    <x v="1366"/>
  </r>
  <r>
    <d v="2016-03-01T00:00:00"/>
    <x v="515"/>
    <x v="0"/>
    <x v="2"/>
    <x v="9"/>
    <x v="1049"/>
    <x v="1393"/>
    <n v="2"/>
    <x v="1367"/>
  </r>
  <r>
    <d v="2016-03-01T00:00:00"/>
    <x v="515"/>
    <x v="0"/>
    <x v="2"/>
    <x v="9"/>
    <x v="489"/>
    <x v="1394"/>
    <n v="3"/>
    <x v="1368"/>
  </r>
  <r>
    <d v="2016-03-01T00:00:00"/>
    <x v="515"/>
    <x v="0"/>
    <x v="2"/>
    <x v="6"/>
    <x v="24"/>
    <x v="24"/>
    <n v="5"/>
    <x v="24"/>
  </r>
  <r>
    <d v="2016-03-01T00:00:00"/>
    <x v="516"/>
    <x v="34"/>
    <x v="1"/>
    <x v="10"/>
    <x v="1050"/>
    <x v="1395"/>
    <n v="7"/>
    <x v="1369"/>
  </r>
  <r>
    <d v="2016-03-01T00:00:00"/>
    <x v="516"/>
    <x v="34"/>
    <x v="0"/>
    <x v="3"/>
    <x v="176"/>
    <x v="176"/>
    <n v="2"/>
    <x v="179"/>
  </r>
  <r>
    <d v="2016-04-01T00:00:00"/>
    <x v="517"/>
    <x v="15"/>
    <x v="2"/>
    <x v="15"/>
    <x v="902"/>
    <x v="1396"/>
    <n v="4"/>
    <x v="1370"/>
  </r>
  <r>
    <d v="2016-04-01T00:00:00"/>
    <x v="518"/>
    <x v="2"/>
    <x v="0"/>
    <x v="4"/>
    <x v="16"/>
    <x v="478"/>
    <n v="1"/>
    <x v="1114"/>
  </r>
  <r>
    <d v="2016-04-01T00:00:00"/>
    <x v="518"/>
    <x v="2"/>
    <x v="0"/>
    <x v="3"/>
    <x v="204"/>
    <x v="205"/>
    <n v="6"/>
    <x v="1371"/>
  </r>
  <r>
    <d v="2016-05-01T00:00:00"/>
    <x v="519"/>
    <x v="9"/>
    <x v="2"/>
    <x v="9"/>
    <x v="1051"/>
    <x v="1397"/>
    <n v="6"/>
    <x v="1372"/>
  </r>
  <r>
    <d v="2016-05-01T00:00:00"/>
    <x v="519"/>
    <x v="9"/>
    <x v="0"/>
    <x v="4"/>
    <x v="1052"/>
    <x v="907"/>
    <n v="2"/>
    <x v="887"/>
  </r>
  <r>
    <d v="2016-05-01T00:00:00"/>
    <x v="519"/>
    <x v="9"/>
    <x v="2"/>
    <x v="6"/>
    <x v="262"/>
    <x v="1398"/>
    <n v="2"/>
    <x v="229"/>
  </r>
  <r>
    <d v="2016-07-01T00:00:00"/>
    <x v="105"/>
    <x v="3"/>
    <x v="0"/>
    <x v="4"/>
    <x v="687"/>
    <x v="1399"/>
    <n v="1"/>
    <x v="1373"/>
  </r>
  <r>
    <d v="2016-07-01T00:00:00"/>
    <x v="440"/>
    <x v="0"/>
    <x v="1"/>
    <x v="8"/>
    <x v="390"/>
    <x v="1400"/>
    <n v="3"/>
    <x v="1374"/>
  </r>
  <r>
    <d v="2016-07-01T00:00:00"/>
    <x v="440"/>
    <x v="0"/>
    <x v="0"/>
    <x v="0"/>
    <x v="1053"/>
    <x v="212"/>
    <n v="5"/>
    <x v="107"/>
  </r>
  <r>
    <d v="2016-08-01T00:00:00"/>
    <x v="4"/>
    <x v="8"/>
    <x v="1"/>
    <x v="12"/>
    <x v="578"/>
    <x v="1401"/>
    <n v="6"/>
    <x v="1375"/>
  </r>
  <r>
    <d v="2016-08-01T00:00:00"/>
    <x v="4"/>
    <x v="8"/>
    <x v="0"/>
    <x v="3"/>
    <x v="1054"/>
    <x v="1402"/>
    <n v="7"/>
    <x v="1376"/>
  </r>
  <r>
    <d v="2016-08-01T00:00:00"/>
    <x v="6"/>
    <x v="15"/>
    <x v="0"/>
    <x v="3"/>
    <x v="685"/>
    <x v="1403"/>
    <n v="7"/>
    <x v="1377"/>
  </r>
  <r>
    <d v="2016-08-01T00:00:00"/>
    <x v="6"/>
    <x v="15"/>
    <x v="0"/>
    <x v="4"/>
    <x v="106"/>
    <x v="1404"/>
    <n v="3"/>
    <x v="1378"/>
  </r>
  <r>
    <d v="2016-08-01T00:00:00"/>
    <x v="6"/>
    <x v="15"/>
    <x v="2"/>
    <x v="6"/>
    <x v="1055"/>
    <x v="1405"/>
    <n v="2"/>
    <x v="1379"/>
  </r>
  <r>
    <d v="2016-09-01T00:00:00"/>
    <x v="146"/>
    <x v="3"/>
    <x v="2"/>
    <x v="9"/>
    <x v="1056"/>
    <x v="1406"/>
    <n v="5"/>
    <x v="1380"/>
  </r>
  <r>
    <d v="2016-09-01T00:00:00"/>
    <x v="146"/>
    <x v="3"/>
    <x v="2"/>
    <x v="6"/>
    <x v="612"/>
    <x v="1407"/>
    <n v="9"/>
    <x v="1381"/>
  </r>
  <r>
    <d v="2016-09-01T00:00:00"/>
    <x v="520"/>
    <x v="16"/>
    <x v="1"/>
    <x v="8"/>
    <x v="1005"/>
    <x v="1408"/>
    <n v="2"/>
    <x v="1382"/>
  </r>
  <r>
    <d v="2016-10-01T00:00:00"/>
    <x v="55"/>
    <x v="10"/>
    <x v="1"/>
    <x v="8"/>
    <x v="791"/>
    <x v="1347"/>
    <n v="4"/>
    <x v="1383"/>
  </r>
  <r>
    <d v="2016-10-01T00:00:00"/>
    <x v="55"/>
    <x v="10"/>
    <x v="2"/>
    <x v="9"/>
    <x v="1057"/>
    <x v="1409"/>
    <n v="2"/>
    <x v="908"/>
  </r>
  <r>
    <d v="2016-10-01T00:00:00"/>
    <x v="521"/>
    <x v="10"/>
    <x v="1"/>
    <x v="8"/>
    <x v="20"/>
    <x v="1410"/>
    <n v="5"/>
    <x v="1384"/>
  </r>
  <r>
    <d v="2016-11-01T00:00:00"/>
    <x v="268"/>
    <x v="16"/>
    <x v="0"/>
    <x v="0"/>
    <x v="1058"/>
    <x v="70"/>
    <n v="3"/>
    <x v="366"/>
  </r>
  <r>
    <d v="2016-11-01T00:00:00"/>
    <x v="268"/>
    <x v="16"/>
    <x v="0"/>
    <x v="0"/>
    <x v="1003"/>
    <x v="1411"/>
    <n v="3"/>
    <x v="1385"/>
  </r>
  <r>
    <d v="2016-11-01T00:00:00"/>
    <x v="268"/>
    <x v="16"/>
    <x v="2"/>
    <x v="6"/>
    <x v="1059"/>
    <x v="1412"/>
    <n v="2"/>
    <x v="1386"/>
  </r>
  <r>
    <d v="2016-11-01T00:00:00"/>
    <x v="113"/>
    <x v="16"/>
    <x v="1"/>
    <x v="8"/>
    <x v="600"/>
    <x v="1413"/>
    <n v="14"/>
    <x v="1387"/>
  </r>
  <r>
    <d v="2016-01-02T00:00:00"/>
    <x v="18"/>
    <x v="6"/>
    <x v="0"/>
    <x v="2"/>
    <x v="545"/>
    <x v="1414"/>
    <n v="5"/>
    <x v="1388"/>
  </r>
  <r>
    <d v="2016-01-02T00:00:00"/>
    <x v="250"/>
    <x v="3"/>
    <x v="0"/>
    <x v="0"/>
    <x v="1034"/>
    <x v="710"/>
    <n v="4"/>
    <x v="694"/>
  </r>
  <r>
    <d v="2016-02-02T00:00:00"/>
    <x v="474"/>
    <x v="12"/>
    <x v="0"/>
    <x v="2"/>
    <x v="889"/>
    <x v="1415"/>
    <n v="2"/>
    <x v="1389"/>
  </r>
  <r>
    <d v="2016-02-02T00:00:00"/>
    <x v="74"/>
    <x v="6"/>
    <x v="2"/>
    <x v="16"/>
    <x v="1060"/>
    <x v="1416"/>
    <n v="5"/>
    <x v="1390"/>
  </r>
  <r>
    <d v="2016-02-02T00:00:00"/>
    <x v="74"/>
    <x v="6"/>
    <x v="0"/>
    <x v="3"/>
    <x v="235"/>
    <x v="57"/>
    <n v="8"/>
    <x v="1391"/>
  </r>
  <r>
    <d v="2016-02-02T00:00:00"/>
    <x v="74"/>
    <x v="6"/>
    <x v="1"/>
    <x v="8"/>
    <x v="710"/>
    <x v="1417"/>
    <n v="7"/>
    <x v="1392"/>
  </r>
  <r>
    <d v="2016-02-02T00:00:00"/>
    <x v="349"/>
    <x v="0"/>
    <x v="1"/>
    <x v="8"/>
    <x v="1061"/>
    <x v="1418"/>
    <n v="2"/>
    <x v="1393"/>
  </r>
  <r>
    <d v="2016-03-02T00:00:00"/>
    <x v="255"/>
    <x v="5"/>
    <x v="1"/>
    <x v="5"/>
    <x v="203"/>
    <x v="1419"/>
    <n v="4"/>
    <x v="1394"/>
  </r>
  <r>
    <d v="2016-04-02T00:00:00"/>
    <x v="522"/>
    <x v="23"/>
    <x v="1"/>
    <x v="8"/>
    <x v="349"/>
    <x v="1072"/>
    <n v="2"/>
    <x v="167"/>
  </r>
  <r>
    <d v="2016-04-02T00:00:00"/>
    <x v="210"/>
    <x v="39"/>
    <x v="2"/>
    <x v="6"/>
    <x v="24"/>
    <x v="1420"/>
    <n v="2"/>
    <x v="1395"/>
  </r>
  <r>
    <d v="2016-04-02T00:00:00"/>
    <x v="366"/>
    <x v="3"/>
    <x v="0"/>
    <x v="2"/>
    <x v="108"/>
    <x v="329"/>
    <n v="2"/>
    <x v="119"/>
  </r>
  <r>
    <d v="2016-05-02T00:00:00"/>
    <x v="208"/>
    <x v="4"/>
    <x v="0"/>
    <x v="2"/>
    <x v="76"/>
    <x v="1421"/>
    <n v="1"/>
    <x v="1396"/>
  </r>
  <r>
    <d v="2016-05-02T00:00:00"/>
    <x v="208"/>
    <x v="4"/>
    <x v="0"/>
    <x v="0"/>
    <x v="318"/>
    <x v="1422"/>
    <n v="9"/>
    <x v="1397"/>
  </r>
  <r>
    <d v="2016-05-02T00:00:00"/>
    <x v="208"/>
    <x v="4"/>
    <x v="0"/>
    <x v="7"/>
    <x v="1062"/>
    <x v="189"/>
    <n v="5"/>
    <x v="1398"/>
  </r>
  <r>
    <d v="2016-05-02T00:00:00"/>
    <x v="208"/>
    <x v="4"/>
    <x v="1"/>
    <x v="8"/>
    <x v="555"/>
    <x v="50"/>
    <n v="3"/>
    <x v="473"/>
  </r>
  <r>
    <d v="2016-05-02T00:00:00"/>
    <x v="208"/>
    <x v="4"/>
    <x v="1"/>
    <x v="12"/>
    <x v="1063"/>
    <x v="394"/>
    <n v="2"/>
    <x v="1399"/>
  </r>
  <r>
    <d v="2016-05-02T00:00:00"/>
    <x v="208"/>
    <x v="4"/>
    <x v="0"/>
    <x v="11"/>
    <x v="1064"/>
    <x v="1423"/>
    <n v="2"/>
    <x v="1400"/>
  </r>
  <r>
    <d v="2016-05-02T00:00:00"/>
    <x v="208"/>
    <x v="4"/>
    <x v="2"/>
    <x v="6"/>
    <x v="394"/>
    <x v="410"/>
    <n v="3"/>
    <x v="413"/>
  </r>
  <r>
    <d v="2016-05-02T00:00:00"/>
    <x v="208"/>
    <x v="4"/>
    <x v="2"/>
    <x v="6"/>
    <x v="31"/>
    <x v="1424"/>
    <n v="3"/>
    <x v="1401"/>
  </r>
  <r>
    <d v="2016-05-02T00:00:00"/>
    <x v="208"/>
    <x v="4"/>
    <x v="0"/>
    <x v="0"/>
    <x v="1065"/>
    <x v="136"/>
    <n v="3"/>
    <x v="139"/>
  </r>
  <r>
    <d v="2016-05-02T00:00:00"/>
    <x v="208"/>
    <x v="4"/>
    <x v="0"/>
    <x v="2"/>
    <x v="1014"/>
    <x v="1425"/>
    <n v="3"/>
    <x v="1402"/>
  </r>
  <r>
    <d v="2016-05-02T00:00:00"/>
    <x v="208"/>
    <x v="4"/>
    <x v="0"/>
    <x v="0"/>
    <x v="1066"/>
    <x v="1426"/>
    <n v="7"/>
    <x v="1403"/>
  </r>
  <r>
    <d v="2016-05-02T00:00:00"/>
    <x v="379"/>
    <x v="3"/>
    <x v="0"/>
    <x v="1"/>
    <x v="1"/>
    <x v="1427"/>
    <n v="3"/>
    <x v="1404"/>
  </r>
  <r>
    <d v="2016-05-02T00:00:00"/>
    <x v="379"/>
    <x v="3"/>
    <x v="0"/>
    <x v="2"/>
    <x v="1067"/>
    <x v="1254"/>
    <n v="3"/>
    <x v="1405"/>
  </r>
  <r>
    <d v="2016-05-02T00:00:00"/>
    <x v="379"/>
    <x v="3"/>
    <x v="1"/>
    <x v="10"/>
    <x v="752"/>
    <x v="1428"/>
    <n v="4"/>
    <x v="268"/>
  </r>
  <r>
    <d v="2016-05-02T00:00:00"/>
    <x v="379"/>
    <x v="3"/>
    <x v="2"/>
    <x v="6"/>
    <x v="1068"/>
    <x v="1429"/>
    <n v="4"/>
    <x v="1406"/>
  </r>
  <r>
    <d v="2016-06-02T00:00:00"/>
    <x v="470"/>
    <x v="31"/>
    <x v="1"/>
    <x v="8"/>
    <x v="200"/>
    <x v="1430"/>
    <n v="4"/>
    <x v="1407"/>
  </r>
  <r>
    <d v="2016-07-02T00:00:00"/>
    <x v="523"/>
    <x v="6"/>
    <x v="2"/>
    <x v="9"/>
    <x v="1069"/>
    <x v="1431"/>
    <n v="4"/>
    <x v="1408"/>
  </r>
  <r>
    <d v="2016-07-02T00:00:00"/>
    <x v="523"/>
    <x v="6"/>
    <x v="0"/>
    <x v="1"/>
    <x v="1028"/>
    <x v="1432"/>
    <n v="3"/>
    <x v="1060"/>
  </r>
  <r>
    <d v="2016-07-02T00:00:00"/>
    <x v="524"/>
    <x v="16"/>
    <x v="0"/>
    <x v="0"/>
    <x v="554"/>
    <x v="1433"/>
    <n v="2"/>
    <x v="1409"/>
  </r>
  <r>
    <d v="2016-07-02T00:00:00"/>
    <x v="517"/>
    <x v="3"/>
    <x v="2"/>
    <x v="6"/>
    <x v="1070"/>
    <x v="1434"/>
    <n v="5"/>
    <x v="1410"/>
  </r>
  <r>
    <d v="2016-08-02T00:00:00"/>
    <x v="525"/>
    <x v="15"/>
    <x v="2"/>
    <x v="6"/>
    <x v="1071"/>
    <x v="1435"/>
    <n v="3"/>
    <x v="1411"/>
  </r>
  <r>
    <d v="2016-08-02T00:00:00"/>
    <x v="15"/>
    <x v="0"/>
    <x v="1"/>
    <x v="5"/>
    <x v="50"/>
    <x v="1436"/>
    <n v="4"/>
    <x v="52"/>
  </r>
  <r>
    <d v="2016-09-02T00:00:00"/>
    <x v="526"/>
    <x v="3"/>
    <x v="2"/>
    <x v="9"/>
    <x v="601"/>
    <x v="571"/>
    <n v="3"/>
    <x v="1412"/>
  </r>
  <r>
    <d v="2016-09-02T00:00:00"/>
    <x v="526"/>
    <x v="3"/>
    <x v="2"/>
    <x v="9"/>
    <x v="1041"/>
    <x v="1437"/>
    <n v="2"/>
    <x v="1413"/>
  </r>
  <r>
    <d v="2016-11-02T00:00:00"/>
    <x v="527"/>
    <x v="34"/>
    <x v="2"/>
    <x v="6"/>
    <x v="1072"/>
    <x v="1438"/>
    <n v="7"/>
    <x v="1414"/>
  </r>
  <r>
    <d v="2016-12-02T00:00:00"/>
    <x v="72"/>
    <x v="4"/>
    <x v="0"/>
    <x v="2"/>
    <x v="536"/>
    <x v="1439"/>
    <n v="6"/>
    <x v="1415"/>
  </r>
  <r>
    <d v="2016-12-02T00:00:00"/>
    <x v="72"/>
    <x v="4"/>
    <x v="0"/>
    <x v="3"/>
    <x v="866"/>
    <x v="1440"/>
    <n v="4"/>
    <x v="121"/>
  </r>
  <r>
    <d v="2016-01-03T00:00:00"/>
    <x v="279"/>
    <x v="12"/>
    <x v="1"/>
    <x v="10"/>
    <x v="752"/>
    <x v="1441"/>
    <n v="8"/>
    <x v="1416"/>
  </r>
  <r>
    <d v="2016-01-03T00:00:00"/>
    <x v="279"/>
    <x v="12"/>
    <x v="0"/>
    <x v="0"/>
    <x v="177"/>
    <x v="768"/>
    <n v="1"/>
    <x v="1417"/>
  </r>
  <r>
    <d v="2016-01-03T00:00:00"/>
    <x v="279"/>
    <x v="12"/>
    <x v="0"/>
    <x v="2"/>
    <x v="512"/>
    <x v="558"/>
    <n v="2"/>
    <x v="554"/>
  </r>
  <r>
    <d v="2016-01-03T00:00:00"/>
    <x v="279"/>
    <x v="12"/>
    <x v="2"/>
    <x v="16"/>
    <x v="1073"/>
    <x v="1442"/>
    <n v="7"/>
    <x v="1418"/>
  </r>
  <r>
    <d v="2016-01-03T00:00:00"/>
    <x v="264"/>
    <x v="19"/>
    <x v="2"/>
    <x v="6"/>
    <x v="1074"/>
    <x v="106"/>
    <n v="2"/>
    <x v="1419"/>
  </r>
  <r>
    <d v="2016-03-03T00:00:00"/>
    <x v="123"/>
    <x v="7"/>
    <x v="0"/>
    <x v="3"/>
    <x v="414"/>
    <x v="1044"/>
    <n v="7"/>
    <x v="1420"/>
  </r>
  <r>
    <d v="2016-03-03T00:00:00"/>
    <x v="123"/>
    <x v="7"/>
    <x v="2"/>
    <x v="6"/>
    <x v="156"/>
    <x v="793"/>
    <n v="5"/>
    <x v="1421"/>
  </r>
  <r>
    <d v="2016-03-03T00:00:00"/>
    <x v="123"/>
    <x v="7"/>
    <x v="0"/>
    <x v="0"/>
    <x v="133"/>
    <x v="453"/>
    <n v="3"/>
    <x v="453"/>
  </r>
  <r>
    <d v="2016-03-03T00:00:00"/>
    <x v="528"/>
    <x v="0"/>
    <x v="0"/>
    <x v="0"/>
    <x v="1075"/>
    <x v="1443"/>
    <n v="7"/>
    <x v="1422"/>
  </r>
  <r>
    <d v="2016-03-03T00:00:00"/>
    <x v="528"/>
    <x v="0"/>
    <x v="1"/>
    <x v="5"/>
    <x v="954"/>
    <x v="1444"/>
    <n v="5"/>
    <x v="1423"/>
  </r>
  <r>
    <d v="2016-03-03T00:00:00"/>
    <x v="445"/>
    <x v="26"/>
    <x v="2"/>
    <x v="6"/>
    <x v="1076"/>
    <x v="1445"/>
    <n v="3"/>
    <x v="1424"/>
  </r>
  <r>
    <d v="2016-03-03T00:00:00"/>
    <x v="215"/>
    <x v="0"/>
    <x v="1"/>
    <x v="10"/>
    <x v="1077"/>
    <x v="1446"/>
    <n v="3"/>
    <x v="1425"/>
  </r>
  <r>
    <d v="2016-03-03T00:00:00"/>
    <x v="215"/>
    <x v="0"/>
    <x v="2"/>
    <x v="16"/>
    <x v="968"/>
    <x v="1242"/>
    <n v="3"/>
    <x v="1220"/>
  </r>
  <r>
    <d v="2016-03-03T00:00:00"/>
    <x v="215"/>
    <x v="0"/>
    <x v="0"/>
    <x v="11"/>
    <x v="964"/>
    <x v="1447"/>
    <n v="3"/>
    <x v="1019"/>
  </r>
  <r>
    <d v="2016-03-03T00:00:00"/>
    <x v="529"/>
    <x v="3"/>
    <x v="0"/>
    <x v="14"/>
    <x v="1078"/>
    <x v="1448"/>
    <n v="3"/>
    <x v="1426"/>
  </r>
  <r>
    <d v="2016-03-03T00:00:00"/>
    <x v="529"/>
    <x v="3"/>
    <x v="1"/>
    <x v="8"/>
    <x v="766"/>
    <x v="930"/>
    <n v="3"/>
    <x v="719"/>
  </r>
  <r>
    <d v="2016-03-03T00:00:00"/>
    <x v="453"/>
    <x v="0"/>
    <x v="0"/>
    <x v="14"/>
    <x v="1079"/>
    <x v="1449"/>
    <n v="3"/>
    <x v="1427"/>
  </r>
  <r>
    <d v="2016-03-03T00:00:00"/>
    <x v="453"/>
    <x v="0"/>
    <x v="0"/>
    <x v="7"/>
    <x v="148"/>
    <x v="1450"/>
    <n v="1"/>
    <x v="1276"/>
  </r>
  <r>
    <d v="2016-03-03T00:00:00"/>
    <x v="453"/>
    <x v="0"/>
    <x v="2"/>
    <x v="6"/>
    <x v="290"/>
    <x v="1451"/>
    <n v="3"/>
    <x v="1126"/>
  </r>
  <r>
    <d v="2016-03-03T00:00:00"/>
    <x v="453"/>
    <x v="0"/>
    <x v="2"/>
    <x v="9"/>
    <x v="301"/>
    <x v="1452"/>
    <n v="7"/>
    <x v="1428"/>
  </r>
  <r>
    <d v="2016-04-03T00:00:00"/>
    <x v="530"/>
    <x v="3"/>
    <x v="0"/>
    <x v="4"/>
    <x v="1080"/>
    <x v="1453"/>
    <n v="1"/>
    <x v="1429"/>
  </r>
  <r>
    <d v="2016-04-03T00:00:00"/>
    <x v="531"/>
    <x v="9"/>
    <x v="0"/>
    <x v="1"/>
    <x v="104"/>
    <x v="1454"/>
    <n v="4"/>
    <x v="1430"/>
  </r>
  <r>
    <d v="2016-04-03T00:00:00"/>
    <x v="122"/>
    <x v="26"/>
    <x v="0"/>
    <x v="3"/>
    <x v="240"/>
    <x v="1455"/>
    <n v="3"/>
    <x v="1431"/>
  </r>
  <r>
    <d v="2016-04-03T00:00:00"/>
    <x v="385"/>
    <x v="43"/>
    <x v="2"/>
    <x v="9"/>
    <x v="591"/>
    <x v="106"/>
    <n v="2"/>
    <x v="106"/>
  </r>
  <r>
    <d v="2016-05-03T00:00:00"/>
    <x v="532"/>
    <x v="0"/>
    <x v="0"/>
    <x v="11"/>
    <x v="614"/>
    <x v="1456"/>
    <n v="3"/>
    <x v="1432"/>
  </r>
  <r>
    <d v="2016-05-03T00:00:00"/>
    <x v="532"/>
    <x v="0"/>
    <x v="0"/>
    <x v="2"/>
    <x v="35"/>
    <x v="1457"/>
    <n v="1"/>
    <x v="1433"/>
  </r>
  <r>
    <d v="2016-06-03T00:00:00"/>
    <x v="369"/>
    <x v="2"/>
    <x v="2"/>
    <x v="6"/>
    <x v="260"/>
    <x v="1458"/>
    <n v="2"/>
    <x v="1434"/>
  </r>
  <r>
    <d v="2016-06-03T00:00:00"/>
    <x v="369"/>
    <x v="2"/>
    <x v="0"/>
    <x v="3"/>
    <x v="518"/>
    <x v="1459"/>
    <n v="1"/>
    <x v="1435"/>
  </r>
  <r>
    <d v="2016-06-03T00:00:00"/>
    <x v="369"/>
    <x v="2"/>
    <x v="2"/>
    <x v="6"/>
    <x v="1081"/>
    <x v="1460"/>
    <n v="3"/>
    <x v="1436"/>
  </r>
  <r>
    <d v="2016-06-03T00:00:00"/>
    <x v="370"/>
    <x v="1"/>
    <x v="0"/>
    <x v="13"/>
    <x v="226"/>
    <x v="1461"/>
    <n v="3"/>
    <x v="1437"/>
  </r>
  <r>
    <d v="2016-06-03T00:00:00"/>
    <x v="370"/>
    <x v="1"/>
    <x v="0"/>
    <x v="3"/>
    <x v="1082"/>
    <x v="1462"/>
    <n v="4"/>
    <x v="1438"/>
  </r>
  <r>
    <d v="2016-06-03T00:00:00"/>
    <x v="370"/>
    <x v="1"/>
    <x v="1"/>
    <x v="8"/>
    <x v="1083"/>
    <x v="1463"/>
    <n v="5"/>
    <x v="1439"/>
  </r>
  <r>
    <d v="2016-06-03T00:00:00"/>
    <x v="370"/>
    <x v="1"/>
    <x v="1"/>
    <x v="10"/>
    <x v="1038"/>
    <x v="1464"/>
    <n v="2"/>
    <x v="1440"/>
  </r>
  <r>
    <d v="2016-07-03T00:00:00"/>
    <x v="142"/>
    <x v="0"/>
    <x v="2"/>
    <x v="6"/>
    <x v="1084"/>
    <x v="1465"/>
    <n v="3"/>
    <x v="1105"/>
  </r>
  <r>
    <d v="2016-08-03T00:00:00"/>
    <x v="533"/>
    <x v="9"/>
    <x v="2"/>
    <x v="6"/>
    <x v="353"/>
    <x v="1466"/>
    <n v="5"/>
    <x v="1441"/>
  </r>
  <r>
    <d v="2016-08-03T00:00:00"/>
    <x v="533"/>
    <x v="9"/>
    <x v="1"/>
    <x v="8"/>
    <x v="445"/>
    <x v="1467"/>
    <n v="3"/>
    <x v="1442"/>
  </r>
  <r>
    <d v="2016-08-03T00:00:00"/>
    <x v="94"/>
    <x v="23"/>
    <x v="0"/>
    <x v="3"/>
    <x v="29"/>
    <x v="1468"/>
    <n v="3"/>
    <x v="1443"/>
  </r>
  <r>
    <d v="2016-08-03T00:00:00"/>
    <x v="534"/>
    <x v="2"/>
    <x v="2"/>
    <x v="6"/>
    <x v="24"/>
    <x v="1469"/>
    <n v="4"/>
    <x v="1444"/>
  </r>
  <r>
    <d v="2016-08-03T00:00:00"/>
    <x v="534"/>
    <x v="2"/>
    <x v="0"/>
    <x v="7"/>
    <x v="962"/>
    <x v="370"/>
    <n v="2"/>
    <x v="1445"/>
  </r>
  <r>
    <d v="2016-08-03T00:00:00"/>
    <x v="392"/>
    <x v="12"/>
    <x v="1"/>
    <x v="8"/>
    <x v="669"/>
    <x v="1470"/>
    <n v="8"/>
    <x v="1446"/>
  </r>
  <r>
    <d v="2016-08-03T00:00:00"/>
    <x v="392"/>
    <x v="12"/>
    <x v="0"/>
    <x v="0"/>
    <x v="1085"/>
    <x v="113"/>
    <n v="2"/>
    <x v="113"/>
  </r>
  <r>
    <d v="2016-08-03T00:00:00"/>
    <x v="392"/>
    <x v="12"/>
    <x v="0"/>
    <x v="3"/>
    <x v="540"/>
    <x v="1471"/>
    <n v="2"/>
    <x v="1447"/>
  </r>
  <r>
    <d v="2016-08-03T00:00:00"/>
    <x v="535"/>
    <x v="0"/>
    <x v="0"/>
    <x v="3"/>
    <x v="910"/>
    <x v="889"/>
    <n v="9"/>
    <x v="1448"/>
  </r>
  <r>
    <d v="2016-08-03T00:00:00"/>
    <x v="535"/>
    <x v="0"/>
    <x v="2"/>
    <x v="9"/>
    <x v="1086"/>
    <x v="1472"/>
    <n v="5"/>
    <x v="1449"/>
  </r>
  <r>
    <d v="2016-08-03T00:00:00"/>
    <x v="535"/>
    <x v="0"/>
    <x v="0"/>
    <x v="11"/>
    <x v="1087"/>
    <x v="1473"/>
    <n v="3"/>
    <x v="1450"/>
  </r>
  <r>
    <d v="2016-08-03T00:00:00"/>
    <x v="165"/>
    <x v="18"/>
    <x v="0"/>
    <x v="13"/>
    <x v="1088"/>
    <x v="1474"/>
    <n v="3"/>
    <x v="1451"/>
  </r>
  <r>
    <d v="2016-08-03T00:00:00"/>
    <x v="165"/>
    <x v="18"/>
    <x v="0"/>
    <x v="4"/>
    <x v="284"/>
    <x v="1290"/>
    <n v="5"/>
    <x v="1452"/>
  </r>
  <r>
    <d v="2016-09-03T00:00:00"/>
    <x v="198"/>
    <x v="27"/>
    <x v="2"/>
    <x v="9"/>
    <x v="699"/>
    <x v="1475"/>
    <n v="5"/>
    <x v="1453"/>
  </r>
  <r>
    <d v="2016-09-03T00:00:00"/>
    <x v="536"/>
    <x v="20"/>
    <x v="0"/>
    <x v="2"/>
    <x v="1089"/>
    <x v="815"/>
    <n v="1"/>
    <x v="569"/>
  </r>
  <r>
    <d v="2016-09-03T00:00:00"/>
    <x v="536"/>
    <x v="20"/>
    <x v="1"/>
    <x v="5"/>
    <x v="239"/>
    <x v="69"/>
    <n v="5"/>
    <x v="1454"/>
  </r>
  <r>
    <d v="2016-09-03T00:00:00"/>
    <x v="536"/>
    <x v="20"/>
    <x v="0"/>
    <x v="0"/>
    <x v="1090"/>
    <x v="77"/>
    <n v="3"/>
    <x v="1288"/>
  </r>
  <r>
    <d v="2016-09-03T00:00:00"/>
    <x v="536"/>
    <x v="20"/>
    <x v="0"/>
    <x v="3"/>
    <x v="856"/>
    <x v="1476"/>
    <n v="4"/>
    <x v="1455"/>
  </r>
  <r>
    <d v="2016-10-03T00:00:00"/>
    <x v="537"/>
    <x v="12"/>
    <x v="1"/>
    <x v="12"/>
    <x v="227"/>
    <x v="1477"/>
    <n v="1"/>
    <x v="1456"/>
  </r>
  <r>
    <d v="2016-10-03T00:00:00"/>
    <x v="538"/>
    <x v="2"/>
    <x v="2"/>
    <x v="9"/>
    <x v="472"/>
    <x v="1478"/>
    <n v="1"/>
    <x v="1457"/>
  </r>
  <r>
    <d v="2016-10-03T00:00:00"/>
    <x v="539"/>
    <x v="3"/>
    <x v="0"/>
    <x v="0"/>
    <x v="1091"/>
    <x v="528"/>
    <n v="5"/>
    <x v="1458"/>
  </r>
  <r>
    <d v="2016-10-03T00:00:00"/>
    <x v="539"/>
    <x v="3"/>
    <x v="2"/>
    <x v="6"/>
    <x v="1092"/>
    <x v="1479"/>
    <n v="8"/>
    <x v="1459"/>
  </r>
  <r>
    <d v="2016-10-03T00:00:00"/>
    <x v="540"/>
    <x v="3"/>
    <x v="2"/>
    <x v="9"/>
    <x v="461"/>
    <x v="1480"/>
    <n v="3"/>
    <x v="537"/>
  </r>
  <r>
    <d v="2016-10-03T00:00:00"/>
    <x v="540"/>
    <x v="3"/>
    <x v="2"/>
    <x v="16"/>
    <x v="1093"/>
    <x v="1481"/>
    <n v="3"/>
    <x v="1460"/>
  </r>
  <r>
    <d v="2016-10-03T00:00:00"/>
    <x v="541"/>
    <x v="23"/>
    <x v="0"/>
    <x v="2"/>
    <x v="1094"/>
    <x v="1482"/>
    <n v="1"/>
    <x v="1461"/>
  </r>
  <r>
    <d v="2016-11-03T00:00:00"/>
    <x v="264"/>
    <x v="28"/>
    <x v="2"/>
    <x v="9"/>
    <x v="999"/>
    <x v="343"/>
    <n v="2"/>
    <x v="1462"/>
  </r>
  <r>
    <d v="2016-11-03T00:00:00"/>
    <x v="264"/>
    <x v="28"/>
    <x v="0"/>
    <x v="3"/>
    <x v="38"/>
    <x v="39"/>
    <n v="2"/>
    <x v="39"/>
  </r>
  <r>
    <d v="2016-11-03T00:00:00"/>
    <x v="2"/>
    <x v="11"/>
    <x v="1"/>
    <x v="10"/>
    <x v="752"/>
    <x v="905"/>
    <n v="2"/>
    <x v="884"/>
  </r>
  <r>
    <d v="2016-11-03T00:00:00"/>
    <x v="400"/>
    <x v="4"/>
    <x v="1"/>
    <x v="8"/>
    <x v="390"/>
    <x v="1483"/>
    <n v="4"/>
    <x v="1463"/>
  </r>
  <r>
    <d v="2016-11-03T00:00:00"/>
    <x v="400"/>
    <x v="4"/>
    <x v="0"/>
    <x v="2"/>
    <x v="803"/>
    <x v="1484"/>
    <n v="4"/>
    <x v="1464"/>
  </r>
  <r>
    <d v="2016-11-03T00:00:00"/>
    <x v="542"/>
    <x v="2"/>
    <x v="1"/>
    <x v="8"/>
    <x v="721"/>
    <x v="1485"/>
    <n v="4"/>
    <x v="1465"/>
  </r>
  <r>
    <d v="2016-12-03T00:00:00"/>
    <x v="471"/>
    <x v="21"/>
    <x v="0"/>
    <x v="0"/>
    <x v="1025"/>
    <x v="113"/>
    <n v="2"/>
    <x v="411"/>
  </r>
  <r>
    <d v="2016-12-03T00:00:00"/>
    <x v="406"/>
    <x v="12"/>
    <x v="0"/>
    <x v="11"/>
    <x v="55"/>
    <x v="805"/>
    <n v="3"/>
    <x v="1466"/>
  </r>
  <r>
    <d v="2016-12-03T00:00:00"/>
    <x v="489"/>
    <x v="3"/>
    <x v="0"/>
    <x v="2"/>
    <x v="1095"/>
    <x v="1486"/>
    <n v="5"/>
    <x v="1467"/>
  </r>
  <r>
    <d v="2016-12-03T00:00:00"/>
    <x v="489"/>
    <x v="3"/>
    <x v="0"/>
    <x v="13"/>
    <x v="98"/>
    <x v="100"/>
    <n v="5"/>
    <x v="100"/>
  </r>
  <r>
    <d v="2016-12-03T00:00:00"/>
    <x v="489"/>
    <x v="3"/>
    <x v="0"/>
    <x v="11"/>
    <x v="221"/>
    <x v="1487"/>
    <n v="4"/>
    <x v="1468"/>
  </r>
  <r>
    <d v="2016-12-03T00:00:00"/>
    <x v="489"/>
    <x v="3"/>
    <x v="1"/>
    <x v="5"/>
    <x v="598"/>
    <x v="1488"/>
    <n v="3"/>
    <x v="1469"/>
  </r>
  <r>
    <d v="2016-12-03T00:00:00"/>
    <x v="463"/>
    <x v="3"/>
    <x v="0"/>
    <x v="0"/>
    <x v="1096"/>
    <x v="1489"/>
    <n v="2"/>
    <x v="1470"/>
  </r>
  <r>
    <d v="2016-01-04T00:00:00"/>
    <x v="543"/>
    <x v="12"/>
    <x v="0"/>
    <x v="4"/>
    <x v="69"/>
    <x v="71"/>
    <n v="3"/>
    <x v="72"/>
  </r>
  <r>
    <d v="2016-01-04T00:00:00"/>
    <x v="543"/>
    <x v="12"/>
    <x v="0"/>
    <x v="2"/>
    <x v="52"/>
    <x v="1490"/>
    <n v="3"/>
    <x v="1471"/>
  </r>
  <r>
    <d v="2016-01-04T00:00:00"/>
    <x v="543"/>
    <x v="12"/>
    <x v="0"/>
    <x v="4"/>
    <x v="251"/>
    <x v="1491"/>
    <n v="6"/>
    <x v="1472"/>
  </r>
  <r>
    <d v="2016-01-04T00:00:00"/>
    <x v="543"/>
    <x v="12"/>
    <x v="0"/>
    <x v="4"/>
    <x v="575"/>
    <x v="638"/>
    <n v="3"/>
    <x v="627"/>
  </r>
  <r>
    <d v="2016-01-04T00:00:00"/>
    <x v="543"/>
    <x v="12"/>
    <x v="0"/>
    <x v="4"/>
    <x v="1097"/>
    <x v="748"/>
    <n v="3"/>
    <x v="559"/>
  </r>
  <r>
    <d v="2016-01-04T00:00:00"/>
    <x v="543"/>
    <x v="12"/>
    <x v="2"/>
    <x v="6"/>
    <x v="1084"/>
    <x v="1492"/>
    <n v="4"/>
    <x v="1473"/>
  </r>
  <r>
    <d v="2016-01-04T00:00:00"/>
    <x v="464"/>
    <x v="23"/>
    <x v="0"/>
    <x v="7"/>
    <x v="22"/>
    <x v="1493"/>
    <n v="5"/>
    <x v="1474"/>
  </r>
  <r>
    <d v="2016-01-04T00:00:00"/>
    <x v="464"/>
    <x v="23"/>
    <x v="0"/>
    <x v="13"/>
    <x v="1098"/>
    <x v="1494"/>
    <n v="2"/>
    <x v="13"/>
  </r>
  <r>
    <d v="2016-01-04T00:00:00"/>
    <x v="544"/>
    <x v="12"/>
    <x v="0"/>
    <x v="4"/>
    <x v="1099"/>
    <x v="1495"/>
    <n v="4"/>
    <x v="1475"/>
  </r>
  <r>
    <d v="2016-01-04T00:00:00"/>
    <x v="308"/>
    <x v="12"/>
    <x v="0"/>
    <x v="1"/>
    <x v="1100"/>
    <x v="1145"/>
    <n v="2"/>
    <x v="1115"/>
  </r>
  <r>
    <d v="2016-01-04T00:00:00"/>
    <x v="308"/>
    <x v="12"/>
    <x v="0"/>
    <x v="14"/>
    <x v="584"/>
    <x v="849"/>
    <n v="3"/>
    <x v="825"/>
  </r>
  <r>
    <d v="2016-01-04T00:00:00"/>
    <x v="308"/>
    <x v="12"/>
    <x v="0"/>
    <x v="3"/>
    <x v="965"/>
    <x v="289"/>
    <n v="3"/>
    <x v="78"/>
  </r>
  <r>
    <d v="2016-01-04T00:00:00"/>
    <x v="306"/>
    <x v="12"/>
    <x v="1"/>
    <x v="5"/>
    <x v="423"/>
    <x v="1496"/>
    <n v="6"/>
    <x v="1476"/>
  </r>
  <r>
    <d v="2016-01-04T00:00:00"/>
    <x v="306"/>
    <x v="12"/>
    <x v="0"/>
    <x v="14"/>
    <x v="252"/>
    <x v="1497"/>
    <n v="8"/>
    <x v="1477"/>
  </r>
  <r>
    <d v="2016-01-04T00:00:00"/>
    <x v="306"/>
    <x v="12"/>
    <x v="0"/>
    <x v="3"/>
    <x v="107"/>
    <x v="1498"/>
    <n v="1"/>
    <x v="1009"/>
  </r>
  <r>
    <d v="2016-01-04T00:00:00"/>
    <x v="545"/>
    <x v="4"/>
    <x v="1"/>
    <x v="8"/>
    <x v="1101"/>
    <x v="1499"/>
    <n v="4"/>
    <x v="1478"/>
  </r>
  <r>
    <d v="2016-01-04T00:00:00"/>
    <x v="546"/>
    <x v="8"/>
    <x v="2"/>
    <x v="6"/>
    <x v="1059"/>
    <x v="1457"/>
    <n v="1"/>
    <x v="1479"/>
  </r>
  <r>
    <d v="2016-02-04T00:00:00"/>
    <x v="311"/>
    <x v="8"/>
    <x v="1"/>
    <x v="5"/>
    <x v="1102"/>
    <x v="1500"/>
    <n v="5"/>
    <x v="1480"/>
  </r>
  <r>
    <d v="2016-03-04T00:00:00"/>
    <x v="121"/>
    <x v="2"/>
    <x v="0"/>
    <x v="3"/>
    <x v="1103"/>
    <x v="1501"/>
    <n v="9"/>
    <x v="1481"/>
  </r>
  <r>
    <d v="2016-03-04T00:00:00"/>
    <x v="547"/>
    <x v="26"/>
    <x v="1"/>
    <x v="8"/>
    <x v="891"/>
    <x v="1502"/>
    <n v="4"/>
    <x v="1482"/>
  </r>
  <r>
    <d v="2016-03-04T00:00:00"/>
    <x v="547"/>
    <x v="26"/>
    <x v="2"/>
    <x v="6"/>
    <x v="498"/>
    <x v="1503"/>
    <n v="4"/>
    <x v="1483"/>
  </r>
  <r>
    <d v="2016-03-04T00:00:00"/>
    <x v="269"/>
    <x v="0"/>
    <x v="0"/>
    <x v="0"/>
    <x v="758"/>
    <x v="536"/>
    <n v="3"/>
    <x v="1484"/>
  </r>
  <r>
    <d v="2016-04-04T00:00:00"/>
    <x v="5"/>
    <x v="6"/>
    <x v="2"/>
    <x v="6"/>
    <x v="1068"/>
    <x v="772"/>
    <n v="3"/>
    <x v="940"/>
  </r>
  <r>
    <d v="2016-04-04T00:00:00"/>
    <x v="5"/>
    <x v="6"/>
    <x v="0"/>
    <x v="0"/>
    <x v="582"/>
    <x v="1504"/>
    <n v="3"/>
    <x v="574"/>
  </r>
  <r>
    <d v="2016-04-04T00:00:00"/>
    <x v="548"/>
    <x v="12"/>
    <x v="0"/>
    <x v="3"/>
    <x v="355"/>
    <x v="1505"/>
    <n v="2"/>
    <x v="1485"/>
  </r>
  <r>
    <d v="2016-04-04T00:00:00"/>
    <x v="139"/>
    <x v="12"/>
    <x v="1"/>
    <x v="8"/>
    <x v="200"/>
    <x v="1506"/>
    <n v="2"/>
    <x v="1486"/>
  </r>
  <r>
    <d v="2016-04-04T00:00:00"/>
    <x v="139"/>
    <x v="12"/>
    <x v="0"/>
    <x v="2"/>
    <x v="117"/>
    <x v="1507"/>
    <n v="2"/>
    <x v="394"/>
  </r>
  <r>
    <d v="2016-04-04T00:00:00"/>
    <x v="139"/>
    <x v="12"/>
    <x v="2"/>
    <x v="9"/>
    <x v="952"/>
    <x v="571"/>
    <n v="3"/>
    <x v="1195"/>
  </r>
  <r>
    <d v="2016-05-04T00:00:00"/>
    <x v="75"/>
    <x v="0"/>
    <x v="0"/>
    <x v="2"/>
    <x v="175"/>
    <x v="1508"/>
    <n v="7"/>
    <x v="868"/>
  </r>
  <r>
    <d v="2016-05-04T00:00:00"/>
    <x v="460"/>
    <x v="2"/>
    <x v="2"/>
    <x v="6"/>
    <x v="1104"/>
    <x v="1509"/>
    <n v="3"/>
    <x v="1487"/>
  </r>
  <r>
    <d v="2016-05-04T00:00:00"/>
    <x v="460"/>
    <x v="2"/>
    <x v="0"/>
    <x v="14"/>
    <x v="1105"/>
    <x v="1510"/>
    <n v="4"/>
    <x v="1488"/>
  </r>
  <r>
    <d v="2016-06-04T00:00:00"/>
    <x v="68"/>
    <x v="41"/>
    <x v="2"/>
    <x v="6"/>
    <x v="1106"/>
    <x v="1511"/>
    <n v="5"/>
    <x v="1489"/>
  </r>
  <r>
    <d v="2016-07-04T00:00:00"/>
    <x v="486"/>
    <x v="3"/>
    <x v="2"/>
    <x v="15"/>
    <x v="1019"/>
    <x v="353"/>
    <n v="3"/>
    <x v="1490"/>
  </r>
  <r>
    <d v="2016-07-04T00:00:00"/>
    <x v="129"/>
    <x v="12"/>
    <x v="1"/>
    <x v="5"/>
    <x v="423"/>
    <x v="1512"/>
    <n v="3"/>
    <x v="1491"/>
  </r>
  <r>
    <d v="2016-07-04T00:00:00"/>
    <x v="341"/>
    <x v="12"/>
    <x v="0"/>
    <x v="4"/>
    <x v="243"/>
    <x v="1297"/>
    <n v="2"/>
    <x v="1492"/>
  </r>
  <r>
    <d v="2016-07-04T00:00:00"/>
    <x v="224"/>
    <x v="11"/>
    <x v="0"/>
    <x v="0"/>
    <x v="1107"/>
    <x v="910"/>
    <n v="2"/>
    <x v="891"/>
  </r>
  <r>
    <d v="2016-07-04T00:00:00"/>
    <x v="245"/>
    <x v="2"/>
    <x v="0"/>
    <x v="13"/>
    <x v="1108"/>
    <x v="1513"/>
    <n v="3"/>
    <x v="186"/>
  </r>
  <r>
    <d v="2016-07-04T00:00:00"/>
    <x v="245"/>
    <x v="2"/>
    <x v="0"/>
    <x v="2"/>
    <x v="1109"/>
    <x v="695"/>
    <n v="3"/>
    <x v="1493"/>
  </r>
  <r>
    <d v="2016-08-04T00:00:00"/>
    <x v="549"/>
    <x v="12"/>
    <x v="1"/>
    <x v="12"/>
    <x v="1110"/>
    <x v="1514"/>
    <n v="6"/>
    <x v="1494"/>
  </r>
  <r>
    <d v="2016-08-04T00:00:00"/>
    <x v="549"/>
    <x v="12"/>
    <x v="0"/>
    <x v="11"/>
    <x v="953"/>
    <x v="1515"/>
    <n v="2"/>
    <x v="310"/>
  </r>
  <r>
    <d v="2016-08-04T00:00:00"/>
    <x v="549"/>
    <x v="12"/>
    <x v="0"/>
    <x v="4"/>
    <x v="6"/>
    <x v="1516"/>
    <n v="4"/>
    <x v="1495"/>
  </r>
  <r>
    <d v="2016-08-04T00:00:00"/>
    <x v="549"/>
    <x v="12"/>
    <x v="0"/>
    <x v="0"/>
    <x v="1033"/>
    <x v="1517"/>
    <n v="5"/>
    <x v="1496"/>
  </r>
  <r>
    <d v="2016-08-04T00:00:00"/>
    <x v="212"/>
    <x v="3"/>
    <x v="0"/>
    <x v="0"/>
    <x v="1111"/>
    <x v="587"/>
    <n v="3"/>
    <x v="732"/>
  </r>
  <r>
    <d v="2016-08-04T00:00:00"/>
    <x v="212"/>
    <x v="3"/>
    <x v="0"/>
    <x v="2"/>
    <x v="44"/>
    <x v="35"/>
    <n v="2"/>
    <x v="45"/>
  </r>
  <r>
    <d v="2016-08-04T00:00:00"/>
    <x v="212"/>
    <x v="3"/>
    <x v="0"/>
    <x v="0"/>
    <x v="640"/>
    <x v="113"/>
    <n v="2"/>
    <x v="411"/>
  </r>
  <r>
    <d v="2016-08-04T00:00:00"/>
    <x v="533"/>
    <x v="0"/>
    <x v="2"/>
    <x v="9"/>
    <x v="1112"/>
    <x v="1518"/>
    <n v="9"/>
    <x v="1497"/>
  </r>
  <r>
    <d v="2016-08-04T00:00:00"/>
    <x v="533"/>
    <x v="0"/>
    <x v="1"/>
    <x v="5"/>
    <x v="757"/>
    <x v="357"/>
    <n v="4"/>
    <x v="1498"/>
  </r>
  <r>
    <d v="2016-08-04T00:00:00"/>
    <x v="533"/>
    <x v="0"/>
    <x v="0"/>
    <x v="3"/>
    <x v="1113"/>
    <x v="1519"/>
    <n v="4"/>
    <x v="1499"/>
  </r>
  <r>
    <d v="2016-08-04T00:00:00"/>
    <x v="363"/>
    <x v="16"/>
    <x v="0"/>
    <x v="11"/>
    <x v="1114"/>
    <x v="1520"/>
    <n v="1"/>
    <x v="1500"/>
  </r>
  <r>
    <d v="2016-08-04T00:00:00"/>
    <x v="363"/>
    <x v="16"/>
    <x v="0"/>
    <x v="3"/>
    <x v="77"/>
    <x v="1521"/>
    <n v="6"/>
    <x v="1501"/>
  </r>
  <r>
    <d v="2016-08-04T00:00:00"/>
    <x v="406"/>
    <x v="3"/>
    <x v="1"/>
    <x v="8"/>
    <x v="1115"/>
    <x v="1522"/>
    <n v="5"/>
    <x v="1502"/>
  </r>
  <r>
    <d v="2016-08-04T00:00:00"/>
    <x v="94"/>
    <x v="4"/>
    <x v="0"/>
    <x v="11"/>
    <x v="1116"/>
    <x v="1523"/>
    <n v="4"/>
    <x v="1503"/>
  </r>
  <r>
    <d v="2016-08-04T00:00:00"/>
    <x v="100"/>
    <x v="4"/>
    <x v="1"/>
    <x v="12"/>
    <x v="1117"/>
    <x v="69"/>
    <n v="5"/>
    <x v="1454"/>
  </r>
  <r>
    <d v="2016-08-04T00:00:00"/>
    <x v="109"/>
    <x v="29"/>
    <x v="0"/>
    <x v="7"/>
    <x v="419"/>
    <x v="1524"/>
    <n v="6"/>
    <x v="1504"/>
  </r>
  <r>
    <d v="2016-08-04T00:00:00"/>
    <x v="109"/>
    <x v="29"/>
    <x v="0"/>
    <x v="0"/>
    <x v="1085"/>
    <x v="212"/>
    <n v="4"/>
    <x v="646"/>
  </r>
  <r>
    <d v="2016-08-04T00:00:00"/>
    <x v="109"/>
    <x v="29"/>
    <x v="1"/>
    <x v="8"/>
    <x v="1118"/>
    <x v="1525"/>
    <n v="4"/>
    <x v="1505"/>
  </r>
  <r>
    <d v="2016-09-04T00:00:00"/>
    <x v="351"/>
    <x v="10"/>
    <x v="0"/>
    <x v="3"/>
    <x v="514"/>
    <x v="1526"/>
    <n v="9"/>
    <x v="1506"/>
  </r>
  <r>
    <d v="2016-09-04T00:00:00"/>
    <x v="550"/>
    <x v="18"/>
    <x v="2"/>
    <x v="6"/>
    <x v="1106"/>
    <x v="1527"/>
    <n v="2"/>
    <x v="1507"/>
  </r>
  <r>
    <d v="2016-09-04T00:00:00"/>
    <x v="550"/>
    <x v="18"/>
    <x v="0"/>
    <x v="3"/>
    <x v="1119"/>
    <x v="777"/>
    <n v="2"/>
    <x v="1508"/>
  </r>
  <r>
    <d v="2016-09-04T00:00:00"/>
    <x v="551"/>
    <x v="3"/>
    <x v="1"/>
    <x v="12"/>
    <x v="1120"/>
    <x v="1528"/>
    <n v="5"/>
    <x v="1509"/>
  </r>
  <r>
    <d v="2016-10-04T00:00:00"/>
    <x v="526"/>
    <x v="16"/>
    <x v="0"/>
    <x v="3"/>
    <x v="374"/>
    <x v="1529"/>
    <n v="2"/>
    <x v="1345"/>
  </r>
  <r>
    <d v="2016-10-04T00:00:00"/>
    <x v="45"/>
    <x v="3"/>
    <x v="0"/>
    <x v="0"/>
    <x v="1121"/>
    <x v="113"/>
    <n v="2"/>
    <x v="411"/>
  </r>
  <r>
    <d v="2016-10-04T00:00:00"/>
    <x v="45"/>
    <x v="3"/>
    <x v="0"/>
    <x v="3"/>
    <x v="1122"/>
    <x v="1530"/>
    <n v="5"/>
    <x v="1094"/>
  </r>
  <r>
    <d v="2016-10-04T00:00:00"/>
    <x v="405"/>
    <x v="3"/>
    <x v="0"/>
    <x v="13"/>
    <x v="1035"/>
    <x v="1531"/>
    <n v="3"/>
    <x v="1510"/>
  </r>
  <r>
    <d v="2016-10-04T00:00:00"/>
    <x v="405"/>
    <x v="3"/>
    <x v="0"/>
    <x v="2"/>
    <x v="475"/>
    <x v="1532"/>
    <n v="3"/>
    <x v="1511"/>
  </r>
  <r>
    <d v="2016-10-04T00:00:00"/>
    <x v="405"/>
    <x v="3"/>
    <x v="0"/>
    <x v="2"/>
    <x v="94"/>
    <x v="1533"/>
    <n v="9"/>
    <x v="1512"/>
  </r>
  <r>
    <d v="2016-10-04T00:00:00"/>
    <x v="405"/>
    <x v="3"/>
    <x v="0"/>
    <x v="3"/>
    <x v="1123"/>
    <x v="1534"/>
    <n v="4"/>
    <x v="1513"/>
  </r>
  <r>
    <d v="2016-10-04T00:00:00"/>
    <x v="108"/>
    <x v="1"/>
    <x v="0"/>
    <x v="4"/>
    <x v="566"/>
    <x v="1535"/>
    <n v="4"/>
    <x v="1500"/>
  </r>
  <r>
    <d v="2016-12-04T00:00:00"/>
    <x v="390"/>
    <x v="6"/>
    <x v="1"/>
    <x v="10"/>
    <x v="126"/>
    <x v="1536"/>
    <n v="4"/>
    <x v="1514"/>
  </r>
  <r>
    <d v="2016-12-04T00:00:00"/>
    <x v="390"/>
    <x v="6"/>
    <x v="0"/>
    <x v="0"/>
    <x v="139"/>
    <x v="1537"/>
    <n v="1"/>
    <x v="1166"/>
  </r>
  <r>
    <d v="2016-12-04T00:00:00"/>
    <x v="390"/>
    <x v="6"/>
    <x v="0"/>
    <x v="11"/>
    <x v="348"/>
    <x v="1538"/>
    <n v="5"/>
    <x v="1515"/>
  </r>
  <r>
    <d v="2016-12-04T00:00:00"/>
    <x v="225"/>
    <x v="3"/>
    <x v="1"/>
    <x v="5"/>
    <x v="941"/>
    <x v="1539"/>
    <n v="7"/>
    <x v="1516"/>
  </r>
  <r>
    <d v="2016-12-04T00:00:00"/>
    <x v="225"/>
    <x v="3"/>
    <x v="0"/>
    <x v="3"/>
    <x v="1124"/>
    <x v="1540"/>
    <n v="1"/>
    <x v="487"/>
  </r>
  <r>
    <d v="2016-12-04T00:00:00"/>
    <x v="552"/>
    <x v="3"/>
    <x v="0"/>
    <x v="0"/>
    <x v="1125"/>
    <x v="5"/>
    <n v="3"/>
    <x v="5"/>
  </r>
  <r>
    <d v="2016-12-04T00:00:00"/>
    <x v="552"/>
    <x v="3"/>
    <x v="1"/>
    <x v="5"/>
    <x v="45"/>
    <x v="1541"/>
    <n v="3"/>
    <x v="1517"/>
  </r>
  <r>
    <d v="2016-12-04T00:00:00"/>
    <x v="552"/>
    <x v="3"/>
    <x v="0"/>
    <x v="3"/>
    <x v="713"/>
    <x v="1542"/>
    <n v="3"/>
    <x v="1518"/>
  </r>
  <r>
    <d v="2016-12-04T00:00:00"/>
    <x v="308"/>
    <x v="15"/>
    <x v="0"/>
    <x v="2"/>
    <x v="52"/>
    <x v="53"/>
    <n v="3"/>
    <x v="54"/>
  </r>
  <r>
    <d v="2016-12-04T00:00:00"/>
    <x v="308"/>
    <x v="15"/>
    <x v="0"/>
    <x v="2"/>
    <x v="1126"/>
    <x v="1543"/>
    <n v="1"/>
    <x v="1519"/>
  </r>
  <r>
    <d v="2016-12-04T00:00:00"/>
    <x v="308"/>
    <x v="15"/>
    <x v="0"/>
    <x v="0"/>
    <x v="1127"/>
    <x v="536"/>
    <n v="3"/>
    <x v="909"/>
  </r>
  <r>
    <d v="2016-01-05T00:00:00"/>
    <x v="551"/>
    <x v="31"/>
    <x v="0"/>
    <x v="1"/>
    <x v="507"/>
    <x v="1544"/>
    <n v="1"/>
    <x v="1178"/>
  </r>
  <r>
    <d v="2016-01-05T00:00:00"/>
    <x v="551"/>
    <x v="31"/>
    <x v="1"/>
    <x v="10"/>
    <x v="254"/>
    <x v="1545"/>
    <n v="3"/>
    <x v="1520"/>
  </r>
  <r>
    <d v="2016-01-05T00:00:00"/>
    <x v="551"/>
    <x v="31"/>
    <x v="0"/>
    <x v="3"/>
    <x v="293"/>
    <x v="1546"/>
    <n v="2"/>
    <x v="1521"/>
  </r>
  <r>
    <d v="2016-01-05T00:00:00"/>
    <x v="553"/>
    <x v="29"/>
    <x v="0"/>
    <x v="0"/>
    <x v="1128"/>
    <x v="1547"/>
    <n v="2"/>
    <x v="1522"/>
  </r>
  <r>
    <d v="2016-01-05T00:00:00"/>
    <x v="553"/>
    <x v="29"/>
    <x v="0"/>
    <x v="0"/>
    <x v="1129"/>
    <x v="5"/>
    <n v="3"/>
    <x v="5"/>
  </r>
  <r>
    <d v="2016-01-05T00:00:00"/>
    <x v="553"/>
    <x v="29"/>
    <x v="0"/>
    <x v="4"/>
    <x v="193"/>
    <x v="104"/>
    <n v="2"/>
    <x v="822"/>
  </r>
  <r>
    <d v="2016-02-05T00:00:00"/>
    <x v="538"/>
    <x v="0"/>
    <x v="0"/>
    <x v="4"/>
    <x v="740"/>
    <x v="1548"/>
    <n v="3"/>
    <x v="74"/>
  </r>
  <r>
    <d v="2016-02-05T00:00:00"/>
    <x v="554"/>
    <x v="12"/>
    <x v="0"/>
    <x v="2"/>
    <x v="1130"/>
    <x v="1549"/>
    <n v="3"/>
    <x v="1523"/>
  </r>
  <r>
    <d v="2016-02-05T00:00:00"/>
    <x v="554"/>
    <x v="12"/>
    <x v="0"/>
    <x v="3"/>
    <x v="638"/>
    <x v="1550"/>
    <n v="3"/>
    <x v="1524"/>
  </r>
  <r>
    <d v="2016-02-05T00:00:00"/>
    <x v="555"/>
    <x v="15"/>
    <x v="1"/>
    <x v="5"/>
    <x v="1131"/>
    <x v="1551"/>
    <n v="9"/>
    <x v="1525"/>
  </r>
  <r>
    <d v="2016-02-05T00:00:00"/>
    <x v="481"/>
    <x v="0"/>
    <x v="0"/>
    <x v="2"/>
    <x v="330"/>
    <x v="1552"/>
    <n v="3"/>
    <x v="1526"/>
  </r>
  <r>
    <d v="2016-02-05T00:00:00"/>
    <x v="481"/>
    <x v="0"/>
    <x v="0"/>
    <x v="2"/>
    <x v="1132"/>
    <x v="1553"/>
    <n v="3"/>
    <x v="1527"/>
  </r>
  <r>
    <d v="2016-02-05T00:00:00"/>
    <x v="481"/>
    <x v="0"/>
    <x v="0"/>
    <x v="1"/>
    <x v="1133"/>
    <x v="837"/>
    <n v="2"/>
    <x v="764"/>
  </r>
  <r>
    <d v="2016-02-05T00:00:00"/>
    <x v="120"/>
    <x v="0"/>
    <x v="1"/>
    <x v="5"/>
    <x v="471"/>
    <x v="1554"/>
    <n v="4"/>
    <x v="1528"/>
  </r>
  <r>
    <d v="2016-02-05T00:00:00"/>
    <x v="79"/>
    <x v="12"/>
    <x v="1"/>
    <x v="8"/>
    <x v="1134"/>
    <x v="1198"/>
    <n v="2"/>
    <x v="1529"/>
  </r>
  <r>
    <d v="2016-02-05T00:00:00"/>
    <x v="79"/>
    <x v="12"/>
    <x v="0"/>
    <x v="3"/>
    <x v="270"/>
    <x v="1420"/>
    <n v="3"/>
    <x v="1530"/>
  </r>
  <r>
    <d v="2016-02-05T00:00:00"/>
    <x v="79"/>
    <x v="12"/>
    <x v="0"/>
    <x v="0"/>
    <x v="500"/>
    <x v="1555"/>
    <n v="2"/>
    <x v="1531"/>
  </r>
  <r>
    <d v="2016-02-05T00:00:00"/>
    <x v="79"/>
    <x v="12"/>
    <x v="1"/>
    <x v="8"/>
    <x v="505"/>
    <x v="1556"/>
    <n v="5"/>
    <x v="1532"/>
  </r>
  <r>
    <d v="2016-03-05T00:00:00"/>
    <x v="468"/>
    <x v="1"/>
    <x v="0"/>
    <x v="3"/>
    <x v="1135"/>
    <x v="1557"/>
    <n v="1"/>
    <x v="1533"/>
  </r>
  <r>
    <d v="2016-03-05T00:00:00"/>
    <x v="468"/>
    <x v="1"/>
    <x v="0"/>
    <x v="4"/>
    <x v="1136"/>
    <x v="1558"/>
    <n v="7"/>
    <x v="1534"/>
  </r>
  <r>
    <d v="2016-03-05T00:00:00"/>
    <x v="468"/>
    <x v="1"/>
    <x v="0"/>
    <x v="13"/>
    <x v="367"/>
    <x v="1559"/>
    <n v="3"/>
    <x v="1535"/>
  </r>
  <r>
    <d v="2016-03-05T00:00:00"/>
    <x v="556"/>
    <x v="16"/>
    <x v="2"/>
    <x v="9"/>
    <x v="589"/>
    <x v="1560"/>
    <n v="5"/>
    <x v="1536"/>
  </r>
  <r>
    <d v="2016-03-05T00:00:00"/>
    <x v="556"/>
    <x v="16"/>
    <x v="0"/>
    <x v="2"/>
    <x v="679"/>
    <x v="1561"/>
    <n v="5"/>
    <x v="1537"/>
  </r>
  <r>
    <d v="2016-03-05T00:00:00"/>
    <x v="556"/>
    <x v="16"/>
    <x v="1"/>
    <x v="8"/>
    <x v="1137"/>
    <x v="1562"/>
    <n v="2"/>
    <x v="1286"/>
  </r>
  <r>
    <d v="2016-03-05T00:00:00"/>
    <x v="556"/>
    <x v="16"/>
    <x v="2"/>
    <x v="9"/>
    <x v="987"/>
    <x v="1451"/>
    <n v="3"/>
    <x v="1538"/>
  </r>
  <r>
    <d v="2016-03-05T00:00:00"/>
    <x v="556"/>
    <x v="16"/>
    <x v="2"/>
    <x v="16"/>
    <x v="1138"/>
    <x v="1563"/>
    <n v="3"/>
    <x v="1539"/>
  </r>
  <r>
    <d v="2016-03-05T00:00:00"/>
    <x v="556"/>
    <x v="16"/>
    <x v="0"/>
    <x v="1"/>
    <x v="1139"/>
    <x v="1564"/>
    <n v="2"/>
    <x v="1077"/>
  </r>
  <r>
    <d v="2016-05-05T00:00:00"/>
    <x v="248"/>
    <x v="5"/>
    <x v="0"/>
    <x v="0"/>
    <x v="256"/>
    <x v="263"/>
    <n v="3"/>
    <x v="265"/>
  </r>
  <r>
    <d v="2016-05-05T00:00:00"/>
    <x v="557"/>
    <x v="31"/>
    <x v="0"/>
    <x v="0"/>
    <x v="1140"/>
    <x v="289"/>
    <n v="3"/>
    <x v="1540"/>
  </r>
  <r>
    <d v="2016-05-05T00:00:00"/>
    <x v="558"/>
    <x v="3"/>
    <x v="0"/>
    <x v="2"/>
    <x v="281"/>
    <x v="370"/>
    <n v="1"/>
    <x v="1273"/>
  </r>
  <r>
    <d v="2016-05-05T00:00:00"/>
    <x v="558"/>
    <x v="3"/>
    <x v="2"/>
    <x v="6"/>
    <x v="1141"/>
    <x v="1565"/>
    <n v="3"/>
    <x v="1541"/>
  </r>
  <r>
    <d v="2016-05-05T00:00:00"/>
    <x v="404"/>
    <x v="3"/>
    <x v="0"/>
    <x v="3"/>
    <x v="1142"/>
    <x v="572"/>
    <n v="5"/>
    <x v="108"/>
  </r>
  <r>
    <d v="2016-05-05T00:00:00"/>
    <x v="404"/>
    <x v="3"/>
    <x v="1"/>
    <x v="10"/>
    <x v="145"/>
    <x v="1566"/>
    <n v="3"/>
    <x v="1542"/>
  </r>
  <r>
    <d v="2016-05-05T00:00:00"/>
    <x v="547"/>
    <x v="31"/>
    <x v="1"/>
    <x v="8"/>
    <x v="646"/>
    <x v="1567"/>
    <n v="5"/>
    <x v="1543"/>
  </r>
  <r>
    <d v="2016-05-05T00:00:00"/>
    <x v="320"/>
    <x v="3"/>
    <x v="1"/>
    <x v="10"/>
    <x v="1143"/>
    <x v="1568"/>
    <n v="2"/>
    <x v="1544"/>
  </r>
  <r>
    <d v="2016-05-05T00:00:00"/>
    <x v="559"/>
    <x v="13"/>
    <x v="1"/>
    <x v="10"/>
    <x v="1144"/>
    <x v="1569"/>
    <n v="6"/>
    <x v="1545"/>
  </r>
  <r>
    <d v="2016-05-05T00:00:00"/>
    <x v="559"/>
    <x v="13"/>
    <x v="0"/>
    <x v="3"/>
    <x v="761"/>
    <x v="923"/>
    <n v="2"/>
    <x v="402"/>
  </r>
  <r>
    <d v="2016-05-05T00:00:00"/>
    <x v="198"/>
    <x v="9"/>
    <x v="0"/>
    <x v="0"/>
    <x v="1145"/>
    <x v="1570"/>
    <n v="4"/>
    <x v="426"/>
  </r>
  <r>
    <d v="2016-05-05T00:00:00"/>
    <x v="198"/>
    <x v="9"/>
    <x v="2"/>
    <x v="6"/>
    <x v="1146"/>
    <x v="1571"/>
    <n v="3"/>
    <x v="271"/>
  </r>
  <r>
    <d v="2016-06-05T00:00:00"/>
    <x v="410"/>
    <x v="16"/>
    <x v="0"/>
    <x v="7"/>
    <x v="1147"/>
    <x v="1228"/>
    <n v="2"/>
    <x v="1546"/>
  </r>
  <r>
    <d v="2016-06-05T00:00:00"/>
    <x v="410"/>
    <x v="16"/>
    <x v="0"/>
    <x v="0"/>
    <x v="771"/>
    <x v="900"/>
    <n v="2"/>
    <x v="1547"/>
  </r>
  <r>
    <d v="2016-06-05T00:00:00"/>
    <x v="410"/>
    <x v="16"/>
    <x v="1"/>
    <x v="8"/>
    <x v="1148"/>
    <x v="1572"/>
    <n v="7"/>
    <x v="1548"/>
  </r>
  <r>
    <d v="2016-06-05T00:00:00"/>
    <x v="499"/>
    <x v="1"/>
    <x v="0"/>
    <x v="3"/>
    <x v="729"/>
    <x v="1573"/>
    <n v="2"/>
    <x v="1549"/>
  </r>
  <r>
    <d v="2016-06-05T00:00:00"/>
    <x v="499"/>
    <x v="1"/>
    <x v="2"/>
    <x v="9"/>
    <x v="329"/>
    <x v="1233"/>
    <n v="2"/>
    <x v="1550"/>
  </r>
  <r>
    <d v="2016-06-05T00:00:00"/>
    <x v="410"/>
    <x v="14"/>
    <x v="0"/>
    <x v="13"/>
    <x v="661"/>
    <x v="1574"/>
    <n v="1"/>
    <x v="1551"/>
  </r>
  <r>
    <d v="2016-06-05T00:00:00"/>
    <x v="178"/>
    <x v="3"/>
    <x v="1"/>
    <x v="8"/>
    <x v="1149"/>
    <x v="1575"/>
    <n v="4"/>
    <x v="293"/>
  </r>
  <r>
    <d v="2016-07-05T00:00:00"/>
    <x v="537"/>
    <x v="12"/>
    <x v="0"/>
    <x v="3"/>
    <x v="700"/>
    <x v="1576"/>
    <n v="7"/>
    <x v="1552"/>
  </r>
  <r>
    <d v="2016-07-05T00:00:00"/>
    <x v="537"/>
    <x v="12"/>
    <x v="0"/>
    <x v="1"/>
    <x v="430"/>
    <x v="542"/>
    <n v="3"/>
    <x v="539"/>
  </r>
  <r>
    <d v="2016-07-05T00:00:00"/>
    <x v="537"/>
    <x v="12"/>
    <x v="1"/>
    <x v="5"/>
    <x v="703"/>
    <x v="1577"/>
    <n v="4"/>
    <x v="1553"/>
  </r>
  <r>
    <d v="2016-07-05T00:00:00"/>
    <x v="537"/>
    <x v="12"/>
    <x v="2"/>
    <x v="16"/>
    <x v="1150"/>
    <x v="1578"/>
    <n v="5"/>
    <x v="1554"/>
  </r>
  <r>
    <d v="2016-07-05T00:00:00"/>
    <x v="537"/>
    <x v="12"/>
    <x v="2"/>
    <x v="9"/>
    <x v="344"/>
    <x v="1579"/>
    <n v="5"/>
    <x v="888"/>
  </r>
  <r>
    <d v="2016-07-05T00:00:00"/>
    <x v="537"/>
    <x v="12"/>
    <x v="1"/>
    <x v="8"/>
    <x v="750"/>
    <x v="1580"/>
    <n v="8"/>
    <x v="1555"/>
  </r>
  <r>
    <d v="2016-08-05T00:00:00"/>
    <x v="443"/>
    <x v="7"/>
    <x v="1"/>
    <x v="8"/>
    <x v="1151"/>
    <x v="1581"/>
    <n v="2"/>
    <x v="1556"/>
  </r>
  <r>
    <d v="2016-08-05T00:00:00"/>
    <x v="36"/>
    <x v="16"/>
    <x v="0"/>
    <x v="2"/>
    <x v="312"/>
    <x v="1582"/>
    <n v="3"/>
    <x v="1557"/>
  </r>
  <r>
    <d v="2016-08-05T00:00:00"/>
    <x v="36"/>
    <x v="16"/>
    <x v="0"/>
    <x v="0"/>
    <x v="99"/>
    <x v="725"/>
    <n v="2"/>
    <x v="527"/>
  </r>
  <r>
    <d v="2016-08-05T00:00:00"/>
    <x v="36"/>
    <x v="16"/>
    <x v="0"/>
    <x v="0"/>
    <x v="781"/>
    <x v="148"/>
    <n v="2"/>
    <x v="150"/>
  </r>
  <r>
    <d v="2016-08-05T00:00:00"/>
    <x v="36"/>
    <x v="16"/>
    <x v="0"/>
    <x v="2"/>
    <x v="958"/>
    <x v="1583"/>
    <n v="2"/>
    <x v="1558"/>
  </r>
  <r>
    <d v="2016-08-05T00:00:00"/>
    <x v="36"/>
    <x v="16"/>
    <x v="2"/>
    <x v="9"/>
    <x v="198"/>
    <x v="199"/>
    <n v="2"/>
    <x v="202"/>
  </r>
  <r>
    <d v="2016-08-05T00:00:00"/>
    <x v="168"/>
    <x v="3"/>
    <x v="0"/>
    <x v="0"/>
    <x v="680"/>
    <x v="77"/>
    <n v="3"/>
    <x v="394"/>
  </r>
  <r>
    <d v="2016-09-05T00:00:00"/>
    <x v="163"/>
    <x v="10"/>
    <x v="2"/>
    <x v="9"/>
    <x v="1152"/>
    <x v="1584"/>
    <n v="2"/>
    <x v="1559"/>
  </r>
  <r>
    <d v="2016-09-05T00:00:00"/>
    <x v="507"/>
    <x v="2"/>
    <x v="0"/>
    <x v="11"/>
    <x v="55"/>
    <x v="16"/>
    <n v="1"/>
    <x v="1560"/>
  </r>
  <r>
    <d v="2016-09-05T00:00:00"/>
    <x v="507"/>
    <x v="2"/>
    <x v="0"/>
    <x v="4"/>
    <x v="106"/>
    <x v="109"/>
    <n v="5"/>
    <x v="1561"/>
  </r>
  <r>
    <d v="2016-09-05T00:00:00"/>
    <x v="377"/>
    <x v="12"/>
    <x v="0"/>
    <x v="4"/>
    <x v="1153"/>
    <x v="1585"/>
    <n v="5"/>
    <x v="525"/>
  </r>
  <r>
    <d v="2016-09-05T00:00:00"/>
    <x v="164"/>
    <x v="3"/>
    <x v="0"/>
    <x v="0"/>
    <x v="1154"/>
    <x v="1586"/>
    <n v="4"/>
    <x v="1562"/>
  </r>
  <r>
    <d v="2016-09-05T00:00:00"/>
    <x v="2"/>
    <x v="0"/>
    <x v="2"/>
    <x v="6"/>
    <x v="510"/>
    <x v="1587"/>
    <n v="2"/>
    <x v="502"/>
  </r>
  <r>
    <d v="2016-09-05T00:00:00"/>
    <x v="560"/>
    <x v="6"/>
    <x v="0"/>
    <x v="4"/>
    <x v="935"/>
    <x v="1588"/>
    <n v="7"/>
    <x v="1563"/>
  </r>
  <r>
    <d v="2016-09-05T00:00:00"/>
    <x v="561"/>
    <x v="0"/>
    <x v="0"/>
    <x v="2"/>
    <x v="220"/>
    <x v="1589"/>
    <n v="6"/>
    <x v="226"/>
  </r>
  <r>
    <d v="2016-09-05T00:00:00"/>
    <x v="561"/>
    <x v="0"/>
    <x v="0"/>
    <x v="3"/>
    <x v="123"/>
    <x v="334"/>
    <n v="4"/>
    <x v="1564"/>
  </r>
  <r>
    <d v="2016-09-05T00:00:00"/>
    <x v="561"/>
    <x v="0"/>
    <x v="0"/>
    <x v="13"/>
    <x v="1155"/>
    <x v="1590"/>
    <n v="4"/>
    <x v="1565"/>
  </r>
  <r>
    <d v="2016-09-05T00:00:00"/>
    <x v="561"/>
    <x v="0"/>
    <x v="0"/>
    <x v="0"/>
    <x v="1156"/>
    <x v="1238"/>
    <n v="2"/>
    <x v="1214"/>
  </r>
  <r>
    <d v="2016-09-05T00:00:00"/>
    <x v="561"/>
    <x v="0"/>
    <x v="0"/>
    <x v="3"/>
    <x v="1157"/>
    <x v="781"/>
    <n v="6"/>
    <x v="1566"/>
  </r>
  <r>
    <d v="2016-10-05T00:00:00"/>
    <x v="179"/>
    <x v="10"/>
    <x v="0"/>
    <x v="0"/>
    <x v="1140"/>
    <x v="652"/>
    <n v="2"/>
    <x v="640"/>
  </r>
  <r>
    <d v="2016-10-05T00:00:00"/>
    <x v="449"/>
    <x v="2"/>
    <x v="2"/>
    <x v="6"/>
    <x v="496"/>
    <x v="1591"/>
    <n v="2"/>
    <x v="1567"/>
  </r>
  <r>
    <d v="2016-10-05T00:00:00"/>
    <x v="178"/>
    <x v="1"/>
    <x v="0"/>
    <x v="11"/>
    <x v="1158"/>
    <x v="1592"/>
    <n v="2"/>
    <x v="796"/>
  </r>
  <r>
    <d v="2016-11-05T00:00:00"/>
    <x v="204"/>
    <x v="3"/>
    <x v="0"/>
    <x v="0"/>
    <x v="680"/>
    <x v="370"/>
    <n v="1"/>
    <x v="371"/>
  </r>
  <r>
    <d v="2016-12-05T00:00:00"/>
    <x v="562"/>
    <x v="6"/>
    <x v="0"/>
    <x v="4"/>
    <x v="9"/>
    <x v="1593"/>
    <n v="4"/>
    <x v="709"/>
  </r>
  <r>
    <d v="2016-12-05T00:00:00"/>
    <x v="45"/>
    <x v="2"/>
    <x v="0"/>
    <x v="2"/>
    <x v="1014"/>
    <x v="1594"/>
    <n v="2"/>
    <x v="1568"/>
  </r>
  <r>
    <d v="2016-12-05T00:00:00"/>
    <x v="563"/>
    <x v="10"/>
    <x v="0"/>
    <x v="11"/>
    <x v="1159"/>
    <x v="1595"/>
    <n v="5"/>
    <x v="1569"/>
  </r>
  <r>
    <d v="2016-12-05T00:00:00"/>
    <x v="493"/>
    <x v="12"/>
    <x v="1"/>
    <x v="8"/>
    <x v="534"/>
    <x v="1060"/>
    <n v="3"/>
    <x v="864"/>
  </r>
  <r>
    <d v="2016-12-05T00:00:00"/>
    <x v="493"/>
    <x v="12"/>
    <x v="2"/>
    <x v="6"/>
    <x v="152"/>
    <x v="1181"/>
    <n v="4"/>
    <x v="1152"/>
  </r>
  <r>
    <d v="2016-12-05T00:00:00"/>
    <x v="564"/>
    <x v="3"/>
    <x v="2"/>
    <x v="9"/>
    <x v="1160"/>
    <x v="1596"/>
    <n v="6"/>
    <x v="1570"/>
  </r>
  <r>
    <d v="2016-12-05T00:00:00"/>
    <x v="564"/>
    <x v="3"/>
    <x v="0"/>
    <x v="13"/>
    <x v="202"/>
    <x v="1597"/>
    <n v="1"/>
    <x v="1323"/>
  </r>
  <r>
    <d v="2016-02-06T00:00:00"/>
    <x v="203"/>
    <x v="2"/>
    <x v="0"/>
    <x v="2"/>
    <x v="425"/>
    <x v="403"/>
    <n v="1"/>
    <x v="1059"/>
  </r>
  <r>
    <d v="2016-02-06T00:00:00"/>
    <x v="79"/>
    <x v="10"/>
    <x v="0"/>
    <x v="0"/>
    <x v="547"/>
    <x v="606"/>
    <n v="3"/>
    <x v="597"/>
  </r>
  <r>
    <d v="2016-02-06T00:00:00"/>
    <x v="79"/>
    <x v="10"/>
    <x v="0"/>
    <x v="3"/>
    <x v="181"/>
    <x v="1598"/>
    <n v="12"/>
    <x v="1571"/>
  </r>
  <r>
    <d v="2016-02-06T00:00:00"/>
    <x v="79"/>
    <x v="10"/>
    <x v="0"/>
    <x v="3"/>
    <x v="370"/>
    <x v="1599"/>
    <n v="3"/>
    <x v="1572"/>
  </r>
  <r>
    <d v="2016-03-06T00:00:00"/>
    <x v="472"/>
    <x v="3"/>
    <x v="1"/>
    <x v="10"/>
    <x v="1143"/>
    <x v="1568"/>
    <n v="2"/>
    <x v="1544"/>
  </r>
  <r>
    <d v="2016-04-06T00:00:00"/>
    <x v="279"/>
    <x v="6"/>
    <x v="0"/>
    <x v="0"/>
    <x v="426"/>
    <x v="1600"/>
    <n v="2"/>
    <x v="678"/>
  </r>
  <r>
    <d v="2016-04-06T00:00:00"/>
    <x v="180"/>
    <x v="1"/>
    <x v="0"/>
    <x v="0"/>
    <x v="114"/>
    <x v="212"/>
    <n v="5"/>
    <x v="1573"/>
  </r>
  <r>
    <d v="2016-04-06T00:00:00"/>
    <x v="180"/>
    <x v="1"/>
    <x v="1"/>
    <x v="8"/>
    <x v="1161"/>
    <x v="1601"/>
    <n v="5"/>
    <x v="1574"/>
  </r>
  <r>
    <d v="2016-04-06T00:00:00"/>
    <x v="180"/>
    <x v="1"/>
    <x v="1"/>
    <x v="8"/>
    <x v="750"/>
    <x v="1602"/>
    <n v="3"/>
    <x v="1575"/>
  </r>
  <r>
    <d v="2016-04-06T00:00:00"/>
    <x v="180"/>
    <x v="1"/>
    <x v="2"/>
    <x v="6"/>
    <x v="1162"/>
    <x v="400"/>
    <n v="2"/>
    <x v="1576"/>
  </r>
  <r>
    <d v="2016-04-06T00:00:00"/>
    <x v="180"/>
    <x v="1"/>
    <x v="1"/>
    <x v="10"/>
    <x v="846"/>
    <x v="1603"/>
    <n v="5"/>
    <x v="1577"/>
  </r>
  <r>
    <d v="2016-04-06T00:00:00"/>
    <x v="180"/>
    <x v="1"/>
    <x v="1"/>
    <x v="8"/>
    <x v="1163"/>
    <x v="1604"/>
    <n v="3"/>
    <x v="1578"/>
  </r>
  <r>
    <d v="2016-04-06T00:00:00"/>
    <x v="180"/>
    <x v="1"/>
    <x v="0"/>
    <x v="4"/>
    <x v="121"/>
    <x v="1605"/>
    <n v="2"/>
    <x v="780"/>
  </r>
  <r>
    <d v="2016-04-06T00:00:00"/>
    <x v="565"/>
    <x v="12"/>
    <x v="0"/>
    <x v="0"/>
    <x v="177"/>
    <x v="41"/>
    <n v="3"/>
    <x v="93"/>
  </r>
  <r>
    <d v="2016-04-06T00:00:00"/>
    <x v="565"/>
    <x v="12"/>
    <x v="2"/>
    <x v="16"/>
    <x v="1164"/>
    <x v="1606"/>
    <n v="3"/>
    <x v="1579"/>
  </r>
  <r>
    <d v="2016-04-06T00:00:00"/>
    <x v="565"/>
    <x v="12"/>
    <x v="1"/>
    <x v="12"/>
    <x v="1165"/>
    <x v="1607"/>
    <n v="1"/>
    <x v="1580"/>
  </r>
  <r>
    <d v="2016-04-06T00:00:00"/>
    <x v="565"/>
    <x v="12"/>
    <x v="1"/>
    <x v="8"/>
    <x v="599"/>
    <x v="1608"/>
    <n v="4"/>
    <x v="1581"/>
  </r>
  <r>
    <d v="2016-05-06T00:00:00"/>
    <x v="82"/>
    <x v="2"/>
    <x v="0"/>
    <x v="2"/>
    <x v="1166"/>
    <x v="1609"/>
    <n v="4"/>
    <x v="1582"/>
  </r>
  <r>
    <d v="2016-05-06T00:00:00"/>
    <x v="82"/>
    <x v="2"/>
    <x v="0"/>
    <x v="1"/>
    <x v="1133"/>
    <x v="1610"/>
    <n v="3"/>
    <x v="224"/>
  </r>
  <r>
    <d v="2016-05-06T00:00:00"/>
    <x v="566"/>
    <x v="7"/>
    <x v="0"/>
    <x v="2"/>
    <x v="622"/>
    <x v="1387"/>
    <n v="2"/>
    <x v="1360"/>
  </r>
  <r>
    <d v="2016-05-06T00:00:00"/>
    <x v="566"/>
    <x v="7"/>
    <x v="0"/>
    <x v="4"/>
    <x v="974"/>
    <x v="104"/>
    <n v="2"/>
    <x v="1583"/>
  </r>
  <r>
    <d v="2016-05-06T00:00:00"/>
    <x v="566"/>
    <x v="7"/>
    <x v="0"/>
    <x v="1"/>
    <x v="559"/>
    <x v="41"/>
    <n v="3"/>
    <x v="41"/>
  </r>
  <r>
    <d v="2016-05-06T00:00:00"/>
    <x v="43"/>
    <x v="3"/>
    <x v="0"/>
    <x v="3"/>
    <x v="107"/>
    <x v="1611"/>
    <n v="6"/>
    <x v="1584"/>
  </r>
  <r>
    <d v="2016-05-06T00:00:00"/>
    <x v="43"/>
    <x v="3"/>
    <x v="0"/>
    <x v="13"/>
    <x v="215"/>
    <x v="579"/>
    <n v="4"/>
    <x v="1585"/>
  </r>
  <r>
    <d v="2016-05-06T00:00:00"/>
    <x v="504"/>
    <x v="10"/>
    <x v="0"/>
    <x v="14"/>
    <x v="316"/>
    <x v="1612"/>
    <n v="6"/>
    <x v="1586"/>
  </r>
  <r>
    <d v="2016-06-06T00:00:00"/>
    <x v="300"/>
    <x v="1"/>
    <x v="2"/>
    <x v="6"/>
    <x v="1141"/>
    <x v="1613"/>
    <n v="4"/>
    <x v="1587"/>
  </r>
  <r>
    <d v="2016-06-06T00:00:00"/>
    <x v="24"/>
    <x v="20"/>
    <x v="0"/>
    <x v="2"/>
    <x v="988"/>
    <x v="1275"/>
    <n v="5"/>
    <x v="1248"/>
  </r>
  <r>
    <d v="2016-06-06T00:00:00"/>
    <x v="567"/>
    <x v="20"/>
    <x v="0"/>
    <x v="0"/>
    <x v="1003"/>
    <x v="710"/>
    <n v="4"/>
    <x v="694"/>
  </r>
  <r>
    <d v="2016-06-06T00:00:00"/>
    <x v="406"/>
    <x v="29"/>
    <x v="2"/>
    <x v="9"/>
    <x v="952"/>
    <x v="696"/>
    <n v="6"/>
    <x v="1588"/>
  </r>
  <r>
    <d v="2016-06-06T00:00:00"/>
    <x v="406"/>
    <x v="29"/>
    <x v="2"/>
    <x v="9"/>
    <x v="461"/>
    <x v="1480"/>
    <n v="3"/>
    <x v="537"/>
  </r>
  <r>
    <d v="2016-06-06T00:00:00"/>
    <x v="406"/>
    <x v="29"/>
    <x v="2"/>
    <x v="9"/>
    <x v="1167"/>
    <x v="1614"/>
    <n v="3"/>
    <x v="1589"/>
  </r>
  <r>
    <d v="2016-06-06T00:00:00"/>
    <x v="406"/>
    <x v="29"/>
    <x v="0"/>
    <x v="0"/>
    <x v="1168"/>
    <x v="1615"/>
    <n v="3"/>
    <x v="1590"/>
  </r>
  <r>
    <d v="2016-06-06T00:00:00"/>
    <x v="406"/>
    <x v="29"/>
    <x v="0"/>
    <x v="3"/>
    <x v="1169"/>
    <x v="1616"/>
    <n v="3"/>
    <x v="1591"/>
  </r>
  <r>
    <d v="2016-06-06T00:00:00"/>
    <x v="406"/>
    <x v="29"/>
    <x v="0"/>
    <x v="3"/>
    <x v="1170"/>
    <x v="1617"/>
    <n v="3"/>
    <x v="1592"/>
  </r>
  <r>
    <d v="2016-06-06T00:00:00"/>
    <x v="406"/>
    <x v="29"/>
    <x v="0"/>
    <x v="0"/>
    <x v="1171"/>
    <x v="113"/>
    <n v="2"/>
    <x v="411"/>
  </r>
  <r>
    <d v="2016-06-06T00:00:00"/>
    <x v="111"/>
    <x v="3"/>
    <x v="0"/>
    <x v="1"/>
    <x v="1011"/>
    <x v="1618"/>
    <n v="7"/>
    <x v="1277"/>
  </r>
  <r>
    <d v="2016-06-06T00:00:00"/>
    <x v="111"/>
    <x v="3"/>
    <x v="0"/>
    <x v="0"/>
    <x v="1172"/>
    <x v="1619"/>
    <n v="5"/>
    <x v="1593"/>
  </r>
  <r>
    <d v="2016-06-06T00:00:00"/>
    <x v="5"/>
    <x v="3"/>
    <x v="2"/>
    <x v="6"/>
    <x v="1173"/>
    <x v="1620"/>
    <n v="9"/>
    <x v="1594"/>
  </r>
  <r>
    <d v="2016-06-06T00:00:00"/>
    <x v="5"/>
    <x v="3"/>
    <x v="2"/>
    <x v="9"/>
    <x v="434"/>
    <x v="1170"/>
    <n v="2"/>
    <x v="942"/>
  </r>
  <r>
    <d v="2016-06-06T00:00:00"/>
    <x v="5"/>
    <x v="3"/>
    <x v="2"/>
    <x v="6"/>
    <x v="458"/>
    <x v="1621"/>
    <n v="3"/>
    <x v="1595"/>
  </r>
  <r>
    <d v="2016-06-06T00:00:00"/>
    <x v="568"/>
    <x v="16"/>
    <x v="1"/>
    <x v="8"/>
    <x v="1174"/>
    <x v="1622"/>
    <n v="3"/>
    <x v="1596"/>
  </r>
  <r>
    <d v="2016-06-06T00:00:00"/>
    <x v="568"/>
    <x v="16"/>
    <x v="1"/>
    <x v="8"/>
    <x v="1175"/>
    <x v="1506"/>
    <n v="2"/>
    <x v="52"/>
  </r>
  <r>
    <d v="2016-07-06T00:00:00"/>
    <x v="569"/>
    <x v="12"/>
    <x v="0"/>
    <x v="0"/>
    <x v="140"/>
    <x v="159"/>
    <n v="5"/>
    <x v="161"/>
  </r>
  <r>
    <d v="2016-07-06T00:00:00"/>
    <x v="360"/>
    <x v="3"/>
    <x v="0"/>
    <x v="3"/>
    <x v="965"/>
    <x v="1623"/>
    <n v="1"/>
    <x v="1095"/>
  </r>
  <r>
    <d v="2016-07-06T00:00:00"/>
    <x v="360"/>
    <x v="3"/>
    <x v="0"/>
    <x v="0"/>
    <x v="981"/>
    <x v="1624"/>
    <n v="1"/>
    <x v="1597"/>
  </r>
  <r>
    <d v="2016-07-06T00:00:00"/>
    <x v="570"/>
    <x v="2"/>
    <x v="0"/>
    <x v="7"/>
    <x v="418"/>
    <x v="865"/>
    <n v="6"/>
    <x v="1560"/>
  </r>
  <r>
    <d v="2016-09-06T00:00:00"/>
    <x v="98"/>
    <x v="3"/>
    <x v="2"/>
    <x v="6"/>
    <x v="1146"/>
    <x v="1571"/>
    <n v="3"/>
    <x v="271"/>
  </r>
  <r>
    <d v="2016-09-06T00:00:00"/>
    <x v="571"/>
    <x v="9"/>
    <x v="2"/>
    <x v="16"/>
    <x v="1176"/>
    <x v="1625"/>
    <n v="2"/>
    <x v="1598"/>
  </r>
  <r>
    <d v="2016-09-06T00:00:00"/>
    <x v="572"/>
    <x v="3"/>
    <x v="1"/>
    <x v="5"/>
    <x v="462"/>
    <x v="486"/>
    <n v="3"/>
    <x v="486"/>
  </r>
  <r>
    <d v="2016-09-06T00:00:00"/>
    <x v="276"/>
    <x v="28"/>
    <x v="1"/>
    <x v="10"/>
    <x v="1177"/>
    <x v="1626"/>
    <n v="3"/>
    <x v="1599"/>
  </r>
  <r>
    <d v="2016-10-06T00:00:00"/>
    <x v="573"/>
    <x v="3"/>
    <x v="0"/>
    <x v="1"/>
    <x v="1100"/>
    <x v="1145"/>
    <n v="2"/>
    <x v="1115"/>
  </r>
  <r>
    <d v="2016-10-06T00:00:00"/>
    <x v="573"/>
    <x v="3"/>
    <x v="1"/>
    <x v="10"/>
    <x v="1178"/>
    <x v="1627"/>
    <n v="4"/>
    <x v="1600"/>
  </r>
  <r>
    <d v="2016-10-06T00:00:00"/>
    <x v="573"/>
    <x v="3"/>
    <x v="0"/>
    <x v="0"/>
    <x v="140"/>
    <x v="159"/>
    <n v="5"/>
    <x v="161"/>
  </r>
  <r>
    <d v="2016-10-06T00:00:00"/>
    <x v="521"/>
    <x v="2"/>
    <x v="0"/>
    <x v="1"/>
    <x v="1179"/>
    <x v="1628"/>
    <n v="8"/>
    <x v="1601"/>
  </r>
  <r>
    <d v="2016-11-06T00:00:00"/>
    <x v="54"/>
    <x v="0"/>
    <x v="0"/>
    <x v="3"/>
    <x v="1142"/>
    <x v="1629"/>
    <n v="4"/>
    <x v="1602"/>
  </r>
  <r>
    <d v="2016-11-06T00:00:00"/>
    <x v="54"/>
    <x v="0"/>
    <x v="0"/>
    <x v="3"/>
    <x v="72"/>
    <x v="1630"/>
    <n v="4"/>
    <x v="1603"/>
  </r>
  <r>
    <d v="2016-11-06T00:00:00"/>
    <x v="54"/>
    <x v="0"/>
    <x v="1"/>
    <x v="8"/>
    <x v="137"/>
    <x v="739"/>
    <n v="7"/>
    <x v="1604"/>
  </r>
  <r>
    <d v="2016-11-06T00:00:00"/>
    <x v="574"/>
    <x v="12"/>
    <x v="2"/>
    <x v="9"/>
    <x v="724"/>
    <x v="222"/>
    <n v="3"/>
    <x v="269"/>
  </r>
  <r>
    <d v="2016-11-06T00:00:00"/>
    <x v="74"/>
    <x v="10"/>
    <x v="0"/>
    <x v="1"/>
    <x v="1032"/>
    <x v="275"/>
    <n v="2"/>
    <x v="41"/>
  </r>
  <r>
    <d v="2016-11-06T00:00:00"/>
    <x v="74"/>
    <x v="10"/>
    <x v="0"/>
    <x v="3"/>
    <x v="41"/>
    <x v="1631"/>
    <n v="14"/>
    <x v="1605"/>
  </r>
  <r>
    <d v="2016-11-06T00:00:00"/>
    <x v="74"/>
    <x v="10"/>
    <x v="2"/>
    <x v="9"/>
    <x v="1180"/>
    <x v="1186"/>
    <n v="3"/>
    <x v="1606"/>
  </r>
  <r>
    <d v="2016-11-06T00:00:00"/>
    <x v="9"/>
    <x v="3"/>
    <x v="1"/>
    <x v="10"/>
    <x v="643"/>
    <x v="1632"/>
    <n v="3"/>
    <x v="1607"/>
  </r>
  <r>
    <d v="2016-12-06T00:00:00"/>
    <x v="575"/>
    <x v="3"/>
    <x v="0"/>
    <x v="1"/>
    <x v="305"/>
    <x v="275"/>
    <n v="2"/>
    <x v="41"/>
  </r>
  <r>
    <d v="2016-12-06T00:00:00"/>
    <x v="576"/>
    <x v="22"/>
    <x v="0"/>
    <x v="13"/>
    <x v="1181"/>
    <x v="1633"/>
    <n v="1"/>
    <x v="1608"/>
  </r>
  <r>
    <d v="2016-12-06T00:00:00"/>
    <x v="576"/>
    <x v="22"/>
    <x v="0"/>
    <x v="3"/>
    <x v="1182"/>
    <x v="1634"/>
    <n v="3"/>
    <x v="1609"/>
  </r>
  <r>
    <d v="2016-12-06T00:00:00"/>
    <x v="110"/>
    <x v="7"/>
    <x v="1"/>
    <x v="8"/>
    <x v="848"/>
    <x v="1053"/>
    <n v="3"/>
    <x v="1030"/>
  </r>
  <r>
    <d v="2016-12-06T00:00:00"/>
    <x v="110"/>
    <x v="7"/>
    <x v="0"/>
    <x v="3"/>
    <x v="245"/>
    <x v="1180"/>
    <n v="4"/>
    <x v="597"/>
  </r>
  <r>
    <d v="2016-12-06T00:00:00"/>
    <x v="110"/>
    <x v="7"/>
    <x v="0"/>
    <x v="2"/>
    <x v="625"/>
    <x v="1635"/>
    <n v="6"/>
    <x v="1610"/>
  </r>
  <r>
    <d v="2016-12-06T00:00:00"/>
    <x v="110"/>
    <x v="7"/>
    <x v="0"/>
    <x v="11"/>
    <x v="348"/>
    <x v="1636"/>
    <n v="9"/>
    <x v="1611"/>
  </r>
  <r>
    <d v="2016-12-06T00:00:00"/>
    <x v="110"/>
    <x v="7"/>
    <x v="2"/>
    <x v="6"/>
    <x v="924"/>
    <x v="1637"/>
    <n v="7"/>
    <x v="1612"/>
  </r>
  <r>
    <d v="2016-12-06T00:00:00"/>
    <x v="422"/>
    <x v="1"/>
    <x v="2"/>
    <x v="16"/>
    <x v="1183"/>
    <x v="1638"/>
    <n v="3"/>
    <x v="301"/>
  </r>
  <r>
    <d v="2016-12-06T00:00:00"/>
    <x v="422"/>
    <x v="1"/>
    <x v="0"/>
    <x v="0"/>
    <x v="868"/>
    <x v="1639"/>
    <n v="7"/>
    <x v="1613"/>
  </r>
  <r>
    <d v="2016-12-06T00:00:00"/>
    <x v="577"/>
    <x v="1"/>
    <x v="0"/>
    <x v="0"/>
    <x v="984"/>
    <x v="1640"/>
    <n v="5"/>
    <x v="1614"/>
  </r>
  <r>
    <d v="2016-12-06T00:00:00"/>
    <x v="468"/>
    <x v="12"/>
    <x v="0"/>
    <x v="0"/>
    <x v="1184"/>
    <x v="1246"/>
    <n v="3"/>
    <x v="1224"/>
  </r>
  <r>
    <d v="2016-12-06T00:00:00"/>
    <x v="468"/>
    <x v="12"/>
    <x v="0"/>
    <x v="13"/>
    <x v="618"/>
    <x v="1641"/>
    <n v="3"/>
    <x v="830"/>
  </r>
  <r>
    <d v="2016-12-06T00:00:00"/>
    <x v="253"/>
    <x v="3"/>
    <x v="0"/>
    <x v="0"/>
    <x v="1184"/>
    <x v="1642"/>
    <n v="6"/>
    <x v="1615"/>
  </r>
  <r>
    <d v="2016-12-06T00:00:00"/>
    <x v="253"/>
    <x v="3"/>
    <x v="0"/>
    <x v="0"/>
    <x v="1185"/>
    <x v="113"/>
    <n v="2"/>
    <x v="411"/>
  </r>
  <r>
    <d v="2016-12-06T00:00:00"/>
    <x v="578"/>
    <x v="0"/>
    <x v="0"/>
    <x v="13"/>
    <x v="711"/>
    <x v="1643"/>
    <n v="4"/>
    <x v="1616"/>
  </r>
  <r>
    <d v="2016-12-06T00:00:00"/>
    <x v="578"/>
    <x v="0"/>
    <x v="1"/>
    <x v="8"/>
    <x v="1186"/>
    <x v="1644"/>
    <n v="2"/>
    <x v="1617"/>
  </r>
  <r>
    <d v="2016-12-06T00:00:00"/>
    <x v="578"/>
    <x v="0"/>
    <x v="0"/>
    <x v="4"/>
    <x v="428"/>
    <x v="310"/>
    <n v="8"/>
    <x v="1618"/>
  </r>
  <r>
    <d v="2016-12-06T00:00:00"/>
    <x v="578"/>
    <x v="0"/>
    <x v="0"/>
    <x v="0"/>
    <x v="1187"/>
    <x v="70"/>
    <n v="3"/>
    <x v="944"/>
  </r>
  <r>
    <d v="2016-12-06T00:00:00"/>
    <x v="578"/>
    <x v="0"/>
    <x v="1"/>
    <x v="5"/>
    <x v="491"/>
    <x v="1645"/>
    <n v="2"/>
    <x v="1619"/>
  </r>
  <r>
    <d v="2016-12-06T00:00:00"/>
    <x v="578"/>
    <x v="0"/>
    <x v="0"/>
    <x v="2"/>
    <x v="317"/>
    <x v="1646"/>
    <n v="9"/>
    <x v="1620"/>
  </r>
  <r>
    <d v="2016-12-06T00:00:00"/>
    <x v="578"/>
    <x v="0"/>
    <x v="0"/>
    <x v="3"/>
    <x v="1188"/>
    <x v="1647"/>
    <n v="2"/>
    <x v="1621"/>
  </r>
  <r>
    <d v="2016-01-07T00:00:00"/>
    <x v="579"/>
    <x v="17"/>
    <x v="0"/>
    <x v="3"/>
    <x v="836"/>
    <x v="1648"/>
    <n v="2"/>
    <x v="1622"/>
  </r>
  <r>
    <d v="2016-01-07T00:00:00"/>
    <x v="579"/>
    <x v="17"/>
    <x v="0"/>
    <x v="0"/>
    <x v="433"/>
    <x v="113"/>
    <n v="2"/>
    <x v="411"/>
  </r>
  <r>
    <d v="2016-01-07T00:00:00"/>
    <x v="579"/>
    <x v="17"/>
    <x v="0"/>
    <x v="3"/>
    <x v="1189"/>
    <x v="1649"/>
    <n v="2"/>
    <x v="1623"/>
  </r>
  <r>
    <d v="2016-01-07T00:00:00"/>
    <x v="346"/>
    <x v="30"/>
    <x v="2"/>
    <x v="15"/>
    <x v="902"/>
    <x v="1650"/>
    <n v="5"/>
    <x v="1315"/>
  </r>
  <r>
    <d v="2016-01-07T00:00:00"/>
    <x v="495"/>
    <x v="12"/>
    <x v="0"/>
    <x v="1"/>
    <x v="1190"/>
    <x v="1651"/>
    <n v="1"/>
    <x v="1624"/>
  </r>
  <r>
    <d v="2016-01-07T00:00:00"/>
    <x v="495"/>
    <x v="12"/>
    <x v="2"/>
    <x v="9"/>
    <x v="1191"/>
    <x v="1180"/>
    <n v="3"/>
    <x v="1625"/>
  </r>
  <r>
    <d v="2016-01-07T00:00:00"/>
    <x v="495"/>
    <x v="12"/>
    <x v="0"/>
    <x v="0"/>
    <x v="1192"/>
    <x v="1652"/>
    <n v="9"/>
    <x v="1626"/>
  </r>
  <r>
    <d v="2016-01-07T00:00:00"/>
    <x v="157"/>
    <x v="10"/>
    <x v="0"/>
    <x v="3"/>
    <x v="95"/>
    <x v="1004"/>
    <n v="1"/>
    <x v="534"/>
  </r>
  <r>
    <d v="2016-02-07T00:00:00"/>
    <x v="443"/>
    <x v="3"/>
    <x v="1"/>
    <x v="5"/>
    <x v="302"/>
    <x v="1653"/>
    <n v="1"/>
    <x v="1627"/>
  </r>
  <r>
    <d v="2016-02-07T00:00:00"/>
    <x v="580"/>
    <x v="6"/>
    <x v="0"/>
    <x v="4"/>
    <x v="1193"/>
    <x v="1654"/>
    <n v="2"/>
    <x v="1628"/>
  </r>
  <r>
    <d v="2016-02-07T00:00:00"/>
    <x v="253"/>
    <x v="0"/>
    <x v="1"/>
    <x v="5"/>
    <x v="568"/>
    <x v="1655"/>
    <n v="5"/>
    <x v="52"/>
  </r>
  <r>
    <d v="2016-02-07T00:00:00"/>
    <x v="253"/>
    <x v="0"/>
    <x v="0"/>
    <x v="0"/>
    <x v="1030"/>
    <x v="1656"/>
    <n v="8"/>
    <x v="1629"/>
  </r>
  <r>
    <d v="2016-03-07T00:00:00"/>
    <x v="581"/>
    <x v="3"/>
    <x v="0"/>
    <x v="0"/>
    <x v="291"/>
    <x v="113"/>
    <n v="2"/>
    <x v="411"/>
  </r>
  <r>
    <d v="2016-03-07T00:00:00"/>
    <x v="581"/>
    <x v="3"/>
    <x v="0"/>
    <x v="7"/>
    <x v="936"/>
    <x v="1345"/>
    <n v="2"/>
    <x v="1630"/>
  </r>
  <r>
    <d v="2016-03-07T00:00:00"/>
    <x v="489"/>
    <x v="12"/>
    <x v="0"/>
    <x v="13"/>
    <x v="1194"/>
    <x v="1657"/>
    <n v="7"/>
    <x v="1631"/>
  </r>
  <r>
    <d v="2016-03-07T00:00:00"/>
    <x v="45"/>
    <x v="2"/>
    <x v="0"/>
    <x v="0"/>
    <x v="1195"/>
    <x v="507"/>
    <n v="5"/>
    <x v="1632"/>
  </r>
  <r>
    <d v="2016-04-07T00:00:00"/>
    <x v="289"/>
    <x v="3"/>
    <x v="1"/>
    <x v="8"/>
    <x v="596"/>
    <x v="1658"/>
    <n v="5"/>
    <x v="1633"/>
  </r>
  <r>
    <d v="2016-04-07T00:00:00"/>
    <x v="289"/>
    <x v="3"/>
    <x v="0"/>
    <x v="11"/>
    <x v="1196"/>
    <x v="1659"/>
    <n v="2"/>
    <x v="1634"/>
  </r>
  <r>
    <d v="2016-04-07T00:00:00"/>
    <x v="289"/>
    <x v="3"/>
    <x v="1"/>
    <x v="12"/>
    <x v="688"/>
    <x v="1660"/>
    <n v="5"/>
    <x v="1635"/>
  </r>
  <r>
    <d v="2016-04-07T00:00:00"/>
    <x v="289"/>
    <x v="3"/>
    <x v="0"/>
    <x v="2"/>
    <x v="64"/>
    <x v="1661"/>
    <n v="4"/>
    <x v="1149"/>
  </r>
  <r>
    <d v="2016-04-07T00:00:00"/>
    <x v="198"/>
    <x v="10"/>
    <x v="1"/>
    <x v="8"/>
    <x v="596"/>
    <x v="1658"/>
    <n v="5"/>
    <x v="1633"/>
  </r>
  <r>
    <d v="2016-04-07T00:00:00"/>
    <x v="198"/>
    <x v="10"/>
    <x v="2"/>
    <x v="6"/>
    <x v="1146"/>
    <x v="1571"/>
    <n v="3"/>
    <x v="271"/>
  </r>
  <r>
    <d v="2016-04-07T00:00:00"/>
    <x v="198"/>
    <x v="10"/>
    <x v="2"/>
    <x v="6"/>
    <x v="1197"/>
    <x v="842"/>
    <n v="3"/>
    <x v="436"/>
  </r>
  <r>
    <d v="2016-07-07T00:00:00"/>
    <x v="485"/>
    <x v="9"/>
    <x v="0"/>
    <x v="14"/>
    <x v="1198"/>
    <x v="1550"/>
    <n v="7"/>
    <x v="1580"/>
  </r>
  <r>
    <d v="2016-07-07T00:00:00"/>
    <x v="100"/>
    <x v="3"/>
    <x v="1"/>
    <x v="8"/>
    <x v="276"/>
    <x v="1662"/>
    <n v="5"/>
    <x v="1636"/>
  </r>
  <r>
    <d v="2016-07-07T00:00:00"/>
    <x v="582"/>
    <x v="1"/>
    <x v="1"/>
    <x v="8"/>
    <x v="1199"/>
    <x v="1663"/>
    <n v="8"/>
    <x v="1637"/>
  </r>
  <r>
    <d v="2016-07-07T00:00:00"/>
    <x v="582"/>
    <x v="1"/>
    <x v="0"/>
    <x v="7"/>
    <x v="406"/>
    <x v="1664"/>
    <n v="1"/>
    <x v="1638"/>
  </r>
  <r>
    <d v="2016-07-07T00:00:00"/>
    <x v="582"/>
    <x v="1"/>
    <x v="0"/>
    <x v="0"/>
    <x v="807"/>
    <x v="1665"/>
    <n v="9"/>
    <x v="1384"/>
  </r>
  <r>
    <d v="2016-07-07T00:00:00"/>
    <x v="582"/>
    <x v="1"/>
    <x v="1"/>
    <x v="5"/>
    <x v="841"/>
    <x v="1666"/>
    <n v="2"/>
    <x v="1639"/>
  </r>
  <r>
    <d v="2016-07-07T00:00:00"/>
    <x v="583"/>
    <x v="3"/>
    <x v="1"/>
    <x v="5"/>
    <x v="1200"/>
    <x v="1667"/>
    <n v="4"/>
    <x v="1533"/>
  </r>
  <r>
    <d v="2016-07-07T00:00:00"/>
    <x v="583"/>
    <x v="3"/>
    <x v="2"/>
    <x v="15"/>
    <x v="698"/>
    <x v="1668"/>
    <n v="5"/>
    <x v="1640"/>
  </r>
  <r>
    <d v="2016-07-07T00:00:00"/>
    <x v="583"/>
    <x v="3"/>
    <x v="0"/>
    <x v="0"/>
    <x v="606"/>
    <x v="1669"/>
    <n v="1"/>
    <x v="1641"/>
  </r>
  <r>
    <d v="2016-07-07T00:00:00"/>
    <x v="584"/>
    <x v="2"/>
    <x v="0"/>
    <x v="1"/>
    <x v="979"/>
    <x v="1454"/>
    <n v="2"/>
    <x v="312"/>
  </r>
  <r>
    <d v="2016-07-07T00:00:00"/>
    <x v="584"/>
    <x v="2"/>
    <x v="2"/>
    <x v="6"/>
    <x v="322"/>
    <x v="1670"/>
    <n v="1"/>
    <x v="647"/>
  </r>
  <r>
    <d v="2016-07-07T00:00:00"/>
    <x v="584"/>
    <x v="2"/>
    <x v="0"/>
    <x v="3"/>
    <x v="1188"/>
    <x v="1671"/>
    <n v="5"/>
    <x v="1642"/>
  </r>
  <r>
    <d v="2016-07-07T00:00:00"/>
    <x v="584"/>
    <x v="2"/>
    <x v="0"/>
    <x v="3"/>
    <x v="785"/>
    <x v="171"/>
    <n v="5"/>
    <x v="1643"/>
  </r>
  <r>
    <d v="2016-07-07T00:00:00"/>
    <x v="389"/>
    <x v="30"/>
    <x v="0"/>
    <x v="0"/>
    <x v="140"/>
    <x v="113"/>
    <n v="2"/>
    <x v="411"/>
  </r>
  <r>
    <d v="2016-07-07T00:00:00"/>
    <x v="389"/>
    <x v="30"/>
    <x v="0"/>
    <x v="4"/>
    <x v="331"/>
    <x v="343"/>
    <n v="2"/>
    <x v="345"/>
  </r>
  <r>
    <d v="2016-08-07T00:00:00"/>
    <x v="567"/>
    <x v="0"/>
    <x v="2"/>
    <x v="6"/>
    <x v="1201"/>
    <x v="1672"/>
    <n v="9"/>
    <x v="1644"/>
  </r>
  <r>
    <d v="2016-08-07T00:00:00"/>
    <x v="567"/>
    <x v="0"/>
    <x v="0"/>
    <x v="4"/>
    <x v="69"/>
    <x v="1404"/>
    <n v="3"/>
    <x v="1645"/>
  </r>
  <r>
    <d v="2016-08-07T00:00:00"/>
    <x v="585"/>
    <x v="19"/>
    <x v="0"/>
    <x v="3"/>
    <x v="1202"/>
    <x v="1673"/>
    <n v="2"/>
    <x v="1646"/>
  </r>
  <r>
    <d v="2016-08-07T00:00:00"/>
    <x v="585"/>
    <x v="19"/>
    <x v="0"/>
    <x v="2"/>
    <x v="281"/>
    <x v="102"/>
    <n v="7"/>
    <x v="707"/>
  </r>
  <r>
    <d v="2016-08-07T00:00:00"/>
    <x v="585"/>
    <x v="19"/>
    <x v="0"/>
    <x v="3"/>
    <x v="814"/>
    <x v="1674"/>
    <n v="4"/>
    <x v="1065"/>
  </r>
  <r>
    <d v="2016-08-07T00:00:00"/>
    <x v="585"/>
    <x v="19"/>
    <x v="1"/>
    <x v="5"/>
    <x v="410"/>
    <x v="1675"/>
    <n v="3"/>
    <x v="1647"/>
  </r>
  <r>
    <d v="2016-08-07T00:00:00"/>
    <x v="215"/>
    <x v="10"/>
    <x v="2"/>
    <x v="6"/>
    <x v="1203"/>
    <x v="786"/>
    <n v="1"/>
    <x v="1648"/>
  </r>
  <r>
    <d v="2016-08-07T00:00:00"/>
    <x v="215"/>
    <x v="10"/>
    <x v="0"/>
    <x v="3"/>
    <x v="120"/>
    <x v="1676"/>
    <n v="3"/>
    <x v="1512"/>
  </r>
  <r>
    <d v="2016-08-07T00:00:00"/>
    <x v="547"/>
    <x v="9"/>
    <x v="2"/>
    <x v="6"/>
    <x v="1204"/>
    <x v="1677"/>
    <n v="5"/>
    <x v="1649"/>
  </r>
  <r>
    <d v="2016-08-07T00:00:00"/>
    <x v="547"/>
    <x v="9"/>
    <x v="0"/>
    <x v="0"/>
    <x v="1205"/>
    <x v="796"/>
    <n v="2"/>
    <x v="1650"/>
  </r>
  <r>
    <d v="2016-08-07T00:00:00"/>
    <x v="586"/>
    <x v="40"/>
    <x v="0"/>
    <x v="0"/>
    <x v="160"/>
    <x v="113"/>
    <n v="2"/>
    <x v="411"/>
  </r>
  <r>
    <d v="2016-09-07T00:00:00"/>
    <x v="513"/>
    <x v="12"/>
    <x v="1"/>
    <x v="5"/>
    <x v="334"/>
    <x v="1678"/>
    <n v="2"/>
    <x v="1651"/>
  </r>
  <r>
    <d v="2016-09-07T00:00:00"/>
    <x v="513"/>
    <x v="12"/>
    <x v="1"/>
    <x v="8"/>
    <x v="200"/>
    <x v="1679"/>
    <n v="4"/>
    <x v="1652"/>
  </r>
  <r>
    <d v="2016-10-07T00:00:00"/>
    <x v="327"/>
    <x v="23"/>
    <x v="0"/>
    <x v="2"/>
    <x v="862"/>
    <x v="1680"/>
    <n v="2"/>
    <x v="1653"/>
  </r>
  <r>
    <d v="2016-10-07T00:00:00"/>
    <x v="316"/>
    <x v="0"/>
    <x v="0"/>
    <x v="2"/>
    <x v="691"/>
    <x v="1681"/>
    <n v="3"/>
    <x v="1654"/>
  </r>
  <r>
    <d v="2016-10-07T00:00:00"/>
    <x v="316"/>
    <x v="0"/>
    <x v="0"/>
    <x v="4"/>
    <x v="211"/>
    <x v="1682"/>
    <n v="4"/>
    <x v="879"/>
  </r>
  <r>
    <d v="2016-10-07T00:00:00"/>
    <x v="157"/>
    <x v="23"/>
    <x v="0"/>
    <x v="3"/>
    <x v="216"/>
    <x v="1683"/>
    <n v="6"/>
    <x v="1655"/>
  </r>
  <r>
    <d v="2016-10-07T00:00:00"/>
    <x v="253"/>
    <x v="2"/>
    <x v="2"/>
    <x v="16"/>
    <x v="1206"/>
    <x v="1684"/>
    <n v="3"/>
    <x v="1656"/>
  </r>
  <r>
    <d v="2016-12-07T00:00:00"/>
    <x v="501"/>
    <x v="3"/>
    <x v="2"/>
    <x v="6"/>
    <x v="695"/>
    <x v="1685"/>
    <n v="6"/>
    <x v="1657"/>
  </r>
  <r>
    <d v="2016-01-08T00:00:00"/>
    <x v="587"/>
    <x v="0"/>
    <x v="0"/>
    <x v="0"/>
    <x v="177"/>
    <x v="1686"/>
    <n v="2"/>
    <x v="1658"/>
  </r>
  <r>
    <d v="2016-01-08T00:00:00"/>
    <x v="127"/>
    <x v="3"/>
    <x v="2"/>
    <x v="6"/>
    <x v="1092"/>
    <x v="1687"/>
    <n v="2"/>
    <x v="1659"/>
  </r>
  <r>
    <d v="2016-01-08T00:00:00"/>
    <x v="127"/>
    <x v="3"/>
    <x v="0"/>
    <x v="13"/>
    <x v="246"/>
    <x v="1688"/>
    <n v="2"/>
    <x v="1660"/>
  </r>
  <r>
    <d v="2016-01-08T00:00:00"/>
    <x v="505"/>
    <x v="2"/>
    <x v="1"/>
    <x v="8"/>
    <x v="1207"/>
    <x v="1689"/>
    <n v="2"/>
    <x v="1661"/>
  </r>
  <r>
    <d v="2016-02-08T00:00:00"/>
    <x v="582"/>
    <x v="3"/>
    <x v="1"/>
    <x v="10"/>
    <x v="1208"/>
    <x v="1690"/>
    <n v="2"/>
    <x v="1662"/>
  </r>
  <r>
    <d v="2016-02-08T00:00:00"/>
    <x v="582"/>
    <x v="3"/>
    <x v="2"/>
    <x v="6"/>
    <x v="1209"/>
    <x v="608"/>
    <n v="3"/>
    <x v="1663"/>
  </r>
  <r>
    <d v="2016-02-08T00:00:00"/>
    <x v="582"/>
    <x v="3"/>
    <x v="0"/>
    <x v="3"/>
    <x v="1210"/>
    <x v="739"/>
    <n v="2"/>
    <x v="264"/>
  </r>
  <r>
    <d v="2016-03-08T00:00:00"/>
    <x v="588"/>
    <x v="34"/>
    <x v="0"/>
    <x v="11"/>
    <x v="907"/>
    <x v="1691"/>
    <n v="3"/>
    <x v="1664"/>
  </r>
  <r>
    <d v="2016-03-08T00:00:00"/>
    <x v="588"/>
    <x v="34"/>
    <x v="2"/>
    <x v="9"/>
    <x v="1211"/>
    <x v="1692"/>
    <n v="12"/>
    <x v="1665"/>
  </r>
  <r>
    <d v="2016-04-08T00:00:00"/>
    <x v="589"/>
    <x v="6"/>
    <x v="0"/>
    <x v="14"/>
    <x v="741"/>
    <x v="888"/>
    <n v="2"/>
    <x v="866"/>
  </r>
  <r>
    <d v="2016-04-08T00:00:00"/>
    <x v="589"/>
    <x v="6"/>
    <x v="0"/>
    <x v="1"/>
    <x v="957"/>
    <x v="1693"/>
    <n v="1"/>
    <x v="175"/>
  </r>
  <r>
    <d v="2016-04-08T00:00:00"/>
    <x v="589"/>
    <x v="6"/>
    <x v="1"/>
    <x v="8"/>
    <x v="271"/>
    <x v="1694"/>
    <n v="9"/>
    <x v="1666"/>
  </r>
  <r>
    <d v="2016-04-08T00:00:00"/>
    <x v="589"/>
    <x v="6"/>
    <x v="0"/>
    <x v="1"/>
    <x v="1212"/>
    <x v="672"/>
    <n v="2"/>
    <x v="1667"/>
  </r>
  <r>
    <d v="2016-04-08T00:00:00"/>
    <x v="590"/>
    <x v="1"/>
    <x v="0"/>
    <x v="3"/>
    <x v="827"/>
    <x v="1544"/>
    <n v="5"/>
    <x v="1668"/>
  </r>
  <r>
    <d v="2016-04-08T00:00:00"/>
    <x v="591"/>
    <x v="3"/>
    <x v="2"/>
    <x v="6"/>
    <x v="244"/>
    <x v="1695"/>
    <n v="2"/>
    <x v="1669"/>
  </r>
  <r>
    <d v="2016-04-08T00:00:00"/>
    <x v="591"/>
    <x v="3"/>
    <x v="0"/>
    <x v="3"/>
    <x v="38"/>
    <x v="1696"/>
    <n v="3"/>
    <x v="1255"/>
  </r>
  <r>
    <d v="2016-04-08T00:00:00"/>
    <x v="591"/>
    <x v="3"/>
    <x v="0"/>
    <x v="3"/>
    <x v="1213"/>
    <x v="1"/>
    <n v="3"/>
    <x v="1670"/>
  </r>
  <r>
    <d v="2016-05-08T00:00:00"/>
    <x v="520"/>
    <x v="22"/>
    <x v="0"/>
    <x v="4"/>
    <x v="1214"/>
    <x v="1697"/>
    <n v="7"/>
    <x v="1671"/>
  </r>
  <r>
    <d v="2016-06-08T00:00:00"/>
    <x v="50"/>
    <x v="12"/>
    <x v="0"/>
    <x v="0"/>
    <x v="177"/>
    <x v="1698"/>
    <n v="2"/>
    <x v="1672"/>
  </r>
  <r>
    <d v="2016-06-08T00:00:00"/>
    <x v="173"/>
    <x v="3"/>
    <x v="2"/>
    <x v="6"/>
    <x v="1002"/>
    <x v="1699"/>
    <n v="4"/>
    <x v="1673"/>
  </r>
  <r>
    <d v="2016-06-08T00:00:00"/>
    <x v="592"/>
    <x v="12"/>
    <x v="0"/>
    <x v="4"/>
    <x v="6"/>
    <x v="361"/>
    <n v="9"/>
    <x v="1585"/>
  </r>
  <r>
    <d v="2016-07-08T00:00:00"/>
    <x v="593"/>
    <x v="10"/>
    <x v="2"/>
    <x v="9"/>
    <x v="1215"/>
    <x v="1700"/>
    <n v="3"/>
    <x v="1674"/>
  </r>
  <r>
    <d v="2016-08-08T00:00:00"/>
    <x v="241"/>
    <x v="0"/>
    <x v="0"/>
    <x v="7"/>
    <x v="527"/>
    <x v="968"/>
    <n v="4"/>
    <x v="150"/>
  </r>
  <r>
    <d v="2016-08-08T00:00:00"/>
    <x v="241"/>
    <x v="0"/>
    <x v="0"/>
    <x v="0"/>
    <x v="1216"/>
    <x v="1701"/>
    <n v="3"/>
    <x v="1675"/>
  </r>
  <r>
    <d v="2016-08-08T00:00:00"/>
    <x v="466"/>
    <x v="32"/>
    <x v="0"/>
    <x v="7"/>
    <x v="12"/>
    <x v="1702"/>
    <n v="3"/>
    <x v="1676"/>
  </r>
  <r>
    <d v="2016-08-08T00:00:00"/>
    <x v="431"/>
    <x v="3"/>
    <x v="1"/>
    <x v="10"/>
    <x v="1217"/>
    <x v="1703"/>
    <n v="2"/>
    <x v="1677"/>
  </r>
  <r>
    <d v="2016-08-08T00:00:00"/>
    <x v="431"/>
    <x v="3"/>
    <x v="0"/>
    <x v="13"/>
    <x v="733"/>
    <x v="1704"/>
    <n v="6"/>
    <x v="1678"/>
  </r>
  <r>
    <d v="2016-08-08T00:00:00"/>
    <x v="431"/>
    <x v="3"/>
    <x v="0"/>
    <x v="3"/>
    <x v="874"/>
    <x v="685"/>
    <n v="5"/>
    <x v="1679"/>
  </r>
  <r>
    <d v="2016-08-08T00:00:00"/>
    <x v="438"/>
    <x v="34"/>
    <x v="0"/>
    <x v="0"/>
    <x v="1218"/>
    <x v="934"/>
    <n v="2"/>
    <x v="913"/>
  </r>
  <r>
    <d v="2016-09-08T00:00:00"/>
    <x v="243"/>
    <x v="15"/>
    <x v="0"/>
    <x v="0"/>
    <x v="561"/>
    <x v="461"/>
    <n v="9"/>
    <x v="540"/>
  </r>
  <r>
    <d v="2016-09-08T00:00:00"/>
    <x v="243"/>
    <x v="15"/>
    <x v="2"/>
    <x v="6"/>
    <x v="1219"/>
    <x v="1705"/>
    <n v="2"/>
    <x v="729"/>
  </r>
  <r>
    <d v="2016-09-08T00:00:00"/>
    <x v="243"/>
    <x v="15"/>
    <x v="0"/>
    <x v="13"/>
    <x v="411"/>
    <x v="1706"/>
    <n v="4"/>
    <x v="1680"/>
  </r>
  <r>
    <d v="2016-09-08T00:00:00"/>
    <x v="144"/>
    <x v="31"/>
    <x v="0"/>
    <x v="3"/>
    <x v="295"/>
    <x v="492"/>
    <n v="3"/>
    <x v="494"/>
  </r>
  <r>
    <d v="2016-09-08T00:00:00"/>
    <x v="144"/>
    <x v="31"/>
    <x v="0"/>
    <x v="3"/>
    <x v="1220"/>
    <x v="176"/>
    <n v="5"/>
    <x v="1681"/>
  </r>
  <r>
    <d v="2016-11-08T00:00:00"/>
    <x v="594"/>
    <x v="34"/>
    <x v="0"/>
    <x v="0"/>
    <x v="912"/>
    <x v="159"/>
    <n v="5"/>
    <x v="161"/>
  </r>
  <r>
    <d v="2016-11-08T00:00:00"/>
    <x v="594"/>
    <x v="34"/>
    <x v="0"/>
    <x v="3"/>
    <x v="965"/>
    <x v="1339"/>
    <n v="7"/>
    <x v="1682"/>
  </r>
  <r>
    <d v="2016-11-08T00:00:00"/>
    <x v="594"/>
    <x v="34"/>
    <x v="0"/>
    <x v="3"/>
    <x v="1221"/>
    <x v="1707"/>
    <n v="2"/>
    <x v="1683"/>
  </r>
  <r>
    <d v="2016-12-08T00:00:00"/>
    <x v="370"/>
    <x v="42"/>
    <x v="0"/>
    <x v="0"/>
    <x v="149"/>
    <x v="1005"/>
    <n v="1"/>
    <x v="1043"/>
  </r>
  <r>
    <d v="2016-12-08T00:00:00"/>
    <x v="553"/>
    <x v="0"/>
    <x v="2"/>
    <x v="9"/>
    <x v="1222"/>
    <x v="1708"/>
    <n v="7"/>
    <x v="1684"/>
  </r>
  <r>
    <d v="2016-12-08T00:00:00"/>
    <x v="139"/>
    <x v="12"/>
    <x v="1"/>
    <x v="5"/>
    <x v="45"/>
    <x v="1709"/>
    <n v="2"/>
    <x v="1685"/>
  </r>
  <r>
    <d v="2016-12-08T00:00:00"/>
    <x v="326"/>
    <x v="9"/>
    <x v="1"/>
    <x v="10"/>
    <x v="1223"/>
    <x v="1710"/>
    <n v="7"/>
    <x v="1686"/>
  </r>
  <r>
    <d v="2016-12-08T00:00:00"/>
    <x v="193"/>
    <x v="12"/>
    <x v="1"/>
    <x v="10"/>
    <x v="752"/>
    <x v="1711"/>
    <n v="2"/>
    <x v="1687"/>
  </r>
  <r>
    <d v="2016-12-08T00:00:00"/>
    <x v="193"/>
    <x v="12"/>
    <x v="0"/>
    <x v="2"/>
    <x v="83"/>
    <x v="1712"/>
    <n v="6"/>
    <x v="1688"/>
  </r>
  <r>
    <d v="2016-12-08T00:00:00"/>
    <x v="14"/>
    <x v="2"/>
    <x v="0"/>
    <x v="4"/>
    <x v="1224"/>
    <x v="1713"/>
    <n v="4"/>
    <x v="305"/>
  </r>
  <r>
    <d v="2016-01-09T00:00:00"/>
    <x v="595"/>
    <x v="12"/>
    <x v="2"/>
    <x v="9"/>
    <x v="1225"/>
    <x v="1714"/>
    <n v="1"/>
    <x v="1689"/>
  </r>
  <r>
    <d v="2016-01-09T00:00:00"/>
    <x v="595"/>
    <x v="12"/>
    <x v="0"/>
    <x v="0"/>
    <x v="292"/>
    <x v="173"/>
    <n v="2"/>
    <x v="176"/>
  </r>
  <r>
    <d v="2016-01-09T00:00:00"/>
    <x v="595"/>
    <x v="12"/>
    <x v="0"/>
    <x v="3"/>
    <x v="874"/>
    <x v="1715"/>
    <n v="1"/>
    <x v="59"/>
  </r>
  <r>
    <d v="2016-01-09T00:00:00"/>
    <x v="595"/>
    <x v="12"/>
    <x v="0"/>
    <x v="0"/>
    <x v="292"/>
    <x v="302"/>
    <n v="4"/>
    <x v="302"/>
  </r>
  <r>
    <d v="2016-01-09T00:00:00"/>
    <x v="595"/>
    <x v="12"/>
    <x v="0"/>
    <x v="3"/>
    <x v="1113"/>
    <x v="1716"/>
    <n v="4"/>
    <x v="1690"/>
  </r>
  <r>
    <d v="2016-01-09T00:00:00"/>
    <x v="561"/>
    <x v="3"/>
    <x v="0"/>
    <x v="11"/>
    <x v="861"/>
    <x v="1717"/>
    <n v="2"/>
    <x v="1691"/>
  </r>
  <r>
    <d v="2016-01-09T00:00:00"/>
    <x v="489"/>
    <x v="2"/>
    <x v="0"/>
    <x v="0"/>
    <x v="1226"/>
    <x v="638"/>
    <n v="6"/>
    <x v="1692"/>
  </r>
  <r>
    <d v="2016-01-09T00:00:00"/>
    <x v="489"/>
    <x v="2"/>
    <x v="2"/>
    <x v="6"/>
    <x v="1227"/>
    <x v="1718"/>
    <n v="2"/>
    <x v="1693"/>
  </r>
  <r>
    <d v="2016-01-09T00:00:00"/>
    <x v="489"/>
    <x v="2"/>
    <x v="0"/>
    <x v="7"/>
    <x v="22"/>
    <x v="1719"/>
    <n v="7"/>
    <x v="1694"/>
  </r>
  <r>
    <d v="2016-01-09T00:00:00"/>
    <x v="94"/>
    <x v="12"/>
    <x v="2"/>
    <x v="9"/>
    <x v="21"/>
    <x v="21"/>
    <n v="6"/>
    <x v="21"/>
  </r>
  <r>
    <d v="2016-01-09T00:00:00"/>
    <x v="94"/>
    <x v="12"/>
    <x v="2"/>
    <x v="9"/>
    <x v="155"/>
    <x v="1720"/>
    <n v="2"/>
    <x v="1695"/>
  </r>
  <r>
    <d v="2016-01-09T00:00:00"/>
    <x v="94"/>
    <x v="12"/>
    <x v="0"/>
    <x v="14"/>
    <x v="584"/>
    <x v="849"/>
    <n v="3"/>
    <x v="825"/>
  </r>
  <r>
    <d v="2016-01-09T00:00:00"/>
    <x v="94"/>
    <x v="12"/>
    <x v="1"/>
    <x v="8"/>
    <x v="14"/>
    <x v="1103"/>
    <n v="3"/>
    <x v="1696"/>
  </r>
  <r>
    <d v="2016-01-09T00:00:00"/>
    <x v="283"/>
    <x v="18"/>
    <x v="0"/>
    <x v="3"/>
    <x v="41"/>
    <x v="1721"/>
    <n v="5"/>
    <x v="862"/>
  </r>
  <r>
    <d v="2016-01-09T00:00:00"/>
    <x v="283"/>
    <x v="18"/>
    <x v="2"/>
    <x v="6"/>
    <x v="1084"/>
    <x v="1722"/>
    <n v="1"/>
    <x v="470"/>
  </r>
  <r>
    <d v="2016-01-09T00:00:00"/>
    <x v="283"/>
    <x v="18"/>
    <x v="0"/>
    <x v="13"/>
    <x v="1228"/>
    <x v="1723"/>
    <n v="4"/>
    <x v="1697"/>
  </r>
  <r>
    <d v="2016-01-09T00:00:00"/>
    <x v="283"/>
    <x v="18"/>
    <x v="0"/>
    <x v="3"/>
    <x v="913"/>
    <x v="1724"/>
    <n v="4"/>
    <x v="1698"/>
  </r>
  <r>
    <d v="2016-01-09T00:00:00"/>
    <x v="283"/>
    <x v="18"/>
    <x v="0"/>
    <x v="4"/>
    <x v="1229"/>
    <x v="652"/>
    <n v="2"/>
    <x v="867"/>
  </r>
  <r>
    <d v="2016-01-09T00:00:00"/>
    <x v="283"/>
    <x v="18"/>
    <x v="0"/>
    <x v="3"/>
    <x v="956"/>
    <x v="1122"/>
    <n v="5"/>
    <x v="1280"/>
  </r>
  <r>
    <d v="2016-01-09T00:00:00"/>
    <x v="596"/>
    <x v="3"/>
    <x v="0"/>
    <x v="11"/>
    <x v="348"/>
    <x v="6"/>
    <n v="1"/>
    <x v="1244"/>
  </r>
  <r>
    <d v="2016-02-09T00:00:00"/>
    <x v="279"/>
    <x v="12"/>
    <x v="0"/>
    <x v="4"/>
    <x v="548"/>
    <x v="1725"/>
    <n v="2"/>
    <x v="1699"/>
  </r>
  <r>
    <d v="2016-02-09T00:00:00"/>
    <x v="279"/>
    <x v="12"/>
    <x v="1"/>
    <x v="8"/>
    <x v="386"/>
    <x v="1726"/>
    <n v="2"/>
    <x v="1700"/>
  </r>
  <r>
    <d v="2016-02-09T00:00:00"/>
    <x v="163"/>
    <x v="8"/>
    <x v="0"/>
    <x v="7"/>
    <x v="466"/>
    <x v="1727"/>
    <n v="1"/>
    <x v="1701"/>
  </r>
  <r>
    <d v="2016-02-09T00:00:00"/>
    <x v="163"/>
    <x v="8"/>
    <x v="0"/>
    <x v="3"/>
    <x v="546"/>
    <x v="1515"/>
    <n v="2"/>
    <x v="1702"/>
  </r>
  <r>
    <d v="2016-02-09T00:00:00"/>
    <x v="197"/>
    <x v="3"/>
    <x v="0"/>
    <x v="2"/>
    <x v="117"/>
    <x v="1728"/>
    <n v="3"/>
    <x v="1703"/>
  </r>
  <r>
    <d v="2016-02-09T00:00:00"/>
    <x v="302"/>
    <x v="1"/>
    <x v="0"/>
    <x v="1"/>
    <x v="305"/>
    <x v="499"/>
    <n v="5"/>
    <x v="1005"/>
  </r>
  <r>
    <d v="2016-02-09T00:00:00"/>
    <x v="302"/>
    <x v="1"/>
    <x v="0"/>
    <x v="2"/>
    <x v="621"/>
    <x v="707"/>
    <n v="2"/>
    <x v="691"/>
  </r>
  <r>
    <d v="2016-02-09T00:00:00"/>
    <x v="302"/>
    <x v="1"/>
    <x v="2"/>
    <x v="16"/>
    <x v="1230"/>
    <x v="1729"/>
    <n v="3"/>
    <x v="1704"/>
  </r>
  <r>
    <d v="2016-02-09T00:00:00"/>
    <x v="221"/>
    <x v="1"/>
    <x v="1"/>
    <x v="8"/>
    <x v="895"/>
    <x v="1730"/>
    <n v="2"/>
    <x v="1705"/>
  </r>
  <r>
    <d v="2016-02-09T00:00:00"/>
    <x v="585"/>
    <x v="15"/>
    <x v="0"/>
    <x v="3"/>
    <x v="1135"/>
    <x v="1731"/>
    <n v="7"/>
    <x v="1706"/>
  </r>
  <r>
    <d v="2016-02-09T00:00:00"/>
    <x v="585"/>
    <x v="15"/>
    <x v="0"/>
    <x v="13"/>
    <x v="1231"/>
    <x v="1732"/>
    <n v="9"/>
    <x v="1707"/>
  </r>
  <r>
    <d v="2016-02-09T00:00:00"/>
    <x v="585"/>
    <x v="15"/>
    <x v="0"/>
    <x v="4"/>
    <x v="59"/>
    <x v="60"/>
    <n v="4"/>
    <x v="61"/>
  </r>
  <r>
    <d v="2016-02-09T00:00:00"/>
    <x v="585"/>
    <x v="15"/>
    <x v="1"/>
    <x v="10"/>
    <x v="517"/>
    <x v="1733"/>
    <n v="3"/>
    <x v="1708"/>
  </r>
  <r>
    <d v="2016-02-09T00:00:00"/>
    <x v="585"/>
    <x v="15"/>
    <x v="2"/>
    <x v="9"/>
    <x v="1232"/>
    <x v="1734"/>
    <n v="3"/>
    <x v="1709"/>
  </r>
  <r>
    <d v="2016-02-09T00:00:00"/>
    <x v="585"/>
    <x v="15"/>
    <x v="0"/>
    <x v="3"/>
    <x v="877"/>
    <x v="1264"/>
    <n v="5"/>
    <x v="1710"/>
  </r>
  <r>
    <d v="2016-02-09T00:00:00"/>
    <x v="350"/>
    <x v="10"/>
    <x v="2"/>
    <x v="15"/>
    <x v="1019"/>
    <x v="1341"/>
    <n v="2"/>
    <x v="1315"/>
  </r>
  <r>
    <d v="2016-02-09T00:00:00"/>
    <x v="569"/>
    <x v="0"/>
    <x v="0"/>
    <x v="3"/>
    <x v="626"/>
    <x v="451"/>
    <n v="8"/>
    <x v="1711"/>
  </r>
  <r>
    <d v="2016-02-09T00:00:00"/>
    <x v="569"/>
    <x v="0"/>
    <x v="2"/>
    <x v="9"/>
    <x v="1051"/>
    <x v="1735"/>
    <n v="5"/>
    <x v="1712"/>
  </r>
  <r>
    <d v="2016-02-09T00:00:00"/>
    <x v="201"/>
    <x v="10"/>
    <x v="1"/>
    <x v="5"/>
    <x v="1200"/>
    <x v="1736"/>
    <n v="3"/>
    <x v="1136"/>
  </r>
  <r>
    <d v="2016-02-09T00:00:00"/>
    <x v="201"/>
    <x v="10"/>
    <x v="0"/>
    <x v="11"/>
    <x v="1196"/>
    <x v="1737"/>
    <n v="3"/>
    <x v="1713"/>
  </r>
  <r>
    <d v="2016-02-09T00:00:00"/>
    <x v="169"/>
    <x v="3"/>
    <x v="1"/>
    <x v="8"/>
    <x v="1233"/>
    <x v="1738"/>
    <n v="9"/>
    <x v="1714"/>
  </r>
  <r>
    <d v="2016-02-09T00:00:00"/>
    <x v="169"/>
    <x v="3"/>
    <x v="0"/>
    <x v="2"/>
    <x v="330"/>
    <x v="1739"/>
    <n v="3"/>
    <x v="1715"/>
  </r>
  <r>
    <d v="2016-02-09T00:00:00"/>
    <x v="169"/>
    <x v="3"/>
    <x v="2"/>
    <x v="6"/>
    <x v="353"/>
    <x v="367"/>
    <n v="4"/>
    <x v="368"/>
  </r>
  <r>
    <d v="2016-02-09T00:00:00"/>
    <x v="169"/>
    <x v="3"/>
    <x v="0"/>
    <x v="4"/>
    <x v="1234"/>
    <x v="1417"/>
    <n v="7"/>
    <x v="713"/>
  </r>
  <r>
    <d v="2016-02-09T00:00:00"/>
    <x v="169"/>
    <x v="3"/>
    <x v="1"/>
    <x v="10"/>
    <x v="247"/>
    <x v="1740"/>
    <n v="3"/>
    <x v="1716"/>
  </r>
  <r>
    <d v="2016-02-09T00:00:00"/>
    <x v="169"/>
    <x v="3"/>
    <x v="0"/>
    <x v="3"/>
    <x v="1004"/>
    <x v="525"/>
    <n v="1"/>
    <x v="876"/>
  </r>
  <r>
    <d v="2016-03-09T00:00:00"/>
    <x v="52"/>
    <x v="2"/>
    <x v="0"/>
    <x v="3"/>
    <x v="847"/>
    <x v="1741"/>
    <n v="5"/>
    <x v="1717"/>
  </r>
  <r>
    <d v="2016-03-09T00:00:00"/>
    <x v="52"/>
    <x v="2"/>
    <x v="2"/>
    <x v="6"/>
    <x v="784"/>
    <x v="1742"/>
    <n v="3"/>
    <x v="1718"/>
  </r>
  <r>
    <d v="2016-03-09T00:00:00"/>
    <x v="256"/>
    <x v="1"/>
    <x v="1"/>
    <x v="8"/>
    <x v="1235"/>
    <x v="1743"/>
    <n v="3"/>
    <x v="1719"/>
  </r>
  <r>
    <d v="2016-03-09T00:00:00"/>
    <x v="121"/>
    <x v="1"/>
    <x v="0"/>
    <x v="3"/>
    <x v="685"/>
    <x v="1744"/>
    <n v="3"/>
    <x v="1720"/>
  </r>
  <r>
    <d v="2016-03-09T00:00:00"/>
    <x v="45"/>
    <x v="27"/>
    <x v="0"/>
    <x v="0"/>
    <x v="1033"/>
    <x v="1745"/>
    <n v="7"/>
    <x v="1721"/>
  </r>
  <r>
    <d v="2016-03-09T00:00:00"/>
    <x v="344"/>
    <x v="8"/>
    <x v="0"/>
    <x v="2"/>
    <x v="1236"/>
    <x v="1746"/>
    <n v="5"/>
    <x v="91"/>
  </r>
  <r>
    <d v="2016-03-09T00:00:00"/>
    <x v="315"/>
    <x v="21"/>
    <x v="0"/>
    <x v="3"/>
    <x v="1135"/>
    <x v="1747"/>
    <n v="8"/>
    <x v="1722"/>
  </r>
  <r>
    <d v="2016-03-09T00:00:00"/>
    <x v="551"/>
    <x v="39"/>
    <x v="1"/>
    <x v="12"/>
    <x v="872"/>
    <x v="1748"/>
    <n v="3"/>
    <x v="1723"/>
  </r>
  <r>
    <d v="2016-03-09T00:00:00"/>
    <x v="551"/>
    <x v="39"/>
    <x v="1"/>
    <x v="8"/>
    <x v="831"/>
    <x v="1027"/>
    <n v="2"/>
    <x v="1724"/>
  </r>
  <r>
    <d v="2016-03-09T00:00:00"/>
    <x v="551"/>
    <x v="39"/>
    <x v="0"/>
    <x v="3"/>
    <x v="718"/>
    <x v="848"/>
    <n v="2"/>
    <x v="595"/>
  </r>
  <r>
    <d v="2016-03-09T00:00:00"/>
    <x v="551"/>
    <x v="39"/>
    <x v="0"/>
    <x v="1"/>
    <x v="1032"/>
    <x v="402"/>
    <n v="8"/>
    <x v="404"/>
  </r>
  <r>
    <d v="2016-03-09T00:00:00"/>
    <x v="597"/>
    <x v="1"/>
    <x v="1"/>
    <x v="12"/>
    <x v="1237"/>
    <x v="1749"/>
    <n v="4"/>
    <x v="52"/>
  </r>
  <r>
    <d v="2016-03-09T00:00:00"/>
    <x v="494"/>
    <x v="16"/>
    <x v="0"/>
    <x v="0"/>
    <x v="1238"/>
    <x v="1750"/>
    <n v="6"/>
    <x v="1725"/>
  </r>
  <r>
    <d v="2016-04-09T00:00:00"/>
    <x v="155"/>
    <x v="0"/>
    <x v="0"/>
    <x v="4"/>
    <x v="731"/>
    <x v="1751"/>
    <n v="1"/>
    <x v="848"/>
  </r>
  <r>
    <d v="2016-04-09T00:00:00"/>
    <x v="155"/>
    <x v="0"/>
    <x v="0"/>
    <x v="4"/>
    <x v="84"/>
    <x v="1752"/>
    <n v="3"/>
    <x v="93"/>
  </r>
  <r>
    <d v="2016-04-09T00:00:00"/>
    <x v="190"/>
    <x v="12"/>
    <x v="1"/>
    <x v="8"/>
    <x v="875"/>
    <x v="1753"/>
    <n v="1"/>
    <x v="1726"/>
  </r>
  <r>
    <d v="2016-04-09T00:00:00"/>
    <x v="190"/>
    <x v="12"/>
    <x v="0"/>
    <x v="3"/>
    <x v="1054"/>
    <x v="1754"/>
    <n v="5"/>
    <x v="1727"/>
  </r>
  <r>
    <d v="2016-04-09T00:00:00"/>
    <x v="190"/>
    <x v="12"/>
    <x v="0"/>
    <x v="14"/>
    <x v="1239"/>
    <x v="1755"/>
    <n v="4"/>
    <x v="1728"/>
  </r>
  <r>
    <d v="2016-04-09T00:00:00"/>
    <x v="17"/>
    <x v="31"/>
    <x v="0"/>
    <x v="0"/>
    <x v="609"/>
    <x v="1756"/>
    <n v="3"/>
    <x v="427"/>
  </r>
  <r>
    <d v="2016-04-09T00:00:00"/>
    <x v="17"/>
    <x v="31"/>
    <x v="0"/>
    <x v="13"/>
    <x v="661"/>
    <x v="1757"/>
    <n v="2"/>
    <x v="1729"/>
  </r>
  <r>
    <d v="2016-04-09T00:00:00"/>
    <x v="17"/>
    <x v="31"/>
    <x v="0"/>
    <x v="4"/>
    <x v="161"/>
    <x v="1758"/>
    <n v="2"/>
    <x v="1151"/>
  </r>
  <r>
    <d v="2016-04-09T00:00:00"/>
    <x v="289"/>
    <x v="5"/>
    <x v="1"/>
    <x v="8"/>
    <x v="669"/>
    <x v="1222"/>
    <n v="3"/>
    <x v="1196"/>
  </r>
  <r>
    <d v="2016-04-09T00:00:00"/>
    <x v="289"/>
    <x v="5"/>
    <x v="0"/>
    <x v="3"/>
    <x v="638"/>
    <x v="1759"/>
    <n v="6"/>
    <x v="1730"/>
  </r>
  <r>
    <d v="2016-04-09T00:00:00"/>
    <x v="289"/>
    <x v="5"/>
    <x v="0"/>
    <x v="2"/>
    <x v="44"/>
    <x v="504"/>
    <n v="4"/>
    <x v="1540"/>
  </r>
  <r>
    <d v="2016-04-09T00:00:00"/>
    <x v="289"/>
    <x v="5"/>
    <x v="0"/>
    <x v="4"/>
    <x v="428"/>
    <x v="777"/>
    <n v="3"/>
    <x v="1731"/>
  </r>
  <r>
    <d v="2016-04-09T00:00:00"/>
    <x v="60"/>
    <x v="28"/>
    <x v="0"/>
    <x v="2"/>
    <x v="220"/>
    <x v="626"/>
    <n v="3"/>
    <x v="615"/>
  </r>
  <r>
    <d v="2016-04-09T00:00:00"/>
    <x v="2"/>
    <x v="14"/>
    <x v="0"/>
    <x v="11"/>
    <x v="55"/>
    <x v="1760"/>
    <n v="2"/>
    <x v="1732"/>
  </r>
  <r>
    <d v="2016-04-09T00:00:00"/>
    <x v="2"/>
    <x v="14"/>
    <x v="2"/>
    <x v="9"/>
    <x v="186"/>
    <x v="1761"/>
    <n v="5"/>
    <x v="225"/>
  </r>
  <r>
    <d v="2016-04-09T00:00:00"/>
    <x v="275"/>
    <x v="29"/>
    <x v="0"/>
    <x v="0"/>
    <x v="849"/>
    <x v="1762"/>
    <n v="5"/>
    <x v="1733"/>
  </r>
  <r>
    <d v="2016-04-09T00:00:00"/>
    <x v="598"/>
    <x v="3"/>
    <x v="1"/>
    <x v="8"/>
    <x v="1240"/>
    <x v="1763"/>
    <n v="3"/>
    <x v="1734"/>
  </r>
  <r>
    <d v="2016-04-09T00:00:00"/>
    <x v="598"/>
    <x v="3"/>
    <x v="2"/>
    <x v="15"/>
    <x v="698"/>
    <x v="1668"/>
    <n v="5"/>
    <x v="1640"/>
  </r>
  <r>
    <d v="2016-05-09T00:00:00"/>
    <x v="513"/>
    <x v="2"/>
    <x v="1"/>
    <x v="8"/>
    <x v="819"/>
    <x v="1764"/>
    <n v="2"/>
    <x v="165"/>
  </r>
  <r>
    <d v="2016-05-09T00:00:00"/>
    <x v="277"/>
    <x v="18"/>
    <x v="1"/>
    <x v="8"/>
    <x v="217"/>
    <x v="1328"/>
    <n v="1"/>
    <x v="1493"/>
  </r>
  <r>
    <d v="2016-05-09T00:00:00"/>
    <x v="277"/>
    <x v="18"/>
    <x v="0"/>
    <x v="2"/>
    <x v="1126"/>
    <x v="1765"/>
    <n v="3"/>
    <x v="1735"/>
  </r>
  <r>
    <d v="2016-05-09T00:00:00"/>
    <x v="277"/>
    <x v="18"/>
    <x v="0"/>
    <x v="2"/>
    <x v="1241"/>
    <x v="131"/>
    <n v="3"/>
    <x v="1385"/>
  </r>
  <r>
    <d v="2016-05-09T00:00:00"/>
    <x v="277"/>
    <x v="18"/>
    <x v="0"/>
    <x v="0"/>
    <x v="641"/>
    <x v="733"/>
    <n v="4"/>
    <x v="716"/>
  </r>
  <r>
    <d v="2016-05-09T00:00:00"/>
    <x v="277"/>
    <x v="18"/>
    <x v="1"/>
    <x v="5"/>
    <x v="865"/>
    <x v="78"/>
    <n v="3"/>
    <x v="1736"/>
  </r>
  <r>
    <d v="2016-05-09T00:00:00"/>
    <x v="277"/>
    <x v="18"/>
    <x v="0"/>
    <x v="1"/>
    <x v="903"/>
    <x v="1618"/>
    <n v="7"/>
    <x v="1277"/>
  </r>
  <r>
    <d v="2016-05-09T00:00:00"/>
    <x v="285"/>
    <x v="42"/>
    <x v="2"/>
    <x v="6"/>
    <x v="573"/>
    <x v="1766"/>
    <n v="3"/>
    <x v="1737"/>
  </r>
  <r>
    <d v="2016-05-09T00:00:00"/>
    <x v="410"/>
    <x v="36"/>
    <x v="0"/>
    <x v="4"/>
    <x v="740"/>
    <x v="180"/>
    <n v="3"/>
    <x v="1738"/>
  </r>
  <r>
    <d v="2016-05-09T00:00:00"/>
    <x v="348"/>
    <x v="0"/>
    <x v="1"/>
    <x v="5"/>
    <x v="239"/>
    <x v="1767"/>
    <n v="7"/>
    <x v="1739"/>
  </r>
  <r>
    <d v="2016-05-09T00:00:00"/>
    <x v="161"/>
    <x v="3"/>
    <x v="2"/>
    <x v="9"/>
    <x v="801"/>
    <x v="1768"/>
    <n v="8"/>
    <x v="1740"/>
  </r>
  <r>
    <d v="2016-05-09T00:00:00"/>
    <x v="599"/>
    <x v="2"/>
    <x v="0"/>
    <x v="3"/>
    <x v="1242"/>
    <x v="1769"/>
    <n v="5"/>
    <x v="1741"/>
  </r>
  <r>
    <d v="2016-05-09T00:00:00"/>
    <x v="404"/>
    <x v="31"/>
    <x v="0"/>
    <x v="11"/>
    <x v="55"/>
    <x v="506"/>
    <n v="3"/>
    <x v="724"/>
  </r>
  <r>
    <d v="2016-05-09T00:00:00"/>
    <x v="404"/>
    <x v="31"/>
    <x v="0"/>
    <x v="3"/>
    <x v="277"/>
    <x v="1770"/>
    <n v="7"/>
    <x v="1742"/>
  </r>
  <r>
    <d v="2016-05-09T00:00:00"/>
    <x v="404"/>
    <x v="31"/>
    <x v="2"/>
    <x v="6"/>
    <x v="1243"/>
    <x v="1405"/>
    <n v="2"/>
    <x v="1106"/>
  </r>
  <r>
    <d v="2016-05-09T00:00:00"/>
    <x v="404"/>
    <x v="31"/>
    <x v="0"/>
    <x v="0"/>
    <x v="57"/>
    <x v="536"/>
    <n v="3"/>
    <x v="1484"/>
  </r>
  <r>
    <d v="2016-05-09T00:00:00"/>
    <x v="144"/>
    <x v="0"/>
    <x v="0"/>
    <x v="13"/>
    <x v="1228"/>
    <x v="1771"/>
    <n v="3"/>
    <x v="1743"/>
  </r>
  <r>
    <d v="2016-05-09T00:00:00"/>
    <x v="144"/>
    <x v="0"/>
    <x v="0"/>
    <x v="7"/>
    <x v="809"/>
    <x v="1307"/>
    <n v="9"/>
    <x v="1"/>
  </r>
  <r>
    <d v="2016-05-09T00:00:00"/>
    <x v="177"/>
    <x v="3"/>
    <x v="0"/>
    <x v="0"/>
    <x v="1244"/>
    <x v="1772"/>
    <n v="2"/>
    <x v="1666"/>
  </r>
  <r>
    <d v="2016-05-09T00:00:00"/>
    <x v="177"/>
    <x v="3"/>
    <x v="0"/>
    <x v="3"/>
    <x v="397"/>
    <x v="1773"/>
    <n v="2"/>
    <x v="1618"/>
  </r>
  <r>
    <d v="2016-05-09T00:00:00"/>
    <x v="177"/>
    <x v="3"/>
    <x v="0"/>
    <x v="7"/>
    <x v="1245"/>
    <x v="1090"/>
    <n v="2"/>
    <x v="1744"/>
  </r>
  <r>
    <d v="2016-05-09T00:00:00"/>
    <x v="137"/>
    <x v="0"/>
    <x v="0"/>
    <x v="0"/>
    <x v="912"/>
    <x v="212"/>
    <n v="5"/>
    <x v="107"/>
  </r>
  <r>
    <d v="2016-05-09T00:00:00"/>
    <x v="137"/>
    <x v="0"/>
    <x v="0"/>
    <x v="7"/>
    <x v="22"/>
    <x v="1774"/>
    <n v="8"/>
    <x v="57"/>
  </r>
  <r>
    <d v="2016-05-09T00:00:00"/>
    <x v="137"/>
    <x v="0"/>
    <x v="0"/>
    <x v="0"/>
    <x v="1046"/>
    <x v="148"/>
    <n v="2"/>
    <x v="1745"/>
  </r>
  <r>
    <d v="2016-05-09T00:00:00"/>
    <x v="600"/>
    <x v="12"/>
    <x v="0"/>
    <x v="0"/>
    <x v="853"/>
    <x v="1775"/>
    <n v="4"/>
    <x v="1746"/>
  </r>
  <r>
    <d v="2016-05-09T00:00:00"/>
    <x v="220"/>
    <x v="0"/>
    <x v="0"/>
    <x v="2"/>
    <x v="1166"/>
    <x v="1776"/>
    <n v="3"/>
    <x v="1747"/>
  </r>
  <r>
    <d v="2016-05-09T00:00:00"/>
    <x v="324"/>
    <x v="6"/>
    <x v="0"/>
    <x v="1"/>
    <x v="840"/>
    <x v="1039"/>
    <n v="2"/>
    <x v="1016"/>
  </r>
  <r>
    <d v="2016-05-09T00:00:00"/>
    <x v="324"/>
    <x v="6"/>
    <x v="1"/>
    <x v="10"/>
    <x v="232"/>
    <x v="1777"/>
    <n v="3"/>
    <x v="1748"/>
  </r>
  <r>
    <d v="2016-05-09T00:00:00"/>
    <x v="495"/>
    <x v="1"/>
    <x v="0"/>
    <x v="0"/>
    <x v="1246"/>
    <x v="1778"/>
    <n v="2"/>
    <x v="152"/>
  </r>
  <r>
    <d v="2016-05-09T00:00:00"/>
    <x v="270"/>
    <x v="16"/>
    <x v="0"/>
    <x v="3"/>
    <x v="1247"/>
    <x v="33"/>
    <n v="2"/>
    <x v="1749"/>
  </r>
  <r>
    <d v="2016-05-09T00:00:00"/>
    <x v="270"/>
    <x v="16"/>
    <x v="0"/>
    <x v="3"/>
    <x v="910"/>
    <x v="889"/>
    <n v="6"/>
    <x v="1750"/>
  </r>
  <r>
    <d v="2016-05-09T00:00:00"/>
    <x v="270"/>
    <x v="16"/>
    <x v="1"/>
    <x v="5"/>
    <x v="74"/>
    <x v="1779"/>
    <n v="2"/>
    <x v="1751"/>
  </r>
  <r>
    <d v="2016-05-09T00:00:00"/>
    <x v="294"/>
    <x v="0"/>
    <x v="1"/>
    <x v="8"/>
    <x v="528"/>
    <x v="323"/>
    <n v="3"/>
    <x v="1752"/>
  </r>
  <r>
    <d v="2016-05-09T00:00:00"/>
    <x v="572"/>
    <x v="2"/>
    <x v="1"/>
    <x v="8"/>
    <x v="1240"/>
    <x v="1780"/>
    <n v="9"/>
    <x v="1753"/>
  </r>
  <r>
    <d v="2016-05-09T00:00:00"/>
    <x v="572"/>
    <x v="2"/>
    <x v="1"/>
    <x v="5"/>
    <x v="1248"/>
    <x v="1781"/>
    <n v="2"/>
    <x v="1754"/>
  </r>
  <r>
    <d v="2016-05-09T00:00:00"/>
    <x v="572"/>
    <x v="2"/>
    <x v="0"/>
    <x v="4"/>
    <x v="321"/>
    <x v="654"/>
    <n v="3"/>
    <x v="887"/>
  </r>
  <r>
    <d v="2016-05-09T00:00:00"/>
    <x v="572"/>
    <x v="2"/>
    <x v="1"/>
    <x v="5"/>
    <x v="1249"/>
    <x v="1782"/>
    <n v="3"/>
    <x v="1755"/>
  </r>
  <r>
    <d v="2016-05-09T00:00:00"/>
    <x v="601"/>
    <x v="12"/>
    <x v="2"/>
    <x v="6"/>
    <x v="191"/>
    <x v="192"/>
    <n v="4"/>
    <x v="1756"/>
  </r>
  <r>
    <d v="2016-06-09T00:00:00"/>
    <x v="602"/>
    <x v="28"/>
    <x v="0"/>
    <x v="13"/>
    <x v="1250"/>
    <x v="1783"/>
    <n v="6"/>
    <x v="1757"/>
  </r>
  <r>
    <d v="2016-06-09T00:00:00"/>
    <x v="603"/>
    <x v="12"/>
    <x v="2"/>
    <x v="9"/>
    <x v="1041"/>
    <x v="1437"/>
    <n v="2"/>
    <x v="1413"/>
  </r>
  <r>
    <d v="2016-06-09T00:00:00"/>
    <x v="603"/>
    <x v="12"/>
    <x v="1"/>
    <x v="12"/>
    <x v="688"/>
    <x v="1784"/>
    <n v="3"/>
    <x v="444"/>
  </r>
  <r>
    <d v="2016-06-09T00:00:00"/>
    <x v="396"/>
    <x v="15"/>
    <x v="0"/>
    <x v="11"/>
    <x v="990"/>
    <x v="1785"/>
    <n v="3"/>
    <x v="1758"/>
  </r>
  <r>
    <d v="2016-06-09T00:00:00"/>
    <x v="396"/>
    <x v="15"/>
    <x v="0"/>
    <x v="3"/>
    <x v="1023"/>
    <x v="1786"/>
    <n v="2"/>
    <x v="1759"/>
  </r>
  <r>
    <d v="2016-06-09T00:00:00"/>
    <x v="604"/>
    <x v="0"/>
    <x v="0"/>
    <x v="2"/>
    <x v="919"/>
    <x v="705"/>
    <n v="1"/>
    <x v="617"/>
  </r>
  <r>
    <d v="2016-06-09T00:00:00"/>
    <x v="486"/>
    <x v="0"/>
    <x v="0"/>
    <x v="0"/>
    <x v="432"/>
    <x v="1787"/>
    <n v="4"/>
    <x v="1760"/>
  </r>
  <r>
    <d v="2016-06-09T00:00:00"/>
    <x v="486"/>
    <x v="0"/>
    <x v="2"/>
    <x v="6"/>
    <x v="1251"/>
    <x v="1788"/>
    <n v="2"/>
    <x v="1761"/>
  </r>
  <r>
    <d v="2016-08-09T00:00:00"/>
    <x v="373"/>
    <x v="0"/>
    <x v="0"/>
    <x v="2"/>
    <x v="1130"/>
    <x v="1789"/>
    <n v="3"/>
    <x v="1060"/>
  </r>
  <r>
    <d v="2016-08-09T00:00:00"/>
    <x v="373"/>
    <x v="0"/>
    <x v="1"/>
    <x v="12"/>
    <x v="980"/>
    <x v="1790"/>
    <n v="4"/>
    <x v="1762"/>
  </r>
  <r>
    <d v="2016-08-09T00:00:00"/>
    <x v="373"/>
    <x v="0"/>
    <x v="0"/>
    <x v="2"/>
    <x v="79"/>
    <x v="1791"/>
    <n v="4"/>
    <x v="1763"/>
  </r>
  <r>
    <d v="2016-08-09T00:00:00"/>
    <x v="373"/>
    <x v="0"/>
    <x v="2"/>
    <x v="9"/>
    <x v="1252"/>
    <x v="1792"/>
    <n v="2"/>
    <x v="1764"/>
  </r>
  <r>
    <d v="2016-08-09T00:00:00"/>
    <x v="68"/>
    <x v="3"/>
    <x v="0"/>
    <x v="3"/>
    <x v="1253"/>
    <x v="1793"/>
    <n v="2"/>
    <x v="899"/>
  </r>
  <r>
    <d v="2016-08-09T00:00:00"/>
    <x v="68"/>
    <x v="3"/>
    <x v="0"/>
    <x v="3"/>
    <x v="1254"/>
    <x v="1794"/>
    <n v="4"/>
    <x v="1765"/>
  </r>
  <r>
    <d v="2016-08-09T00:00:00"/>
    <x v="32"/>
    <x v="20"/>
    <x v="1"/>
    <x v="12"/>
    <x v="1036"/>
    <x v="1342"/>
    <n v="3"/>
    <x v="1766"/>
  </r>
  <r>
    <d v="2016-08-09T00:00:00"/>
    <x v="32"/>
    <x v="20"/>
    <x v="0"/>
    <x v="1"/>
    <x v="1255"/>
    <x v="1027"/>
    <n v="4"/>
    <x v="1767"/>
  </r>
  <r>
    <d v="2016-08-09T00:00:00"/>
    <x v="74"/>
    <x v="1"/>
    <x v="1"/>
    <x v="8"/>
    <x v="528"/>
    <x v="1795"/>
    <n v="2"/>
    <x v="364"/>
  </r>
  <r>
    <d v="2016-08-09T00:00:00"/>
    <x v="74"/>
    <x v="1"/>
    <x v="1"/>
    <x v="10"/>
    <x v="886"/>
    <x v="1796"/>
    <n v="3"/>
    <x v="1768"/>
  </r>
  <r>
    <d v="2016-08-09T00:00:00"/>
    <x v="605"/>
    <x v="12"/>
    <x v="0"/>
    <x v="13"/>
    <x v="1256"/>
    <x v="1797"/>
    <n v="1"/>
    <x v="1769"/>
  </r>
  <r>
    <d v="2016-08-09T00:00:00"/>
    <x v="55"/>
    <x v="0"/>
    <x v="0"/>
    <x v="4"/>
    <x v="251"/>
    <x v="258"/>
    <n v="2"/>
    <x v="260"/>
  </r>
  <r>
    <d v="2016-08-09T00:00:00"/>
    <x v="55"/>
    <x v="0"/>
    <x v="2"/>
    <x v="6"/>
    <x v="1257"/>
    <x v="1798"/>
    <n v="5"/>
    <x v="1770"/>
  </r>
  <r>
    <d v="2016-08-09T00:00:00"/>
    <x v="563"/>
    <x v="15"/>
    <x v="2"/>
    <x v="9"/>
    <x v="415"/>
    <x v="707"/>
    <n v="4"/>
    <x v="945"/>
  </r>
  <r>
    <d v="2016-08-09T00:00:00"/>
    <x v="563"/>
    <x v="15"/>
    <x v="0"/>
    <x v="0"/>
    <x v="1258"/>
    <x v="457"/>
    <n v="3"/>
    <x v="1771"/>
  </r>
  <r>
    <d v="2016-08-09T00:00:00"/>
    <x v="66"/>
    <x v="3"/>
    <x v="1"/>
    <x v="10"/>
    <x v="1259"/>
    <x v="1799"/>
    <n v="1"/>
    <x v="1772"/>
  </r>
  <r>
    <d v="2016-08-09T00:00:00"/>
    <x v="285"/>
    <x v="10"/>
    <x v="1"/>
    <x v="8"/>
    <x v="276"/>
    <x v="1800"/>
    <n v="1"/>
    <x v="1773"/>
  </r>
  <r>
    <d v="2016-08-09T00:00:00"/>
    <x v="285"/>
    <x v="10"/>
    <x v="0"/>
    <x v="0"/>
    <x v="1260"/>
    <x v="1801"/>
    <n v="7"/>
    <x v="1774"/>
  </r>
  <r>
    <d v="2016-08-09T00:00:00"/>
    <x v="568"/>
    <x v="3"/>
    <x v="0"/>
    <x v="4"/>
    <x v="1261"/>
    <x v="1802"/>
    <n v="2"/>
    <x v="119"/>
  </r>
  <r>
    <d v="2016-08-09T00:00:00"/>
    <x v="568"/>
    <x v="3"/>
    <x v="0"/>
    <x v="0"/>
    <x v="1262"/>
    <x v="28"/>
    <n v="8"/>
    <x v="1775"/>
  </r>
  <r>
    <d v="2016-08-09T00:00:00"/>
    <x v="568"/>
    <x v="3"/>
    <x v="0"/>
    <x v="2"/>
    <x v="1094"/>
    <x v="1803"/>
    <n v="2"/>
    <x v="1776"/>
  </r>
  <r>
    <d v="2016-09-09T00:00:00"/>
    <x v="606"/>
    <x v="12"/>
    <x v="0"/>
    <x v="3"/>
    <x v="530"/>
    <x v="275"/>
    <n v="2"/>
    <x v="77"/>
  </r>
  <r>
    <d v="2016-09-09T00:00:00"/>
    <x v="261"/>
    <x v="3"/>
    <x v="0"/>
    <x v="3"/>
    <x v="43"/>
    <x v="1804"/>
    <n v="4"/>
    <x v="1777"/>
  </r>
  <r>
    <d v="2016-09-09T00:00:00"/>
    <x v="545"/>
    <x v="0"/>
    <x v="1"/>
    <x v="8"/>
    <x v="1263"/>
    <x v="1167"/>
    <n v="4"/>
    <x v="1778"/>
  </r>
  <r>
    <d v="2016-10-09T00:00:00"/>
    <x v="413"/>
    <x v="12"/>
    <x v="0"/>
    <x v="2"/>
    <x v="1264"/>
    <x v="1805"/>
    <n v="2"/>
    <x v="1779"/>
  </r>
  <r>
    <d v="2016-10-09T00:00:00"/>
    <x v="413"/>
    <x v="12"/>
    <x v="0"/>
    <x v="0"/>
    <x v="1265"/>
    <x v="1289"/>
    <n v="1"/>
    <x v="20"/>
  </r>
  <r>
    <d v="2016-10-09T00:00:00"/>
    <x v="382"/>
    <x v="31"/>
    <x v="0"/>
    <x v="4"/>
    <x v="1214"/>
    <x v="633"/>
    <n v="3"/>
    <x v="1780"/>
  </r>
  <r>
    <d v="2016-10-09T00:00:00"/>
    <x v="42"/>
    <x v="0"/>
    <x v="1"/>
    <x v="10"/>
    <x v="126"/>
    <x v="1806"/>
    <n v="5"/>
    <x v="1781"/>
  </r>
  <r>
    <d v="2016-10-09T00:00:00"/>
    <x v="42"/>
    <x v="0"/>
    <x v="2"/>
    <x v="6"/>
    <x v="290"/>
    <x v="1807"/>
    <n v="5"/>
    <x v="1245"/>
  </r>
  <r>
    <d v="2016-10-09T00:00:00"/>
    <x v="485"/>
    <x v="9"/>
    <x v="2"/>
    <x v="6"/>
    <x v="573"/>
    <x v="1808"/>
    <n v="7"/>
    <x v="1782"/>
  </r>
  <r>
    <d v="2016-10-09T00:00:00"/>
    <x v="538"/>
    <x v="10"/>
    <x v="0"/>
    <x v="1"/>
    <x v="1179"/>
    <x v="928"/>
    <n v="2"/>
    <x v="909"/>
  </r>
  <r>
    <d v="2016-10-09T00:00:00"/>
    <x v="538"/>
    <x v="10"/>
    <x v="0"/>
    <x v="3"/>
    <x v="176"/>
    <x v="1809"/>
    <n v="3"/>
    <x v="239"/>
  </r>
  <r>
    <d v="2016-10-09T00:00:00"/>
    <x v="538"/>
    <x v="10"/>
    <x v="0"/>
    <x v="0"/>
    <x v="139"/>
    <x v="1810"/>
    <n v="2"/>
    <x v="1783"/>
  </r>
  <r>
    <d v="2016-10-09T00:00:00"/>
    <x v="538"/>
    <x v="10"/>
    <x v="0"/>
    <x v="3"/>
    <x v="1124"/>
    <x v="1811"/>
    <n v="3"/>
    <x v="1784"/>
  </r>
  <r>
    <d v="2016-10-09T00:00:00"/>
    <x v="482"/>
    <x v="3"/>
    <x v="0"/>
    <x v="3"/>
    <x v="1266"/>
    <x v="1812"/>
    <n v="2"/>
    <x v="1785"/>
  </r>
  <r>
    <d v="2016-11-09T00:00:00"/>
    <x v="462"/>
    <x v="3"/>
    <x v="0"/>
    <x v="0"/>
    <x v="765"/>
    <x v="1813"/>
    <n v="1"/>
    <x v="1786"/>
  </r>
  <r>
    <d v="2016-11-09T00:00:00"/>
    <x v="462"/>
    <x v="3"/>
    <x v="2"/>
    <x v="9"/>
    <x v="1267"/>
    <x v="1814"/>
    <n v="13"/>
    <x v="1787"/>
  </r>
  <r>
    <d v="2016-11-09T00:00:00"/>
    <x v="90"/>
    <x v="2"/>
    <x v="0"/>
    <x v="0"/>
    <x v="1268"/>
    <x v="727"/>
    <n v="2"/>
    <x v="753"/>
  </r>
  <r>
    <d v="2016-11-09T00:00:00"/>
    <x v="90"/>
    <x v="2"/>
    <x v="2"/>
    <x v="6"/>
    <x v="483"/>
    <x v="1815"/>
    <n v="9"/>
    <x v="1788"/>
  </r>
  <r>
    <d v="2016-11-09T00:00:00"/>
    <x v="157"/>
    <x v="16"/>
    <x v="0"/>
    <x v="3"/>
    <x v="216"/>
    <x v="549"/>
    <n v="3"/>
    <x v="546"/>
  </r>
  <r>
    <d v="2016-11-09T00:00:00"/>
    <x v="157"/>
    <x v="16"/>
    <x v="0"/>
    <x v="2"/>
    <x v="317"/>
    <x v="1816"/>
    <n v="5"/>
    <x v="1452"/>
  </r>
  <r>
    <d v="2016-11-09T00:00:00"/>
    <x v="241"/>
    <x v="6"/>
    <x v="2"/>
    <x v="15"/>
    <x v="736"/>
    <x v="1817"/>
    <n v="8"/>
    <x v="1789"/>
  </r>
  <r>
    <d v="2016-11-09T00:00:00"/>
    <x v="241"/>
    <x v="6"/>
    <x v="0"/>
    <x v="11"/>
    <x v="1114"/>
    <x v="1818"/>
    <n v="1"/>
    <x v="374"/>
  </r>
  <r>
    <d v="2016-11-09T00:00:00"/>
    <x v="487"/>
    <x v="3"/>
    <x v="0"/>
    <x v="2"/>
    <x v="565"/>
    <x v="43"/>
    <n v="3"/>
    <x v="117"/>
  </r>
  <r>
    <d v="2016-11-09T00:00:00"/>
    <x v="487"/>
    <x v="3"/>
    <x v="0"/>
    <x v="3"/>
    <x v="216"/>
    <x v="1819"/>
    <n v="2"/>
    <x v="1790"/>
  </r>
  <r>
    <d v="2016-11-09T00:00:00"/>
    <x v="168"/>
    <x v="36"/>
    <x v="2"/>
    <x v="6"/>
    <x v="1076"/>
    <x v="1820"/>
    <n v="5"/>
    <x v="1791"/>
  </r>
  <r>
    <d v="2016-11-09T00:00:00"/>
    <x v="481"/>
    <x v="1"/>
    <x v="0"/>
    <x v="1"/>
    <x v="775"/>
    <x v="1564"/>
    <n v="2"/>
    <x v="1077"/>
  </r>
  <r>
    <d v="2016-11-09T00:00:00"/>
    <x v="481"/>
    <x v="1"/>
    <x v="0"/>
    <x v="3"/>
    <x v="1269"/>
    <x v="1821"/>
    <n v="3"/>
    <x v="1792"/>
  </r>
  <r>
    <d v="2016-11-09T00:00:00"/>
    <x v="591"/>
    <x v="23"/>
    <x v="0"/>
    <x v="4"/>
    <x v="1270"/>
    <x v="1822"/>
    <n v="2"/>
    <x v="1793"/>
  </r>
  <r>
    <d v="2016-11-09T00:00:00"/>
    <x v="591"/>
    <x v="23"/>
    <x v="0"/>
    <x v="0"/>
    <x v="1271"/>
    <x v="961"/>
    <n v="4"/>
    <x v="202"/>
  </r>
  <r>
    <d v="2016-11-09T00:00:00"/>
    <x v="591"/>
    <x v="23"/>
    <x v="0"/>
    <x v="0"/>
    <x v="356"/>
    <x v="1823"/>
    <n v="2"/>
    <x v="867"/>
  </r>
  <r>
    <d v="2016-11-09T00:00:00"/>
    <x v="305"/>
    <x v="0"/>
    <x v="0"/>
    <x v="11"/>
    <x v="614"/>
    <x v="1824"/>
    <n v="2"/>
    <x v="1794"/>
  </r>
  <r>
    <d v="2016-12-09T00:00:00"/>
    <x v="518"/>
    <x v="19"/>
    <x v="1"/>
    <x v="8"/>
    <x v="131"/>
    <x v="1825"/>
    <n v="4"/>
    <x v="485"/>
  </r>
  <r>
    <d v="2016-12-09T00:00:00"/>
    <x v="518"/>
    <x v="19"/>
    <x v="1"/>
    <x v="5"/>
    <x v="788"/>
    <x v="1826"/>
    <n v="2"/>
    <x v="1795"/>
  </r>
  <r>
    <d v="2016-12-09T00:00:00"/>
    <x v="518"/>
    <x v="19"/>
    <x v="1"/>
    <x v="8"/>
    <x v="1272"/>
    <x v="1827"/>
    <n v="1"/>
    <x v="1546"/>
  </r>
  <r>
    <d v="2016-12-09T00:00:00"/>
    <x v="518"/>
    <x v="19"/>
    <x v="0"/>
    <x v="1"/>
    <x v="607"/>
    <x v="1828"/>
    <n v="3"/>
    <x v="1204"/>
  </r>
  <r>
    <d v="2016-12-09T00:00:00"/>
    <x v="341"/>
    <x v="10"/>
    <x v="0"/>
    <x v="7"/>
    <x v="527"/>
    <x v="1829"/>
    <n v="3"/>
    <x v="1796"/>
  </r>
  <r>
    <d v="2016-12-09T00:00:00"/>
    <x v="341"/>
    <x v="10"/>
    <x v="0"/>
    <x v="1"/>
    <x v="1179"/>
    <x v="1830"/>
    <n v="3"/>
    <x v="1540"/>
  </r>
  <r>
    <d v="2016-12-09T00:00:00"/>
    <x v="341"/>
    <x v="10"/>
    <x v="0"/>
    <x v="3"/>
    <x v="1273"/>
    <x v="1145"/>
    <n v="4"/>
    <x v="1797"/>
  </r>
  <r>
    <d v="2016-12-09T00:00:00"/>
    <x v="519"/>
    <x v="6"/>
    <x v="2"/>
    <x v="9"/>
    <x v="1274"/>
    <x v="1145"/>
    <n v="3"/>
    <x v="1798"/>
  </r>
  <r>
    <d v="2016-12-09T00:00:00"/>
    <x v="519"/>
    <x v="6"/>
    <x v="0"/>
    <x v="7"/>
    <x v="22"/>
    <x v="1831"/>
    <n v="3"/>
    <x v="553"/>
  </r>
  <r>
    <d v="2016-12-09T00:00:00"/>
    <x v="519"/>
    <x v="6"/>
    <x v="0"/>
    <x v="2"/>
    <x v="737"/>
    <x v="1832"/>
    <n v="5"/>
    <x v="1799"/>
  </r>
  <r>
    <d v="2016-12-09T00:00:00"/>
    <x v="519"/>
    <x v="6"/>
    <x v="1"/>
    <x v="5"/>
    <x v="948"/>
    <x v="1833"/>
    <n v="4"/>
    <x v="1800"/>
  </r>
  <r>
    <d v="2016-12-09T00:00:00"/>
    <x v="485"/>
    <x v="18"/>
    <x v="0"/>
    <x v="0"/>
    <x v="1275"/>
    <x v="1834"/>
    <n v="3"/>
    <x v="1801"/>
  </r>
  <r>
    <d v="2016-12-09T00:00:00"/>
    <x v="422"/>
    <x v="19"/>
    <x v="2"/>
    <x v="6"/>
    <x v="615"/>
    <x v="1835"/>
    <n v="3"/>
    <x v="64"/>
  </r>
  <r>
    <d v="2016-12-09T00:00:00"/>
    <x v="422"/>
    <x v="19"/>
    <x v="1"/>
    <x v="5"/>
    <x v="1131"/>
    <x v="1836"/>
    <n v="4"/>
    <x v="1540"/>
  </r>
  <r>
    <d v="2016-12-09T00:00:00"/>
    <x v="607"/>
    <x v="12"/>
    <x v="1"/>
    <x v="8"/>
    <x v="1276"/>
    <x v="1837"/>
    <n v="2"/>
    <x v="1802"/>
  </r>
  <r>
    <d v="2016-01-10T00:00:00"/>
    <x v="534"/>
    <x v="3"/>
    <x v="1"/>
    <x v="5"/>
    <x v="39"/>
    <x v="1838"/>
    <n v="4"/>
    <x v="1803"/>
  </r>
  <r>
    <d v="2016-01-10T00:00:00"/>
    <x v="215"/>
    <x v="26"/>
    <x v="2"/>
    <x v="6"/>
    <x v="394"/>
    <x v="1839"/>
    <n v="2"/>
    <x v="579"/>
  </r>
  <r>
    <d v="2016-01-10T00:00:00"/>
    <x v="215"/>
    <x v="26"/>
    <x v="1"/>
    <x v="8"/>
    <x v="482"/>
    <x v="1840"/>
    <n v="5"/>
    <x v="1379"/>
  </r>
  <r>
    <d v="2016-01-10T00:00:00"/>
    <x v="98"/>
    <x v="12"/>
    <x v="1"/>
    <x v="10"/>
    <x v="232"/>
    <x v="1841"/>
    <n v="1"/>
    <x v="1804"/>
  </r>
  <r>
    <d v="2016-01-10T00:00:00"/>
    <x v="608"/>
    <x v="0"/>
    <x v="2"/>
    <x v="9"/>
    <x v="589"/>
    <x v="657"/>
    <n v="3"/>
    <x v="645"/>
  </r>
  <r>
    <d v="2016-01-10T00:00:00"/>
    <x v="608"/>
    <x v="0"/>
    <x v="0"/>
    <x v="0"/>
    <x v="177"/>
    <x v="1842"/>
    <n v="1"/>
    <x v="1805"/>
  </r>
  <r>
    <d v="2016-01-10T00:00:00"/>
    <x v="149"/>
    <x v="9"/>
    <x v="0"/>
    <x v="3"/>
    <x v="107"/>
    <x v="1843"/>
    <n v="4"/>
    <x v="1122"/>
  </r>
  <r>
    <d v="2016-01-10T00:00:00"/>
    <x v="149"/>
    <x v="9"/>
    <x v="0"/>
    <x v="4"/>
    <x v="1029"/>
    <x v="1844"/>
    <n v="8"/>
    <x v="1806"/>
  </r>
  <r>
    <d v="2016-02-10T00:00:00"/>
    <x v="609"/>
    <x v="12"/>
    <x v="0"/>
    <x v="13"/>
    <x v="443"/>
    <x v="1845"/>
    <n v="3"/>
    <x v="1807"/>
  </r>
  <r>
    <d v="2016-02-10T00:00:00"/>
    <x v="568"/>
    <x v="23"/>
    <x v="0"/>
    <x v="3"/>
    <x v="450"/>
    <x v="1846"/>
    <n v="6"/>
    <x v="1808"/>
  </r>
  <r>
    <d v="2016-02-10T00:00:00"/>
    <x v="273"/>
    <x v="26"/>
    <x v="0"/>
    <x v="2"/>
    <x v="35"/>
    <x v="1847"/>
    <n v="2"/>
    <x v="1809"/>
  </r>
  <r>
    <d v="2016-02-10T00:00:00"/>
    <x v="273"/>
    <x v="26"/>
    <x v="2"/>
    <x v="15"/>
    <x v="1277"/>
    <x v="1848"/>
    <n v="5"/>
    <x v="1810"/>
  </r>
  <r>
    <d v="2016-02-10T00:00:00"/>
    <x v="273"/>
    <x v="26"/>
    <x v="0"/>
    <x v="3"/>
    <x v="355"/>
    <x v="1849"/>
    <n v="2"/>
    <x v="1811"/>
  </r>
  <r>
    <d v="2016-02-10T00:00:00"/>
    <x v="273"/>
    <x v="26"/>
    <x v="0"/>
    <x v="3"/>
    <x v="514"/>
    <x v="1850"/>
    <n v="7"/>
    <x v="1812"/>
  </r>
  <r>
    <d v="2016-02-10T00:00:00"/>
    <x v="273"/>
    <x v="26"/>
    <x v="0"/>
    <x v="4"/>
    <x v="1278"/>
    <x v="1851"/>
    <n v="2"/>
    <x v="1813"/>
  </r>
  <r>
    <d v="2016-03-10T00:00:00"/>
    <x v="104"/>
    <x v="0"/>
    <x v="0"/>
    <x v="11"/>
    <x v="55"/>
    <x v="1852"/>
    <n v="2"/>
    <x v="1814"/>
  </r>
  <r>
    <d v="2016-03-10T00:00:00"/>
    <x v="89"/>
    <x v="12"/>
    <x v="1"/>
    <x v="5"/>
    <x v="1279"/>
    <x v="1853"/>
    <n v="6"/>
    <x v="1815"/>
  </r>
  <r>
    <d v="2016-03-10T00:00:00"/>
    <x v="338"/>
    <x v="0"/>
    <x v="1"/>
    <x v="8"/>
    <x v="1272"/>
    <x v="1854"/>
    <n v="5"/>
    <x v="1816"/>
  </r>
  <r>
    <d v="2016-03-10T00:00:00"/>
    <x v="545"/>
    <x v="3"/>
    <x v="0"/>
    <x v="1"/>
    <x v="467"/>
    <x v="1054"/>
    <n v="2"/>
    <x v="709"/>
  </r>
  <r>
    <d v="2016-03-10T00:00:00"/>
    <x v="545"/>
    <x v="3"/>
    <x v="1"/>
    <x v="5"/>
    <x v="7"/>
    <x v="1855"/>
    <n v="4"/>
    <x v="1817"/>
  </r>
  <r>
    <d v="2016-03-10T00:00:00"/>
    <x v="545"/>
    <x v="3"/>
    <x v="0"/>
    <x v="0"/>
    <x v="1262"/>
    <x v="221"/>
    <n v="2"/>
    <x v="1818"/>
  </r>
  <r>
    <d v="2016-03-10T00:00:00"/>
    <x v="545"/>
    <x v="3"/>
    <x v="0"/>
    <x v="0"/>
    <x v="73"/>
    <x v="75"/>
    <n v="2"/>
    <x v="76"/>
  </r>
  <r>
    <d v="2016-04-10T00:00:00"/>
    <x v="603"/>
    <x v="0"/>
    <x v="0"/>
    <x v="11"/>
    <x v="1280"/>
    <x v="1856"/>
    <n v="7"/>
    <x v="1130"/>
  </r>
  <r>
    <d v="2016-04-10T00:00:00"/>
    <x v="424"/>
    <x v="40"/>
    <x v="0"/>
    <x v="3"/>
    <x v="1281"/>
    <x v="1857"/>
    <n v="1"/>
    <x v="1819"/>
  </r>
  <r>
    <d v="2016-04-10T00:00:00"/>
    <x v="424"/>
    <x v="40"/>
    <x v="2"/>
    <x v="15"/>
    <x v="185"/>
    <x v="1858"/>
    <n v="9"/>
    <x v="1820"/>
  </r>
  <r>
    <d v="2016-04-10T00:00:00"/>
    <x v="424"/>
    <x v="40"/>
    <x v="0"/>
    <x v="2"/>
    <x v="1282"/>
    <x v="1859"/>
    <n v="3"/>
    <x v="1821"/>
  </r>
  <r>
    <d v="2016-04-10T00:00:00"/>
    <x v="7"/>
    <x v="39"/>
    <x v="1"/>
    <x v="10"/>
    <x v="1283"/>
    <x v="1860"/>
    <n v="2"/>
    <x v="1822"/>
  </r>
  <r>
    <d v="2016-04-10T00:00:00"/>
    <x v="50"/>
    <x v="9"/>
    <x v="2"/>
    <x v="6"/>
    <x v="627"/>
    <x v="716"/>
    <n v="3"/>
    <x v="699"/>
  </r>
  <r>
    <d v="2016-04-10T00:00:00"/>
    <x v="50"/>
    <x v="9"/>
    <x v="1"/>
    <x v="8"/>
    <x v="1284"/>
    <x v="1861"/>
    <n v="3"/>
    <x v="45"/>
  </r>
  <r>
    <d v="2016-06-10T00:00:00"/>
    <x v="394"/>
    <x v="34"/>
    <x v="0"/>
    <x v="3"/>
    <x v="748"/>
    <x v="1862"/>
    <n v="5"/>
    <x v="1823"/>
  </r>
  <r>
    <d v="2016-06-10T00:00:00"/>
    <x v="596"/>
    <x v="19"/>
    <x v="2"/>
    <x v="16"/>
    <x v="1285"/>
    <x v="1863"/>
    <n v="6"/>
    <x v="1824"/>
  </r>
  <r>
    <d v="2016-06-10T00:00:00"/>
    <x v="596"/>
    <x v="19"/>
    <x v="0"/>
    <x v="3"/>
    <x v="1247"/>
    <x v="446"/>
    <n v="4"/>
    <x v="1825"/>
  </r>
  <r>
    <d v="2016-06-10T00:00:00"/>
    <x v="596"/>
    <x v="19"/>
    <x v="0"/>
    <x v="3"/>
    <x v="1286"/>
    <x v="514"/>
    <n v="4"/>
    <x v="680"/>
  </r>
  <r>
    <d v="2016-06-10T00:00:00"/>
    <x v="596"/>
    <x v="19"/>
    <x v="2"/>
    <x v="9"/>
    <x v="1031"/>
    <x v="1101"/>
    <n v="5"/>
    <x v="1826"/>
  </r>
  <r>
    <d v="2016-07-10T00:00:00"/>
    <x v="309"/>
    <x v="3"/>
    <x v="0"/>
    <x v="3"/>
    <x v="813"/>
    <x v="1864"/>
    <n v="2"/>
    <x v="1355"/>
  </r>
  <r>
    <d v="2016-07-10T00:00:00"/>
    <x v="610"/>
    <x v="10"/>
    <x v="2"/>
    <x v="16"/>
    <x v="828"/>
    <x v="1865"/>
    <n v="3"/>
    <x v="1827"/>
  </r>
  <r>
    <d v="2016-07-10T00:00:00"/>
    <x v="554"/>
    <x v="3"/>
    <x v="0"/>
    <x v="0"/>
    <x v="634"/>
    <x v="934"/>
    <n v="2"/>
    <x v="1828"/>
  </r>
  <r>
    <d v="2016-07-10T00:00:00"/>
    <x v="578"/>
    <x v="2"/>
    <x v="0"/>
    <x v="1"/>
    <x v="1287"/>
    <x v="494"/>
    <n v="2"/>
    <x v="493"/>
  </r>
  <r>
    <d v="2016-07-10T00:00:00"/>
    <x v="361"/>
    <x v="10"/>
    <x v="0"/>
    <x v="7"/>
    <x v="12"/>
    <x v="1866"/>
    <n v="12"/>
    <x v="1829"/>
  </r>
  <r>
    <d v="2016-08-10T00:00:00"/>
    <x v="611"/>
    <x v="0"/>
    <x v="1"/>
    <x v="8"/>
    <x v="945"/>
    <x v="1867"/>
    <n v="8"/>
    <x v="1830"/>
  </r>
  <r>
    <d v="2016-08-10T00:00:00"/>
    <x v="612"/>
    <x v="3"/>
    <x v="0"/>
    <x v="0"/>
    <x v="1195"/>
    <x v="1124"/>
    <n v="2"/>
    <x v="1831"/>
  </r>
  <r>
    <d v="2016-08-10T00:00:00"/>
    <x v="613"/>
    <x v="0"/>
    <x v="0"/>
    <x v="1"/>
    <x v="840"/>
    <x v="1868"/>
    <n v="6"/>
    <x v="1832"/>
  </r>
  <r>
    <d v="2016-08-10T00:00:00"/>
    <x v="423"/>
    <x v="15"/>
    <x v="0"/>
    <x v="2"/>
    <x v="1288"/>
    <x v="1869"/>
    <n v="5"/>
    <x v="1833"/>
  </r>
  <r>
    <d v="2016-09-10T00:00:00"/>
    <x v="451"/>
    <x v="16"/>
    <x v="2"/>
    <x v="6"/>
    <x v="1072"/>
    <x v="699"/>
    <n v="4"/>
    <x v="1834"/>
  </r>
  <r>
    <d v="2016-09-10T00:00:00"/>
    <x v="614"/>
    <x v="2"/>
    <x v="0"/>
    <x v="0"/>
    <x v="100"/>
    <x v="1587"/>
    <n v="4"/>
    <x v="1835"/>
  </r>
  <r>
    <d v="2016-09-10T00:00:00"/>
    <x v="614"/>
    <x v="2"/>
    <x v="1"/>
    <x v="8"/>
    <x v="1289"/>
    <x v="1870"/>
    <n v="4"/>
    <x v="1836"/>
  </r>
  <r>
    <d v="2016-09-10T00:00:00"/>
    <x v="476"/>
    <x v="23"/>
    <x v="0"/>
    <x v="4"/>
    <x v="674"/>
    <x v="1871"/>
    <n v="1"/>
    <x v="1837"/>
  </r>
  <r>
    <d v="2016-09-10T00:00:00"/>
    <x v="476"/>
    <x v="23"/>
    <x v="1"/>
    <x v="8"/>
    <x v="1151"/>
    <x v="1872"/>
    <n v="2"/>
    <x v="52"/>
  </r>
  <r>
    <d v="2016-10-10T00:00:00"/>
    <x v="517"/>
    <x v="15"/>
    <x v="0"/>
    <x v="14"/>
    <x v="125"/>
    <x v="1873"/>
    <n v="2"/>
    <x v="1838"/>
  </r>
  <r>
    <d v="2016-10-10T00:00:00"/>
    <x v="517"/>
    <x v="15"/>
    <x v="0"/>
    <x v="3"/>
    <x v="235"/>
    <x v="1874"/>
    <n v="3"/>
    <x v="1839"/>
  </r>
  <r>
    <d v="2016-10-10T00:00:00"/>
    <x v="439"/>
    <x v="19"/>
    <x v="1"/>
    <x v="12"/>
    <x v="1290"/>
    <x v="776"/>
    <n v="3"/>
    <x v="1840"/>
  </r>
  <r>
    <d v="2016-10-10T00:00:00"/>
    <x v="439"/>
    <x v="19"/>
    <x v="2"/>
    <x v="6"/>
    <x v="480"/>
    <x v="510"/>
    <n v="1"/>
    <x v="510"/>
  </r>
  <r>
    <d v="2016-10-10T00:00:00"/>
    <x v="439"/>
    <x v="19"/>
    <x v="1"/>
    <x v="5"/>
    <x v="1291"/>
    <x v="1875"/>
    <n v="1"/>
    <x v="1841"/>
  </r>
  <r>
    <d v="2016-10-10T00:00:00"/>
    <x v="266"/>
    <x v="0"/>
    <x v="1"/>
    <x v="8"/>
    <x v="1292"/>
    <x v="1876"/>
    <n v="4"/>
    <x v="1437"/>
  </r>
  <r>
    <d v="2016-10-10T00:00:00"/>
    <x v="266"/>
    <x v="0"/>
    <x v="0"/>
    <x v="3"/>
    <x v="277"/>
    <x v="1877"/>
    <n v="2"/>
    <x v="1842"/>
  </r>
  <r>
    <d v="2016-11-10T00:00:00"/>
    <x v="138"/>
    <x v="1"/>
    <x v="0"/>
    <x v="4"/>
    <x v="588"/>
    <x v="1878"/>
    <n v="2"/>
    <x v="1843"/>
  </r>
  <r>
    <d v="2016-11-10T00:00:00"/>
    <x v="138"/>
    <x v="1"/>
    <x v="0"/>
    <x v="4"/>
    <x v="1293"/>
    <x v="1879"/>
    <n v="3"/>
    <x v="909"/>
  </r>
  <r>
    <d v="2016-01-11T00:00:00"/>
    <x v="498"/>
    <x v="6"/>
    <x v="2"/>
    <x v="6"/>
    <x v="191"/>
    <x v="1880"/>
    <n v="2"/>
    <x v="1844"/>
  </r>
  <r>
    <d v="2016-01-11T00:00:00"/>
    <x v="498"/>
    <x v="6"/>
    <x v="0"/>
    <x v="11"/>
    <x v="487"/>
    <x v="1881"/>
    <n v="3"/>
    <x v="1845"/>
  </r>
  <r>
    <d v="2016-01-11T00:00:00"/>
    <x v="326"/>
    <x v="0"/>
    <x v="0"/>
    <x v="2"/>
    <x v="1294"/>
    <x v="1882"/>
    <n v="9"/>
    <x v="1232"/>
  </r>
  <r>
    <d v="2016-01-11T00:00:00"/>
    <x v="234"/>
    <x v="1"/>
    <x v="2"/>
    <x v="9"/>
    <x v="325"/>
    <x v="1883"/>
    <n v="3"/>
    <x v="1846"/>
  </r>
  <r>
    <d v="2016-03-11T00:00:00"/>
    <x v="36"/>
    <x v="42"/>
    <x v="0"/>
    <x v="4"/>
    <x v="424"/>
    <x v="1884"/>
    <n v="2"/>
    <x v="1847"/>
  </r>
  <r>
    <d v="2016-03-11T00:00:00"/>
    <x v="36"/>
    <x v="42"/>
    <x v="0"/>
    <x v="3"/>
    <x v="166"/>
    <x v="1885"/>
    <n v="6"/>
    <x v="1848"/>
  </r>
  <r>
    <d v="2016-03-11T00:00:00"/>
    <x v="341"/>
    <x v="10"/>
    <x v="0"/>
    <x v="4"/>
    <x v="1295"/>
    <x v="897"/>
    <n v="3"/>
    <x v="1849"/>
  </r>
  <r>
    <d v="2016-03-11T00:00:00"/>
    <x v="615"/>
    <x v="3"/>
    <x v="1"/>
    <x v="5"/>
    <x v="1296"/>
    <x v="1886"/>
    <n v="2"/>
    <x v="1850"/>
  </r>
  <r>
    <d v="2016-03-11T00:00:00"/>
    <x v="615"/>
    <x v="3"/>
    <x v="2"/>
    <x v="9"/>
    <x v="1297"/>
    <x v="1887"/>
    <n v="5"/>
    <x v="1851"/>
  </r>
  <r>
    <d v="2016-03-11T00:00:00"/>
    <x v="615"/>
    <x v="3"/>
    <x v="0"/>
    <x v="1"/>
    <x v="840"/>
    <x v="1888"/>
    <n v="7"/>
    <x v="1852"/>
  </r>
  <r>
    <d v="2016-03-11T00:00:00"/>
    <x v="615"/>
    <x v="3"/>
    <x v="0"/>
    <x v="13"/>
    <x v="1298"/>
    <x v="1889"/>
    <n v="4"/>
    <x v="1853"/>
  </r>
  <r>
    <d v="2016-03-11T00:00:00"/>
    <x v="280"/>
    <x v="5"/>
    <x v="0"/>
    <x v="7"/>
    <x v="419"/>
    <x v="1890"/>
    <n v="4"/>
    <x v="367"/>
  </r>
  <r>
    <d v="2016-03-11T00:00:00"/>
    <x v="280"/>
    <x v="5"/>
    <x v="0"/>
    <x v="4"/>
    <x v="91"/>
    <x v="93"/>
    <n v="3"/>
    <x v="94"/>
  </r>
  <r>
    <d v="2016-03-11T00:00:00"/>
    <x v="280"/>
    <x v="5"/>
    <x v="1"/>
    <x v="8"/>
    <x v="1284"/>
    <x v="1721"/>
    <n v="5"/>
    <x v="1854"/>
  </r>
  <r>
    <d v="2016-03-11T00:00:00"/>
    <x v="280"/>
    <x v="5"/>
    <x v="0"/>
    <x v="4"/>
    <x v="1299"/>
    <x v="1891"/>
    <n v="1"/>
    <x v="827"/>
  </r>
  <r>
    <d v="2016-03-11T00:00:00"/>
    <x v="280"/>
    <x v="5"/>
    <x v="1"/>
    <x v="10"/>
    <x v="1144"/>
    <x v="1892"/>
    <n v="3"/>
    <x v="1855"/>
  </r>
  <r>
    <d v="2016-03-11T00:00:00"/>
    <x v="234"/>
    <x v="3"/>
    <x v="0"/>
    <x v="7"/>
    <x v="86"/>
    <x v="1893"/>
    <n v="7"/>
    <x v="1856"/>
  </r>
  <r>
    <d v="2016-03-11T00:00:00"/>
    <x v="234"/>
    <x v="3"/>
    <x v="0"/>
    <x v="13"/>
    <x v="1300"/>
    <x v="1894"/>
    <n v="2"/>
    <x v="863"/>
  </r>
  <r>
    <d v="2016-03-11T00:00:00"/>
    <x v="234"/>
    <x v="3"/>
    <x v="0"/>
    <x v="3"/>
    <x v="166"/>
    <x v="1895"/>
    <n v="12"/>
    <x v="1857"/>
  </r>
  <r>
    <d v="2016-03-11T00:00:00"/>
    <x v="234"/>
    <x v="3"/>
    <x v="0"/>
    <x v="0"/>
    <x v="1301"/>
    <x v="1896"/>
    <n v="3"/>
    <x v="1858"/>
  </r>
  <r>
    <d v="2016-03-11T00:00:00"/>
    <x v="234"/>
    <x v="3"/>
    <x v="0"/>
    <x v="3"/>
    <x v="1302"/>
    <x v="1897"/>
    <n v="2"/>
    <x v="1859"/>
  </r>
  <r>
    <d v="2016-03-11T00:00:00"/>
    <x v="234"/>
    <x v="3"/>
    <x v="0"/>
    <x v="0"/>
    <x v="1303"/>
    <x v="5"/>
    <n v="3"/>
    <x v="5"/>
  </r>
  <r>
    <d v="2016-03-11T00:00:00"/>
    <x v="234"/>
    <x v="3"/>
    <x v="0"/>
    <x v="0"/>
    <x v="1304"/>
    <x v="1898"/>
    <n v="3"/>
    <x v="1860"/>
  </r>
  <r>
    <d v="2016-03-11T00:00:00"/>
    <x v="557"/>
    <x v="0"/>
    <x v="0"/>
    <x v="0"/>
    <x v="984"/>
    <x v="1778"/>
    <n v="2"/>
    <x v="152"/>
  </r>
  <r>
    <d v="2016-03-11T00:00:00"/>
    <x v="375"/>
    <x v="35"/>
    <x v="0"/>
    <x v="3"/>
    <x v="1012"/>
    <x v="1899"/>
    <n v="7"/>
    <x v="1861"/>
  </r>
  <r>
    <d v="2016-03-11T00:00:00"/>
    <x v="375"/>
    <x v="35"/>
    <x v="2"/>
    <x v="16"/>
    <x v="1305"/>
    <x v="1900"/>
    <n v="3"/>
    <x v="1862"/>
  </r>
  <r>
    <d v="2016-03-11T00:00:00"/>
    <x v="400"/>
    <x v="2"/>
    <x v="2"/>
    <x v="9"/>
    <x v="525"/>
    <x v="1901"/>
    <n v="1"/>
    <x v="1504"/>
  </r>
  <r>
    <d v="2016-03-11T00:00:00"/>
    <x v="400"/>
    <x v="2"/>
    <x v="1"/>
    <x v="5"/>
    <x v="1306"/>
    <x v="1902"/>
    <n v="7"/>
    <x v="1863"/>
  </r>
  <r>
    <d v="2016-04-11T00:00:00"/>
    <x v="300"/>
    <x v="5"/>
    <x v="0"/>
    <x v="7"/>
    <x v="1307"/>
    <x v="1273"/>
    <n v="3"/>
    <x v="841"/>
  </r>
  <r>
    <d v="2016-04-11T00:00:00"/>
    <x v="616"/>
    <x v="10"/>
    <x v="1"/>
    <x v="8"/>
    <x v="1235"/>
    <x v="1903"/>
    <n v="3"/>
    <x v="1683"/>
  </r>
  <r>
    <d v="2016-04-11T00:00:00"/>
    <x v="202"/>
    <x v="3"/>
    <x v="1"/>
    <x v="8"/>
    <x v="105"/>
    <x v="1904"/>
    <n v="7"/>
    <x v="1864"/>
  </r>
  <r>
    <d v="2016-04-11T00:00:00"/>
    <x v="359"/>
    <x v="3"/>
    <x v="0"/>
    <x v="4"/>
    <x v="211"/>
    <x v="1905"/>
    <n v="4"/>
    <x v="1865"/>
  </r>
  <r>
    <d v="2016-04-11T00:00:00"/>
    <x v="338"/>
    <x v="35"/>
    <x v="0"/>
    <x v="14"/>
    <x v="1308"/>
    <x v="1906"/>
    <n v="7"/>
    <x v="1866"/>
  </r>
  <r>
    <d v="2016-04-11T00:00:00"/>
    <x v="338"/>
    <x v="35"/>
    <x v="1"/>
    <x v="5"/>
    <x v="471"/>
    <x v="1907"/>
    <n v="1"/>
    <x v="1867"/>
  </r>
  <r>
    <d v="2016-04-11T00:00:00"/>
    <x v="338"/>
    <x v="35"/>
    <x v="0"/>
    <x v="0"/>
    <x v="194"/>
    <x v="867"/>
    <n v="3"/>
    <x v="1868"/>
  </r>
  <r>
    <d v="2016-04-11T00:00:00"/>
    <x v="338"/>
    <x v="35"/>
    <x v="1"/>
    <x v="5"/>
    <x v="491"/>
    <x v="1908"/>
    <n v="3"/>
    <x v="1869"/>
  </r>
  <r>
    <d v="2016-04-11T00:00:00"/>
    <x v="338"/>
    <x v="35"/>
    <x v="0"/>
    <x v="1"/>
    <x v="258"/>
    <x v="1909"/>
    <n v="8"/>
    <x v="1870"/>
  </r>
  <r>
    <d v="2016-04-11T00:00:00"/>
    <x v="338"/>
    <x v="35"/>
    <x v="0"/>
    <x v="0"/>
    <x v="1309"/>
    <x v="1910"/>
    <n v="1"/>
    <x v="1871"/>
  </r>
  <r>
    <d v="2016-04-11T00:00:00"/>
    <x v="520"/>
    <x v="9"/>
    <x v="1"/>
    <x v="8"/>
    <x v="1233"/>
    <x v="1911"/>
    <n v="6"/>
    <x v="39"/>
  </r>
  <r>
    <d v="2016-04-11T00:00:00"/>
    <x v="124"/>
    <x v="3"/>
    <x v="0"/>
    <x v="3"/>
    <x v="295"/>
    <x v="305"/>
    <n v="2"/>
    <x v="305"/>
  </r>
  <r>
    <d v="2016-04-11T00:00:00"/>
    <x v="124"/>
    <x v="3"/>
    <x v="0"/>
    <x v="3"/>
    <x v="506"/>
    <x v="1912"/>
    <n v="1"/>
    <x v="1872"/>
  </r>
  <r>
    <d v="2016-04-11T00:00:00"/>
    <x v="124"/>
    <x v="3"/>
    <x v="0"/>
    <x v="0"/>
    <x v="365"/>
    <x v="1141"/>
    <n v="6"/>
    <x v="1111"/>
  </r>
  <r>
    <d v="2016-04-11T00:00:00"/>
    <x v="602"/>
    <x v="15"/>
    <x v="0"/>
    <x v="2"/>
    <x v="175"/>
    <x v="175"/>
    <n v="2"/>
    <x v="178"/>
  </r>
  <r>
    <d v="2016-04-11T00:00:00"/>
    <x v="602"/>
    <x v="15"/>
    <x v="1"/>
    <x v="10"/>
    <x v="1223"/>
    <x v="1913"/>
    <n v="10"/>
    <x v="1873"/>
  </r>
  <r>
    <d v="2016-04-11T00:00:00"/>
    <x v="602"/>
    <x v="15"/>
    <x v="0"/>
    <x v="14"/>
    <x v="1310"/>
    <x v="1914"/>
    <n v="2"/>
    <x v="1874"/>
  </r>
  <r>
    <d v="2016-04-11T00:00:00"/>
    <x v="554"/>
    <x v="3"/>
    <x v="2"/>
    <x v="16"/>
    <x v="1311"/>
    <x v="1915"/>
    <n v="2"/>
    <x v="1875"/>
  </r>
  <r>
    <d v="2016-04-11T00:00:00"/>
    <x v="313"/>
    <x v="0"/>
    <x v="1"/>
    <x v="8"/>
    <x v="1005"/>
    <x v="1916"/>
    <n v="3"/>
    <x v="1876"/>
  </r>
  <r>
    <d v="2016-04-11T00:00:00"/>
    <x v="313"/>
    <x v="0"/>
    <x v="1"/>
    <x v="8"/>
    <x v="200"/>
    <x v="201"/>
    <n v="4"/>
    <x v="204"/>
  </r>
  <r>
    <d v="2016-05-11T00:00:00"/>
    <x v="449"/>
    <x v="3"/>
    <x v="0"/>
    <x v="3"/>
    <x v="1312"/>
    <x v="1917"/>
    <n v="5"/>
    <x v="1877"/>
  </r>
  <r>
    <d v="2016-05-11T00:00:00"/>
    <x v="616"/>
    <x v="2"/>
    <x v="2"/>
    <x v="6"/>
    <x v="1313"/>
    <x v="1718"/>
    <n v="2"/>
    <x v="1878"/>
  </r>
  <r>
    <d v="2016-05-11T00:00:00"/>
    <x v="138"/>
    <x v="0"/>
    <x v="1"/>
    <x v="10"/>
    <x v="727"/>
    <x v="1918"/>
    <n v="8"/>
    <x v="1879"/>
  </r>
  <r>
    <d v="2016-05-11T00:00:00"/>
    <x v="138"/>
    <x v="0"/>
    <x v="0"/>
    <x v="3"/>
    <x v="176"/>
    <x v="1919"/>
    <n v="3"/>
    <x v="1880"/>
  </r>
  <r>
    <d v="2016-05-11T00:00:00"/>
    <x v="138"/>
    <x v="0"/>
    <x v="1"/>
    <x v="12"/>
    <x v="1314"/>
    <x v="1920"/>
    <n v="7"/>
    <x v="1881"/>
  </r>
  <r>
    <d v="2016-05-11T00:00:00"/>
    <x v="138"/>
    <x v="0"/>
    <x v="0"/>
    <x v="3"/>
    <x v="1254"/>
    <x v="1921"/>
    <n v="3"/>
    <x v="1882"/>
  </r>
  <r>
    <d v="2016-05-11T00:00:00"/>
    <x v="138"/>
    <x v="0"/>
    <x v="2"/>
    <x v="9"/>
    <x v="1315"/>
    <x v="1922"/>
    <n v="5"/>
    <x v="1883"/>
  </r>
  <r>
    <d v="2016-05-11T00:00:00"/>
    <x v="617"/>
    <x v="26"/>
    <x v="0"/>
    <x v="3"/>
    <x v="1254"/>
    <x v="1923"/>
    <n v="5"/>
    <x v="1884"/>
  </r>
  <r>
    <d v="2016-05-11T00:00:00"/>
    <x v="617"/>
    <x v="26"/>
    <x v="0"/>
    <x v="4"/>
    <x v="161"/>
    <x v="160"/>
    <n v="2"/>
    <x v="162"/>
  </r>
  <r>
    <d v="2016-05-11T00:00:00"/>
    <x v="617"/>
    <x v="26"/>
    <x v="0"/>
    <x v="1"/>
    <x v="899"/>
    <x v="1924"/>
    <n v="5"/>
    <x v="1885"/>
  </r>
  <r>
    <d v="2016-05-11T00:00:00"/>
    <x v="177"/>
    <x v="3"/>
    <x v="0"/>
    <x v="3"/>
    <x v="1202"/>
    <x v="1925"/>
    <n v="2"/>
    <x v="271"/>
  </r>
  <r>
    <d v="2016-05-11T00:00:00"/>
    <x v="352"/>
    <x v="0"/>
    <x v="0"/>
    <x v="1"/>
    <x v="92"/>
    <x v="1926"/>
    <n v="1"/>
    <x v="723"/>
  </r>
  <r>
    <d v="2016-05-11T00:00:00"/>
    <x v="193"/>
    <x v="10"/>
    <x v="2"/>
    <x v="9"/>
    <x v="1316"/>
    <x v="1927"/>
    <n v="4"/>
    <x v="1886"/>
  </r>
  <r>
    <d v="2016-05-11T00:00:00"/>
    <x v="316"/>
    <x v="3"/>
    <x v="2"/>
    <x v="9"/>
    <x v="884"/>
    <x v="1901"/>
    <n v="4"/>
    <x v="1790"/>
  </r>
  <r>
    <d v="2016-05-11T00:00:00"/>
    <x v="316"/>
    <x v="3"/>
    <x v="1"/>
    <x v="5"/>
    <x v="1317"/>
    <x v="1928"/>
    <n v="2"/>
    <x v="1887"/>
  </r>
  <r>
    <d v="2016-05-11T00:00:00"/>
    <x v="316"/>
    <x v="3"/>
    <x v="0"/>
    <x v="11"/>
    <x v="190"/>
    <x v="191"/>
    <n v="3"/>
    <x v="194"/>
  </r>
  <r>
    <d v="2016-05-11T00:00:00"/>
    <x v="218"/>
    <x v="6"/>
    <x v="1"/>
    <x v="8"/>
    <x v="393"/>
    <x v="1929"/>
    <n v="2"/>
    <x v="1888"/>
  </r>
  <r>
    <d v="2016-05-11T00:00:00"/>
    <x v="218"/>
    <x v="6"/>
    <x v="2"/>
    <x v="9"/>
    <x v="917"/>
    <x v="571"/>
    <n v="3"/>
    <x v="568"/>
  </r>
  <r>
    <d v="2016-05-11T00:00:00"/>
    <x v="218"/>
    <x v="6"/>
    <x v="1"/>
    <x v="8"/>
    <x v="1318"/>
    <x v="1930"/>
    <n v="5"/>
    <x v="1889"/>
  </r>
  <r>
    <d v="2016-06-11T00:00:00"/>
    <x v="618"/>
    <x v="3"/>
    <x v="1"/>
    <x v="5"/>
    <x v="1248"/>
    <x v="1931"/>
    <n v="2"/>
    <x v="904"/>
  </r>
  <r>
    <d v="2016-06-11T00:00:00"/>
    <x v="618"/>
    <x v="3"/>
    <x v="1"/>
    <x v="8"/>
    <x v="1083"/>
    <x v="1932"/>
    <n v="3"/>
    <x v="1890"/>
  </r>
  <r>
    <d v="2016-06-11T00:00:00"/>
    <x v="619"/>
    <x v="9"/>
    <x v="1"/>
    <x v="5"/>
    <x v="927"/>
    <x v="1933"/>
    <n v="2"/>
    <x v="1891"/>
  </r>
  <r>
    <d v="2016-06-11T00:00:00"/>
    <x v="619"/>
    <x v="9"/>
    <x v="0"/>
    <x v="0"/>
    <x v="1319"/>
    <x v="1934"/>
    <n v="2"/>
    <x v="1892"/>
  </r>
  <r>
    <d v="2016-06-11T00:00:00"/>
    <x v="619"/>
    <x v="9"/>
    <x v="1"/>
    <x v="8"/>
    <x v="972"/>
    <x v="1935"/>
    <n v="2"/>
    <x v="254"/>
  </r>
  <r>
    <d v="2016-06-11T00:00:00"/>
    <x v="619"/>
    <x v="9"/>
    <x v="0"/>
    <x v="0"/>
    <x v="112"/>
    <x v="508"/>
    <n v="2"/>
    <x v="509"/>
  </r>
  <r>
    <d v="2016-06-11T00:00:00"/>
    <x v="398"/>
    <x v="3"/>
    <x v="0"/>
    <x v="2"/>
    <x v="175"/>
    <x v="1936"/>
    <n v="3"/>
    <x v="1893"/>
  </r>
  <r>
    <d v="2016-07-11T00:00:00"/>
    <x v="389"/>
    <x v="10"/>
    <x v="0"/>
    <x v="3"/>
    <x v="1320"/>
    <x v="1937"/>
    <n v="2"/>
    <x v="1349"/>
  </r>
  <r>
    <d v="2016-07-11T00:00:00"/>
    <x v="415"/>
    <x v="3"/>
    <x v="0"/>
    <x v="3"/>
    <x v="167"/>
    <x v="1938"/>
    <n v="4"/>
    <x v="1894"/>
  </r>
  <r>
    <d v="2016-07-11T00:00:00"/>
    <x v="415"/>
    <x v="3"/>
    <x v="0"/>
    <x v="3"/>
    <x v="1321"/>
    <x v="1939"/>
    <n v="4"/>
    <x v="923"/>
  </r>
  <r>
    <d v="2016-07-11T00:00:00"/>
    <x v="415"/>
    <x v="3"/>
    <x v="0"/>
    <x v="14"/>
    <x v="1239"/>
    <x v="56"/>
    <n v="2"/>
    <x v="825"/>
  </r>
  <r>
    <d v="2016-07-11T00:00:00"/>
    <x v="415"/>
    <x v="3"/>
    <x v="0"/>
    <x v="1"/>
    <x v="1032"/>
    <x v="275"/>
    <n v="2"/>
    <x v="41"/>
  </r>
  <r>
    <d v="2016-07-11T00:00:00"/>
    <x v="318"/>
    <x v="3"/>
    <x v="1"/>
    <x v="8"/>
    <x v="1115"/>
    <x v="1940"/>
    <n v="3"/>
    <x v="411"/>
  </r>
  <r>
    <d v="2016-07-11T00:00:00"/>
    <x v="262"/>
    <x v="16"/>
    <x v="2"/>
    <x v="9"/>
    <x v="472"/>
    <x v="931"/>
    <n v="3"/>
    <x v="1895"/>
  </r>
  <r>
    <d v="2016-07-11T00:00:00"/>
    <x v="554"/>
    <x v="11"/>
    <x v="0"/>
    <x v="7"/>
    <x v="962"/>
    <x v="1941"/>
    <n v="4"/>
    <x v="1896"/>
  </r>
  <r>
    <d v="2016-07-11T00:00:00"/>
    <x v="620"/>
    <x v="3"/>
    <x v="0"/>
    <x v="0"/>
    <x v="1238"/>
    <x v="1942"/>
    <n v="2"/>
    <x v="1897"/>
  </r>
  <r>
    <d v="2016-07-11T00:00:00"/>
    <x v="617"/>
    <x v="44"/>
    <x v="1"/>
    <x v="5"/>
    <x v="992"/>
    <x v="1943"/>
    <n v="4"/>
    <x v="1898"/>
  </r>
  <r>
    <d v="2016-07-11T00:00:00"/>
    <x v="222"/>
    <x v="12"/>
    <x v="2"/>
    <x v="6"/>
    <x v="154"/>
    <x v="1199"/>
    <n v="4"/>
    <x v="1173"/>
  </r>
  <r>
    <d v="2016-07-11T00:00:00"/>
    <x v="222"/>
    <x v="12"/>
    <x v="2"/>
    <x v="6"/>
    <x v="610"/>
    <x v="1944"/>
    <n v="3"/>
    <x v="1899"/>
  </r>
  <r>
    <d v="2016-07-11T00:00:00"/>
    <x v="222"/>
    <x v="12"/>
    <x v="0"/>
    <x v="0"/>
    <x v="1322"/>
    <x v="113"/>
    <n v="2"/>
    <x v="411"/>
  </r>
  <r>
    <d v="2016-07-11T00:00:00"/>
    <x v="222"/>
    <x v="12"/>
    <x v="0"/>
    <x v="2"/>
    <x v="1166"/>
    <x v="1945"/>
    <n v="3"/>
    <x v="1900"/>
  </r>
  <r>
    <d v="2016-07-11T00:00:00"/>
    <x v="222"/>
    <x v="12"/>
    <x v="0"/>
    <x v="3"/>
    <x v="1266"/>
    <x v="1812"/>
    <n v="2"/>
    <x v="1785"/>
  </r>
  <r>
    <d v="2016-07-11T00:00:00"/>
    <x v="133"/>
    <x v="0"/>
    <x v="1"/>
    <x v="8"/>
    <x v="1323"/>
    <x v="1319"/>
    <n v="5"/>
    <x v="1901"/>
  </r>
  <r>
    <d v="2016-07-11T00:00:00"/>
    <x v="133"/>
    <x v="0"/>
    <x v="0"/>
    <x v="2"/>
    <x v="1094"/>
    <x v="1946"/>
    <n v="3"/>
    <x v="1902"/>
  </r>
  <r>
    <d v="2016-07-11T00:00:00"/>
    <x v="161"/>
    <x v="3"/>
    <x v="2"/>
    <x v="9"/>
    <x v="265"/>
    <x v="72"/>
    <n v="3"/>
    <x v="277"/>
  </r>
  <r>
    <d v="2016-07-11T00:00:00"/>
    <x v="621"/>
    <x v="3"/>
    <x v="0"/>
    <x v="3"/>
    <x v="1324"/>
    <x v="1792"/>
    <n v="2"/>
    <x v="1903"/>
  </r>
  <r>
    <d v="2016-08-11T00:00:00"/>
    <x v="622"/>
    <x v="5"/>
    <x v="1"/>
    <x v="12"/>
    <x v="1120"/>
    <x v="1947"/>
    <n v="2"/>
    <x v="1904"/>
  </r>
  <r>
    <d v="2016-08-11T00:00:00"/>
    <x v="622"/>
    <x v="5"/>
    <x v="1"/>
    <x v="5"/>
    <x v="423"/>
    <x v="1948"/>
    <n v="3"/>
    <x v="1905"/>
  </r>
  <r>
    <d v="2016-09-11T00:00:00"/>
    <x v="623"/>
    <x v="3"/>
    <x v="2"/>
    <x v="9"/>
    <x v="70"/>
    <x v="72"/>
    <n v="3"/>
    <x v="73"/>
  </r>
  <r>
    <d v="2016-10-11T00:00:00"/>
    <x v="624"/>
    <x v="3"/>
    <x v="0"/>
    <x v="2"/>
    <x v="617"/>
    <x v="984"/>
    <n v="7"/>
    <x v="1906"/>
  </r>
  <r>
    <d v="2016-10-11T00:00:00"/>
    <x v="624"/>
    <x v="3"/>
    <x v="0"/>
    <x v="3"/>
    <x v="1189"/>
    <x v="1949"/>
    <n v="3"/>
    <x v="1907"/>
  </r>
  <r>
    <d v="2016-10-11T00:00:00"/>
    <x v="435"/>
    <x v="3"/>
    <x v="0"/>
    <x v="3"/>
    <x v="546"/>
    <x v="1950"/>
    <n v="4"/>
    <x v="239"/>
  </r>
  <r>
    <d v="2016-10-11T00:00:00"/>
    <x v="435"/>
    <x v="3"/>
    <x v="0"/>
    <x v="0"/>
    <x v="1325"/>
    <x v="159"/>
    <n v="5"/>
    <x v="161"/>
  </r>
  <r>
    <d v="2016-10-11T00:00:00"/>
    <x v="625"/>
    <x v="4"/>
    <x v="0"/>
    <x v="4"/>
    <x v="1229"/>
    <x v="1339"/>
    <n v="7"/>
    <x v="102"/>
  </r>
  <r>
    <d v="2016-10-11T00:00:00"/>
    <x v="97"/>
    <x v="16"/>
    <x v="0"/>
    <x v="14"/>
    <x v="252"/>
    <x v="1951"/>
    <n v="5"/>
    <x v="1908"/>
  </r>
  <r>
    <d v="2016-10-11T00:00:00"/>
    <x v="97"/>
    <x v="16"/>
    <x v="0"/>
    <x v="2"/>
    <x v="35"/>
    <x v="983"/>
    <n v="3"/>
    <x v="957"/>
  </r>
  <r>
    <d v="2016-10-11T00:00:00"/>
    <x v="208"/>
    <x v="16"/>
    <x v="0"/>
    <x v="1"/>
    <x v="851"/>
    <x v="1952"/>
    <n v="4"/>
    <x v="1543"/>
  </r>
  <r>
    <d v="2016-10-11T00:00:00"/>
    <x v="208"/>
    <x v="16"/>
    <x v="2"/>
    <x v="6"/>
    <x v="249"/>
    <x v="1051"/>
    <n v="7"/>
    <x v="1909"/>
  </r>
  <r>
    <d v="2016-10-11T00:00:00"/>
    <x v="208"/>
    <x v="16"/>
    <x v="0"/>
    <x v="0"/>
    <x v="583"/>
    <x v="1953"/>
    <n v="2"/>
    <x v="1910"/>
  </r>
  <r>
    <d v="2016-10-11T00:00:00"/>
    <x v="208"/>
    <x v="16"/>
    <x v="0"/>
    <x v="0"/>
    <x v="582"/>
    <x v="1954"/>
    <n v="3"/>
    <x v="1911"/>
  </r>
  <r>
    <d v="2016-10-11T00:00:00"/>
    <x v="208"/>
    <x v="16"/>
    <x v="0"/>
    <x v="13"/>
    <x v="1228"/>
    <x v="1955"/>
    <n v="4"/>
    <x v="1912"/>
  </r>
  <r>
    <d v="2016-10-11T00:00:00"/>
    <x v="208"/>
    <x v="16"/>
    <x v="1"/>
    <x v="8"/>
    <x v="388"/>
    <x v="1956"/>
    <n v="7"/>
    <x v="1913"/>
  </r>
  <r>
    <d v="2016-10-11T00:00:00"/>
    <x v="208"/>
    <x v="16"/>
    <x v="0"/>
    <x v="0"/>
    <x v="1326"/>
    <x v="1957"/>
    <n v="1"/>
    <x v="1914"/>
  </r>
  <r>
    <d v="2016-10-11T00:00:00"/>
    <x v="208"/>
    <x v="16"/>
    <x v="2"/>
    <x v="9"/>
    <x v="933"/>
    <x v="1958"/>
    <n v="7"/>
    <x v="1915"/>
  </r>
  <r>
    <d v="2016-10-11T00:00:00"/>
    <x v="208"/>
    <x v="16"/>
    <x v="0"/>
    <x v="3"/>
    <x v="1202"/>
    <x v="1959"/>
    <n v="7"/>
    <x v="1916"/>
  </r>
  <r>
    <d v="2016-10-11T00:00:00"/>
    <x v="132"/>
    <x v="0"/>
    <x v="2"/>
    <x v="9"/>
    <x v="670"/>
    <x v="1960"/>
    <n v="7"/>
    <x v="941"/>
  </r>
  <r>
    <d v="2016-10-11T00:00:00"/>
    <x v="403"/>
    <x v="14"/>
    <x v="1"/>
    <x v="8"/>
    <x v="1327"/>
    <x v="1961"/>
    <n v="2"/>
    <x v="1917"/>
  </r>
  <r>
    <d v="2016-10-11T00:00:00"/>
    <x v="403"/>
    <x v="14"/>
    <x v="0"/>
    <x v="3"/>
    <x v="277"/>
    <x v="1200"/>
    <n v="2"/>
    <x v="1918"/>
  </r>
  <r>
    <d v="2016-10-11T00:00:00"/>
    <x v="314"/>
    <x v="12"/>
    <x v="0"/>
    <x v="3"/>
    <x v="1328"/>
    <x v="1962"/>
    <n v="1"/>
    <x v="1919"/>
  </r>
  <r>
    <d v="2016-10-11T00:00:00"/>
    <x v="314"/>
    <x v="12"/>
    <x v="0"/>
    <x v="3"/>
    <x v="230"/>
    <x v="1963"/>
    <n v="3"/>
    <x v="1920"/>
  </r>
  <r>
    <d v="2016-10-11T00:00:00"/>
    <x v="96"/>
    <x v="3"/>
    <x v="0"/>
    <x v="0"/>
    <x v="1319"/>
    <x v="1964"/>
    <n v="3"/>
    <x v="1921"/>
  </r>
  <r>
    <d v="2016-10-11T00:00:00"/>
    <x v="96"/>
    <x v="3"/>
    <x v="0"/>
    <x v="13"/>
    <x v="1329"/>
    <x v="504"/>
    <n v="4"/>
    <x v="1922"/>
  </r>
  <r>
    <d v="2016-10-11T00:00:00"/>
    <x v="96"/>
    <x v="3"/>
    <x v="1"/>
    <x v="8"/>
    <x v="19"/>
    <x v="1965"/>
    <n v="9"/>
    <x v="1923"/>
  </r>
  <r>
    <d v="2016-10-11T00:00:00"/>
    <x v="96"/>
    <x v="3"/>
    <x v="0"/>
    <x v="0"/>
    <x v="174"/>
    <x v="1966"/>
    <n v="5"/>
    <x v="1924"/>
  </r>
  <r>
    <d v="2016-10-11T00:00:00"/>
    <x v="96"/>
    <x v="3"/>
    <x v="0"/>
    <x v="2"/>
    <x v="622"/>
    <x v="1967"/>
    <n v="4"/>
    <x v="1925"/>
  </r>
  <r>
    <d v="2016-10-11T00:00:00"/>
    <x v="96"/>
    <x v="3"/>
    <x v="0"/>
    <x v="3"/>
    <x v="1082"/>
    <x v="268"/>
    <n v="3"/>
    <x v="1926"/>
  </r>
  <r>
    <d v="2016-10-11T00:00:00"/>
    <x v="96"/>
    <x v="3"/>
    <x v="0"/>
    <x v="4"/>
    <x v="1330"/>
    <x v="1968"/>
    <n v="5"/>
    <x v="1927"/>
  </r>
  <r>
    <d v="2016-10-11T00:00:00"/>
    <x v="151"/>
    <x v="3"/>
    <x v="1"/>
    <x v="8"/>
    <x v="1331"/>
    <x v="1969"/>
    <n v="1"/>
    <x v="1583"/>
  </r>
  <r>
    <d v="2016-10-11T00:00:00"/>
    <x v="380"/>
    <x v="3"/>
    <x v="0"/>
    <x v="2"/>
    <x v="1264"/>
    <x v="1970"/>
    <n v="1"/>
    <x v="239"/>
  </r>
  <r>
    <d v="2016-10-11T00:00:00"/>
    <x v="9"/>
    <x v="16"/>
    <x v="0"/>
    <x v="0"/>
    <x v="1121"/>
    <x v="378"/>
    <n v="6"/>
    <x v="380"/>
  </r>
  <r>
    <d v="2016-10-11T00:00:00"/>
    <x v="38"/>
    <x v="34"/>
    <x v="2"/>
    <x v="6"/>
    <x v="692"/>
    <x v="1971"/>
    <n v="2"/>
    <x v="1928"/>
  </r>
  <r>
    <d v="2016-10-11T00:00:00"/>
    <x v="38"/>
    <x v="34"/>
    <x v="1"/>
    <x v="12"/>
    <x v="1332"/>
    <x v="1972"/>
    <n v="2"/>
    <x v="1929"/>
  </r>
  <r>
    <d v="2016-10-11T00:00:00"/>
    <x v="41"/>
    <x v="12"/>
    <x v="0"/>
    <x v="3"/>
    <x v="235"/>
    <x v="1297"/>
    <n v="1"/>
    <x v="1930"/>
  </r>
  <r>
    <d v="2016-10-11T00:00:00"/>
    <x v="41"/>
    <x v="12"/>
    <x v="2"/>
    <x v="6"/>
    <x v="364"/>
    <x v="216"/>
    <n v="7"/>
    <x v="1931"/>
  </r>
  <r>
    <d v="2016-11-11T00:00:00"/>
    <x v="538"/>
    <x v="12"/>
    <x v="2"/>
    <x v="9"/>
    <x v="1333"/>
    <x v="1973"/>
    <n v="3"/>
    <x v="191"/>
  </r>
  <r>
    <d v="2016-11-11T00:00:00"/>
    <x v="538"/>
    <x v="12"/>
    <x v="0"/>
    <x v="2"/>
    <x v="206"/>
    <x v="1974"/>
    <n v="1"/>
    <x v="1932"/>
  </r>
  <r>
    <d v="2016-11-11T00:00:00"/>
    <x v="384"/>
    <x v="1"/>
    <x v="2"/>
    <x v="9"/>
    <x v="520"/>
    <x v="665"/>
    <n v="4"/>
    <x v="780"/>
  </r>
  <r>
    <d v="2016-11-11T00:00:00"/>
    <x v="384"/>
    <x v="1"/>
    <x v="1"/>
    <x v="5"/>
    <x v="757"/>
    <x v="1975"/>
    <n v="2"/>
    <x v="1933"/>
  </r>
  <r>
    <d v="2016-11-11T00:00:00"/>
    <x v="621"/>
    <x v="18"/>
    <x v="2"/>
    <x v="6"/>
    <x v="760"/>
    <x v="1976"/>
    <n v="2"/>
    <x v="1074"/>
  </r>
  <r>
    <d v="2016-11-11T00:00:00"/>
    <x v="159"/>
    <x v="3"/>
    <x v="1"/>
    <x v="8"/>
    <x v="170"/>
    <x v="1977"/>
    <n v="4"/>
    <x v="1017"/>
  </r>
  <r>
    <d v="2016-11-11T00:00:00"/>
    <x v="596"/>
    <x v="9"/>
    <x v="0"/>
    <x v="3"/>
    <x v="123"/>
    <x v="1978"/>
    <n v="2"/>
    <x v="1934"/>
  </r>
  <r>
    <d v="2016-11-11T00:00:00"/>
    <x v="596"/>
    <x v="9"/>
    <x v="0"/>
    <x v="13"/>
    <x v="1334"/>
    <x v="1979"/>
    <n v="3"/>
    <x v="1405"/>
  </r>
  <r>
    <d v="2016-11-11T00:00:00"/>
    <x v="351"/>
    <x v="12"/>
    <x v="0"/>
    <x v="2"/>
    <x v="317"/>
    <x v="1980"/>
    <n v="3"/>
    <x v="1935"/>
  </r>
  <r>
    <d v="2016-11-11T00:00:00"/>
    <x v="351"/>
    <x v="12"/>
    <x v="2"/>
    <x v="9"/>
    <x v="884"/>
    <x v="1981"/>
    <n v="2"/>
    <x v="1936"/>
  </r>
  <r>
    <d v="2016-11-11T00:00:00"/>
    <x v="351"/>
    <x v="12"/>
    <x v="0"/>
    <x v="4"/>
    <x v="1335"/>
    <x v="1246"/>
    <n v="3"/>
    <x v="1937"/>
  </r>
  <r>
    <d v="2016-11-11T00:00:00"/>
    <x v="351"/>
    <x v="12"/>
    <x v="1"/>
    <x v="5"/>
    <x v="789"/>
    <x v="1982"/>
    <n v="3"/>
    <x v="1938"/>
  </r>
  <r>
    <d v="2016-11-11T00:00:00"/>
    <x v="351"/>
    <x v="12"/>
    <x v="0"/>
    <x v="3"/>
    <x v="858"/>
    <x v="1983"/>
    <n v="3"/>
    <x v="1939"/>
  </r>
  <r>
    <d v="2016-11-11T00:00:00"/>
    <x v="351"/>
    <x v="12"/>
    <x v="0"/>
    <x v="3"/>
    <x v="685"/>
    <x v="1984"/>
    <n v="3"/>
    <x v="1940"/>
  </r>
  <r>
    <d v="2016-11-11T00:00:00"/>
    <x v="626"/>
    <x v="3"/>
    <x v="1"/>
    <x v="8"/>
    <x v="1336"/>
    <x v="1051"/>
    <n v="2"/>
    <x v="474"/>
  </r>
  <r>
    <d v="2016-11-11T00:00:00"/>
    <x v="626"/>
    <x v="3"/>
    <x v="1"/>
    <x v="5"/>
    <x v="563"/>
    <x v="1985"/>
    <n v="3"/>
    <x v="52"/>
  </r>
  <r>
    <d v="2016-11-11T00:00:00"/>
    <x v="626"/>
    <x v="3"/>
    <x v="0"/>
    <x v="3"/>
    <x v="761"/>
    <x v="1261"/>
    <n v="11"/>
    <x v="1941"/>
  </r>
  <r>
    <d v="2016-11-11T00:00:00"/>
    <x v="616"/>
    <x v="26"/>
    <x v="1"/>
    <x v="10"/>
    <x v="1337"/>
    <x v="1986"/>
    <n v="6"/>
    <x v="1942"/>
  </r>
  <r>
    <d v="2016-11-11T00:00:00"/>
    <x v="627"/>
    <x v="1"/>
    <x v="0"/>
    <x v="4"/>
    <x v="1295"/>
    <x v="1987"/>
    <n v="6"/>
    <x v="1943"/>
  </r>
  <r>
    <d v="2016-12-11T00:00:00"/>
    <x v="53"/>
    <x v="23"/>
    <x v="0"/>
    <x v="3"/>
    <x v="1024"/>
    <x v="1988"/>
    <n v="5"/>
    <x v="1944"/>
  </r>
  <r>
    <d v="2016-12-11T00:00:00"/>
    <x v="53"/>
    <x v="23"/>
    <x v="0"/>
    <x v="3"/>
    <x v="1338"/>
    <x v="278"/>
    <n v="7"/>
    <x v="1945"/>
  </r>
  <r>
    <d v="2016-12-11T00:00:00"/>
    <x v="53"/>
    <x v="23"/>
    <x v="2"/>
    <x v="9"/>
    <x v="1333"/>
    <x v="400"/>
    <n v="2"/>
    <x v="402"/>
  </r>
  <r>
    <d v="2016-12-11T00:00:00"/>
    <x v="65"/>
    <x v="26"/>
    <x v="0"/>
    <x v="11"/>
    <x v="1339"/>
    <x v="1989"/>
    <n v="8"/>
    <x v="1946"/>
  </r>
  <r>
    <d v="2016-12-11T00:00:00"/>
    <x v="65"/>
    <x v="26"/>
    <x v="0"/>
    <x v="13"/>
    <x v="1098"/>
    <x v="1990"/>
    <n v="2"/>
    <x v="1947"/>
  </r>
  <r>
    <d v="2016-12-11T00:00:00"/>
    <x v="65"/>
    <x v="26"/>
    <x v="0"/>
    <x v="0"/>
    <x v="822"/>
    <x v="1489"/>
    <n v="2"/>
    <x v="1470"/>
  </r>
  <r>
    <d v="2016-12-11T00:00:00"/>
    <x v="65"/>
    <x v="26"/>
    <x v="0"/>
    <x v="4"/>
    <x v="1295"/>
    <x v="1991"/>
    <n v="7"/>
    <x v="1266"/>
  </r>
  <r>
    <d v="2016-12-11T00:00:00"/>
    <x v="65"/>
    <x v="26"/>
    <x v="0"/>
    <x v="3"/>
    <x v="719"/>
    <x v="1992"/>
    <n v="2"/>
    <x v="1948"/>
  </r>
  <r>
    <d v="2016-12-11T00:00:00"/>
    <x v="628"/>
    <x v="16"/>
    <x v="1"/>
    <x v="5"/>
    <x v="81"/>
    <x v="1993"/>
    <n v="7"/>
    <x v="1949"/>
  </r>
  <r>
    <d v="2016-12-11T00:00:00"/>
    <x v="628"/>
    <x v="16"/>
    <x v="0"/>
    <x v="13"/>
    <x v="864"/>
    <x v="1994"/>
    <n v="2"/>
    <x v="1950"/>
  </r>
  <r>
    <d v="2016-12-11T00:00:00"/>
    <x v="628"/>
    <x v="16"/>
    <x v="0"/>
    <x v="7"/>
    <x v="527"/>
    <x v="1995"/>
    <n v="6"/>
    <x v="366"/>
  </r>
  <r>
    <d v="2016-12-11T00:00:00"/>
    <x v="628"/>
    <x v="16"/>
    <x v="1"/>
    <x v="5"/>
    <x v="423"/>
    <x v="1996"/>
    <n v="9"/>
    <x v="52"/>
  </r>
  <r>
    <d v="2016-12-11T00:00:00"/>
    <x v="628"/>
    <x v="16"/>
    <x v="1"/>
    <x v="5"/>
    <x v="598"/>
    <x v="1997"/>
    <n v="2"/>
    <x v="1951"/>
  </r>
  <r>
    <d v="2016-12-11T00:00:00"/>
    <x v="105"/>
    <x v="3"/>
    <x v="2"/>
    <x v="6"/>
    <x v="1340"/>
    <x v="1998"/>
    <n v="3"/>
    <x v="1952"/>
  </r>
  <r>
    <d v="2016-12-11T00:00:00"/>
    <x v="105"/>
    <x v="3"/>
    <x v="1"/>
    <x v="10"/>
    <x v="1144"/>
    <x v="1999"/>
    <n v="3"/>
    <x v="1953"/>
  </r>
  <r>
    <d v="2016-12-11T00:00:00"/>
    <x v="165"/>
    <x v="1"/>
    <x v="1"/>
    <x v="8"/>
    <x v="721"/>
    <x v="2000"/>
    <n v="6"/>
    <x v="1954"/>
  </r>
  <r>
    <d v="2016-01-12T00:00:00"/>
    <x v="166"/>
    <x v="28"/>
    <x v="0"/>
    <x v="0"/>
    <x v="1341"/>
    <x v="292"/>
    <n v="4"/>
    <x v="1955"/>
  </r>
  <r>
    <d v="2016-01-12T00:00:00"/>
    <x v="612"/>
    <x v="39"/>
    <x v="1"/>
    <x v="5"/>
    <x v="50"/>
    <x v="2001"/>
    <n v="2"/>
    <x v="1956"/>
  </r>
  <r>
    <d v="2016-01-12T00:00:00"/>
    <x v="612"/>
    <x v="39"/>
    <x v="2"/>
    <x v="6"/>
    <x v="412"/>
    <x v="1700"/>
    <n v="3"/>
    <x v="1957"/>
  </r>
  <r>
    <d v="2016-01-12T00:00:00"/>
    <x v="122"/>
    <x v="26"/>
    <x v="1"/>
    <x v="8"/>
    <x v="488"/>
    <x v="2002"/>
    <n v="3"/>
    <x v="880"/>
  </r>
  <r>
    <d v="2016-01-12T00:00:00"/>
    <x v="191"/>
    <x v="31"/>
    <x v="0"/>
    <x v="4"/>
    <x v="533"/>
    <x v="2003"/>
    <n v="2"/>
    <x v="861"/>
  </r>
  <r>
    <d v="2016-01-12T00:00:00"/>
    <x v="629"/>
    <x v="3"/>
    <x v="1"/>
    <x v="8"/>
    <x v="482"/>
    <x v="1634"/>
    <n v="2"/>
    <x v="822"/>
  </r>
  <r>
    <d v="2016-01-12T00:00:00"/>
    <x v="238"/>
    <x v="27"/>
    <x v="0"/>
    <x v="3"/>
    <x v="685"/>
    <x v="2004"/>
    <n v="6"/>
    <x v="1958"/>
  </r>
  <r>
    <d v="2016-01-12T00:00:00"/>
    <x v="238"/>
    <x v="27"/>
    <x v="1"/>
    <x v="5"/>
    <x v="563"/>
    <x v="2005"/>
    <n v="4"/>
    <x v="1959"/>
  </r>
  <r>
    <d v="2016-01-12T00:00:00"/>
    <x v="343"/>
    <x v="15"/>
    <x v="2"/>
    <x v="6"/>
    <x v="610"/>
    <x v="2006"/>
    <n v="9"/>
    <x v="1674"/>
  </r>
  <r>
    <d v="2016-01-12T00:00:00"/>
    <x v="630"/>
    <x v="0"/>
    <x v="1"/>
    <x v="5"/>
    <x v="239"/>
    <x v="2007"/>
    <n v="5"/>
    <x v="1960"/>
  </r>
  <r>
    <d v="2016-01-12T00:00:00"/>
    <x v="630"/>
    <x v="0"/>
    <x v="0"/>
    <x v="13"/>
    <x v="215"/>
    <x v="1243"/>
    <n v="4"/>
    <x v="1961"/>
  </r>
  <r>
    <d v="2016-01-12T00:00:00"/>
    <x v="630"/>
    <x v="0"/>
    <x v="1"/>
    <x v="5"/>
    <x v="74"/>
    <x v="1779"/>
    <n v="2"/>
    <x v="1751"/>
  </r>
  <r>
    <d v="2016-01-12T00:00:00"/>
    <x v="35"/>
    <x v="20"/>
    <x v="2"/>
    <x v="6"/>
    <x v="1008"/>
    <x v="2008"/>
    <n v="3"/>
    <x v="1962"/>
  </r>
  <r>
    <d v="2016-01-12T00:00:00"/>
    <x v="35"/>
    <x v="20"/>
    <x v="1"/>
    <x v="8"/>
    <x v="1342"/>
    <x v="2009"/>
    <n v="5"/>
    <x v="1963"/>
  </r>
  <r>
    <d v="2016-01-12T00:00:00"/>
    <x v="35"/>
    <x v="20"/>
    <x v="0"/>
    <x v="13"/>
    <x v="208"/>
    <x v="2010"/>
    <n v="3"/>
    <x v="1964"/>
  </r>
  <r>
    <d v="2016-01-12T00:00:00"/>
    <x v="35"/>
    <x v="20"/>
    <x v="1"/>
    <x v="10"/>
    <x v="752"/>
    <x v="2011"/>
    <n v="3"/>
    <x v="1965"/>
  </r>
  <r>
    <d v="2016-01-12T00:00:00"/>
    <x v="513"/>
    <x v="6"/>
    <x v="0"/>
    <x v="13"/>
    <x v="208"/>
    <x v="2012"/>
    <n v="7"/>
    <x v="1966"/>
  </r>
  <r>
    <d v="2016-01-12T00:00:00"/>
    <x v="513"/>
    <x v="6"/>
    <x v="0"/>
    <x v="14"/>
    <x v="1198"/>
    <x v="2013"/>
    <n v="5"/>
    <x v="1967"/>
  </r>
  <r>
    <d v="2016-01-12T00:00:00"/>
    <x v="596"/>
    <x v="3"/>
    <x v="1"/>
    <x v="8"/>
    <x v="1343"/>
    <x v="2014"/>
    <n v="2"/>
    <x v="48"/>
  </r>
  <r>
    <d v="2016-01-12T00:00:00"/>
    <x v="596"/>
    <x v="3"/>
    <x v="0"/>
    <x v="0"/>
    <x v="849"/>
    <x v="2015"/>
    <n v="1"/>
    <x v="1968"/>
  </r>
  <r>
    <d v="2016-01-12T00:00:00"/>
    <x v="596"/>
    <x v="3"/>
    <x v="0"/>
    <x v="2"/>
    <x v="1344"/>
    <x v="2016"/>
    <n v="3"/>
    <x v="1969"/>
  </r>
  <r>
    <d v="2016-01-12T00:00:00"/>
    <x v="596"/>
    <x v="3"/>
    <x v="0"/>
    <x v="11"/>
    <x v="481"/>
    <x v="2017"/>
    <n v="3"/>
    <x v="1970"/>
  </r>
  <r>
    <d v="2016-01-12T00:00:00"/>
    <x v="467"/>
    <x v="3"/>
    <x v="0"/>
    <x v="4"/>
    <x v="683"/>
    <x v="1025"/>
    <n v="8"/>
    <x v="320"/>
  </r>
  <r>
    <d v="2016-02-12T00:00:00"/>
    <x v="631"/>
    <x v="3"/>
    <x v="0"/>
    <x v="0"/>
    <x v="726"/>
    <x v="212"/>
    <n v="4"/>
    <x v="215"/>
  </r>
  <r>
    <d v="2016-02-12T00:00:00"/>
    <x v="631"/>
    <x v="3"/>
    <x v="0"/>
    <x v="0"/>
    <x v="906"/>
    <x v="2018"/>
    <n v="7"/>
    <x v="1971"/>
  </r>
  <r>
    <d v="2016-02-12T00:00:00"/>
    <x v="631"/>
    <x v="3"/>
    <x v="0"/>
    <x v="2"/>
    <x v="545"/>
    <x v="2019"/>
    <n v="3"/>
    <x v="1972"/>
  </r>
  <r>
    <d v="2016-02-12T00:00:00"/>
    <x v="479"/>
    <x v="3"/>
    <x v="0"/>
    <x v="3"/>
    <x v="1157"/>
    <x v="1522"/>
    <n v="2"/>
    <x v="1973"/>
  </r>
  <r>
    <d v="2016-02-12T00:00:00"/>
    <x v="479"/>
    <x v="3"/>
    <x v="0"/>
    <x v="13"/>
    <x v="376"/>
    <x v="2020"/>
    <n v="3"/>
    <x v="1974"/>
  </r>
  <r>
    <d v="2016-02-12T00:00:00"/>
    <x v="479"/>
    <x v="3"/>
    <x v="1"/>
    <x v="8"/>
    <x v="1345"/>
    <x v="2021"/>
    <n v="3"/>
    <x v="1975"/>
  </r>
  <r>
    <d v="2016-02-12T00:00:00"/>
    <x v="479"/>
    <x v="3"/>
    <x v="0"/>
    <x v="3"/>
    <x v="540"/>
    <x v="2022"/>
    <n v="3"/>
    <x v="1976"/>
  </r>
  <r>
    <d v="2016-02-12T00:00:00"/>
    <x v="14"/>
    <x v="40"/>
    <x v="0"/>
    <x v="2"/>
    <x v="1346"/>
    <x v="2023"/>
    <n v="5"/>
    <x v="1977"/>
  </r>
  <r>
    <d v="2016-02-12T00:00:00"/>
    <x v="14"/>
    <x v="40"/>
    <x v="2"/>
    <x v="6"/>
    <x v="754"/>
    <x v="135"/>
    <n v="5"/>
    <x v="1978"/>
  </r>
  <r>
    <d v="2016-02-12T00:00:00"/>
    <x v="14"/>
    <x v="40"/>
    <x v="1"/>
    <x v="8"/>
    <x v="1207"/>
    <x v="2024"/>
    <n v="6"/>
    <x v="1979"/>
  </r>
  <r>
    <d v="2016-02-12T00:00:00"/>
    <x v="632"/>
    <x v="12"/>
    <x v="0"/>
    <x v="3"/>
    <x v="1266"/>
    <x v="2025"/>
    <n v="3"/>
    <x v="1980"/>
  </r>
  <r>
    <d v="2016-02-12T00:00:00"/>
    <x v="632"/>
    <x v="12"/>
    <x v="0"/>
    <x v="3"/>
    <x v="685"/>
    <x v="1984"/>
    <n v="3"/>
    <x v="1940"/>
  </r>
  <r>
    <d v="2016-02-12T00:00:00"/>
    <x v="632"/>
    <x v="12"/>
    <x v="0"/>
    <x v="0"/>
    <x v="624"/>
    <x v="2026"/>
    <n v="1"/>
    <x v="1981"/>
  </r>
  <r>
    <d v="2016-02-12T00:00:00"/>
    <x v="371"/>
    <x v="19"/>
    <x v="2"/>
    <x v="9"/>
    <x v="489"/>
    <x v="1394"/>
    <n v="3"/>
    <x v="1368"/>
  </r>
  <r>
    <d v="2016-02-12T00:00:00"/>
    <x v="329"/>
    <x v="42"/>
    <x v="0"/>
    <x v="3"/>
    <x v="1010"/>
    <x v="2027"/>
    <n v="8"/>
    <x v="1982"/>
  </r>
  <r>
    <d v="2016-02-12T00:00:00"/>
    <x v="546"/>
    <x v="0"/>
    <x v="1"/>
    <x v="12"/>
    <x v="1347"/>
    <x v="2028"/>
    <n v="10"/>
    <x v="1983"/>
  </r>
  <r>
    <d v="2016-02-12T00:00:00"/>
    <x v="546"/>
    <x v="0"/>
    <x v="0"/>
    <x v="0"/>
    <x v="758"/>
    <x v="461"/>
    <n v="9"/>
    <x v="540"/>
  </r>
  <r>
    <d v="2016-03-12T00:00:00"/>
    <x v="465"/>
    <x v="12"/>
    <x v="0"/>
    <x v="0"/>
    <x v="631"/>
    <x v="2029"/>
    <n v="8"/>
    <x v="1984"/>
  </r>
  <r>
    <d v="2016-03-12T00:00:00"/>
    <x v="465"/>
    <x v="12"/>
    <x v="1"/>
    <x v="10"/>
    <x v="205"/>
    <x v="2030"/>
    <n v="2"/>
    <x v="1985"/>
  </r>
  <r>
    <d v="2016-03-12T00:00:00"/>
    <x v="465"/>
    <x v="12"/>
    <x v="0"/>
    <x v="2"/>
    <x v="1089"/>
    <x v="2031"/>
    <n v="3"/>
    <x v="1986"/>
  </r>
  <r>
    <d v="2016-03-12T00:00:00"/>
    <x v="465"/>
    <x v="12"/>
    <x v="1"/>
    <x v="5"/>
    <x v="745"/>
    <x v="2032"/>
    <n v="3"/>
    <x v="1987"/>
  </r>
  <r>
    <d v="2016-03-12T00:00:00"/>
    <x v="465"/>
    <x v="12"/>
    <x v="0"/>
    <x v="1"/>
    <x v="903"/>
    <x v="2033"/>
    <n v="2"/>
    <x v="1859"/>
  </r>
  <r>
    <d v="2016-03-12T00:00:00"/>
    <x v="537"/>
    <x v="2"/>
    <x v="0"/>
    <x v="13"/>
    <x v="728"/>
    <x v="2034"/>
    <n v="4"/>
    <x v="1988"/>
  </r>
  <r>
    <d v="2016-03-12T00:00:00"/>
    <x v="537"/>
    <x v="2"/>
    <x v="0"/>
    <x v="3"/>
    <x v="210"/>
    <x v="2035"/>
    <n v="4"/>
    <x v="1989"/>
  </r>
  <r>
    <d v="2016-03-12T00:00:00"/>
    <x v="440"/>
    <x v="3"/>
    <x v="2"/>
    <x v="9"/>
    <x v="767"/>
    <x v="2036"/>
    <n v="5"/>
    <x v="1990"/>
  </r>
  <r>
    <d v="2016-03-12T00:00:00"/>
    <x v="440"/>
    <x v="3"/>
    <x v="1"/>
    <x v="8"/>
    <x v="1327"/>
    <x v="2037"/>
    <n v="6"/>
    <x v="1991"/>
  </r>
  <r>
    <d v="2016-03-12T00:00:00"/>
    <x v="324"/>
    <x v="26"/>
    <x v="1"/>
    <x v="10"/>
    <x v="296"/>
    <x v="2038"/>
    <n v="2"/>
    <x v="1992"/>
  </r>
  <r>
    <d v="2016-03-12T00:00:00"/>
    <x v="324"/>
    <x v="26"/>
    <x v="1"/>
    <x v="5"/>
    <x v="539"/>
    <x v="2039"/>
    <n v="1"/>
    <x v="1993"/>
  </r>
  <r>
    <d v="2016-03-12T00:00:00"/>
    <x v="633"/>
    <x v="3"/>
    <x v="0"/>
    <x v="2"/>
    <x v="475"/>
    <x v="1136"/>
    <n v="4"/>
    <x v="1107"/>
  </r>
  <r>
    <d v="2016-03-12T00:00:00"/>
    <x v="179"/>
    <x v="3"/>
    <x v="1"/>
    <x v="10"/>
    <x v="1348"/>
    <x v="2040"/>
    <n v="3"/>
    <x v="1064"/>
  </r>
  <r>
    <d v="2016-03-12T00:00:00"/>
    <x v="179"/>
    <x v="3"/>
    <x v="0"/>
    <x v="4"/>
    <x v="9"/>
    <x v="2041"/>
    <n v="8"/>
    <x v="316"/>
  </r>
  <r>
    <d v="2016-03-12T00:00:00"/>
    <x v="179"/>
    <x v="3"/>
    <x v="0"/>
    <x v="2"/>
    <x v="35"/>
    <x v="2042"/>
    <n v="3"/>
    <x v="1263"/>
  </r>
  <r>
    <d v="2016-03-12T00:00:00"/>
    <x v="179"/>
    <x v="3"/>
    <x v="1"/>
    <x v="12"/>
    <x v="159"/>
    <x v="2043"/>
    <n v="2"/>
    <x v="1994"/>
  </r>
  <r>
    <d v="2016-04-12T00:00:00"/>
    <x v="201"/>
    <x v="12"/>
    <x v="1"/>
    <x v="8"/>
    <x v="343"/>
    <x v="2044"/>
    <n v="3"/>
    <x v="1995"/>
  </r>
  <r>
    <d v="2016-04-12T00:00:00"/>
    <x v="201"/>
    <x v="12"/>
    <x v="2"/>
    <x v="9"/>
    <x v="21"/>
    <x v="2045"/>
    <n v="1"/>
    <x v="1251"/>
  </r>
  <r>
    <d v="2016-04-12T00:00:00"/>
    <x v="201"/>
    <x v="12"/>
    <x v="0"/>
    <x v="3"/>
    <x v="1082"/>
    <x v="1462"/>
    <n v="1"/>
    <x v="258"/>
  </r>
  <r>
    <d v="2016-04-12T00:00:00"/>
    <x v="201"/>
    <x v="12"/>
    <x v="0"/>
    <x v="0"/>
    <x v="177"/>
    <x v="474"/>
    <n v="4"/>
    <x v="1037"/>
  </r>
  <r>
    <d v="2016-04-12T00:00:00"/>
    <x v="201"/>
    <x v="12"/>
    <x v="0"/>
    <x v="2"/>
    <x v="1349"/>
    <x v="2046"/>
    <n v="3"/>
    <x v="1996"/>
  </r>
  <r>
    <d v="2016-04-12T00:00:00"/>
    <x v="201"/>
    <x v="12"/>
    <x v="0"/>
    <x v="2"/>
    <x v="1288"/>
    <x v="2047"/>
    <n v="2"/>
    <x v="1548"/>
  </r>
  <r>
    <d v="2016-04-12T00:00:00"/>
    <x v="634"/>
    <x v="12"/>
    <x v="0"/>
    <x v="2"/>
    <x v="1350"/>
    <x v="2048"/>
    <n v="6"/>
    <x v="52"/>
  </r>
  <r>
    <d v="2016-04-12T00:00:00"/>
    <x v="592"/>
    <x v="12"/>
    <x v="0"/>
    <x v="3"/>
    <x v="1273"/>
    <x v="2049"/>
    <n v="3"/>
    <x v="596"/>
  </r>
  <r>
    <d v="2016-04-12T00:00:00"/>
    <x v="207"/>
    <x v="3"/>
    <x v="0"/>
    <x v="0"/>
    <x v="1351"/>
    <x v="410"/>
    <n v="1"/>
    <x v="1997"/>
  </r>
  <r>
    <d v="2016-05-12T00:00:00"/>
    <x v="398"/>
    <x v="10"/>
    <x v="0"/>
    <x v="3"/>
    <x v="1352"/>
    <x v="2050"/>
    <n v="3"/>
    <x v="1606"/>
  </r>
  <r>
    <d v="2016-05-12T00:00:00"/>
    <x v="635"/>
    <x v="8"/>
    <x v="2"/>
    <x v="6"/>
    <x v="394"/>
    <x v="2051"/>
    <n v="11"/>
    <x v="1998"/>
  </r>
  <r>
    <d v="2016-05-12T00:00:00"/>
    <x v="635"/>
    <x v="8"/>
    <x v="2"/>
    <x v="6"/>
    <x v="1068"/>
    <x v="772"/>
    <n v="3"/>
    <x v="940"/>
  </r>
  <r>
    <d v="2016-05-12T00:00:00"/>
    <x v="635"/>
    <x v="8"/>
    <x v="1"/>
    <x v="5"/>
    <x v="423"/>
    <x v="2052"/>
    <n v="8"/>
    <x v="1999"/>
  </r>
  <r>
    <d v="2016-05-12T00:00:00"/>
    <x v="635"/>
    <x v="8"/>
    <x v="0"/>
    <x v="3"/>
    <x v="716"/>
    <x v="2053"/>
    <n v="5"/>
    <x v="2000"/>
  </r>
  <r>
    <d v="2016-05-12T00:00:00"/>
    <x v="381"/>
    <x v="5"/>
    <x v="1"/>
    <x v="8"/>
    <x v="875"/>
    <x v="1103"/>
    <n v="3"/>
    <x v="1074"/>
  </r>
  <r>
    <d v="2016-05-12T00:00:00"/>
    <x v="381"/>
    <x v="12"/>
    <x v="0"/>
    <x v="2"/>
    <x v="665"/>
    <x v="766"/>
    <n v="3"/>
    <x v="750"/>
  </r>
  <r>
    <d v="2016-05-12T00:00:00"/>
    <x v="636"/>
    <x v="20"/>
    <x v="1"/>
    <x v="12"/>
    <x v="1353"/>
    <x v="2054"/>
    <n v="1"/>
    <x v="2001"/>
  </r>
  <r>
    <d v="2016-05-12T00:00:00"/>
    <x v="637"/>
    <x v="45"/>
    <x v="0"/>
    <x v="4"/>
    <x v="566"/>
    <x v="2055"/>
    <n v="8"/>
    <x v="2002"/>
  </r>
  <r>
    <d v="2016-05-12T00:00:00"/>
    <x v="638"/>
    <x v="5"/>
    <x v="2"/>
    <x v="6"/>
    <x v="567"/>
    <x v="2056"/>
    <n v="2"/>
    <x v="2003"/>
  </r>
  <r>
    <d v="2016-05-12T00:00:00"/>
    <x v="638"/>
    <x v="5"/>
    <x v="0"/>
    <x v="2"/>
    <x v="1126"/>
    <x v="2057"/>
    <n v="9"/>
    <x v="2004"/>
  </r>
  <r>
    <d v="2016-05-12T00:00:00"/>
    <x v="531"/>
    <x v="1"/>
    <x v="0"/>
    <x v="1"/>
    <x v="40"/>
    <x v="969"/>
    <n v="3"/>
    <x v="1702"/>
  </r>
  <r>
    <d v="2016-05-12T00:00:00"/>
    <x v="500"/>
    <x v="1"/>
    <x v="0"/>
    <x v="4"/>
    <x v="1043"/>
    <x v="3"/>
    <n v="2"/>
    <x v="12"/>
  </r>
  <r>
    <d v="2016-05-12T00:00:00"/>
    <x v="639"/>
    <x v="7"/>
    <x v="1"/>
    <x v="8"/>
    <x v="749"/>
    <x v="2058"/>
    <n v="1"/>
    <x v="1356"/>
  </r>
  <r>
    <d v="2016-05-12T00:00:00"/>
    <x v="639"/>
    <x v="7"/>
    <x v="0"/>
    <x v="0"/>
    <x v="177"/>
    <x v="2059"/>
    <n v="1"/>
    <x v="1323"/>
  </r>
  <r>
    <d v="2016-05-12T00:00:00"/>
    <x v="639"/>
    <x v="7"/>
    <x v="0"/>
    <x v="11"/>
    <x v="1354"/>
    <x v="2060"/>
    <n v="7"/>
    <x v="2005"/>
  </r>
  <r>
    <d v="2016-06-12T00:00:00"/>
    <x v="356"/>
    <x v="3"/>
    <x v="0"/>
    <x v="0"/>
    <x v="373"/>
    <x v="5"/>
    <n v="3"/>
    <x v="5"/>
  </r>
  <r>
    <d v="2016-06-12T00:00:00"/>
    <x v="640"/>
    <x v="10"/>
    <x v="2"/>
    <x v="6"/>
    <x v="1355"/>
    <x v="2061"/>
    <n v="1"/>
    <x v="693"/>
  </r>
  <r>
    <d v="2016-06-12T00:00:00"/>
    <x v="640"/>
    <x v="10"/>
    <x v="2"/>
    <x v="6"/>
    <x v="1356"/>
    <x v="1451"/>
    <n v="3"/>
    <x v="2006"/>
  </r>
  <r>
    <d v="2016-06-12T00:00:00"/>
    <x v="640"/>
    <x v="10"/>
    <x v="0"/>
    <x v="11"/>
    <x v="859"/>
    <x v="2062"/>
    <n v="1"/>
    <x v="2007"/>
  </r>
  <r>
    <d v="2016-06-12T00:00:00"/>
    <x v="640"/>
    <x v="10"/>
    <x v="0"/>
    <x v="3"/>
    <x v="1321"/>
    <x v="2063"/>
    <n v="7"/>
    <x v="2008"/>
  </r>
  <r>
    <d v="2016-06-12T00:00:00"/>
    <x v="640"/>
    <x v="10"/>
    <x v="0"/>
    <x v="0"/>
    <x v="1357"/>
    <x v="2064"/>
    <n v="7"/>
    <x v="2009"/>
  </r>
  <r>
    <d v="2016-06-12T00:00:00"/>
    <x v="640"/>
    <x v="10"/>
    <x v="0"/>
    <x v="0"/>
    <x v="426"/>
    <x v="2065"/>
    <n v="5"/>
    <x v="2010"/>
  </r>
  <r>
    <d v="2016-06-12T00:00:00"/>
    <x v="640"/>
    <x v="10"/>
    <x v="0"/>
    <x v="3"/>
    <x v="216"/>
    <x v="219"/>
    <n v="3"/>
    <x v="222"/>
  </r>
  <r>
    <d v="2016-06-12T00:00:00"/>
    <x v="641"/>
    <x v="12"/>
    <x v="0"/>
    <x v="3"/>
    <x v="1266"/>
    <x v="2066"/>
    <n v="7"/>
    <x v="2011"/>
  </r>
  <r>
    <d v="2016-06-12T00:00:00"/>
    <x v="641"/>
    <x v="12"/>
    <x v="0"/>
    <x v="3"/>
    <x v="1169"/>
    <x v="2067"/>
    <n v="13"/>
    <x v="2012"/>
  </r>
  <r>
    <d v="2016-06-12T00:00:00"/>
    <x v="641"/>
    <x v="12"/>
    <x v="2"/>
    <x v="15"/>
    <x v="163"/>
    <x v="162"/>
    <n v="2"/>
    <x v="164"/>
  </r>
  <r>
    <d v="2016-06-12T00:00:00"/>
    <x v="32"/>
    <x v="3"/>
    <x v="2"/>
    <x v="6"/>
    <x v="1055"/>
    <x v="2068"/>
    <n v="5"/>
    <x v="2013"/>
  </r>
  <r>
    <d v="2016-06-12T00:00:00"/>
    <x v="32"/>
    <x v="3"/>
    <x v="0"/>
    <x v="4"/>
    <x v="1234"/>
    <x v="1417"/>
    <n v="7"/>
    <x v="713"/>
  </r>
  <r>
    <d v="2016-06-12T00:00:00"/>
    <x v="32"/>
    <x v="3"/>
    <x v="0"/>
    <x v="0"/>
    <x v="1358"/>
    <x v="234"/>
    <n v="2"/>
    <x v="2014"/>
  </r>
  <r>
    <d v="2016-06-12T00:00:00"/>
    <x v="32"/>
    <x v="3"/>
    <x v="2"/>
    <x v="6"/>
    <x v="784"/>
    <x v="955"/>
    <n v="2"/>
    <x v="931"/>
  </r>
  <r>
    <d v="2016-06-12T00:00:00"/>
    <x v="32"/>
    <x v="3"/>
    <x v="0"/>
    <x v="7"/>
    <x v="1022"/>
    <x v="2069"/>
    <n v="7"/>
    <x v="52"/>
  </r>
  <r>
    <d v="2016-06-12T00:00:00"/>
    <x v="32"/>
    <x v="3"/>
    <x v="0"/>
    <x v="3"/>
    <x v="1024"/>
    <x v="2070"/>
    <n v="4"/>
    <x v="2015"/>
  </r>
  <r>
    <d v="2016-06-12T00:00:00"/>
    <x v="32"/>
    <x v="3"/>
    <x v="0"/>
    <x v="3"/>
    <x v="746"/>
    <x v="2071"/>
    <n v="14"/>
    <x v="2016"/>
  </r>
  <r>
    <d v="2016-08-12T00:00:00"/>
    <x v="456"/>
    <x v="0"/>
    <x v="2"/>
    <x v="6"/>
    <x v="10"/>
    <x v="2072"/>
    <n v="7"/>
    <x v="2017"/>
  </r>
  <r>
    <d v="2016-08-12T00:00:00"/>
    <x v="456"/>
    <x v="0"/>
    <x v="1"/>
    <x v="8"/>
    <x v="1359"/>
    <x v="2073"/>
    <n v="5"/>
    <x v="2018"/>
  </r>
  <r>
    <d v="2016-08-12T00:00:00"/>
    <x v="108"/>
    <x v="28"/>
    <x v="2"/>
    <x v="6"/>
    <x v="1360"/>
    <x v="2074"/>
    <n v="5"/>
    <x v="2019"/>
  </r>
  <r>
    <d v="2016-08-12T00:00:00"/>
    <x v="400"/>
    <x v="16"/>
    <x v="0"/>
    <x v="3"/>
    <x v="569"/>
    <x v="113"/>
    <n v="7"/>
    <x v="2020"/>
  </r>
  <r>
    <d v="2016-08-12T00:00:00"/>
    <x v="205"/>
    <x v="3"/>
    <x v="0"/>
    <x v="4"/>
    <x v="1361"/>
    <x v="221"/>
    <n v="2"/>
    <x v="1205"/>
  </r>
  <r>
    <d v="2016-08-12T00:00:00"/>
    <x v="205"/>
    <x v="3"/>
    <x v="0"/>
    <x v="0"/>
    <x v="755"/>
    <x v="190"/>
    <n v="7"/>
    <x v="193"/>
  </r>
  <r>
    <d v="2016-08-12T00:00:00"/>
    <x v="205"/>
    <x v="3"/>
    <x v="1"/>
    <x v="10"/>
    <x v="1362"/>
    <x v="2075"/>
    <n v="6"/>
    <x v="2021"/>
  </r>
  <r>
    <d v="2016-08-12T00:00:00"/>
    <x v="423"/>
    <x v="3"/>
    <x v="0"/>
    <x v="2"/>
    <x v="1363"/>
    <x v="2076"/>
    <n v="3"/>
    <x v="2022"/>
  </r>
  <r>
    <d v="2016-08-12T00:00:00"/>
    <x v="423"/>
    <x v="3"/>
    <x v="0"/>
    <x v="2"/>
    <x v="486"/>
    <x v="2077"/>
    <n v="2"/>
    <x v="2023"/>
  </r>
  <r>
    <d v="2016-08-12T00:00:00"/>
    <x v="187"/>
    <x v="15"/>
    <x v="2"/>
    <x v="6"/>
    <x v="784"/>
    <x v="955"/>
    <n v="2"/>
    <x v="931"/>
  </r>
  <r>
    <d v="2016-08-12T00:00:00"/>
    <x v="187"/>
    <x v="15"/>
    <x v="2"/>
    <x v="9"/>
    <x v="325"/>
    <x v="1883"/>
    <n v="3"/>
    <x v="1846"/>
  </r>
  <r>
    <d v="2016-08-12T00:00:00"/>
    <x v="187"/>
    <x v="15"/>
    <x v="2"/>
    <x v="9"/>
    <x v="1274"/>
    <x v="1760"/>
    <n v="3"/>
    <x v="2024"/>
  </r>
  <r>
    <d v="2016-08-12T00:00:00"/>
    <x v="369"/>
    <x v="16"/>
    <x v="0"/>
    <x v="0"/>
    <x v="1260"/>
    <x v="2078"/>
    <n v="3"/>
    <x v="525"/>
  </r>
  <r>
    <d v="2016-08-12T00:00:00"/>
    <x v="430"/>
    <x v="8"/>
    <x v="1"/>
    <x v="12"/>
    <x v="1036"/>
    <x v="2079"/>
    <n v="7"/>
    <x v="1910"/>
  </r>
  <r>
    <d v="2016-08-12T00:00:00"/>
    <x v="430"/>
    <x v="8"/>
    <x v="1"/>
    <x v="5"/>
    <x v="334"/>
    <x v="2080"/>
    <n v="3"/>
    <x v="2025"/>
  </r>
  <r>
    <d v="2016-09-12T00:00:00"/>
    <x v="55"/>
    <x v="37"/>
    <x v="0"/>
    <x v="4"/>
    <x v="1364"/>
    <x v="60"/>
    <n v="7"/>
    <x v="966"/>
  </r>
  <r>
    <d v="2016-09-12T00:00:00"/>
    <x v="55"/>
    <x v="37"/>
    <x v="0"/>
    <x v="13"/>
    <x v="838"/>
    <x v="2081"/>
    <n v="7"/>
    <x v="2026"/>
  </r>
  <r>
    <d v="2016-09-12T00:00:00"/>
    <x v="408"/>
    <x v="20"/>
    <x v="0"/>
    <x v="1"/>
    <x v="1365"/>
    <x v="2082"/>
    <n v="1"/>
    <x v="772"/>
  </r>
  <r>
    <d v="2016-09-12T00:00:00"/>
    <x v="408"/>
    <x v="20"/>
    <x v="0"/>
    <x v="1"/>
    <x v="1190"/>
    <x v="2083"/>
    <n v="4"/>
    <x v="2027"/>
  </r>
  <r>
    <d v="2016-09-12T00:00:00"/>
    <x v="443"/>
    <x v="0"/>
    <x v="0"/>
    <x v="0"/>
    <x v="792"/>
    <x v="972"/>
    <n v="2"/>
    <x v="825"/>
  </r>
  <r>
    <d v="2016-09-12T00:00:00"/>
    <x v="443"/>
    <x v="0"/>
    <x v="0"/>
    <x v="4"/>
    <x v="593"/>
    <x v="2084"/>
    <n v="1"/>
    <x v="1638"/>
  </r>
  <r>
    <d v="2016-09-12T00:00:00"/>
    <x v="332"/>
    <x v="31"/>
    <x v="1"/>
    <x v="10"/>
    <x v="1143"/>
    <x v="2085"/>
    <n v="3"/>
    <x v="2028"/>
  </r>
  <r>
    <d v="2016-09-12T00:00:00"/>
    <x v="332"/>
    <x v="31"/>
    <x v="0"/>
    <x v="3"/>
    <x v="514"/>
    <x v="383"/>
    <n v="2"/>
    <x v="1933"/>
  </r>
  <r>
    <d v="2016-09-12T00:00:00"/>
    <x v="316"/>
    <x v="18"/>
    <x v="2"/>
    <x v="6"/>
    <x v="191"/>
    <x v="165"/>
    <n v="1"/>
    <x v="850"/>
  </r>
  <r>
    <d v="2016-09-12T00:00:00"/>
    <x v="316"/>
    <x v="18"/>
    <x v="2"/>
    <x v="9"/>
    <x v="952"/>
    <x v="2086"/>
    <n v="2"/>
    <x v="2029"/>
  </r>
  <r>
    <d v="2016-09-12T00:00:00"/>
    <x v="316"/>
    <x v="18"/>
    <x v="0"/>
    <x v="13"/>
    <x v="864"/>
    <x v="2087"/>
    <n v="1"/>
    <x v="2030"/>
  </r>
  <r>
    <d v="2016-09-12T00:00:00"/>
    <x v="89"/>
    <x v="31"/>
    <x v="2"/>
    <x v="6"/>
    <x v="1366"/>
    <x v="2088"/>
    <n v="3"/>
    <x v="2031"/>
  </r>
  <r>
    <d v="2016-09-12T00:00:00"/>
    <x v="532"/>
    <x v="1"/>
    <x v="0"/>
    <x v="14"/>
    <x v="231"/>
    <x v="2089"/>
    <n v="3"/>
    <x v="1402"/>
  </r>
  <r>
    <d v="2016-09-12T00:00:00"/>
    <x v="532"/>
    <x v="1"/>
    <x v="0"/>
    <x v="13"/>
    <x v="162"/>
    <x v="1090"/>
    <n v="2"/>
    <x v="2032"/>
  </r>
  <r>
    <d v="2016-09-12T00:00:00"/>
    <x v="532"/>
    <x v="1"/>
    <x v="2"/>
    <x v="9"/>
    <x v="608"/>
    <x v="2090"/>
    <n v="4"/>
    <x v="2033"/>
  </r>
  <r>
    <d v="2016-09-12T00:00:00"/>
    <x v="165"/>
    <x v="3"/>
    <x v="0"/>
    <x v="3"/>
    <x v="778"/>
    <x v="2091"/>
    <n v="8"/>
    <x v="2034"/>
  </r>
  <r>
    <d v="2016-09-12T00:00:00"/>
    <x v="84"/>
    <x v="6"/>
    <x v="1"/>
    <x v="10"/>
    <x v="940"/>
    <x v="2092"/>
    <n v="7"/>
    <x v="2035"/>
  </r>
  <r>
    <d v="2016-10-12T00:00:00"/>
    <x v="316"/>
    <x v="3"/>
    <x v="1"/>
    <x v="5"/>
    <x v="745"/>
    <x v="2093"/>
    <n v="2"/>
    <x v="2036"/>
  </r>
  <r>
    <d v="2016-10-12T00:00:00"/>
    <x v="17"/>
    <x v="12"/>
    <x v="0"/>
    <x v="2"/>
    <x v="477"/>
    <x v="2094"/>
    <n v="6"/>
    <x v="2037"/>
  </r>
  <r>
    <d v="2016-10-12T00:00:00"/>
    <x v="17"/>
    <x v="12"/>
    <x v="0"/>
    <x v="11"/>
    <x v="1007"/>
    <x v="2095"/>
    <n v="4"/>
    <x v="2038"/>
  </r>
  <r>
    <d v="2016-10-12T00:00:00"/>
    <x v="280"/>
    <x v="10"/>
    <x v="0"/>
    <x v="3"/>
    <x v="844"/>
    <x v="2096"/>
    <n v="3"/>
    <x v="2039"/>
  </r>
  <r>
    <d v="2016-10-12T00:00:00"/>
    <x v="280"/>
    <x v="10"/>
    <x v="0"/>
    <x v="13"/>
    <x v="1367"/>
    <x v="2097"/>
    <n v="3"/>
    <x v="2040"/>
  </r>
  <r>
    <d v="2016-10-12T00:00:00"/>
    <x v="280"/>
    <x v="10"/>
    <x v="0"/>
    <x v="0"/>
    <x v="971"/>
    <x v="507"/>
    <n v="4"/>
    <x v="508"/>
  </r>
  <r>
    <d v="2016-10-12T00:00:00"/>
    <x v="280"/>
    <x v="10"/>
    <x v="0"/>
    <x v="13"/>
    <x v="1368"/>
    <x v="2098"/>
    <n v="3"/>
    <x v="2041"/>
  </r>
  <r>
    <d v="2016-10-12T00:00:00"/>
    <x v="280"/>
    <x v="10"/>
    <x v="2"/>
    <x v="9"/>
    <x v="461"/>
    <x v="1360"/>
    <n v="5"/>
    <x v="437"/>
  </r>
  <r>
    <d v="2016-10-12T00:00:00"/>
    <x v="148"/>
    <x v="26"/>
    <x v="1"/>
    <x v="5"/>
    <x v="287"/>
    <x v="2099"/>
    <n v="5"/>
    <x v="2042"/>
  </r>
  <r>
    <d v="2016-10-12T00:00:00"/>
    <x v="535"/>
    <x v="3"/>
    <x v="0"/>
    <x v="0"/>
    <x v="1265"/>
    <x v="2100"/>
    <n v="12"/>
    <x v="2043"/>
  </r>
  <r>
    <d v="2016-10-12T00:00:00"/>
    <x v="553"/>
    <x v="12"/>
    <x v="0"/>
    <x v="0"/>
    <x v="582"/>
    <x v="1298"/>
    <n v="2"/>
    <x v="1274"/>
  </r>
  <r>
    <d v="2016-10-12T00:00:00"/>
    <x v="553"/>
    <x v="12"/>
    <x v="0"/>
    <x v="3"/>
    <x v="1352"/>
    <x v="2101"/>
    <n v="5"/>
    <x v="2044"/>
  </r>
  <r>
    <d v="2016-10-12T00:00:00"/>
    <x v="611"/>
    <x v="12"/>
    <x v="0"/>
    <x v="0"/>
    <x v="326"/>
    <x v="2102"/>
    <n v="9"/>
    <x v="2045"/>
  </r>
  <r>
    <d v="2016-10-12T00:00:00"/>
    <x v="227"/>
    <x v="12"/>
    <x v="0"/>
    <x v="0"/>
    <x v="1369"/>
    <x v="1005"/>
    <n v="1"/>
    <x v="1043"/>
  </r>
  <r>
    <d v="2016-11-12T00:00:00"/>
    <x v="642"/>
    <x v="12"/>
    <x v="0"/>
    <x v="7"/>
    <x v="1245"/>
    <x v="1893"/>
    <n v="7"/>
    <x v="2046"/>
  </r>
  <r>
    <d v="2016-11-12T00:00:00"/>
    <x v="642"/>
    <x v="12"/>
    <x v="2"/>
    <x v="6"/>
    <x v="1251"/>
    <x v="2103"/>
    <n v="5"/>
    <x v="2047"/>
  </r>
  <r>
    <d v="2016-11-12T00:00:00"/>
    <x v="408"/>
    <x v="19"/>
    <x v="0"/>
    <x v="2"/>
    <x v="1370"/>
    <x v="2104"/>
    <n v="3"/>
    <x v="2048"/>
  </r>
  <r>
    <d v="2016-11-12T00:00:00"/>
    <x v="408"/>
    <x v="19"/>
    <x v="2"/>
    <x v="9"/>
    <x v="604"/>
    <x v="678"/>
    <n v="5"/>
    <x v="664"/>
  </r>
  <r>
    <d v="2016-11-12T00:00:00"/>
    <x v="408"/>
    <x v="19"/>
    <x v="2"/>
    <x v="6"/>
    <x v="556"/>
    <x v="2105"/>
    <n v="4"/>
    <x v="2049"/>
  </r>
  <r>
    <d v="2016-11-12T00:00:00"/>
    <x v="348"/>
    <x v="10"/>
    <x v="1"/>
    <x v="8"/>
    <x v="212"/>
    <x v="2106"/>
    <n v="4"/>
    <x v="2050"/>
  </r>
  <r>
    <d v="2016-11-12T00:00:00"/>
    <x v="348"/>
    <x v="10"/>
    <x v="2"/>
    <x v="6"/>
    <x v="138"/>
    <x v="1695"/>
    <n v="3"/>
    <x v="2051"/>
  </r>
  <r>
    <d v="2016-11-12T00:00:00"/>
    <x v="348"/>
    <x v="10"/>
    <x v="2"/>
    <x v="9"/>
    <x v="1371"/>
    <x v="2107"/>
    <n v="4"/>
    <x v="2052"/>
  </r>
  <r>
    <d v="2016-11-12T00:00:00"/>
    <x v="169"/>
    <x v="9"/>
    <x v="0"/>
    <x v="2"/>
    <x v="730"/>
    <x v="2108"/>
    <n v="3"/>
    <x v="2053"/>
  </r>
  <r>
    <d v="2016-11-12T00:00:00"/>
    <x v="512"/>
    <x v="31"/>
    <x v="0"/>
    <x v="4"/>
    <x v="284"/>
    <x v="2109"/>
    <n v="3"/>
    <x v="813"/>
  </r>
  <r>
    <d v="2016-11-12T00:00:00"/>
    <x v="349"/>
    <x v="16"/>
    <x v="0"/>
    <x v="2"/>
    <x v="35"/>
    <x v="35"/>
    <n v="5"/>
    <x v="2054"/>
  </r>
  <r>
    <d v="2016-11-12T00:00:00"/>
    <x v="349"/>
    <x v="16"/>
    <x v="0"/>
    <x v="14"/>
    <x v="1078"/>
    <x v="1204"/>
    <n v="2"/>
    <x v="451"/>
  </r>
  <r>
    <d v="2016-11-12T00:00:00"/>
    <x v="349"/>
    <x v="16"/>
    <x v="1"/>
    <x v="5"/>
    <x v="471"/>
    <x v="2110"/>
    <n v="5"/>
    <x v="2055"/>
  </r>
  <r>
    <d v="2016-11-12T00:00:00"/>
    <x v="349"/>
    <x v="16"/>
    <x v="0"/>
    <x v="13"/>
    <x v="955"/>
    <x v="1225"/>
    <n v="4"/>
    <x v="1199"/>
  </r>
  <r>
    <d v="2016-11-12T00:00:00"/>
    <x v="349"/>
    <x v="16"/>
    <x v="1"/>
    <x v="10"/>
    <x v="1259"/>
    <x v="2111"/>
    <n v="3"/>
    <x v="2056"/>
  </r>
  <r>
    <d v="2016-11-12T00:00:00"/>
    <x v="14"/>
    <x v="35"/>
    <x v="1"/>
    <x v="5"/>
    <x v="673"/>
    <x v="2112"/>
    <n v="5"/>
    <x v="2057"/>
  </r>
  <r>
    <d v="2016-11-12T00:00:00"/>
    <x v="266"/>
    <x v="3"/>
    <x v="0"/>
    <x v="3"/>
    <x v="25"/>
    <x v="1139"/>
    <n v="5"/>
    <x v="2058"/>
  </r>
  <r>
    <d v="2016-11-12T00:00:00"/>
    <x v="266"/>
    <x v="3"/>
    <x v="0"/>
    <x v="4"/>
    <x v="1224"/>
    <x v="2113"/>
    <n v="2"/>
    <x v="2059"/>
  </r>
  <r>
    <d v="2016-11-12T00:00:00"/>
    <x v="266"/>
    <x v="3"/>
    <x v="0"/>
    <x v="0"/>
    <x v="1184"/>
    <x v="1844"/>
    <n v="1"/>
    <x v="2060"/>
  </r>
  <r>
    <d v="2016-11-12T00:00:00"/>
    <x v="266"/>
    <x v="3"/>
    <x v="2"/>
    <x v="9"/>
    <x v="917"/>
    <x v="673"/>
    <n v="4"/>
    <x v="2029"/>
  </r>
  <r>
    <d v="2016-11-12T00:00:00"/>
    <x v="266"/>
    <x v="3"/>
    <x v="1"/>
    <x v="5"/>
    <x v="789"/>
    <x v="2114"/>
    <n v="5"/>
    <x v="2061"/>
  </r>
  <r>
    <d v="2016-11-12T00:00:00"/>
    <x v="266"/>
    <x v="3"/>
    <x v="0"/>
    <x v="3"/>
    <x v="1247"/>
    <x v="2115"/>
    <n v="3"/>
    <x v="1576"/>
  </r>
  <r>
    <d v="2016-11-12T00:00:00"/>
    <x v="266"/>
    <x v="3"/>
    <x v="0"/>
    <x v="3"/>
    <x v="813"/>
    <x v="2116"/>
    <n v="9"/>
    <x v="2062"/>
  </r>
  <r>
    <d v="2016-11-12T00:00:00"/>
    <x v="266"/>
    <x v="3"/>
    <x v="1"/>
    <x v="10"/>
    <x v="642"/>
    <x v="2117"/>
    <n v="7"/>
    <x v="2063"/>
  </r>
  <r>
    <d v="2016-11-12T00:00:00"/>
    <x v="266"/>
    <x v="3"/>
    <x v="0"/>
    <x v="2"/>
    <x v="94"/>
    <x v="2118"/>
    <n v="3"/>
    <x v="347"/>
  </r>
  <r>
    <d v="2016-11-12T00:00:00"/>
    <x v="266"/>
    <x v="3"/>
    <x v="0"/>
    <x v="13"/>
    <x v="447"/>
    <x v="2119"/>
    <n v="2"/>
    <x v="2064"/>
  </r>
  <r>
    <d v="2016-11-12T00:00:00"/>
    <x v="266"/>
    <x v="3"/>
    <x v="0"/>
    <x v="3"/>
    <x v="1372"/>
    <x v="2120"/>
    <n v="2"/>
    <x v="1073"/>
  </r>
  <r>
    <d v="2016-11-12T00:00:00"/>
    <x v="485"/>
    <x v="16"/>
    <x v="0"/>
    <x v="13"/>
    <x v="246"/>
    <x v="2121"/>
    <n v="4"/>
    <x v="1563"/>
  </r>
  <r>
    <d v="2016-12-12T00:00:00"/>
    <x v="69"/>
    <x v="16"/>
    <x v="0"/>
    <x v="3"/>
    <x v="230"/>
    <x v="1417"/>
    <n v="3"/>
    <x v="2065"/>
  </r>
  <r>
    <d v="2016-12-12T00:00:00"/>
    <x v="69"/>
    <x v="16"/>
    <x v="2"/>
    <x v="9"/>
    <x v="591"/>
    <x v="869"/>
    <n v="6"/>
    <x v="2066"/>
  </r>
  <r>
    <d v="2016-12-12T00:00:00"/>
    <x v="176"/>
    <x v="18"/>
    <x v="2"/>
    <x v="6"/>
    <x v="556"/>
    <x v="2122"/>
    <n v="7"/>
    <x v="2067"/>
  </r>
  <r>
    <d v="2016-12-12T00:00:00"/>
    <x v="176"/>
    <x v="18"/>
    <x v="1"/>
    <x v="8"/>
    <x v="482"/>
    <x v="2123"/>
    <n v="4"/>
    <x v="2068"/>
  </r>
  <r>
    <d v="2016-12-12T00:00:00"/>
    <x v="176"/>
    <x v="18"/>
    <x v="0"/>
    <x v="4"/>
    <x v="806"/>
    <x v="1290"/>
    <n v="5"/>
    <x v="2069"/>
  </r>
  <r>
    <d v="2016-12-12T00:00:00"/>
    <x v="176"/>
    <x v="18"/>
    <x v="0"/>
    <x v="2"/>
    <x v="975"/>
    <x v="2124"/>
    <n v="2"/>
    <x v="1064"/>
  </r>
  <r>
    <d v="2016-12-12T00:00:00"/>
    <x v="643"/>
    <x v="4"/>
    <x v="2"/>
    <x v="9"/>
    <x v="1373"/>
    <x v="2125"/>
    <n v="5"/>
    <x v="2070"/>
  </r>
  <r>
    <d v="2016-12-12T00:00:00"/>
    <x v="643"/>
    <x v="4"/>
    <x v="0"/>
    <x v="0"/>
    <x v="1374"/>
    <x v="302"/>
    <n v="4"/>
    <x v="302"/>
  </r>
  <r>
    <d v="2016-12-12T00:00:00"/>
    <x v="282"/>
    <x v="3"/>
    <x v="1"/>
    <x v="8"/>
    <x v="14"/>
    <x v="2126"/>
    <n v="6"/>
    <x v="2071"/>
  </r>
  <r>
    <d v="2016-12-12T00:00:00"/>
    <x v="282"/>
    <x v="3"/>
    <x v="0"/>
    <x v="13"/>
    <x v="1098"/>
    <x v="615"/>
    <n v="3"/>
    <x v="2072"/>
  </r>
  <r>
    <d v="2016-12-12T00:00:00"/>
    <x v="349"/>
    <x v="12"/>
    <x v="1"/>
    <x v="8"/>
    <x v="1207"/>
    <x v="2127"/>
    <n v="5"/>
    <x v="2073"/>
  </r>
  <r>
    <d v="2016-12-12T00:00:00"/>
    <x v="349"/>
    <x v="12"/>
    <x v="0"/>
    <x v="14"/>
    <x v="1375"/>
    <x v="1029"/>
    <n v="4"/>
    <x v="231"/>
  </r>
  <r>
    <d v="2016-12-12T00:00:00"/>
    <x v="349"/>
    <x v="12"/>
    <x v="0"/>
    <x v="4"/>
    <x v="1153"/>
    <x v="2128"/>
    <n v="7"/>
    <x v="1796"/>
  </r>
  <r>
    <d v="2017-01-01T00:00:00"/>
    <x v="22"/>
    <x v="16"/>
    <x v="1"/>
    <x v="8"/>
    <x v="599"/>
    <x v="563"/>
    <n v="4"/>
    <x v="2074"/>
  </r>
  <r>
    <d v="2017-01-01T00:00:00"/>
    <x v="110"/>
    <x v="3"/>
    <x v="1"/>
    <x v="8"/>
    <x v="1376"/>
    <x v="2129"/>
    <n v="11"/>
    <x v="2075"/>
  </r>
  <r>
    <d v="2017-01-01T00:00:00"/>
    <x v="135"/>
    <x v="8"/>
    <x v="0"/>
    <x v="3"/>
    <x v="1377"/>
    <x v="2130"/>
    <n v="2"/>
    <x v="772"/>
  </r>
  <r>
    <d v="2017-01-01T00:00:00"/>
    <x v="644"/>
    <x v="0"/>
    <x v="0"/>
    <x v="2"/>
    <x v="2"/>
    <x v="2131"/>
    <n v="5"/>
    <x v="2076"/>
  </r>
  <r>
    <d v="2017-01-01T00:00:00"/>
    <x v="644"/>
    <x v="0"/>
    <x v="1"/>
    <x v="8"/>
    <x v="377"/>
    <x v="2132"/>
    <n v="5"/>
    <x v="2077"/>
  </r>
  <r>
    <d v="2017-01-01T00:00:00"/>
    <x v="644"/>
    <x v="0"/>
    <x v="1"/>
    <x v="5"/>
    <x v="1279"/>
    <x v="2133"/>
    <n v="4"/>
    <x v="2078"/>
  </r>
  <r>
    <d v="2017-01-01T00:00:00"/>
    <x v="644"/>
    <x v="0"/>
    <x v="0"/>
    <x v="4"/>
    <x v="303"/>
    <x v="2134"/>
    <n v="4"/>
    <x v="1017"/>
  </r>
  <r>
    <d v="2017-01-01T00:00:00"/>
    <x v="644"/>
    <x v="0"/>
    <x v="0"/>
    <x v="3"/>
    <x v="1273"/>
    <x v="2135"/>
    <n v="5"/>
    <x v="2079"/>
  </r>
  <r>
    <d v="2017-01-01T00:00:00"/>
    <x v="644"/>
    <x v="0"/>
    <x v="0"/>
    <x v="3"/>
    <x v="1213"/>
    <x v="2136"/>
    <n v="14"/>
    <x v="2080"/>
  </r>
  <r>
    <d v="2017-01-01T00:00:00"/>
    <x v="644"/>
    <x v="0"/>
    <x v="0"/>
    <x v="13"/>
    <x v="339"/>
    <x v="469"/>
    <n v="2"/>
    <x v="2081"/>
  </r>
  <r>
    <d v="2017-02-01T00:00:00"/>
    <x v="645"/>
    <x v="15"/>
    <x v="2"/>
    <x v="16"/>
    <x v="1176"/>
    <x v="1625"/>
    <n v="2"/>
    <x v="1598"/>
  </r>
  <r>
    <d v="2017-02-01T00:00:00"/>
    <x v="645"/>
    <x v="15"/>
    <x v="0"/>
    <x v="3"/>
    <x v="1378"/>
    <x v="683"/>
    <n v="5"/>
    <x v="2082"/>
  </r>
  <r>
    <d v="2017-02-01T00:00:00"/>
    <x v="645"/>
    <x v="15"/>
    <x v="0"/>
    <x v="3"/>
    <x v="401"/>
    <x v="1862"/>
    <n v="6"/>
    <x v="2083"/>
  </r>
  <r>
    <d v="2017-02-01T00:00:00"/>
    <x v="330"/>
    <x v="0"/>
    <x v="0"/>
    <x v="4"/>
    <x v="106"/>
    <x v="1758"/>
    <n v="2"/>
    <x v="1927"/>
  </r>
  <r>
    <d v="2017-02-01T00:00:00"/>
    <x v="330"/>
    <x v="0"/>
    <x v="0"/>
    <x v="13"/>
    <x v="1379"/>
    <x v="2137"/>
    <n v="2"/>
    <x v="2084"/>
  </r>
  <r>
    <d v="2017-02-01T00:00:00"/>
    <x v="330"/>
    <x v="0"/>
    <x v="1"/>
    <x v="10"/>
    <x v="66"/>
    <x v="2138"/>
    <n v="5"/>
    <x v="2085"/>
  </r>
  <r>
    <d v="2017-02-01T00:00:00"/>
    <x v="330"/>
    <x v="0"/>
    <x v="0"/>
    <x v="2"/>
    <x v="665"/>
    <x v="2139"/>
    <n v="3"/>
    <x v="2086"/>
  </r>
  <r>
    <d v="2017-02-01T00:00:00"/>
    <x v="601"/>
    <x v="3"/>
    <x v="2"/>
    <x v="9"/>
    <x v="1297"/>
    <x v="2140"/>
    <n v="1"/>
    <x v="2087"/>
  </r>
  <r>
    <d v="2017-03-01T00:00:00"/>
    <x v="17"/>
    <x v="3"/>
    <x v="0"/>
    <x v="0"/>
    <x v="1380"/>
    <x v="1141"/>
    <n v="6"/>
    <x v="1111"/>
  </r>
  <r>
    <d v="2017-03-01T00:00:00"/>
    <x v="646"/>
    <x v="3"/>
    <x v="0"/>
    <x v="3"/>
    <x v="1381"/>
    <x v="2141"/>
    <n v="8"/>
    <x v="2088"/>
  </r>
  <r>
    <d v="2017-03-01T00:00:00"/>
    <x v="646"/>
    <x v="3"/>
    <x v="0"/>
    <x v="4"/>
    <x v="890"/>
    <x v="2142"/>
    <n v="3"/>
    <x v="1478"/>
  </r>
  <r>
    <d v="2017-06-01T00:00:00"/>
    <x v="135"/>
    <x v="22"/>
    <x v="0"/>
    <x v="3"/>
    <x v="41"/>
    <x v="2143"/>
    <n v="7"/>
    <x v="735"/>
  </r>
  <r>
    <d v="2017-07-01T00:00:00"/>
    <x v="611"/>
    <x v="18"/>
    <x v="2"/>
    <x v="16"/>
    <x v="409"/>
    <x v="2144"/>
    <n v="2"/>
    <x v="2089"/>
  </r>
  <r>
    <d v="2017-07-01T00:00:00"/>
    <x v="647"/>
    <x v="9"/>
    <x v="0"/>
    <x v="3"/>
    <x v="95"/>
    <x v="2145"/>
    <n v="3"/>
    <x v="621"/>
  </r>
  <r>
    <d v="2017-07-01T00:00:00"/>
    <x v="632"/>
    <x v="3"/>
    <x v="0"/>
    <x v="2"/>
    <x v="932"/>
    <x v="2146"/>
    <n v="11"/>
    <x v="2090"/>
  </r>
  <r>
    <d v="2017-07-01T00:00:00"/>
    <x v="632"/>
    <x v="3"/>
    <x v="0"/>
    <x v="2"/>
    <x v="1382"/>
    <x v="2147"/>
    <n v="3"/>
    <x v="2091"/>
  </r>
  <r>
    <d v="2017-07-01T00:00:00"/>
    <x v="632"/>
    <x v="3"/>
    <x v="0"/>
    <x v="14"/>
    <x v="1383"/>
    <x v="2148"/>
    <n v="7"/>
    <x v="2092"/>
  </r>
  <r>
    <d v="2017-07-01T00:00:00"/>
    <x v="632"/>
    <x v="3"/>
    <x v="0"/>
    <x v="7"/>
    <x v="22"/>
    <x v="2149"/>
    <n v="1"/>
    <x v="419"/>
  </r>
  <r>
    <d v="2017-08-01T00:00:00"/>
    <x v="164"/>
    <x v="10"/>
    <x v="1"/>
    <x v="10"/>
    <x v="1337"/>
    <x v="2150"/>
    <n v="2"/>
    <x v="2093"/>
  </r>
  <r>
    <d v="2017-09-01T00:00:00"/>
    <x v="225"/>
    <x v="2"/>
    <x v="0"/>
    <x v="3"/>
    <x v="8"/>
    <x v="2151"/>
    <n v="3"/>
    <x v="2094"/>
  </r>
  <r>
    <d v="2017-12-01T00:00:00"/>
    <x v="216"/>
    <x v="45"/>
    <x v="0"/>
    <x v="0"/>
    <x v="304"/>
    <x v="2152"/>
    <n v="6"/>
    <x v="2095"/>
  </r>
  <r>
    <d v="2017-12-01T00:00:00"/>
    <x v="216"/>
    <x v="45"/>
    <x v="1"/>
    <x v="8"/>
    <x v="1199"/>
    <x v="1990"/>
    <n v="2"/>
    <x v="2072"/>
  </r>
  <r>
    <d v="2017-12-01T00:00:00"/>
    <x v="648"/>
    <x v="3"/>
    <x v="0"/>
    <x v="11"/>
    <x v="55"/>
    <x v="2153"/>
    <n v="1"/>
    <x v="489"/>
  </r>
  <r>
    <d v="2017-12-01T00:00:00"/>
    <x v="367"/>
    <x v="0"/>
    <x v="0"/>
    <x v="3"/>
    <x v="847"/>
    <x v="2154"/>
    <n v="5"/>
    <x v="2096"/>
  </r>
  <r>
    <d v="2017-02-02T00:00:00"/>
    <x v="593"/>
    <x v="16"/>
    <x v="2"/>
    <x v="6"/>
    <x v="1227"/>
    <x v="1973"/>
    <n v="5"/>
    <x v="2097"/>
  </r>
  <r>
    <d v="2017-02-02T00:00:00"/>
    <x v="593"/>
    <x v="16"/>
    <x v="0"/>
    <x v="0"/>
    <x v="307"/>
    <x v="320"/>
    <n v="2"/>
    <x v="319"/>
  </r>
  <r>
    <d v="2017-02-02T00:00:00"/>
    <x v="593"/>
    <x v="16"/>
    <x v="0"/>
    <x v="7"/>
    <x v="22"/>
    <x v="2155"/>
    <n v="9"/>
    <x v="268"/>
  </r>
  <r>
    <d v="2017-02-02T00:00:00"/>
    <x v="140"/>
    <x v="3"/>
    <x v="1"/>
    <x v="8"/>
    <x v="276"/>
    <x v="2156"/>
    <n v="2"/>
    <x v="2098"/>
  </r>
  <r>
    <d v="2017-02-02T00:00:00"/>
    <x v="140"/>
    <x v="3"/>
    <x v="0"/>
    <x v="2"/>
    <x v="501"/>
    <x v="2157"/>
    <n v="4"/>
    <x v="2099"/>
  </r>
  <r>
    <d v="2017-02-02T00:00:00"/>
    <x v="140"/>
    <x v="3"/>
    <x v="0"/>
    <x v="13"/>
    <x v="1368"/>
    <x v="166"/>
    <n v="4"/>
    <x v="2100"/>
  </r>
  <r>
    <d v="2017-02-02T00:00:00"/>
    <x v="516"/>
    <x v="3"/>
    <x v="1"/>
    <x v="8"/>
    <x v="794"/>
    <x v="2158"/>
    <n v="2"/>
    <x v="2101"/>
  </r>
  <r>
    <d v="2017-02-02T00:00:00"/>
    <x v="516"/>
    <x v="3"/>
    <x v="0"/>
    <x v="3"/>
    <x v="1384"/>
    <x v="1750"/>
    <n v="2"/>
    <x v="2102"/>
  </r>
  <r>
    <d v="2017-02-02T00:00:00"/>
    <x v="516"/>
    <x v="3"/>
    <x v="2"/>
    <x v="16"/>
    <x v="1385"/>
    <x v="394"/>
    <n v="2"/>
    <x v="1410"/>
  </r>
  <r>
    <d v="2017-03-02T00:00:00"/>
    <x v="293"/>
    <x v="16"/>
    <x v="0"/>
    <x v="3"/>
    <x v="1302"/>
    <x v="2159"/>
    <n v="3"/>
    <x v="1866"/>
  </r>
  <r>
    <d v="2017-03-02T00:00:00"/>
    <x v="293"/>
    <x v="16"/>
    <x v="0"/>
    <x v="2"/>
    <x v="220"/>
    <x v="2160"/>
    <n v="2"/>
    <x v="2103"/>
  </r>
  <r>
    <d v="2017-03-02T00:00:00"/>
    <x v="27"/>
    <x v="9"/>
    <x v="0"/>
    <x v="3"/>
    <x v="1273"/>
    <x v="2161"/>
    <n v="2"/>
    <x v="2104"/>
  </r>
  <r>
    <d v="2017-03-02T00:00:00"/>
    <x v="27"/>
    <x v="9"/>
    <x v="0"/>
    <x v="0"/>
    <x v="1244"/>
    <x v="2162"/>
    <n v="3"/>
    <x v="2105"/>
  </r>
  <r>
    <d v="2017-03-02T00:00:00"/>
    <x v="569"/>
    <x v="1"/>
    <x v="0"/>
    <x v="0"/>
    <x v="1058"/>
    <x v="268"/>
    <n v="1"/>
    <x v="1926"/>
  </r>
  <r>
    <d v="2017-03-02T00:00:00"/>
    <x v="569"/>
    <x v="1"/>
    <x v="0"/>
    <x v="0"/>
    <x v="572"/>
    <x v="2163"/>
    <n v="2"/>
    <x v="135"/>
  </r>
  <r>
    <d v="2017-03-02T00:00:00"/>
    <x v="569"/>
    <x v="1"/>
    <x v="1"/>
    <x v="8"/>
    <x v="1045"/>
    <x v="215"/>
    <n v="1"/>
    <x v="2106"/>
  </r>
  <r>
    <d v="2017-03-02T00:00:00"/>
    <x v="569"/>
    <x v="1"/>
    <x v="0"/>
    <x v="0"/>
    <x v="1386"/>
    <x v="2164"/>
    <n v="5"/>
    <x v="2107"/>
  </r>
  <r>
    <d v="2017-04-02T00:00:00"/>
    <x v="579"/>
    <x v="12"/>
    <x v="0"/>
    <x v="13"/>
    <x v="162"/>
    <x v="2165"/>
    <n v="3"/>
    <x v="1054"/>
  </r>
  <r>
    <d v="2017-05-02T00:00:00"/>
    <x v="649"/>
    <x v="0"/>
    <x v="0"/>
    <x v="3"/>
    <x v="8"/>
    <x v="2166"/>
    <n v="4"/>
    <x v="2108"/>
  </r>
  <r>
    <d v="2017-05-02T00:00:00"/>
    <x v="649"/>
    <x v="0"/>
    <x v="0"/>
    <x v="4"/>
    <x v="1029"/>
    <x v="2167"/>
    <n v="5"/>
    <x v="2109"/>
  </r>
  <r>
    <d v="2017-05-02T00:00:00"/>
    <x v="240"/>
    <x v="3"/>
    <x v="0"/>
    <x v="13"/>
    <x v="1387"/>
    <x v="2168"/>
    <n v="5"/>
    <x v="2110"/>
  </r>
  <r>
    <d v="2017-05-02T00:00:00"/>
    <x v="240"/>
    <x v="3"/>
    <x v="2"/>
    <x v="6"/>
    <x v="573"/>
    <x v="2169"/>
    <n v="5"/>
    <x v="2111"/>
  </r>
  <r>
    <d v="2017-06-02T00:00:00"/>
    <x v="600"/>
    <x v="6"/>
    <x v="1"/>
    <x v="12"/>
    <x v="1063"/>
    <x v="1944"/>
    <n v="3"/>
    <x v="2112"/>
  </r>
  <r>
    <d v="2017-06-02T00:00:00"/>
    <x v="538"/>
    <x v="12"/>
    <x v="1"/>
    <x v="12"/>
    <x v="688"/>
    <x v="2170"/>
    <n v="1"/>
    <x v="469"/>
  </r>
  <r>
    <d v="2017-06-02T00:00:00"/>
    <x v="614"/>
    <x v="12"/>
    <x v="2"/>
    <x v="6"/>
    <x v="1081"/>
    <x v="2171"/>
    <n v="6"/>
    <x v="2113"/>
  </r>
  <r>
    <d v="2017-06-02T00:00:00"/>
    <x v="614"/>
    <x v="12"/>
    <x v="0"/>
    <x v="3"/>
    <x v="1388"/>
    <x v="2172"/>
    <n v="4"/>
    <x v="1513"/>
  </r>
  <r>
    <d v="2017-06-02T00:00:00"/>
    <x v="444"/>
    <x v="3"/>
    <x v="0"/>
    <x v="0"/>
    <x v="100"/>
    <x v="784"/>
    <n v="5"/>
    <x v="768"/>
  </r>
  <r>
    <d v="2017-09-02T00:00:00"/>
    <x v="650"/>
    <x v="0"/>
    <x v="0"/>
    <x v="3"/>
    <x v="1381"/>
    <x v="2173"/>
    <n v="4"/>
    <x v="2114"/>
  </r>
  <r>
    <d v="2017-09-02T00:00:00"/>
    <x v="650"/>
    <x v="0"/>
    <x v="2"/>
    <x v="9"/>
    <x v="724"/>
    <x v="661"/>
    <n v="2"/>
    <x v="2115"/>
  </r>
  <r>
    <d v="2017-09-02T00:00:00"/>
    <x v="650"/>
    <x v="0"/>
    <x v="1"/>
    <x v="8"/>
    <x v="1389"/>
    <x v="1544"/>
    <n v="2"/>
    <x v="2116"/>
  </r>
  <r>
    <d v="2017-09-02T00:00:00"/>
    <x v="650"/>
    <x v="0"/>
    <x v="0"/>
    <x v="13"/>
    <x v="1329"/>
    <x v="1457"/>
    <n v="2"/>
    <x v="2117"/>
  </r>
  <r>
    <d v="2017-09-02T00:00:00"/>
    <x v="161"/>
    <x v="3"/>
    <x v="1"/>
    <x v="8"/>
    <x v="504"/>
    <x v="989"/>
    <n v="4"/>
    <x v="1509"/>
  </r>
  <r>
    <d v="2017-09-02T00:00:00"/>
    <x v="117"/>
    <x v="3"/>
    <x v="0"/>
    <x v="2"/>
    <x v="67"/>
    <x v="69"/>
    <n v="5"/>
    <x v="70"/>
  </r>
  <r>
    <d v="2017-10-02T00:00:00"/>
    <x v="500"/>
    <x v="3"/>
    <x v="1"/>
    <x v="12"/>
    <x v="1063"/>
    <x v="1998"/>
    <n v="2"/>
    <x v="898"/>
  </r>
  <r>
    <d v="2017-10-02T00:00:00"/>
    <x v="147"/>
    <x v="39"/>
    <x v="0"/>
    <x v="0"/>
    <x v="906"/>
    <x v="1640"/>
    <n v="4"/>
    <x v="2118"/>
  </r>
  <r>
    <d v="2017-11-02T00:00:00"/>
    <x v="102"/>
    <x v="3"/>
    <x v="0"/>
    <x v="3"/>
    <x v="1390"/>
    <x v="2174"/>
    <n v="7"/>
    <x v="2119"/>
  </r>
  <r>
    <d v="2017-11-02T00:00:00"/>
    <x v="354"/>
    <x v="10"/>
    <x v="1"/>
    <x v="5"/>
    <x v="81"/>
    <x v="2175"/>
    <n v="4"/>
    <x v="2120"/>
  </r>
  <r>
    <d v="2017-11-02T00:00:00"/>
    <x v="354"/>
    <x v="10"/>
    <x v="2"/>
    <x v="6"/>
    <x v="262"/>
    <x v="552"/>
    <n v="3"/>
    <x v="549"/>
  </r>
  <r>
    <d v="2017-11-02T00:00:00"/>
    <x v="651"/>
    <x v="12"/>
    <x v="0"/>
    <x v="1"/>
    <x v="1100"/>
    <x v="1145"/>
    <n v="2"/>
    <x v="1115"/>
  </r>
  <r>
    <d v="2017-11-02T00:00:00"/>
    <x v="652"/>
    <x v="16"/>
    <x v="1"/>
    <x v="8"/>
    <x v="1061"/>
    <x v="2176"/>
    <n v="2"/>
    <x v="2121"/>
  </r>
  <r>
    <d v="2017-02-03T00:00:00"/>
    <x v="576"/>
    <x v="0"/>
    <x v="0"/>
    <x v="14"/>
    <x v="252"/>
    <x v="1644"/>
    <n v="4"/>
    <x v="2122"/>
  </r>
  <r>
    <d v="2017-02-03T00:00:00"/>
    <x v="576"/>
    <x v="0"/>
    <x v="0"/>
    <x v="3"/>
    <x v="38"/>
    <x v="1328"/>
    <n v="7"/>
    <x v="2123"/>
  </r>
  <r>
    <d v="2017-02-03T00:00:00"/>
    <x v="653"/>
    <x v="3"/>
    <x v="2"/>
    <x v="6"/>
    <x v="396"/>
    <x v="412"/>
    <n v="3"/>
    <x v="415"/>
  </r>
  <r>
    <d v="2017-02-03T00:00:00"/>
    <x v="653"/>
    <x v="3"/>
    <x v="2"/>
    <x v="9"/>
    <x v="1391"/>
    <x v="2177"/>
    <n v="6"/>
    <x v="2124"/>
  </r>
  <r>
    <d v="2017-02-03T00:00:00"/>
    <x v="244"/>
    <x v="7"/>
    <x v="0"/>
    <x v="4"/>
    <x v="659"/>
    <x v="71"/>
    <n v="3"/>
    <x v="72"/>
  </r>
  <r>
    <d v="2017-02-03T00:00:00"/>
    <x v="244"/>
    <x v="7"/>
    <x v="0"/>
    <x v="11"/>
    <x v="55"/>
    <x v="1182"/>
    <n v="7"/>
    <x v="1155"/>
  </r>
  <r>
    <d v="2017-02-03T00:00:00"/>
    <x v="244"/>
    <x v="7"/>
    <x v="1"/>
    <x v="12"/>
    <x v="921"/>
    <x v="2178"/>
    <n v="2"/>
    <x v="2125"/>
  </r>
  <r>
    <d v="2017-02-03T00:00:00"/>
    <x v="244"/>
    <x v="7"/>
    <x v="0"/>
    <x v="0"/>
    <x v="177"/>
    <x v="1637"/>
    <n v="6"/>
    <x v="2126"/>
  </r>
  <r>
    <d v="2017-02-03T00:00:00"/>
    <x v="283"/>
    <x v="16"/>
    <x v="0"/>
    <x v="3"/>
    <x v="1157"/>
    <x v="781"/>
    <n v="4"/>
    <x v="2127"/>
  </r>
  <r>
    <d v="2017-02-03T00:00:00"/>
    <x v="654"/>
    <x v="3"/>
    <x v="0"/>
    <x v="3"/>
    <x v="77"/>
    <x v="79"/>
    <n v="2"/>
    <x v="80"/>
  </r>
  <r>
    <d v="2017-02-03T00:00:00"/>
    <x v="67"/>
    <x v="0"/>
    <x v="0"/>
    <x v="3"/>
    <x v="708"/>
    <x v="2179"/>
    <n v="1"/>
    <x v="372"/>
  </r>
  <r>
    <d v="2017-03-03T00:00:00"/>
    <x v="568"/>
    <x v="5"/>
    <x v="0"/>
    <x v="13"/>
    <x v="215"/>
    <x v="2180"/>
    <n v="5"/>
    <x v="2128"/>
  </r>
  <r>
    <d v="2017-03-03T00:00:00"/>
    <x v="112"/>
    <x v="0"/>
    <x v="0"/>
    <x v="0"/>
    <x v="795"/>
    <x v="2181"/>
    <n v="8"/>
    <x v="35"/>
  </r>
  <r>
    <d v="2017-03-03T00:00:00"/>
    <x v="138"/>
    <x v="18"/>
    <x v="1"/>
    <x v="5"/>
    <x v="841"/>
    <x v="816"/>
    <n v="1"/>
    <x v="2129"/>
  </r>
  <r>
    <d v="2017-03-03T00:00:00"/>
    <x v="138"/>
    <x v="18"/>
    <x v="2"/>
    <x v="9"/>
    <x v="109"/>
    <x v="112"/>
    <n v="2"/>
    <x v="112"/>
  </r>
  <r>
    <d v="2017-03-03T00:00:00"/>
    <x v="655"/>
    <x v="3"/>
    <x v="2"/>
    <x v="9"/>
    <x v="1392"/>
    <x v="2182"/>
    <n v="8"/>
    <x v="2130"/>
  </r>
  <r>
    <d v="2017-03-03T00:00:00"/>
    <x v="655"/>
    <x v="3"/>
    <x v="1"/>
    <x v="5"/>
    <x v="805"/>
    <x v="246"/>
    <n v="3"/>
    <x v="961"/>
  </r>
  <r>
    <d v="2017-03-03T00:00:00"/>
    <x v="656"/>
    <x v="3"/>
    <x v="1"/>
    <x v="10"/>
    <x v="823"/>
    <x v="2183"/>
    <n v="7"/>
    <x v="2131"/>
  </r>
  <r>
    <d v="2017-04-03T00:00:00"/>
    <x v="432"/>
    <x v="3"/>
    <x v="0"/>
    <x v="4"/>
    <x v="969"/>
    <x v="2184"/>
    <n v="4"/>
    <x v="462"/>
  </r>
  <r>
    <d v="2017-04-03T00:00:00"/>
    <x v="432"/>
    <x v="3"/>
    <x v="0"/>
    <x v="11"/>
    <x v="964"/>
    <x v="2185"/>
    <n v="1"/>
    <x v="93"/>
  </r>
  <r>
    <d v="2017-04-03T00:00:00"/>
    <x v="0"/>
    <x v="0"/>
    <x v="0"/>
    <x v="0"/>
    <x v="320"/>
    <x v="1953"/>
    <n v="2"/>
    <x v="1910"/>
  </r>
  <r>
    <d v="2017-04-03T00:00:00"/>
    <x v="502"/>
    <x v="0"/>
    <x v="1"/>
    <x v="8"/>
    <x v="819"/>
    <x v="2186"/>
    <n v="5"/>
    <x v="2132"/>
  </r>
  <r>
    <d v="2017-04-03T00:00:00"/>
    <x v="502"/>
    <x v="0"/>
    <x v="0"/>
    <x v="1"/>
    <x v="1393"/>
    <x v="2187"/>
    <n v="1"/>
    <x v="2133"/>
  </r>
  <r>
    <d v="2017-04-03T00:00:00"/>
    <x v="502"/>
    <x v="0"/>
    <x v="0"/>
    <x v="2"/>
    <x v="1236"/>
    <x v="2188"/>
    <n v="1"/>
    <x v="1701"/>
  </r>
  <r>
    <d v="2017-05-03T00:00:00"/>
    <x v="277"/>
    <x v="8"/>
    <x v="0"/>
    <x v="1"/>
    <x v="1394"/>
    <x v="1039"/>
    <n v="2"/>
    <x v="1016"/>
  </r>
  <r>
    <d v="2017-05-03T00:00:00"/>
    <x v="657"/>
    <x v="28"/>
    <x v="0"/>
    <x v="7"/>
    <x v="809"/>
    <x v="2189"/>
    <n v="2"/>
    <x v="1731"/>
  </r>
  <r>
    <d v="2017-05-03T00:00:00"/>
    <x v="657"/>
    <x v="28"/>
    <x v="0"/>
    <x v="2"/>
    <x v="224"/>
    <x v="2190"/>
    <n v="4"/>
    <x v="2134"/>
  </r>
  <r>
    <d v="2017-05-03T00:00:00"/>
    <x v="657"/>
    <x v="28"/>
    <x v="0"/>
    <x v="3"/>
    <x v="414"/>
    <x v="2191"/>
    <n v="2"/>
    <x v="2135"/>
  </r>
  <r>
    <d v="2017-05-03T00:00:00"/>
    <x v="657"/>
    <x v="28"/>
    <x v="0"/>
    <x v="3"/>
    <x v="358"/>
    <x v="1417"/>
    <n v="3"/>
    <x v="1854"/>
  </r>
  <r>
    <d v="2017-05-03T00:00:00"/>
    <x v="318"/>
    <x v="32"/>
    <x v="0"/>
    <x v="11"/>
    <x v="1280"/>
    <x v="2192"/>
    <n v="4"/>
    <x v="1902"/>
  </r>
  <r>
    <d v="2017-05-03T00:00:00"/>
    <x v="318"/>
    <x v="32"/>
    <x v="2"/>
    <x v="9"/>
    <x v="338"/>
    <x v="133"/>
    <n v="3"/>
    <x v="1180"/>
  </r>
  <r>
    <d v="2017-05-03T00:00:00"/>
    <x v="318"/>
    <x v="32"/>
    <x v="0"/>
    <x v="13"/>
    <x v="1395"/>
    <x v="2193"/>
    <n v="2"/>
    <x v="2136"/>
  </r>
  <r>
    <d v="2017-05-03T00:00:00"/>
    <x v="318"/>
    <x v="32"/>
    <x v="0"/>
    <x v="3"/>
    <x v="746"/>
    <x v="2194"/>
    <n v="6"/>
    <x v="2137"/>
  </r>
  <r>
    <d v="2017-06-03T00:00:00"/>
    <x v="658"/>
    <x v="12"/>
    <x v="0"/>
    <x v="0"/>
    <x v="1034"/>
    <x v="768"/>
    <n v="1"/>
    <x v="1417"/>
  </r>
  <r>
    <d v="2017-06-03T00:00:00"/>
    <x v="658"/>
    <x v="12"/>
    <x v="1"/>
    <x v="8"/>
    <x v="1396"/>
    <x v="2195"/>
    <n v="3"/>
    <x v="2138"/>
  </r>
  <r>
    <d v="2017-06-03T00:00:00"/>
    <x v="151"/>
    <x v="3"/>
    <x v="0"/>
    <x v="3"/>
    <x v="1397"/>
    <x v="825"/>
    <n v="9"/>
    <x v="374"/>
  </r>
  <r>
    <d v="2017-06-03T00:00:00"/>
    <x v="314"/>
    <x v="3"/>
    <x v="0"/>
    <x v="2"/>
    <x v="1398"/>
    <x v="2196"/>
    <n v="2"/>
    <x v="2139"/>
  </r>
  <r>
    <d v="2017-06-03T00:00:00"/>
    <x v="506"/>
    <x v="3"/>
    <x v="0"/>
    <x v="4"/>
    <x v="303"/>
    <x v="2197"/>
    <n v="6"/>
    <x v="1094"/>
  </r>
  <r>
    <d v="2017-06-03T00:00:00"/>
    <x v="506"/>
    <x v="3"/>
    <x v="0"/>
    <x v="1"/>
    <x v="280"/>
    <x v="719"/>
    <n v="4"/>
    <x v="944"/>
  </r>
  <r>
    <d v="2017-06-03T00:00:00"/>
    <x v="506"/>
    <x v="3"/>
    <x v="0"/>
    <x v="0"/>
    <x v="572"/>
    <x v="2198"/>
    <n v="7"/>
    <x v="2140"/>
  </r>
  <r>
    <d v="2017-06-03T00:00:00"/>
    <x v="506"/>
    <x v="3"/>
    <x v="2"/>
    <x v="6"/>
    <x v="760"/>
    <x v="2199"/>
    <n v="2"/>
    <x v="2141"/>
  </r>
  <r>
    <d v="2017-06-03T00:00:00"/>
    <x v="544"/>
    <x v="0"/>
    <x v="0"/>
    <x v="1"/>
    <x v="1287"/>
    <x v="494"/>
    <n v="2"/>
    <x v="493"/>
  </r>
  <r>
    <d v="2017-06-03T00:00:00"/>
    <x v="544"/>
    <x v="0"/>
    <x v="0"/>
    <x v="4"/>
    <x v="69"/>
    <x v="2200"/>
    <n v="4"/>
    <x v="2142"/>
  </r>
  <r>
    <d v="2017-07-03T00:00:00"/>
    <x v="530"/>
    <x v="39"/>
    <x v="2"/>
    <x v="9"/>
    <x v="329"/>
    <x v="2201"/>
    <n v="3"/>
    <x v="65"/>
  </r>
  <r>
    <d v="2017-07-03T00:00:00"/>
    <x v="257"/>
    <x v="12"/>
    <x v="0"/>
    <x v="3"/>
    <x v="820"/>
    <x v="212"/>
    <n v="6"/>
    <x v="107"/>
  </r>
  <r>
    <d v="2017-07-03T00:00:00"/>
    <x v="257"/>
    <x v="12"/>
    <x v="0"/>
    <x v="1"/>
    <x v="1399"/>
    <x v="2202"/>
    <n v="3"/>
    <x v="2143"/>
  </r>
  <r>
    <d v="2017-08-03T00:00:00"/>
    <x v="659"/>
    <x v="4"/>
    <x v="0"/>
    <x v="13"/>
    <x v="1400"/>
    <x v="2203"/>
    <n v="8"/>
    <x v="2144"/>
  </r>
  <r>
    <d v="2017-08-03T00:00:00"/>
    <x v="659"/>
    <x v="4"/>
    <x v="0"/>
    <x v="1"/>
    <x v="1401"/>
    <x v="1145"/>
    <n v="2"/>
    <x v="1115"/>
  </r>
  <r>
    <d v="2017-08-03T00:00:00"/>
    <x v="484"/>
    <x v="3"/>
    <x v="0"/>
    <x v="3"/>
    <x v="240"/>
    <x v="2204"/>
    <n v="5"/>
    <x v="1431"/>
  </r>
  <r>
    <d v="2017-08-03T00:00:00"/>
    <x v="484"/>
    <x v="3"/>
    <x v="0"/>
    <x v="4"/>
    <x v="1402"/>
    <x v="2205"/>
    <n v="2"/>
    <x v="491"/>
  </r>
  <r>
    <d v="2017-09-03T00:00:00"/>
    <x v="559"/>
    <x v="3"/>
    <x v="2"/>
    <x v="9"/>
    <x v="146"/>
    <x v="351"/>
    <n v="2"/>
    <x v="2145"/>
  </r>
  <r>
    <d v="2017-09-03T00:00:00"/>
    <x v="396"/>
    <x v="3"/>
    <x v="2"/>
    <x v="15"/>
    <x v="902"/>
    <x v="162"/>
    <n v="2"/>
    <x v="1112"/>
  </r>
  <r>
    <d v="2017-09-03T00:00:00"/>
    <x v="396"/>
    <x v="3"/>
    <x v="0"/>
    <x v="3"/>
    <x v="245"/>
    <x v="1180"/>
    <n v="5"/>
    <x v="2146"/>
  </r>
  <r>
    <d v="2017-10-03T00:00:00"/>
    <x v="660"/>
    <x v="2"/>
    <x v="0"/>
    <x v="4"/>
    <x v="1052"/>
    <x v="907"/>
    <n v="2"/>
    <x v="887"/>
  </r>
  <r>
    <d v="2017-10-03T00:00:00"/>
    <x v="660"/>
    <x v="2"/>
    <x v="2"/>
    <x v="6"/>
    <x v="695"/>
    <x v="203"/>
    <n v="3"/>
    <x v="2147"/>
  </r>
  <r>
    <d v="2017-10-03T00:00:00"/>
    <x v="660"/>
    <x v="2"/>
    <x v="1"/>
    <x v="8"/>
    <x v="482"/>
    <x v="2206"/>
    <n v="1"/>
    <x v="1331"/>
  </r>
  <r>
    <d v="2017-10-03T00:00:00"/>
    <x v="660"/>
    <x v="2"/>
    <x v="1"/>
    <x v="8"/>
    <x v="1403"/>
    <x v="2207"/>
    <n v="2"/>
    <x v="2148"/>
  </r>
  <r>
    <d v="2017-10-03T00:00:00"/>
    <x v="89"/>
    <x v="2"/>
    <x v="2"/>
    <x v="6"/>
    <x v="1026"/>
    <x v="1631"/>
    <n v="3"/>
    <x v="358"/>
  </r>
  <r>
    <d v="2017-10-03T00:00:00"/>
    <x v="661"/>
    <x v="15"/>
    <x v="0"/>
    <x v="13"/>
    <x v="1155"/>
    <x v="1590"/>
    <n v="1"/>
    <x v="1996"/>
  </r>
  <r>
    <d v="2017-10-03T00:00:00"/>
    <x v="661"/>
    <x v="15"/>
    <x v="0"/>
    <x v="3"/>
    <x v="1135"/>
    <x v="2208"/>
    <n v="4"/>
    <x v="2149"/>
  </r>
  <r>
    <d v="2017-10-03T00:00:00"/>
    <x v="662"/>
    <x v="3"/>
    <x v="2"/>
    <x v="9"/>
    <x v="1404"/>
    <x v="2209"/>
    <n v="4"/>
    <x v="2150"/>
  </r>
  <r>
    <d v="2017-10-03T00:00:00"/>
    <x v="270"/>
    <x v="0"/>
    <x v="1"/>
    <x v="10"/>
    <x v="205"/>
    <x v="2210"/>
    <n v="4"/>
    <x v="2151"/>
  </r>
  <r>
    <d v="2017-11-03T00:00:00"/>
    <x v="389"/>
    <x v="18"/>
    <x v="0"/>
    <x v="3"/>
    <x v="1405"/>
    <x v="2211"/>
    <n v="4"/>
    <x v="2152"/>
  </r>
  <r>
    <d v="2017-11-03T00:00:00"/>
    <x v="663"/>
    <x v="2"/>
    <x v="2"/>
    <x v="6"/>
    <x v="1106"/>
    <x v="2212"/>
    <n v="5"/>
    <x v="2153"/>
  </r>
  <r>
    <d v="2017-11-03T00:00:00"/>
    <x v="663"/>
    <x v="2"/>
    <x v="0"/>
    <x v="3"/>
    <x v="135"/>
    <x v="2213"/>
    <n v="1"/>
    <x v="2154"/>
  </r>
  <r>
    <d v="2017-11-03T00:00:00"/>
    <x v="663"/>
    <x v="2"/>
    <x v="1"/>
    <x v="10"/>
    <x v="126"/>
    <x v="125"/>
    <n v="3"/>
    <x v="2155"/>
  </r>
  <r>
    <d v="2017-11-03T00:00:00"/>
    <x v="663"/>
    <x v="2"/>
    <x v="0"/>
    <x v="2"/>
    <x v="1406"/>
    <x v="2214"/>
    <n v="1"/>
    <x v="2156"/>
  </r>
  <r>
    <d v="2017-11-03T00:00:00"/>
    <x v="153"/>
    <x v="20"/>
    <x v="2"/>
    <x v="9"/>
    <x v="1407"/>
    <x v="286"/>
    <n v="4"/>
    <x v="2157"/>
  </r>
  <r>
    <d v="2017-11-03T00:00:00"/>
    <x v="153"/>
    <x v="20"/>
    <x v="1"/>
    <x v="8"/>
    <x v="1408"/>
    <x v="101"/>
    <n v="1"/>
    <x v="2158"/>
  </r>
  <r>
    <d v="2017-12-03T00:00:00"/>
    <x v="55"/>
    <x v="20"/>
    <x v="2"/>
    <x v="6"/>
    <x v="60"/>
    <x v="1438"/>
    <n v="7"/>
    <x v="2159"/>
  </r>
  <r>
    <d v="2017-12-03T00:00:00"/>
    <x v="490"/>
    <x v="3"/>
    <x v="0"/>
    <x v="2"/>
    <x v="425"/>
    <x v="78"/>
    <n v="3"/>
    <x v="1471"/>
  </r>
  <r>
    <d v="2017-12-03T00:00:00"/>
    <x v="22"/>
    <x v="29"/>
    <x v="0"/>
    <x v="3"/>
    <x v="107"/>
    <x v="2215"/>
    <n v="9"/>
    <x v="2160"/>
  </r>
  <r>
    <d v="2017-01-04T00:00:00"/>
    <x v="481"/>
    <x v="14"/>
    <x v="0"/>
    <x v="2"/>
    <x v="958"/>
    <x v="2216"/>
    <n v="6"/>
    <x v="2161"/>
  </r>
  <r>
    <d v="2017-01-04T00:00:00"/>
    <x v="481"/>
    <x v="14"/>
    <x v="0"/>
    <x v="11"/>
    <x v="55"/>
    <x v="771"/>
    <n v="5"/>
    <x v="1848"/>
  </r>
  <r>
    <d v="2017-01-04T00:00:00"/>
    <x v="210"/>
    <x v="3"/>
    <x v="0"/>
    <x v="1"/>
    <x v="1409"/>
    <x v="179"/>
    <n v="2"/>
    <x v="182"/>
  </r>
  <r>
    <d v="2017-01-04T00:00:00"/>
    <x v="210"/>
    <x v="3"/>
    <x v="0"/>
    <x v="3"/>
    <x v="167"/>
    <x v="2217"/>
    <n v="13"/>
    <x v="2162"/>
  </r>
  <r>
    <d v="2017-01-04T00:00:00"/>
    <x v="664"/>
    <x v="3"/>
    <x v="1"/>
    <x v="12"/>
    <x v="1237"/>
    <x v="2218"/>
    <n v="8"/>
    <x v="2163"/>
  </r>
  <r>
    <d v="2017-01-04T00:00:00"/>
    <x v="664"/>
    <x v="3"/>
    <x v="2"/>
    <x v="16"/>
    <x v="1410"/>
    <x v="2219"/>
    <n v="2"/>
    <x v="2164"/>
  </r>
  <r>
    <d v="2017-01-04T00:00:00"/>
    <x v="665"/>
    <x v="12"/>
    <x v="0"/>
    <x v="0"/>
    <x v="681"/>
    <x v="2220"/>
    <n v="9"/>
    <x v="2165"/>
  </r>
  <r>
    <d v="2017-01-04T00:00:00"/>
    <x v="582"/>
    <x v="9"/>
    <x v="2"/>
    <x v="6"/>
    <x v="1072"/>
    <x v="699"/>
    <n v="3"/>
    <x v="1876"/>
  </r>
  <r>
    <d v="2017-01-04T00:00:00"/>
    <x v="582"/>
    <x v="9"/>
    <x v="0"/>
    <x v="1"/>
    <x v="352"/>
    <x v="1828"/>
    <n v="3"/>
    <x v="1204"/>
  </r>
  <r>
    <d v="2017-01-04T00:00:00"/>
    <x v="582"/>
    <x v="9"/>
    <x v="0"/>
    <x v="13"/>
    <x v="202"/>
    <x v="2221"/>
    <n v="3"/>
    <x v="2166"/>
  </r>
  <r>
    <d v="2017-01-04T00:00:00"/>
    <x v="582"/>
    <x v="9"/>
    <x v="1"/>
    <x v="5"/>
    <x v="789"/>
    <x v="2222"/>
    <n v="3"/>
    <x v="2167"/>
  </r>
  <r>
    <d v="2017-01-04T00:00:00"/>
    <x v="443"/>
    <x v="17"/>
    <x v="1"/>
    <x v="8"/>
    <x v="445"/>
    <x v="466"/>
    <n v="3"/>
    <x v="468"/>
  </r>
  <r>
    <d v="2017-02-04T00:00:00"/>
    <x v="632"/>
    <x v="3"/>
    <x v="1"/>
    <x v="8"/>
    <x v="482"/>
    <x v="2223"/>
    <n v="3"/>
    <x v="1622"/>
  </r>
  <r>
    <d v="2017-02-04T00:00:00"/>
    <x v="637"/>
    <x v="4"/>
    <x v="1"/>
    <x v="10"/>
    <x v="254"/>
    <x v="2224"/>
    <n v="2"/>
    <x v="2168"/>
  </r>
  <r>
    <d v="2017-02-04T00:00:00"/>
    <x v="637"/>
    <x v="4"/>
    <x v="2"/>
    <x v="9"/>
    <x v="525"/>
    <x v="576"/>
    <n v="4"/>
    <x v="573"/>
  </r>
  <r>
    <d v="2017-02-04T00:00:00"/>
    <x v="436"/>
    <x v="27"/>
    <x v="0"/>
    <x v="4"/>
    <x v="1364"/>
    <x v="988"/>
    <n v="4"/>
    <x v="844"/>
  </r>
  <r>
    <d v="2017-02-04T00:00:00"/>
    <x v="320"/>
    <x v="22"/>
    <x v="0"/>
    <x v="1"/>
    <x v="507"/>
    <x v="41"/>
    <n v="3"/>
    <x v="41"/>
  </r>
  <r>
    <d v="2017-03-04T00:00:00"/>
    <x v="580"/>
    <x v="2"/>
    <x v="1"/>
    <x v="8"/>
    <x v="750"/>
    <x v="2225"/>
    <n v="4"/>
    <x v="276"/>
  </r>
  <r>
    <d v="2017-03-04T00:00:00"/>
    <x v="666"/>
    <x v="1"/>
    <x v="0"/>
    <x v="4"/>
    <x v="422"/>
    <x v="750"/>
    <n v="3"/>
    <x v="754"/>
  </r>
  <r>
    <d v="2017-04-04T00:00:00"/>
    <x v="667"/>
    <x v="1"/>
    <x v="2"/>
    <x v="6"/>
    <x v="1201"/>
    <x v="2226"/>
    <n v="4"/>
    <x v="2169"/>
  </r>
  <r>
    <d v="2017-04-04T00:00:00"/>
    <x v="145"/>
    <x v="12"/>
    <x v="2"/>
    <x v="6"/>
    <x v="1411"/>
    <x v="2227"/>
    <n v="1"/>
    <x v="2170"/>
  </r>
  <r>
    <d v="2017-04-04T00:00:00"/>
    <x v="145"/>
    <x v="12"/>
    <x v="0"/>
    <x v="14"/>
    <x v="1105"/>
    <x v="2228"/>
    <n v="1"/>
    <x v="1322"/>
  </r>
  <r>
    <d v="2017-04-04T00:00:00"/>
    <x v="145"/>
    <x v="12"/>
    <x v="2"/>
    <x v="6"/>
    <x v="668"/>
    <x v="2229"/>
    <n v="2"/>
    <x v="2171"/>
  </r>
  <r>
    <d v="2017-04-04T00:00:00"/>
    <x v="620"/>
    <x v="12"/>
    <x v="0"/>
    <x v="11"/>
    <x v="690"/>
    <x v="2230"/>
    <n v="1"/>
    <x v="1054"/>
  </r>
  <r>
    <d v="2017-04-04T00:00:00"/>
    <x v="221"/>
    <x v="12"/>
    <x v="0"/>
    <x v="4"/>
    <x v="1037"/>
    <x v="1499"/>
    <n v="4"/>
    <x v="1204"/>
  </r>
  <r>
    <d v="2017-06-04T00:00:00"/>
    <x v="589"/>
    <x v="42"/>
    <x v="0"/>
    <x v="0"/>
    <x v="177"/>
    <x v="761"/>
    <n v="3"/>
    <x v="745"/>
  </r>
  <r>
    <d v="2017-06-04T00:00:00"/>
    <x v="181"/>
    <x v="31"/>
    <x v="0"/>
    <x v="3"/>
    <x v="820"/>
    <x v="2231"/>
    <n v="5"/>
    <x v="2172"/>
  </r>
  <r>
    <d v="2017-07-04T00:00:00"/>
    <x v="449"/>
    <x v="9"/>
    <x v="1"/>
    <x v="10"/>
    <x v="994"/>
    <x v="2232"/>
    <n v="2"/>
    <x v="2173"/>
  </r>
  <r>
    <d v="2017-07-04T00:00:00"/>
    <x v="449"/>
    <x v="9"/>
    <x v="1"/>
    <x v="10"/>
    <x v="643"/>
    <x v="2233"/>
    <n v="3"/>
    <x v="2174"/>
  </r>
  <r>
    <d v="2017-07-04T00:00:00"/>
    <x v="449"/>
    <x v="9"/>
    <x v="0"/>
    <x v="3"/>
    <x v="1412"/>
    <x v="2234"/>
    <n v="2"/>
    <x v="2175"/>
  </r>
  <r>
    <d v="2017-07-04T00:00:00"/>
    <x v="449"/>
    <x v="9"/>
    <x v="1"/>
    <x v="8"/>
    <x v="1413"/>
    <x v="2235"/>
    <n v="3"/>
    <x v="52"/>
  </r>
  <r>
    <d v="2017-07-04T00:00:00"/>
    <x v="449"/>
    <x v="9"/>
    <x v="2"/>
    <x v="9"/>
    <x v="1267"/>
    <x v="2236"/>
    <n v="3"/>
    <x v="2176"/>
  </r>
  <r>
    <d v="2017-07-04T00:00:00"/>
    <x v="25"/>
    <x v="9"/>
    <x v="0"/>
    <x v="4"/>
    <x v="575"/>
    <x v="2237"/>
    <n v="2"/>
    <x v="2177"/>
  </r>
  <r>
    <d v="2017-07-04T00:00:00"/>
    <x v="25"/>
    <x v="9"/>
    <x v="2"/>
    <x v="6"/>
    <x v="157"/>
    <x v="1330"/>
    <n v="2"/>
    <x v="198"/>
  </r>
  <r>
    <d v="2017-08-04T00:00:00"/>
    <x v="262"/>
    <x v="4"/>
    <x v="1"/>
    <x v="8"/>
    <x v="1263"/>
    <x v="2238"/>
    <n v="6"/>
    <x v="929"/>
  </r>
  <r>
    <d v="2017-08-04T00:00:00"/>
    <x v="262"/>
    <x v="4"/>
    <x v="0"/>
    <x v="3"/>
    <x v="382"/>
    <x v="2239"/>
    <n v="3"/>
    <x v="2178"/>
  </r>
  <r>
    <d v="2017-08-04T00:00:00"/>
    <x v="539"/>
    <x v="11"/>
    <x v="0"/>
    <x v="2"/>
    <x v="786"/>
    <x v="2240"/>
    <n v="4"/>
    <x v="2179"/>
  </r>
  <r>
    <d v="2017-08-04T00:00:00"/>
    <x v="539"/>
    <x v="11"/>
    <x v="0"/>
    <x v="13"/>
    <x v="421"/>
    <x v="2241"/>
    <n v="5"/>
    <x v="2180"/>
  </r>
  <r>
    <d v="2017-08-04T00:00:00"/>
    <x v="668"/>
    <x v="3"/>
    <x v="0"/>
    <x v="0"/>
    <x v="73"/>
    <x v="1269"/>
    <n v="5"/>
    <x v="2181"/>
  </r>
  <r>
    <d v="2017-08-04T00:00:00"/>
    <x v="668"/>
    <x v="3"/>
    <x v="0"/>
    <x v="0"/>
    <x v="606"/>
    <x v="2242"/>
    <n v="4"/>
    <x v="2182"/>
  </r>
  <r>
    <d v="2017-08-04T00:00:00"/>
    <x v="30"/>
    <x v="18"/>
    <x v="1"/>
    <x v="8"/>
    <x v="393"/>
    <x v="1929"/>
    <n v="2"/>
    <x v="1888"/>
  </r>
  <r>
    <d v="2017-08-04T00:00:00"/>
    <x v="30"/>
    <x v="18"/>
    <x v="1"/>
    <x v="8"/>
    <x v="1414"/>
    <x v="2243"/>
    <n v="3"/>
    <x v="2183"/>
  </r>
  <r>
    <d v="2017-09-04T00:00:00"/>
    <x v="669"/>
    <x v="12"/>
    <x v="0"/>
    <x v="1"/>
    <x v="1415"/>
    <x v="672"/>
    <n v="2"/>
    <x v="1667"/>
  </r>
  <r>
    <d v="2017-09-04T00:00:00"/>
    <x v="669"/>
    <x v="12"/>
    <x v="0"/>
    <x v="4"/>
    <x v="366"/>
    <x v="2244"/>
    <n v="3"/>
    <x v="1309"/>
  </r>
  <r>
    <d v="2017-09-04T00:00:00"/>
    <x v="669"/>
    <x v="12"/>
    <x v="0"/>
    <x v="0"/>
    <x v="1053"/>
    <x v="113"/>
    <n v="2"/>
    <x v="411"/>
  </r>
  <r>
    <d v="2017-09-04T00:00:00"/>
    <x v="669"/>
    <x v="12"/>
    <x v="0"/>
    <x v="0"/>
    <x v="1416"/>
    <x v="2245"/>
    <n v="4"/>
    <x v="2184"/>
  </r>
  <r>
    <d v="2017-09-04T00:00:00"/>
    <x v="669"/>
    <x v="12"/>
    <x v="0"/>
    <x v="1"/>
    <x v="851"/>
    <x v="183"/>
    <n v="3"/>
    <x v="715"/>
  </r>
  <r>
    <d v="2017-09-04T00:00:00"/>
    <x v="669"/>
    <x v="12"/>
    <x v="0"/>
    <x v="2"/>
    <x v="1417"/>
    <x v="2246"/>
    <n v="3"/>
    <x v="52"/>
  </r>
  <r>
    <d v="2017-09-04T00:00:00"/>
    <x v="666"/>
    <x v="9"/>
    <x v="0"/>
    <x v="1"/>
    <x v="1418"/>
    <x v="64"/>
    <n v="3"/>
    <x v="65"/>
  </r>
  <r>
    <d v="2017-09-04T00:00:00"/>
    <x v="666"/>
    <x v="9"/>
    <x v="0"/>
    <x v="3"/>
    <x v="204"/>
    <x v="2247"/>
    <n v="1"/>
    <x v="2185"/>
  </r>
  <r>
    <d v="2017-09-04T00:00:00"/>
    <x v="666"/>
    <x v="9"/>
    <x v="0"/>
    <x v="0"/>
    <x v="1351"/>
    <x v="2248"/>
    <n v="3"/>
    <x v="2186"/>
  </r>
  <r>
    <d v="2017-09-04T00:00:00"/>
    <x v="180"/>
    <x v="18"/>
    <x v="0"/>
    <x v="3"/>
    <x v="469"/>
    <x v="2249"/>
    <n v="8"/>
    <x v="2187"/>
  </r>
  <r>
    <d v="2017-09-04T00:00:00"/>
    <x v="368"/>
    <x v="2"/>
    <x v="0"/>
    <x v="3"/>
    <x v="824"/>
    <x v="2250"/>
    <n v="4"/>
    <x v="2188"/>
  </r>
  <r>
    <d v="2017-09-04T00:00:00"/>
    <x v="368"/>
    <x v="2"/>
    <x v="0"/>
    <x v="0"/>
    <x v="572"/>
    <x v="2163"/>
    <n v="2"/>
    <x v="135"/>
  </r>
  <r>
    <d v="2017-10-04T00:00:00"/>
    <x v="535"/>
    <x v="11"/>
    <x v="0"/>
    <x v="0"/>
    <x v="765"/>
    <x v="1813"/>
    <n v="1"/>
    <x v="1786"/>
  </r>
  <r>
    <d v="2017-10-04T00:00:00"/>
    <x v="535"/>
    <x v="11"/>
    <x v="0"/>
    <x v="7"/>
    <x v="978"/>
    <x v="483"/>
    <n v="2"/>
    <x v="1786"/>
  </r>
  <r>
    <d v="2017-10-04T00:00:00"/>
    <x v="229"/>
    <x v="0"/>
    <x v="0"/>
    <x v="0"/>
    <x v="929"/>
    <x v="148"/>
    <n v="2"/>
    <x v="150"/>
  </r>
  <r>
    <d v="2017-10-04T00:00:00"/>
    <x v="229"/>
    <x v="0"/>
    <x v="2"/>
    <x v="9"/>
    <x v="1051"/>
    <x v="2251"/>
    <n v="3"/>
    <x v="2189"/>
  </r>
  <r>
    <d v="2017-10-04T00:00:00"/>
    <x v="670"/>
    <x v="9"/>
    <x v="1"/>
    <x v="8"/>
    <x v="799"/>
    <x v="2252"/>
    <n v="5"/>
    <x v="171"/>
  </r>
  <r>
    <d v="2017-10-04T00:00:00"/>
    <x v="670"/>
    <x v="9"/>
    <x v="0"/>
    <x v="3"/>
    <x v="514"/>
    <x v="2253"/>
    <n v="3"/>
    <x v="1174"/>
  </r>
  <r>
    <d v="2017-10-04T00:00:00"/>
    <x v="671"/>
    <x v="27"/>
    <x v="2"/>
    <x v="9"/>
    <x v="338"/>
    <x v="2254"/>
    <n v="1"/>
    <x v="2190"/>
  </r>
  <r>
    <d v="2017-10-04T00:00:00"/>
    <x v="671"/>
    <x v="27"/>
    <x v="0"/>
    <x v="2"/>
    <x v="53"/>
    <x v="2255"/>
    <n v="5"/>
    <x v="2191"/>
  </r>
  <r>
    <d v="2017-10-04T00:00:00"/>
    <x v="158"/>
    <x v="2"/>
    <x v="0"/>
    <x v="13"/>
    <x v="1419"/>
    <x v="2256"/>
    <n v="4"/>
    <x v="2192"/>
  </r>
  <r>
    <d v="2017-10-04T00:00:00"/>
    <x v="158"/>
    <x v="2"/>
    <x v="1"/>
    <x v="8"/>
    <x v="599"/>
    <x v="2257"/>
    <n v="3"/>
    <x v="2193"/>
  </r>
  <r>
    <d v="2017-11-04T00:00:00"/>
    <x v="222"/>
    <x v="3"/>
    <x v="2"/>
    <x v="9"/>
    <x v="344"/>
    <x v="1579"/>
    <n v="5"/>
    <x v="888"/>
  </r>
  <r>
    <d v="2017-11-04T00:00:00"/>
    <x v="222"/>
    <x v="3"/>
    <x v="0"/>
    <x v="4"/>
    <x v="1420"/>
    <x v="1339"/>
    <n v="7"/>
    <x v="870"/>
  </r>
  <r>
    <d v="2017-11-04T00:00:00"/>
    <x v="672"/>
    <x v="0"/>
    <x v="0"/>
    <x v="3"/>
    <x v="1421"/>
    <x v="56"/>
    <n v="3"/>
    <x v="2194"/>
  </r>
  <r>
    <d v="2017-11-04T00:00:00"/>
    <x v="186"/>
    <x v="16"/>
    <x v="0"/>
    <x v="2"/>
    <x v="862"/>
    <x v="1680"/>
    <n v="2"/>
    <x v="1653"/>
  </r>
  <r>
    <d v="2017-11-04T00:00:00"/>
    <x v="186"/>
    <x v="16"/>
    <x v="2"/>
    <x v="9"/>
    <x v="129"/>
    <x v="2258"/>
    <n v="2"/>
    <x v="981"/>
  </r>
  <r>
    <d v="2017-11-04T00:00:00"/>
    <x v="450"/>
    <x v="15"/>
    <x v="0"/>
    <x v="4"/>
    <x v="1422"/>
    <x v="2259"/>
    <n v="1"/>
    <x v="261"/>
  </r>
  <r>
    <d v="2017-11-04T00:00:00"/>
    <x v="450"/>
    <x v="15"/>
    <x v="0"/>
    <x v="4"/>
    <x v="115"/>
    <x v="2260"/>
    <n v="8"/>
    <x v="2195"/>
  </r>
  <r>
    <d v="2017-12-04T00:00:00"/>
    <x v="420"/>
    <x v="40"/>
    <x v="0"/>
    <x v="3"/>
    <x v="176"/>
    <x v="2261"/>
    <n v="5"/>
    <x v="2196"/>
  </r>
  <r>
    <d v="2017-12-04T00:00:00"/>
    <x v="420"/>
    <x v="40"/>
    <x v="0"/>
    <x v="0"/>
    <x v="1423"/>
    <x v="195"/>
    <n v="4"/>
    <x v="2197"/>
  </r>
  <r>
    <d v="2017-01-05T00:00:00"/>
    <x v="535"/>
    <x v="29"/>
    <x v="2"/>
    <x v="9"/>
    <x v="478"/>
    <x v="563"/>
    <n v="5"/>
    <x v="122"/>
  </r>
  <r>
    <d v="2017-01-05T00:00:00"/>
    <x v="537"/>
    <x v="9"/>
    <x v="0"/>
    <x v="14"/>
    <x v="1424"/>
    <x v="2262"/>
    <n v="2"/>
    <x v="2198"/>
  </r>
  <r>
    <d v="2017-01-05T00:00:00"/>
    <x v="537"/>
    <x v="9"/>
    <x v="1"/>
    <x v="10"/>
    <x v="664"/>
    <x v="2263"/>
    <n v="4"/>
    <x v="2199"/>
  </r>
  <r>
    <d v="2017-01-05T00:00:00"/>
    <x v="537"/>
    <x v="9"/>
    <x v="1"/>
    <x v="5"/>
    <x v="455"/>
    <x v="2264"/>
    <n v="5"/>
    <x v="52"/>
  </r>
  <r>
    <d v="2017-01-05T00:00:00"/>
    <x v="430"/>
    <x v="9"/>
    <x v="1"/>
    <x v="12"/>
    <x v="1120"/>
    <x v="2265"/>
    <n v="3"/>
    <x v="2200"/>
  </r>
  <r>
    <d v="2017-01-05T00:00:00"/>
    <x v="430"/>
    <x v="9"/>
    <x v="0"/>
    <x v="1"/>
    <x v="629"/>
    <x v="831"/>
    <n v="2"/>
    <x v="1138"/>
  </r>
  <r>
    <d v="2017-02-05T00:00:00"/>
    <x v="593"/>
    <x v="11"/>
    <x v="1"/>
    <x v="8"/>
    <x v="644"/>
    <x v="2266"/>
    <n v="3"/>
    <x v="2201"/>
  </r>
  <r>
    <d v="2017-02-05T00:00:00"/>
    <x v="294"/>
    <x v="3"/>
    <x v="2"/>
    <x v="9"/>
    <x v="1051"/>
    <x v="1735"/>
    <n v="4"/>
    <x v="1553"/>
  </r>
  <r>
    <d v="2017-02-05T00:00:00"/>
    <x v="673"/>
    <x v="3"/>
    <x v="0"/>
    <x v="0"/>
    <x v="172"/>
    <x v="539"/>
    <n v="5"/>
    <x v="1255"/>
  </r>
  <r>
    <d v="2017-02-05T00:00:00"/>
    <x v="673"/>
    <x v="3"/>
    <x v="0"/>
    <x v="4"/>
    <x v="659"/>
    <x v="71"/>
    <n v="3"/>
    <x v="72"/>
  </r>
  <r>
    <d v="2017-02-05T00:00:00"/>
    <x v="673"/>
    <x v="3"/>
    <x v="0"/>
    <x v="0"/>
    <x v="1033"/>
    <x v="1517"/>
    <n v="5"/>
    <x v="1496"/>
  </r>
  <r>
    <d v="2017-03-05T00:00:00"/>
    <x v="284"/>
    <x v="3"/>
    <x v="0"/>
    <x v="2"/>
    <x v="501"/>
    <x v="540"/>
    <n v="2"/>
    <x v="538"/>
  </r>
  <r>
    <d v="2017-03-05T00:00:00"/>
    <x v="284"/>
    <x v="3"/>
    <x v="0"/>
    <x v="2"/>
    <x v="1425"/>
    <x v="2267"/>
    <n v="8"/>
    <x v="2202"/>
  </r>
  <r>
    <d v="2017-03-05T00:00:00"/>
    <x v="631"/>
    <x v="3"/>
    <x v="0"/>
    <x v="0"/>
    <x v="1058"/>
    <x v="212"/>
    <n v="4"/>
    <x v="215"/>
  </r>
  <r>
    <d v="2017-03-05T00:00:00"/>
    <x v="631"/>
    <x v="3"/>
    <x v="0"/>
    <x v="4"/>
    <x v="173"/>
    <x v="115"/>
    <n v="7"/>
    <x v="117"/>
  </r>
  <r>
    <d v="2017-03-05T00:00:00"/>
    <x v="516"/>
    <x v="2"/>
    <x v="1"/>
    <x v="8"/>
    <x v="1426"/>
    <x v="2268"/>
    <n v="2"/>
    <x v="932"/>
  </r>
  <r>
    <d v="2017-03-05T00:00:00"/>
    <x v="516"/>
    <x v="2"/>
    <x v="0"/>
    <x v="3"/>
    <x v="178"/>
    <x v="2269"/>
    <n v="4"/>
    <x v="2203"/>
  </r>
  <r>
    <d v="2017-03-05T00:00:00"/>
    <x v="516"/>
    <x v="2"/>
    <x v="1"/>
    <x v="10"/>
    <x v="145"/>
    <x v="2270"/>
    <n v="5"/>
    <x v="2204"/>
  </r>
  <r>
    <d v="2017-03-05T00:00:00"/>
    <x v="516"/>
    <x v="2"/>
    <x v="0"/>
    <x v="3"/>
    <x v="778"/>
    <x v="947"/>
    <n v="5"/>
    <x v="2205"/>
  </r>
  <r>
    <d v="2017-03-05T00:00:00"/>
    <x v="516"/>
    <x v="2"/>
    <x v="0"/>
    <x v="7"/>
    <x v="419"/>
    <x v="1585"/>
    <n v="2"/>
    <x v="305"/>
  </r>
  <r>
    <d v="2017-04-05T00:00:00"/>
    <x v="559"/>
    <x v="3"/>
    <x v="2"/>
    <x v="6"/>
    <x v="1427"/>
    <x v="2271"/>
    <n v="5"/>
    <x v="2206"/>
  </r>
  <r>
    <d v="2017-04-05T00:00:00"/>
    <x v="559"/>
    <x v="3"/>
    <x v="0"/>
    <x v="0"/>
    <x v="792"/>
    <x v="2272"/>
    <n v="3"/>
    <x v="1780"/>
  </r>
  <r>
    <d v="2017-04-05T00:00:00"/>
    <x v="559"/>
    <x v="3"/>
    <x v="1"/>
    <x v="10"/>
    <x v="643"/>
    <x v="2273"/>
    <n v="1"/>
    <x v="2207"/>
  </r>
  <r>
    <d v="2017-04-05T00:00:00"/>
    <x v="631"/>
    <x v="6"/>
    <x v="0"/>
    <x v="0"/>
    <x v="1044"/>
    <x v="2274"/>
    <n v="1"/>
    <x v="758"/>
  </r>
  <r>
    <d v="2017-04-05T00:00:00"/>
    <x v="631"/>
    <x v="6"/>
    <x v="0"/>
    <x v="2"/>
    <x v="988"/>
    <x v="2275"/>
    <n v="4"/>
    <x v="2208"/>
  </r>
  <r>
    <d v="2017-04-05T00:00:00"/>
    <x v="631"/>
    <x v="6"/>
    <x v="0"/>
    <x v="0"/>
    <x v="1322"/>
    <x v="159"/>
    <n v="5"/>
    <x v="161"/>
  </r>
  <r>
    <d v="2017-04-05T00:00:00"/>
    <x v="631"/>
    <x v="6"/>
    <x v="0"/>
    <x v="2"/>
    <x v="1428"/>
    <x v="2276"/>
    <n v="1"/>
    <x v="2209"/>
  </r>
  <r>
    <d v="2017-04-05T00:00:00"/>
    <x v="257"/>
    <x v="16"/>
    <x v="0"/>
    <x v="3"/>
    <x v="245"/>
    <x v="2277"/>
    <n v="1"/>
    <x v="2210"/>
  </r>
  <r>
    <d v="2017-04-05T00:00:00"/>
    <x v="546"/>
    <x v="2"/>
    <x v="0"/>
    <x v="3"/>
    <x v="1372"/>
    <x v="1046"/>
    <n v="2"/>
    <x v="2211"/>
  </r>
  <r>
    <d v="2017-04-05T00:00:00"/>
    <x v="546"/>
    <x v="2"/>
    <x v="0"/>
    <x v="3"/>
    <x v="1378"/>
    <x v="2278"/>
    <n v="3"/>
    <x v="2212"/>
  </r>
  <r>
    <d v="2017-04-05T00:00:00"/>
    <x v="215"/>
    <x v="3"/>
    <x v="0"/>
    <x v="13"/>
    <x v="817"/>
    <x v="2279"/>
    <n v="2"/>
    <x v="2213"/>
  </r>
  <r>
    <d v="2017-05-05T00:00:00"/>
    <x v="411"/>
    <x v="3"/>
    <x v="0"/>
    <x v="11"/>
    <x v="1429"/>
    <x v="2280"/>
    <n v="2"/>
    <x v="2214"/>
  </r>
  <r>
    <d v="2017-05-05T00:00:00"/>
    <x v="202"/>
    <x v="19"/>
    <x v="0"/>
    <x v="11"/>
    <x v="960"/>
    <x v="392"/>
    <n v="9"/>
    <x v="954"/>
  </r>
  <r>
    <d v="2017-05-05T00:00:00"/>
    <x v="202"/>
    <x v="19"/>
    <x v="0"/>
    <x v="3"/>
    <x v="866"/>
    <x v="2281"/>
    <n v="8"/>
    <x v="2215"/>
  </r>
  <r>
    <d v="2017-05-05T00:00:00"/>
    <x v="202"/>
    <x v="19"/>
    <x v="1"/>
    <x v="12"/>
    <x v="192"/>
    <x v="2282"/>
    <n v="3"/>
    <x v="2216"/>
  </r>
  <r>
    <d v="2017-05-05T00:00:00"/>
    <x v="325"/>
    <x v="4"/>
    <x v="0"/>
    <x v="3"/>
    <x v="620"/>
    <x v="2283"/>
    <n v="3"/>
    <x v="2217"/>
  </r>
  <r>
    <d v="2017-05-05T00:00:00"/>
    <x v="96"/>
    <x v="12"/>
    <x v="0"/>
    <x v="0"/>
    <x v="1111"/>
    <x v="2284"/>
    <n v="1"/>
    <x v="1484"/>
  </r>
  <r>
    <d v="2017-06-05T00:00:00"/>
    <x v="589"/>
    <x v="1"/>
    <x v="0"/>
    <x v="4"/>
    <x v="1234"/>
    <x v="836"/>
    <n v="3"/>
    <x v="2218"/>
  </r>
  <r>
    <d v="2017-06-05T00:00:00"/>
    <x v="589"/>
    <x v="1"/>
    <x v="2"/>
    <x v="9"/>
    <x v="127"/>
    <x v="690"/>
    <n v="7"/>
    <x v="674"/>
  </r>
  <r>
    <d v="2017-06-05T00:00:00"/>
    <x v="571"/>
    <x v="12"/>
    <x v="0"/>
    <x v="1"/>
    <x v="649"/>
    <x v="2285"/>
    <n v="4"/>
    <x v="2219"/>
  </r>
  <r>
    <d v="2017-06-05T00:00:00"/>
    <x v="166"/>
    <x v="6"/>
    <x v="0"/>
    <x v="4"/>
    <x v="400"/>
    <x v="2286"/>
    <n v="6"/>
    <x v="2220"/>
  </r>
  <r>
    <d v="2017-06-05T00:00:00"/>
    <x v="244"/>
    <x v="0"/>
    <x v="0"/>
    <x v="3"/>
    <x v="26"/>
    <x v="2287"/>
    <n v="10"/>
    <x v="2221"/>
  </r>
  <r>
    <d v="2017-06-05T00:00:00"/>
    <x v="244"/>
    <x v="0"/>
    <x v="1"/>
    <x v="12"/>
    <x v="550"/>
    <x v="2288"/>
    <n v="7"/>
    <x v="2222"/>
  </r>
  <r>
    <d v="2017-06-05T00:00:00"/>
    <x v="244"/>
    <x v="0"/>
    <x v="0"/>
    <x v="2"/>
    <x v="475"/>
    <x v="1136"/>
    <n v="5"/>
    <x v="2223"/>
  </r>
  <r>
    <d v="2017-06-05T00:00:00"/>
    <x v="2"/>
    <x v="15"/>
    <x v="0"/>
    <x v="3"/>
    <x v="230"/>
    <x v="2289"/>
    <n v="11"/>
    <x v="2224"/>
  </r>
  <r>
    <d v="2017-06-05T00:00:00"/>
    <x v="2"/>
    <x v="15"/>
    <x v="2"/>
    <x v="6"/>
    <x v="10"/>
    <x v="2290"/>
    <n v="4"/>
    <x v="2225"/>
  </r>
  <r>
    <d v="2017-06-05T00:00:00"/>
    <x v="2"/>
    <x v="15"/>
    <x v="0"/>
    <x v="1"/>
    <x v="1399"/>
    <x v="2083"/>
    <n v="5"/>
    <x v="2226"/>
  </r>
  <r>
    <d v="2017-06-05T00:00:00"/>
    <x v="330"/>
    <x v="3"/>
    <x v="0"/>
    <x v="13"/>
    <x v="324"/>
    <x v="1344"/>
    <n v="3"/>
    <x v="1319"/>
  </r>
  <r>
    <d v="2017-06-05T00:00:00"/>
    <x v="423"/>
    <x v="23"/>
    <x v="0"/>
    <x v="0"/>
    <x v="1034"/>
    <x v="2291"/>
    <n v="4"/>
    <x v="2227"/>
  </r>
  <r>
    <d v="2017-06-05T00:00:00"/>
    <x v="455"/>
    <x v="1"/>
    <x v="2"/>
    <x v="9"/>
    <x v="1112"/>
    <x v="916"/>
    <n v="4"/>
    <x v="1022"/>
  </r>
  <r>
    <d v="2017-07-05T00:00:00"/>
    <x v="328"/>
    <x v="18"/>
    <x v="1"/>
    <x v="5"/>
    <x v="788"/>
    <x v="2292"/>
    <n v="5"/>
    <x v="2228"/>
  </r>
  <r>
    <d v="2017-07-05T00:00:00"/>
    <x v="328"/>
    <x v="18"/>
    <x v="1"/>
    <x v="5"/>
    <x v="1430"/>
    <x v="2293"/>
    <n v="1"/>
    <x v="2053"/>
  </r>
  <r>
    <d v="2017-07-05T00:00:00"/>
    <x v="328"/>
    <x v="18"/>
    <x v="1"/>
    <x v="5"/>
    <x v="961"/>
    <x v="2294"/>
    <n v="2"/>
    <x v="2229"/>
  </r>
  <r>
    <d v="2017-07-05T00:00:00"/>
    <x v="328"/>
    <x v="18"/>
    <x v="0"/>
    <x v="13"/>
    <x v="1431"/>
    <x v="2295"/>
    <n v="2"/>
    <x v="2230"/>
  </r>
  <r>
    <d v="2017-07-05T00:00:00"/>
    <x v="595"/>
    <x v="3"/>
    <x v="2"/>
    <x v="9"/>
    <x v="103"/>
    <x v="1045"/>
    <n v="1"/>
    <x v="1022"/>
  </r>
  <r>
    <d v="2017-07-05T00:00:00"/>
    <x v="121"/>
    <x v="3"/>
    <x v="2"/>
    <x v="6"/>
    <x v="1432"/>
    <x v="2296"/>
    <n v="7"/>
    <x v="2231"/>
  </r>
  <r>
    <d v="2017-08-05T00:00:00"/>
    <x v="270"/>
    <x v="16"/>
    <x v="1"/>
    <x v="5"/>
    <x v="757"/>
    <x v="1975"/>
    <n v="2"/>
    <x v="1933"/>
  </r>
  <r>
    <d v="2017-08-05T00:00:00"/>
    <x v="620"/>
    <x v="3"/>
    <x v="2"/>
    <x v="15"/>
    <x v="273"/>
    <x v="2297"/>
    <n v="6"/>
    <x v="2232"/>
  </r>
  <r>
    <d v="2017-08-05T00:00:00"/>
    <x v="651"/>
    <x v="2"/>
    <x v="1"/>
    <x v="5"/>
    <x v="944"/>
    <x v="2298"/>
    <n v="3"/>
    <x v="2233"/>
  </r>
  <r>
    <d v="2017-08-05T00:00:00"/>
    <x v="76"/>
    <x v="3"/>
    <x v="0"/>
    <x v="13"/>
    <x v="263"/>
    <x v="2299"/>
    <n v="4"/>
    <x v="2234"/>
  </r>
  <r>
    <d v="2017-08-05T00:00:00"/>
    <x v="142"/>
    <x v="0"/>
    <x v="0"/>
    <x v="0"/>
    <x v="706"/>
    <x v="1656"/>
    <n v="8"/>
    <x v="1629"/>
  </r>
  <r>
    <d v="2017-09-05T00:00:00"/>
    <x v="288"/>
    <x v="15"/>
    <x v="0"/>
    <x v="11"/>
    <x v="907"/>
    <x v="2300"/>
    <n v="3"/>
    <x v="2235"/>
  </r>
  <r>
    <d v="2017-09-05T00:00:00"/>
    <x v="288"/>
    <x v="15"/>
    <x v="1"/>
    <x v="5"/>
    <x v="50"/>
    <x v="1224"/>
    <n v="3"/>
    <x v="1198"/>
  </r>
  <r>
    <d v="2017-09-05T00:00:00"/>
    <x v="596"/>
    <x v="10"/>
    <x v="0"/>
    <x v="3"/>
    <x v="1103"/>
    <x v="2301"/>
    <n v="5"/>
    <x v="2236"/>
  </r>
  <r>
    <d v="2017-09-05T00:00:00"/>
    <x v="596"/>
    <x v="10"/>
    <x v="0"/>
    <x v="2"/>
    <x v="1433"/>
    <x v="2302"/>
    <n v="3"/>
    <x v="2237"/>
  </r>
  <r>
    <d v="2017-09-05T00:00:00"/>
    <x v="596"/>
    <x v="10"/>
    <x v="1"/>
    <x v="10"/>
    <x v="398"/>
    <x v="2303"/>
    <n v="1"/>
    <x v="2238"/>
  </r>
  <r>
    <d v="2017-09-05T00:00:00"/>
    <x v="596"/>
    <x v="10"/>
    <x v="0"/>
    <x v="2"/>
    <x v="94"/>
    <x v="96"/>
    <n v="4"/>
    <x v="96"/>
  </r>
  <r>
    <d v="2017-09-05T00:00:00"/>
    <x v="596"/>
    <x v="10"/>
    <x v="2"/>
    <x v="9"/>
    <x v="136"/>
    <x v="351"/>
    <n v="2"/>
    <x v="2239"/>
  </r>
  <r>
    <d v="2017-11-05T00:00:00"/>
    <x v="626"/>
    <x v="10"/>
    <x v="0"/>
    <x v="0"/>
    <x v="1434"/>
    <x v="1938"/>
    <n v="6"/>
    <x v="2240"/>
  </r>
  <r>
    <d v="2017-11-05T00:00:00"/>
    <x v="626"/>
    <x v="10"/>
    <x v="0"/>
    <x v="1"/>
    <x v="840"/>
    <x v="2304"/>
    <n v="3"/>
    <x v="2241"/>
  </r>
  <r>
    <d v="2017-11-05T00:00:00"/>
    <x v="626"/>
    <x v="10"/>
    <x v="0"/>
    <x v="3"/>
    <x v="532"/>
    <x v="2305"/>
    <n v="2"/>
    <x v="2242"/>
  </r>
  <r>
    <d v="2017-11-05T00:00:00"/>
    <x v="256"/>
    <x v="0"/>
    <x v="0"/>
    <x v="4"/>
    <x v="1435"/>
    <x v="907"/>
    <n v="2"/>
    <x v="887"/>
  </r>
  <r>
    <d v="2017-11-05T00:00:00"/>
    <x v="256"/>
    <x v="0"/>
    <x v="0"/>
    <x v="2"/>
    <x v="108"/>
    <x v="2306"/>
    <n v="2"/>
    <x v="2243"/>
  </r>
  <r>
    <d v="2017-11-05T00:00:00"/>
    <x v="256"/>
    <x v="0"/>
    <x v="0"/>
    <x v="0"/>
    <x v="1436"/>
    <x v="2307"/>
    <n v="2"/>
    <x v="2244"/>
  </r>
  <r>
    <d v="2017-11-05T00:00:00"/>
    <x v="256"/>
    <x v="0"/>
    <x v="1"/>
    <x v="8"/>
    <x v="386"/>
    <x v="1585"/>
    <n v="1"/>
    <x v="2245"/>
  </r>
  <r>
    <d v="2017-11-05T00:00:00"/>
    <x v="407"/>
    <x v="23"/>
    <x v="1"/>
    <x v="12"/>
    <x v="192"/>
    <x v="2308"/>
    <n v="7"/>
    <x v="2246"/>
  </r>
  <r>
    <d v="2017-11-05T00:00:00"/>
    <x v="533"/>
    <x v="12"/>
    <x v="0"/>
    <x v="4"/>
    <x v="1437"/>
    <x v="2309"/>
    <n v="3"/>
    <x v="2247"/>
  </r>
  <r>
    <d v="2017-12-05T00:00:00"/>
    <x v="150"/>
    <x v="0"/>
    <x v="0"/>
    <x v="2"/>
    <x v="269"/>
    <x v="2310"/>
    <n v="5"/>
    <x v="1878"/>
  </r>
  <r>
    <d v="2017-12-05T00:00:00"/>
    <x v="150"/>
    <x v="0"/>
    <x v="0"/>
    <x v="3"/>
    <x v="778"/>
    <x v="28"/>
    <n v="4"/>
    <x v="2248"/>
  </r>
  <r>
    <d v="2017-12-05T00:00:00"/>
    <x v="43"/>
    <x v="20"/>
    <x v="0"/>
    <x v="0"/>
    <x v="1438"/>
    <x v="2311"/>
    <n v="5"/>
    <x v="970"/>
  </r>
  <r>
    <d v="2017-12-05T00:00:00"/>
    <x v="400"/>
    <x v="16"/>
    <x v="0"/>
    <x v="4"/>
    <x v="1439"/>
    <x v="536"/>
    <n v="3"/>
    <x v="2249"/>
  </r>
  <r>
    <d v="2017-12-05T00:00:00"/>
    <x v="181"/>
    <x v="3"/>
    <x v="0"/>
    <x v="14"/>
    <x v="451"/>
    <x v="2312"/>
    <n v="2"/>
    <x v="2250"/>
  </r>
  <r>
    <d v="2017-12-05T00:00:00"/>
    <x v="181"/>
    <x v="3"/>
    <x v="0"/>
    <x v="13"/>
    <x v="1440"/>
    <x v="2313"/>
    <n v="1"/>
    <x v="1077"/>
  </r>
  <r>
    <d v="2017-12-05T00:00:00"/>
    <x v="181"/>
    <x v="3"/>
    <x v="1"/>
    <x v="10"/>
    <x v="823"/>
    <x v="2314"/>
    <n v="5"/>
    <x v="2251"/>
  </r>
  <r>
    <d v="2017-12-05T00:00:00"/>
    <x v="181"/>
    <x v="3"/>
    <x v="0"/>
    <x v="3"/>
    <x v="871"/>
    <x v="2315"/>
    <n v="4"/>
    <x v="2252"/>
  </r>
  <r>
    <d v="2017-12-05T00:00:00"/>
    <x v="394"/>
    <x v="16"/>
    <x v="0"/>
    <x v="1"/>
    <x v="369"/>
    <x v="2316"/>
    <n v="2"/>
    <x v="2253"/>
  </r>
  <r>
    <d v="2017-12-05T00:00:00"/>
    <x v="512"/>
    <x v="11"/>
    <x v="1"/>
    <x v="8"/>
    <x v="1441"/>
    <x v="2317"/>
    <n v="5"/>
    <x v="2254"/>
  </r>
  <r>
    <d v="2017-12-05T00:00:00"/>
    <x v="512"/>
    <x v="11"/>
    <x v="0"/>
    <x v="1"/>
    <x v="467"/>
    <x v="1054"/>
    <n v="2"/>
    <x v="709"/>
  </r>
  <r>
    <d v="2017-12-05T00:00:00"/>
    <x v="512"/>
    <x v="11"/>
    <x v="0"/>
    <x v="14"/>
    <x v="959"/>
    <x v="2318"/>
    <n v="2"/>
    <x v="2255"/>
  </r>
  <r>
    <d v="2017-12-05T00:00:00"/>
    <x v="512"/>
    <x v="11"/>
    <x v="2"/>
    <x v="9"/>
    <x v="1442"/>
    <x v="2319"/>
    <n v="5"/>
    <x v="2256"/>
  </r>
  <r>
    <d v="2017-01-06T00:00:00"/>
    <x v="464"/>
    <x v="16"/>
    <x v="0"/>
    <x v="13"/>
    <x v="1443"/>
    <x v="756"/>
    <n v="5"/>
    <x v="1872"/>
  </r>
  <r>
    <d v="2017-01-06T00:00:00"/>
    <x v="674"/>
    <x v="16"/>
    <x v="0"/>
    <x v="3"/>
    <x v="61"/>
    <x v="2320"/>
    <n v="2"/>
    <x v="2257"/>
  </r>
  <r>
    <d v="2017-01-06T00:00:00"/>
    <x v="674"/>
    <x v="16"/>
    <x v="0"/>
    <x v="0"/>
    <x v="1326"/>
    <x v="2321"/>
    <n v="6"/>
    <x v="2102"/>
  </r>
  <r>
    <d v="2017-01-06T00:00:00"/>
    <x v="674"/>
    <x v="16"/>
    <x v="2"/>
    <x v="6"/>
    <x v="1002"/>
    <x v="890"/>
    <n v="4"/>
    <x v="2258"/>
  </r>
  <r>
    <d v="2017-01-06T00:00:00"/>
    <x v="561"/>
    <x v="37"/>
    <x v="0"/>
    <x v="3"/>
    <x v="29"/>
    <x v="2322"/>
    <n v="5"/>
    <x v="2259"/>
  </r>
  <r>
    <d v="2017-01-06T00:00:00"/>
    <x v="421"/>
    <x v="2"/>
    <x v="0"/>
    <x v="2"/>
    <x v="1095"/>
    <x v="2323"/>
    <n v="3"/>
    <x v="2260"/>
  </r>
  <r>
    <d v="2017-01-06T00:00:00"/>
    <x v="675"/>
    <x v="26"/>
    <x v="1"/>
    <x v="5"/>
    <x v="598"/>
    <x v="2324"/>
    <n v="6"/>
    <x v="2261"/>
  </r>
  <r>
    <d v="2017-01-06T00:00:00"/>
    <x v="675"/>
    <x v="26"/>
    <x v="0"/>
    <x v="13"/>
    <x v="208"/>
    <x v="2325"/>
    <n v="8"/>
    <x v="2262"/>
  </r>
  <r>
    <d v="2017-01-06T00:00:00"/>
    <x v="675"/>
    <x v="26"/>
    <x v="2"/>
    <x v="9"/>
    <x v="1404"/>
    <x v="2326"/>
    <n v="3"/>
    <x v="1524"/>
  </r>
  <r>
    <d v="2017-01-06T00:00:00"/>
    <x v="675"/>
    <x v="26"/>
    <x v="2"/>
    <x v="9"/>
    <x v="1051"/>
    <x v="2327"/>
    <n v="1"/>
    <x v="415"/>
  </r>
  <r>
    <d v="2017-01-06T00:00:00"/>
    <x v="675"/>
    <x v="26"/>
    <x v="0"/>
    <x v="3"/>
    <x v="719"/>
    <x v="1992"/>
    <n v="2"/>
    <x v="1948"/>
  </r>
  <r>
    <d v="2017-02-06T00:00:00"/>
    <x v="374"/>
    <x v="16"/>
    <x v="2"/>
    <x v="6"/>
    <x v="720"/>
    <x v="2328"/>
    <n v="1"/>
    <x v="2263"/>
  </r>
  <r>
    <d v="2017-02-06T00:00:00"/>
    <x v="374"/>
    <x v="16"/>
    <x v="0"/>
    <x v="2"/>
    <x v="790"/>
    <x v="2329"/>
    <n v="2"/>
    <x v="1221"/>
  </r>
  <r>
    <d v="2017-02-06T00:00:00"/>
    <x v="228"/>
    <x v="23"/>
    <x v="0"/>
    <x v="0"/>
    <x v="562"/>
    <x v="1007"/>
    <n v="6"/>
    <x v="627"/>
  </r>
  <r>
    <d v="2017-02-06T00:00:00"/>
    <x v="228"/>
    <x v="23"/>
    <x v="0"/>
    <x v="11"/>
    <x v="1159"/>
    <x v="2309"/>
    <n v="5"/>
    <x v="2264"/>
  </r>
  <r>
    <d v="2017-02-06T00:00:00"/>
    <x v="81"/>
    <x v="15"/>
    <x v="0"/>
    <x v="0"/>
    <x v="143"/>
    <x v="1007"/>
    <n v="4"/>
    <x v="1563"/>
  </r>
  <r>
    <d v="2017-02-06T00:00:00"/>
    <x v="355"/>
    <x v="0"/>
    <x v="0"/>
    <x v="0"/>
    <x v="1358"/>
    <x v="725"/>
    <n v="2"/>
    <x v="527"/>
  </r>
  <r>
    <d v="2017-03-06T00:00:00"/>
    <x v="128"/>
    <x v="31"/>
    <x v="1"/>
    <x v="8"/>
    <x v="1444"/>
    <x v="707"/>
    <n v="7"/>
    <x v="2265"/>
  </r>
  <r>
    <d v="2017-03-06T00:00:00"/>
    <x v="90"/>
    <x v="10"/>
    <x v="2"/>
    <x v="9"/>
    <x v="1445"/>
    <x v="2330"/>
    <n v="10"/>
    <x v="2266"/>
  </r>
  <r>
    <d v="2017-03-06T00:00:00"/>
    <x v="676"/>
    <x v="3"/>
    <x v="2"/>
    <x v="9"/>
    <x v="461"/>
    <x v="1360"/>
    <n v="5"/>
    <x v="437"/>
  </r>
  <r>
    <d v="2017-03-06T00:00:00"/>
    <x v="676"/>
    <x v="3"/>
    <x v="0"/>
    <x v="0"/>
    <x v="100"/>
    <x v="652"/>
    <n v="2"/>
    <x v="885"/>
  </r>
  <r>
    <d v="2017-03-06T00:00:00"/>
    <x v="676"/>
    <x v="3"/>
    <x v="0"/>
    <x v="3"/>
    <x v="677"/>
    <x v="1751"/>
    <n v="1"/>
    <x v="2267"/>
  </r>
  <r>
    <d v="2017-03-06T00:00:00"/>
    <x v="120"/>
    <x v="9"/>
    <x v="0"/>
    <x v="3"/>
    <x v="672"/>
    <x v="2331"/>
    <n v="3"/>
    <x v="2268"/>
  </r>
  <r>
    <d v="2017-03-06T00:00:00"/>
    <x v="120"/>
    <x v="9"/>
    <x v="0"/>
    <x v="13"/>
    <x v="314"/>
    <x v="2332"/>
    <n v="2"/>
    <x v="887"/>
  </r>
  <r>
    <d v="2017-03-06T00:00:00"/>
    <x v="120"/>
    <x v="9"/>
    <x v="2"/>
    <x v="9"/>
    <x v="1267"/>
    <x v="2333"/>
    <n v="1"/>
    <x v="1101"/>
  </r>
  <r>
    <d v="2017-03-06T00:00:00"/>
    <x v="120"/>
    <x v="9"/>
    <x v="0"/>
    <x v="0"/>
    <x v="1125"/>
    <x v="70"/>
    <n v="3"/>
    <x v="366"/>
  </r>
  <r>
    <d v="2017-03-06T00:00:00"/>
    <x v="120"/>
    <x v="9"/>
    <x v="2"/>
    <x v="6"/>
    <x v="754"/>
    <x v="1159"/>
    <n v="5"/>
    <x v="378"/>
  </r>
  <r>
    <d v="2017-03-06T00:00:00"/>
    <x v="120"/>
    <x v="9"/>
    <x v="0"/>
    <x v="13"/>
    <x v="1443"/>
    <x v="2334"/>
    <n v="7"/>
    <x v="2269"/>
  </r>
  <r>
    <d v="2017-03-06T00:00:00"/>
    <x v="120"/>
    <x v="9"/>
    <x v="1"/>
    <x v="12"/>
    <x v="804"/>
    <x v="2335"/>
    <n v="2"/>
    <x v="52"/>
  </r>
  <r>
    <d v="2017-03-06T00:00:00"/>
    <x v="120"/>
    <x v="9"/>
    <x v="2"/>
    <x v="9"/>
    <x v="489"/>
    <x v="2336"/>
    <n v="2"/>
    <x v="2270"/>
  </r>
  <r>
    <d v="2017-03-06T00:00:00"/>
    <x v="292"/>
    <x v="12"/>
    <x v="1"/>
    <x v="10"/>
    <x v="1217"/>
    <x v="2337"/>
    <n v="2"/>
    <x v="2271"/>
  </r>
  <r>
    <d v="2017-03-06T00:00:00"/>
    <x v="292"/>
    <x v="12"/>
    <x v="2"/>
    <x v="16"/>
    <x v="1446"/>
    <x v="2338"/>
    <n v="6"/>
    <x v="2272"/>
  </r>
  <r>
    <d v="2017-03-06T00:00:00"/>
    <x v="292"/>
    <x v="12"/>
    <x v="0"/>
    <x v="0"/>
    <x v="832"/>
    <x v="190"/>
    <n v="4"/>
    <x v="2273"/>
  </r>
  <r>
    <d v="2017-03-06T00:00:00"/>
    <x v="677"/>
    <x v="10"/>
    <x v="0"/>
    <x v="2"/>
    <x v="860"/>
    <x v="2339"/>
    <n v="9"/>
    <x v="2274"/>
  </r>
  <r>
    <d v="2017-04-06T00:00:00"/>
    <x v="559"/>
    <x v="15"/>
    <x v="1"/>
    <x v="8"/>
    <x v="386"/>
    <x v="400"/>
    <n v="2"/>
    <x v="402"/>
  </r>
  <r>
    <d v="2017-04-06T00:00:00"/>
    <x v="559"/>
    <x v="15"/>
    <x v="2"/>
    <x v="6"/>
    <x v="1447"/>
    <x v="842"/>
    <n v="2"/>
    <x v="2029"/>
  </r>
  <r>
    <d v="2017-04-06T00:00:00"/>
    <x v="134"/>
    <x v="22"/>
    <x v="0"/>
    <x v="0"/>
    <x v="1434"/>
    <x v="2340"/>
    <n v="2"/>
    <x v="2275"/>
  </r>
  <r>
    <d v="2017-04-06T00:00:00"/>
    <x v="93"/>
    <x v="28"/>
    <x v="0"/>
    <x v="4"/>
    <x v="1448"/>
    <x v="183"/>
    <n v="3"/>
    <x v="186"/>
  </r>
  <r>
    <d v="2017-04-06T00:00:00"/>
    <x v="678"/>
    <x v="0"/>
    <x v="0"/>
    <x v="3"/>
    <x v="235"/>
    <x v="1019"/>
    <n v="7"/>
    <x v="2276"/>
  </r>
  <r>
    <d v="2017-04-06T00:00:00"/>
    <x v="307"/>
    <x v="29"/>
    <x v="0"/>
    <x v="3"/>
    <x v="1157"/>
    <x v="2341"/>
    <n v="7"/>
    <x v="2277"/>
  </r>
  <r>
    <d v="2017-04-06T00:00:00"/>
    <x v="307"/>
    <x v="29"/>
    <x v="0"/>
    <x v="3"/>
    <x v="1269"/>
    <x v="787"/>
    <n v="3"/>
    <x v="1318"/>
  </r>
  <r>
    <d v="2017-04-06T00:00:00"/>
    <x v="679"/>
    <x v="0"/>
    <x v="1"/>
    <x v="8"/>
    <x v="438"/>
    <x v="1485"/>
    <n v="6"/>
    <x v="2278"/>
  </r>
  <r>
    <d v="2017-05-06T00:00:00"/>
    <x v="474"/>
    <x v="0"/>
    <x v="2"/>
    <x v="6"/>
    <x v="701"/>
    <x v="2342"/>
    <n v="3"/>
    <x v="2279"/>
  </r>
  <r>
    <d v="2017-05-06T00:00:00"/>
    <x v="349"/>
    <x v="9"/>
    <x v="0"/>
    <x v="0"/>
    <x v="1121"/>
    <x v="961"/>
    <n v="4"/>
    <x v="202"/>
  </r>
  <r>
    <d v="2017-06-06T00:00:00"/>
    <x v="144"/>
    <x v="3"/>
    <x v="1"/>
    <x v="8"/>
    <x v="1449"/>
    <x v="1203"/>
    <n v="1"/>
    <x v="272"/>
  </r>
  <r>
    <d v="2017-06-06T00:00:00"/>
    <x v="144"/>
    <x v="3"/>
    <x v="0"/>
    <x v="2"/>
    <x v="1132"/>
    <x v="1122"/>
    <n v="5"/>
    <x v="52"/>
  </r>
  <r>
    <d v="2017-08-06T00:00:00"/>
    <x v="129"/>
    <x v="0"/>
    <x v="0"/>
    <x v="13"/>
    <x v="1450"/>
    <x v="2343"/>
    <n v="2"/>
    <x v="2280"/>
  </r>
  <r>
    <d v="2017-08-06T00:00:00"/>
    <x v="267"/>
    <x v="0"/>
    <x v="0"/>
    <x v="14"/>
    <x v="1451"/>
    <x v="2344"/>
    <n v="3"/>
    <x v="2281"/>
  </r>
  <r>
    <d v="2017-08-06T00:00:00"/>
    <x v="267"/>
    <x v="0"/>
    <x v="0"/>
    <x v="0"/>
    <x v="177"/>
    <x v="1373"/>
    <n v="3"/>
    <x v="1348"/>
  </r>
  <r>
    <d v="2017-08-06T00:00:00"/>
    <x v="267"/>
    <x v="0"/>
    <x v="2"/>
    <x v="6"/>
    <x v="1452"/>
    <x v="2345"/>
    <n v="3"/>
    <x v="1366"/>
  </r>
  <r>
    <d v="2017-08-06T00:00:00"/>
    <x v="218"/>
    <x v="27"/>
    <x v="0"/>
    <x v="3"/>
    <x v="449"/>
    <x v="2346"/>
    <n v="2"/>
    <x v="936"/>
  </r>
  <r>
    <d v="2017-08-06T00:00:00"/>
    <x v="182"/>
    <x v="1"/>
    <x v="0"/>
    <x v="3"/>
    <x v="700"/>
    <x v="169"/>
    <n v="4"/>
    <x v="2282"/>
  </r>
  <r>
    <d v="2017-08-06T00:00:00"/>
    <x v="680"/>
    <x v="3"/>
    <x v="1"/>
    <x v="12"/>
    <x v="980"/>
    <x v="2347"/>
    <n v="2"/>
    <x v="2283"/>
  </r>
  <r>
    <d v="2017-08-06T00:00:00"/>
    <x v="680"/>
    <x v="3"/>
    <x v="2"/>
    <x v="6"/>
    <x v="619"/>
    <x v="2348"/>
    <n v="2"/>
    <x v="2284"/>
  </r>
  <r>
    <d v="2017-08-06T00:00:00"/>
    <x v="126"/>
    <x v="23"/>
    <x v="2"/>
    <x v="9"/>
    <x v="1453"/>
    <x v="2349"/>
    <n v="7"/>
    <x v="1087"/>
  </r>
  <r>
    <d v="2017-08-06T00:00:00"/>
    <x v="126"/>
    <x v="23"/>
    <x v="0"/>
    <x v="2"/>
    <x v="621"/>
    <x v="707"/>
    <n v="2"/>
    <x v="691"/>
  </r>
  <r>
    <d v="2017-08-06T00:00:00"/>
    <x v="126"/>
    <x v="23"/>
    <x v="0"/>
    <x v="3"/>
    <x v="1454"/>
    <x v="2350"/>
    <n v="2"/>
    <x v="2285"/>
  </r>
  <r>
    <d v="2017-09-06T00:00:00"/>
    <x v="677"/>
    <x v="1"/>
    <x v="1"/>
    <x v="8"/>
    <x v="603"/>
    <x v="699"/>
    <n v="3"/>
    <x v="684"/>
  </r>
  <r>
    <d v="2017-09-06T00:00:00"/>
    <x v="677"/>
    <x v="1"/>
    <x v="1"/>
    <x v="10"/>
    <x v="128"/>
    <x v="2351"/>
    <n v="1"/>
    <x v="2286"/>
  </r>
  <r>
    <d v="2017-09-06T00:00:00"/>
    <x v="677"/>
    <x v="1"/>
    <x v="0"/>
    <x v="0"/>
    <x v="1455"/>
    <x v="2352"/>
    <n v="8"/>
    <x v="2287"/>
  </r>
  <r>
    <d v="2017-09-06T00:00:00"/>
    <x v="368"/>
    <x v="0"/>
    <x v="0"/>
    <x v="2"/>
    <x v="622"/>
    <x v="1967"/>
    <n v="5"/>
    <x v="2288"/>
  </r>
  <r>
    <d v="2017-09-06T00:00:00"/>
    <x v="373"/>
    <x v="6"/>
    <x v="0"/>
    <x v="0"/>
    <x v="177"/>
    <x v="302"/>
    <n v="4"/>
    <x v="302"/>
  </r>
  <r>
    <d v="2017-10-06T00:00:00"/>
    <x v="594"/>
    <x v="3"/>
    <x v="0"/>
    <x v="1"/>
    <x v="430"/>
    <x v="94"/>
    <n v="2"/>
    <x v="95"/>
  </r>
  <r>
    <d v="2017-10-06T00:00:00"/>
    <x v="594"/>
    <x v="3"/>
    <x v="1"/>
    <x v="12"/>
    <x v="159"/>
    <x v="2353"/>
    <n v="5"/>
    <x v="2289"/>
  </r>
  <r>
    <d v="2017-10-06T00:00:00"/>
    <x v="594"/>
    <x v="3"/>
    <x v="2"/>
    <x v="6"/>
    <x v="1456"/>
    <x v="2354"/>
    <n v="5"/>
    <x v="2290"/>
  </r>
  <r>
    <d v="2017-10-06T00:00:00"/>
    <x v="681"/>
    <x v="18"/>
    <x v="2"/>
    <x v="9"/>
    <x v="589"/>
    <x v="1560"/>
    <n v="4"/>
    <x v="2291"/>
  </r>
  <r>
    <d v="2017-10-06T00:00:00"/>
    <x v="182"/>
    <x v="3"/>
    <x v="0"/>
    <x v="4"/>
    <x v="1457"/>
    <x v="332"/>
    <n v="5"/>
    <x v="2142"/>
  </r>
  <r>
    <d v="2017-10-06T00:00:00"/>
    <x v="629"/>
    <x v="2"/>
    <x v="0"/>
    <x v="0"/>
    <x v="1458"/>
    <x v="2355"/>
    <n v="6"/>
    <x v="2292"/>
  </r>
  <r>
    <d v="2017-10-06T00:00:00"/>
    <x v="16"/>
    <x v="9"/>
    <x v="0"/>
    <x v="2"/>
    <x v="1459"/>
    <x v="2356"/>
    <n v="8"/>
    <x v="2293"/>
  </r>
  <r>
    <d v="2017-10-06T00:00:00"/>
    <x v="591"/>
    <x v="12"/>
    <x v="0"/>
    <x v="4"/>
    <x v="521"/>
    <x v="1022"/>
    <n v="5"/>
    <x v="381"/>
  </r>
  <r>
    <d v="2017-10-06T00:00:00"/>
    <x v="420"/>
    <x v="10"/>
    <x v="2"/>
    <x v="6"/>
    <x v="262"/>
    <x v="552"/>
    <n v="3"/>
    <x v="549"/>
  </r>
  <r>
    <d v="2017-10-06T00:00:00"/>
    <x v="420"/>
    <x v="10"/>
    <x v="0"/>
    <x v="1"/>
    <x v="468"/>
    <x v="2357"/>
    <n v="4"/>
    <x v="374"/>
  </r>
  <r>
    <d v="2017-10-06T00:00:00"/>
    <x v="420"/>
    <x v="10"/>
    <x v="0"/>
    <x v="2"/>
    <x v="1460"/>
    <x v="2358"/>
    <n v="1"/>
    <x v="172"/>
  </r>
  <r>
    <d v="2017-10-06T00:00:00"/>
    <x v="682"/>
    <x v="3"/>
    <x v="0"/>
    <x v="4"/>
    <x v="1461"/>
    <x v="1968"/>
    <n v="7"/>
    <x v="1000"/>
  </r>
  <r>
    <d v="2017-10-06T00:00:00"/>
    <x v="683"/>
    <x v="12"/>
    <x v="0"/>
    <x v="7"/>
    <x v="49"/>
    <x v="2359"/>
    <n v="3"/>
    <x v="2109"/>
  </r>
  <r>
    <d v="2017-11-06T00:00:00"/>
    <x v="482"/>
    <x v="3"/>
    <x v="0"/>
    <x v="0"/>
    <x v="1065"/>
    <x v="136"/>
    <n v="3"/>
    <x v="139"/>
  </r>
  <r>
    <d v="2017-11-06T00:00:00"/>
    <x v="139"/>
    <x v="23"/>
    <x v="1"/>
    <x v="5"/>
    <x v="1462"/>
    <x v="2360"/>
    <n v="1"/>
    <x v="1158"/>
  </r>
  <r>
    <d v="2017-11-06T00:00:00"/>
    <x v="139"/>
    <x v="23"/>
    <x v="0"/>
    <x v="2"/>
    <x v="494"/>
    <x v="2361"/>
    <n v="4"/>
    <x v="1384"/>
  </r>
  <r>
    <d v="2017-11-06T00:00:00"/>
    <x v="139"/>
    <x v="23"/>
    <x v="0"/>
    <x v="4"/>
    <x v="1099"/>
    <x v="1495"/>
    <n v="5"/>
    <x v="962"/>
  </r>
  <r>
    <d v="2017-11-06T00:00:00"/>
    <x v="139"/>
    <x v="23"/>
    <x v="0"/>
    <x v="4"/>
    <x v="106"/>
    <x v="2362"/>
    <n v="1"/>
    <x v="2294"/>
  </r>
  <r>
    <d v="2017-11-06T00:00:00"/>
    <x v="139"/>
    <x v="23"/>
    <x v="0"/>
    <x v="2"/>
    <x v="1463"/>
    <x v="2363"/>
    <n v="3"/>
    <x v="2295"/>
  </r>
  <r>
    <d v="2017-11-06T00:00:00"/>
    <x v="29"/>
    <x v="22"/>
    <x v="0"/>
    <x v="4"/>
    <x v="502"/>
    <x v="2364"/>
    <n v="2"/>
    <x v="2296"/>
  </r>
  <r>
    <d v="2017-11-06T00:00:00"/>
    <x v="13"/>
    <x v="10"/>
    <x v="0"/>
    <x v="0"/>
    <x v="1107"/>
    <x v="910"/>
    <n v="2"/>
    <x v="891"/>
  </r>
  <r>
    <d v="2017-11-06T00:00:00"/>
    <x v="13"/>
    <x v="10"/>
    <x v="0"/>
    <x v="3"/>
    <x v="1390"/>
    <x v="2365"/>
    <n v="6"/>
    <x v="1658"/>
  </r>
  <r>
    <d v="2017-11-06T00:00:00"/>
    <x v="13"/>
    <x v="10"/>
    <x v="2"/>
    <x v="16"/>
    <x v="1464"/>
    <x v="2366"/>
    <n v="5"/>
    <x v="2297"/>
  </r>
  <r>
    <d v="2017-11-06T00:00:00"/>
    <x v="13"/>
    <x v="10"/>
    <x v="0"/>
    <x v="2"/>
    <x v="1014"/>
    <x v="2367"/>
    <n v="2"/>
    <x v="848"/>
  </r>
  <r>
    <d v="2017-11-06T00:00:00"/>
    <x v="13"/>
    <x v="10"/>
    <x v="1"/>
    <x v="12"/>
    <x v="1465"/>
    <x v="2368"/>
    <n v="3"/>
    <x v="2298"/>
  </r>
  <r>
    <d v="2017-11-06T00:00:00"/>
    <x v="547"/>
    <x v="3"/>
    <x v="0"/>
    <x v="13"/>
    <x v="443"/>
    <x v="1845"/>
    <n v="3"/>
    <x v="1807"/>
  </r>
  <r>
    <d v="2017-11-06T00:00:00"/>
    <x v="533"/>
    <x v="15"/>
    <x v="0"/>
    <x v="3"/>
    <x v="1188"/>
    <x v="2369"/>
    <n v="4"/>
    <x v="2299"/>
  </r>
  <r>
    <d v="2017-12-06T00:00:00"/>
    <x v="5"/>
    <x v="4"/>
    <x v="0"/>
    <x v="3"/>
    <x v="1281"/>
    <x v="2370"/>
    <n v="3"/>
    <x v="2300"/>
  </r>
  <r>
    <d v="2017-12-06T00:00:00"/>
    <x v="5"/>
    <x v="4"/>
    <x v="1"/>
    <x v="10"/>
    <x v="940"/>
    <x v="2371"/>
    <n v="3"/>
    <x v="2301"/>
  </r>
  <r>
    <d v="2017-12-06T00:00:00"/>
    <x v="117"/>
    <x v="12"/>
    <x v="0"/>
    <x v="0"/>
    <x v="1466"/>
    <x v="2090"/>
    <n v="4"/>
    <x v="5"/>
  </r>
  <r>
    <d v="2017-12-06T00:00:00"/>
    <x v="117"/>
    <x v="12"/>
    <x v="0"/>
    <x v="3"/>
    <x v="882"/>
    <x v="2372"/>
    <n v="3"/>
    <x v="1"/>
  </r>
  <r>
    <d v="2017-12-06T00:00:00"/>
    <x v="117"/>
    <x v="12"/>
    <x v="0"/>
    <x v="4"/>
    <x v="662"/>
    <x v="1616"/>
    <n v="3"/>
    <x v="928"/>
  </r>
  <r>
    <d v="2017-12-06T00:00:00"/>
    <x v="117"/>
    <x v="12"/>
    <x v="1"/>
    <x v="5"/>
    <x v="961"/>
    <x v="2373"/>
    <n v="4"/>
    <x v="2302"/>
  </r>
  <r>
    <d v="2017-12-06T00:00:00"/>
    <x v="510"/>
    <x v="9"/>
    <x v="1"/>
    <x v="8"/>
    <x v="1467"/>
    <x v="95"/>
    <n v="2"/>
    <x v="59"/>
  </r>
  <r>
    <d v="2017-12-06T00:00:00"/>
    <x v="608"/>
    <x v="16"/>
    <x v="2"/>
    <x v="9"/>
    <x v="699"/>
    <x v="470"/>
    <n v="2"/>
    <x v="198"/>
  </r>
  <r>
    <d v="2017-12-06T00:00:00"/>
    <x v="684"/>
    <x v="10"/>
    <x v="2"/>
    <x v="6"/>
    <x v="1197"/>
    <x v="842"/>
    <n v="3"/>
    <x v="436"/>
  </r>
  <r>
    <d v="2017-12-06T00:00:00"/>
    <x v="684"/>
    <x v="10"/>
    <x v="0"/>
    <x v="0"/>
    <x v="1468"/>
    <x v="5"/>
    <n v="3"/>
    <x v="5"/>
  </r>
  <r>
    <d v="2017-12-06T00:00:00"/>
    <x v="606"/>
    <x v="1"/>
    <x v="1"/>
    <x v="8"/>
    <x v="831"/>
    <x v="889"/>
    <n v="3"/>
    <x v="2303"/>
  </r>
  <r>
    <d v="2017-01-07T00:00:00"/>
    <x v="539"/>
    <x v="26"/>
    <x v="0"/>
    <x v="2"/>
    <x v="497"/>
    <x v="533"/>
    <n v="4"/>
    <x v="616"/>
  </r>
  <r>
    <d v="2017-01-07T00:00:00"/>
    <x v="539"/>
    <x v="26"/>
    <x v="0"/>
    <x v="3"/>
    <x v="1352"/>
    <x v="2374"/>
    <n v="1"/>
    <x v="2304"/>
  </r>
  <r>
    <d v="2017-01-07T00:00:00"/>
    <x v="539"/>
    <x v="26"/>
    <x v="0"/>
    <x v="0"/>
    <x v="140"/>
    <x v="212"/>
    <n v="4"/>
    <x v="215"/>
  </r>
  <r>
    <d v="2017-02-07T00:00:00"/>
    <x v="668"/>
    <x v="0"/>
    <x v="0"/>
    <x v="0"/>
    <x v="1065"/>
    <x v="2375"/>
    <n v="5"/>
    <x v="2305"/>
  </r>
  <r>
    <d v="2017-02-07T00:00:00"/>
    <x v="668"/>
    <x v="0"/>
    <x v="0"/>
    <x v="3"/>
    <x v="272"/>
    <x v="2159"/>
    <n v="4"/>
    <x v="2306"/>
  </r>
  <r>
    <d v="2017-03-07T00:00:00"/>
    <x v="685"/>
    <x v="4"/>
    <x v="1"/>
    <x v="8"/>
    <x v="1396"/>
    <x v="1718"/>
    <n v="1"/>
    <x v="2307"/>
  </r>
  <r>
    <d v="2017-03-07T00:00:00"/>
    <x v="685"/>
    <x v="4"/>
    <x v="2"/>
    <x v="6"/>
    <x v="156"/>
    <x v="1667"/>
    <n v="3"/>
    <x v="2308"/>
  </r>
  <r>
    <d v="2017-03-07T00:00:00"/>
    <x v="325"/>
    <x v="15"/>
    <x v="0"/>
    <x v="4"/>
    <x v="935"/>
    <x v="2281"/>
    <n v="3"/>
    <x v="1095"/>
  </r>
  <r>
    <d v="2017-03-07T00:00:00"/>
    <x v="49"/>
    <x v="0"/>
    <x v="2"/>
    <x v="6"/>
    <x v="612"/>
    <x v="187"/>
    <n v="4"/>
    <x v="672"/>
  </r>
  <r>
    <d v="2017-03-07T00:00:00"/>
    <x v="65"/>
    <x v="0"/>
    <x v="0"/>
    <x v="0"/>
    <x v="73"/>
    <x v="2376"/>
    <n v="7"/>
    <x v="2309"/>
  </r>
  <r>
    <d v="2017-03-07T00:00:00"/>
    <x v="65"/>
    <x v="0"/>
    <x v="2"/>
    <x v="16"/>
    <x v="1469"/>
    <x v="2377"/>
    <n v="3"/>
    <x v="2310"/>
  </r>
  <r>
    <d v="2017-03-07T00:00:00"/>
    <x v="523"/>
    <x v="38"/>
    <x v="1"/>
    <x v="8"/>
    <x v="923"/>
    <x v="2378"/>
    <n v="9"/>
    <x v="2311"/>
  </r>
  <r>
    <d v="2017-03-07T00:00:00"/>
    <x v="197"/>
    <x v="16"/>
    <x v="0"/>
    <x v="0"/>
    <x v="0"/>
    <x v="2379"/>
    <n v="4"/>
    <x v="2312"/>
  </r>
  <r>
    <d v="2017-03-07T00:00:00"/>
    <x v="197"/>
    <x v="16"/>
    <x v="1"/>
    <x v="10"/>
    <x v="237"/>
    <x v="2380"/>
    <n v="2"/>
    <x v="2313"/>
  </r>
  <r>
    <d v="2017-03-07T00:00:00"/>
    <x v="197"/>
    <x v="16"/>
    <x v="0"/>
    <x v="0"/>
    <x v="1238"/>
    <x v="1750"/>
    <n v="6"/>
    <x v="1725"/>
  </r>
  <r>
    <d v="2017-03-07T00:00:00"/>
    <x v="511"/>
    <x v="10"/>
    <x v="2"/>
    <x v="9"/>
    <x v="601"/>
    <x v="2086"/>
    <n v="2"/>
    <x v="839"/>
  </r>
  <r>
    <d v="2017-03-07T00:00:00"/>
    <x v="511"/>
    <x v="10"/>
    <x v="2"/>
    <x v="16"/>
    <x v="1470"/>
    <x v="2381"/>
    <n v="6"/>
    <x v="2314"/>
  </r>
  <r>
    <d v="2017-03-07T00:00:00"/>
    <x v="511"/>
    <x v="10"/>
    <x v="2"/>
    <x v="9"/>
    <x v="1232"/>
    <x v="2382"/>
    <n v="4"/>
    <x v="2315"/>
  </r>
  <r>
    <d v="2017-03-07T00:00:00"/>
    <x v="511"/>
    <x v="10"/>
    <x v="2"/>
    <x v="6"/>
    <x v="1471"/>
    <x v="256"/>
    <n v="1"/>
    <x v="462"/>
  </r>
  <r>
    <d v="2017-03-07T00:00:00"/>
    <x v="360"/>
    <x v="20"/>
    <x v="2"/>
    <x v="9"/>
    <x v="863"/>
    <x v="2383"/>
    <n v="10"/>
    <x v="2316"/>
  </r>
  <r>
    <d v="2017-03-07T00:00:00"/>
    <x v="360"/>
    <x v="20"/>
    <x v="0"/>
    <x v="0"/>
    <x v="292"/>
    <x v="173"/>
    <n v="2"/>
    <x v="176"/>
  </r>
  <r>
    <d v="2017-03-07T00:00:00"/>
    <x v="170"/>
    <x v="3"/>
    <x v="1"/>
    <x v="8"/>
    <x v="1376"/>
    <x v="2384"/>
    <n v="3"/>
    <x v="2317"/>
  </r>
  <r>
    <d v="2017-03-07T00:00:00"/>
    <x v="49"/>
    <x v="3"/>
    <x v="0"/>
    <x v="2"/>
    <x v="621"/>
    <x v="2385"/>
    <n v="4"/>
    <x v="2318"/>
  </r>
  <r>
    <d v="2017-03-07T00:00:00"/>
    <x v="353"/>
    <x v="15"/>
    <x v="2"/>
    <x v="9"/>
    <x v="915"/>
    <x v="1165"/>
    <n v="2"/>
    <x v="1136"/>
  </r>
  <r>
    <d v="2017-03-07T00:00:00"/>
    <x v="686"/>
    <x v="43"/>
    <x v="1"/>
    <x v="8"/>
    <x v="1414"/>
    <x v="327"/>
    <n v="1"/>
    <x v="328"/>
  </r>
  <r>
    <d v="2017-05-07T00:00:00"/>
    <x v="648"/>
    <x v="0"/>
    <x v="1"/>
    <x v="8"/>
    <x v="1061"/>
    <x v="2386"/>
    <n v="9"/>
    <x v="2319"/>
  </r>
  <r>
    <d v="2017-05-07T00:00:00"/>
    <x v="648"/>
    <x v="0"/>
    <x v="0"/>
    <x v="3"/>
    <x v="61"/>
    <x v="2387"/>
    <n v="9"/>
    <x v="2320"/>
  </r>
  <r>
    <d v="2017-05-07T00:00:00"/>
    <x v="648"/>
    <x v="0"/>
    <x v="0"/>
    <x v="0"/>
    <x v="1187"/>
    <x v="70"/>
    <n v="3"/>
    <x v="944"/>
  </r>
  <r>
    <d v="2017-05-07T00:00:00"/>
    <x v="648"/>
    <x v="0"/>
    <x v="0"/>
    <x v="0"/>
    <x v="111"/>
    <x v="378"/>
    <n v="6"/>
    <x v="2207"/>
  </r>
  <r>
    <d v="2017-05-07T00:00:00"/>
    <x v="648"/>
    <x v="0"/>
    <x v="0"/>
    <x v="3"/>
    <x v="824"/>
    <x v="2388"/>
    <n v="1"/>
    <x v="2321"/>
  </r>
  <r>
    <d v="2017-05-07T00:00:00"/>
    <x v="332"/>
    <x v="37"/>
    <x v="2"/>
    <x v="6"/>
    <x v="1227"/>
    <x v="2389"/>
    <n v="4"/>
    <x v="2322"/>
  </r>
  <r>
    <d v="2017-06-07T00:00:00"/>
    <x v="467"/>
    <x v="2"/>
    <x v="0"/>
    <x v="3"/>
    <x v="1213"/>
    <x v="383"/>
    <n v="2"/>
    <x v="2323"/>
  </r>
  <r>
    <d v="2017-06-07T00:00:00"/>
    <x v="467"/>
    <x v="2"/>
    <x v="0"/>
    <x v="0"/>
    <x v="1472"/>
    <x v="2390"/>
    <n v="3"/>
    <x v="596"/>
  </r>
  <r>
    <d v="2017-06-07T00:00:00"/>
    <x v="687"/>
    <x v="9"/>
    <x v="1"/>
    <x v="5"/>
    <x v="274"/>
    <x v="2391"/>
    <n v="1"/>
    <x v="895"/>
  </r>
  <r>
    <d v="2017-06-07T00:00:00"/>
    <x v="254"/>
    <x v="3"/>
    <x v="1"/>
    <x v="5"/>
    <x v="1248"/>
    <x v="2392"/>
    <n v="3"/>
    <x v="2324"/>
  </r>
  <r>
    <d v="2017-07-07T00:00:00"/>
    <x v="428"/>
    <x v="12"/>
    <x v="0"/>
    <x v="3"/>
    <x v="814"/>
    <x v="49"/>
    <n v="3"/>
    <x v="2325"/>
  </r>
  <r>
    <d v="2017-07-07T00:00:00"/>
    <x v="451"/>
    <x v="40"/>
    <x v="2"/>
    <x v="9"/>
    <x v="58"/>
    <x v="2393"/>
    <n v="4"/>
    <x v="2326"/>
  </r>
  <r>
    <d v="2017-07-07T00:00:00"/>
    <x v="302"/>
    <x v="2"/>
    <x v="1"/>
    <x v="12"/>
    <x v="1465"/>
    <x v="2394"/>
    <n v="3"/>
    <x v="2327"/>
  </r>
  <r>
    <d v="2017-07-07T00:00:00"/>
    <x v="302"/>
    <x v="2"/>
    <x v="0"/>
    <x v="0"/>
    <x v="373"/>
    <x v="70"/>
    <n v="3"/>
    <x v="366"/>
  </r>
  <r>
    <d v="2017-07-07T00:00:00"/>
    <x v="302"/>
    <x v="2"/>
    <x v="2"/>
    <x v="6"/>
    <x v="1473"/>
    <x v="2395"/>
    <n v="2"/>
    <x v="2328"/>
  </r>
  <r>
    <d v="2017-07-07T00:00:00"/>
    <x v="302"/>
    <x v="2"/>
    <x v="0"/>
    <x v="2"/>
    <x v="1474"/>
    <x v="2396"/>
    <n v="3"/>
    <x v="385"/>
  </r>
  <r>
    <d v="2017-07-07T00:00:00"/>
    <x v="302"/>
    <x v="2"/>
    <x v="2"/>
    <x v="9"/>
    <x v="986"/>
    <x v="441"/>
    <n v="3"/>
    <x v="1796"/>
  </r>
  <r>
    <d v="2017-07-07T00:00:00"/>
    <x v="302"/>
    <x v="2"/>
    <x v="2"/>
    <x v="9"/>
    <x v="1475"/>
    <x v="2397"/>
    <n v="2"/>
    <x v="2329"/>
  </r>
  <r>
    <d v="2017-07-07T00:00:00"/>
    <x v="261"/>
    <x v="3"/>
    <x v="0"/>
    <x v="7"/>
    <x v="936"/>
    <x v="47"/>
    <n v="3"/>
    <x v="2330"/>
  </r>
  <r>
    <d v="2017-08-07T00:00:00"/>
    <x v="688"/>
    <x v="20"/>
    <x v="0"/>
    <x v="4"/>
    <x v="1476"/>
    <x v="1610"/>
    <n v="3"/>
    <x v="1478"/>
  </r>
  <r>
    <d v="2017-08-07T00:00:00"/>
    <x v="688"/>
    <x v="20"/>
    <x v="0"/>
    <x v="0"/>
    <x v="177"/>
    <x v="173"/>
    <n v="2"/>
    <x v="176"/>
  </r>
  <r>
    <d v="2017-08-07T00:00:00"/>
    <x v="688"/>
    <x v="20"/>
    <x v="0"/>
    <x v="4"/>
    <x v="68"/>
    <x v="113"/>
    <n v="2"/>
    <x v="2331"/>
  </r>
  <r>
    <d v="2017-08-07T00:00:00"/>
    <x v="197"/>
    <x v="3"/>
    <x v="1"/>
    <x v="8"/>
    <x v="602"/>
    <x v="1178"/>
    <n v="5"/>
    <x v="1148"/>
  </r>
  <r>
    <d v="2017-08-07T00:00:00"/>
    <x v="689"/>
    <x v="10"/>
    <x v="1"/>
    <x v="8"/>
    <x v="867"/>
    <x v="2398"/>
    <n v="2"/>
    <x v="2332"/>
  </r>
  <r>
    <d v="2017-08-07T00:00:00"/>
    <x v="689"/>
    <x v="10"/>
    <x v="0"/>
    <x v="1"/>
    <x v="258"/>
    <x v="2399"/>
    <n v="8"/>
    <x v="2333"/>
  </r>
  <r>
    <d v="2017-08-07T00:00:00"/>
    <x v="689"/>
    <x v="10"/>
    <x v="0"/>
    <x v="3"/>
    <x v="1010"/>
    <x v="2400"/>
    <n v="2"/>
    <x v="2334"/>
  </r>
  <r>
    <d v="2017-08-07T00:00:00"/>
    <x v="689"/>
    <x v="10"/>
    <x v="2"/>
    <x v="9"/>
    <x v="1069"/>
    <x v="2401"/>
    <n v="2"/>
    <x v="2335"/>
  </r>
  <r>
    <d v="2017-08-07T00:00:00"/>
    <x v="173"/>
    <x v="3"/>
    <x v="0"/>
    <x v="1"/>
    <x v="1477"/>
    <x v="2402"/>
    <n v="6"/>
    <x v="2336"/>
  </r>
  <r>
    <d v="2017-08-07T00:00:00"/>
    <x v="26"/>
    <x v="10"/>
    <x v="1"/>
    <x v="8"/>
    <x v="504"/>
    <x v="98"/>
    <n v="3"/>
    <x v="65"/>
  </r>
  <r>
    <d v="2017-08-07T00:00:00"/>
    <x v="26"/>
    <x v="10"/>
    <x v="0"/>
    <x v="3"/>
    <x v="1324"/>
    <x v="2403"/>
    <n v="3"/>
    <x v="2337"/>
  </r>
  <r>
    <d v="2017-08-07T00:00:00"/>
    <x v="26"/>
    <x v="10"/>
    <x v="0"/>
    <x v="4"/>
    <x v="59"/>
    <x v="2404"/>
    <n v="3"/>
    <x v="529"/>
  </r>
  <r>
    <d v="2017-08-07T00:00:00"/>
    <x v="26"/>
    <x v="10"/>
    <x v="0"/>
    <x v="4"/>
    <x v="113"/>
    <x v="1366"/>
    <n v="4"/>
    <x v="720"/>
  </r>
  <r>
    <d v="2017-08-07T00:00:00"/>
    <x v="639"/>
    <x v="7"/>
    <x v="1"/>
    <x v="8"/>
    <x v="694"/>
    <x v="423"/>
    <n v="4"/>
    <x v="595"/>
  </r>
  <r>
    <d v="2017-08-07T00:00:00"/>
    <x v="639"/>
    <x v="7"/>
    <x v="2"/>
    <x v="9"/>
    <x v="325"/>
    <x v="2405"/>
    <n v="5"/>
    <x v="2338"/>
  </r>
  <r>
    <d v="2017-08-07T00:00:00"/>
    <x v="639"/>
    <x v="7"/>
    <x v="1"/>
    <x v="8"/>
    <x v="1478"/>
    <x v="1726"/>
    <n v="2"/>
    <x v="2339"/>
  </r>
  <r>
    <d v="2017-08-07T00:00:00"/>
    <x v="639"/>
    <x v="7"/>
    <x v="0"/>
    <x v="4"/>
    <x v="1479"/>
    <x v="926"/>
    <n v="7"/>
    <x v="2340"/>
  </r>
  <r>
    <d v="2017-08-07T00:00:00"/>
    <x v="639"/>
    <x v="7"/>
    <x v="0"/>
    <x v="4"/>
    <x v="463"/>
    <x v="2406"/>
    <n v="5"/>
    <x v="2341"/>
  </r>
  <r>
    <d v="2017-08-07T00:00:00"/>
    <x v="192"/>
    <x v="10"/>
    <x v="0"/>
    <x v="0"/>
    <x v="177"/>
    <x v="882"/>
    <n v="2"/>
    <x v="860"/>
  </r>
  <r>
    <d v="2017-09-07T00:00:00"/>
    <x v="688"/>
    <x v="35"/>
    <x v="0"/>
    <x v="3"/>
    <x v="1377"/>
    <x v="2407"/>
    <n v="2"/>
    <x v="2342"/>
  </r>
  <r>
    <d v="2017-09-07T00:00:00"/>
    <x v="349"/>
    <x v="1"/>
    <x v="0"/>
    <x v="4"/>
    <x v="1480"/>
    <x v="2408"/>
    <n v="5"/>
    <x v="2343"/>
  </r>
  <r>
    <d v="2017-09-07T00:00:00"/>
    <x v="349"/>
    <x v="1"/>
    <x v="0"/>
    <x v="13"/>
    <x v="1329"/>
    <x v="2409"/>
    <n v="9"/>
    <x v="2344"/>
  </r>
  <r>
    <d v="2017-09-07T00:00:00"/>
    <x v="427"/>
    <x v="1"/>
    <x v="0"/>
    <x v="2"/>
    <x v="53"/>
    <x v="2410"/>
    <n v="5"/>
    <x v="858"/>
  </r>
  <r>
    <d v="2017-09-07T00:00:00"/>
    <x v="690"/>
    <x v="26"/>
    <x v="1"/>
    <x v="8"/>
    <x v="794"/>
    <x v="2411"/>
    <n v="5"/>
    <x v="2345"/>
  </r>
  <r>
    <d v="2017-09-07T00:00:00"/>
    <x v="632"/>
    <x v="27"/>
    <x v="0"/>
    <x v="0"/>
    <x v="1128"/>
    <x v="2412"/>
    <n v="5"/>
    <x v="1507"/>
  </r>
  <r>
    <d v="2017-09-07T00:00:00"/>
    <x v="632"/>
    <x v="27"/>
    <x v="0"/>
    <x v="2"/>
    <x v="679"/>
    <x v="1561"/>
    <n v="4"/>
    <x v="120"/>
  </r>
  <r>
    <d v="2017-09-07T00:00:00"/>
    <x v="632"/>
    <x v="27"/>
    <x v="2"/>
    <x v="6"/>
    <x v="760"/>
    <x v="1976"/>
    <n v="2"/>
    <x v="1074"/>
  </r>
  <r>
    <d v="2017-09-07T00:00:00"/>
    <x v="632"/>
    <x v="27"/>
    <x v="0"/>
    <x v="4"/>
    <x v="161"/>
    <x v="2413"/>
    <n v="6"/>
    <x v="2346"/>
  </r>
  <r>
    <d v="2017-10-07T00:00:00"/>
    <x v="383"/>
    <x v="4"/>
    <x v="1"/>
    <x v="8"/>
    <x v="1481"/>
    <x v="50"/>
    <n v="3"/>
    <x v="184"/>
  </r>
  <r>
    <d v="2017-10-07T00:00:00"/>
    <x v="691"/>
    <x v="1"/>
    <x v="0"/>
    <x v="2"/>
    <x v="1067"/>
    <x v="2414"/>
    <n v="6"/>
    <x v="2347"/>
  </r>
  <r>
    <d v="2017-10-07T00:00:00"/>
    <x v="692"/>
    <x v="4"/>
    <x v="0"/>
    <x v="13"/>
    <x v="1108"/>
    <x v="2415"/>
    <n v="3"/>
    <x v="2348"/>
  </r>
  <r>
    <d v="2017-11-07T00:00:00"/>
    <x v="292"/>
    <x v="3"/>
    <x v="0"/>
    <x v="1"/>
    <x v="18"/>
    <x v="1597"/>
    <n v="3"/>
    <x v="189"/>
  </r>
  <r>
    <d v="2017-11-07T00:00:00"/>
    <x v="231"/>
    <x v="12"/>
    <x v="2"/>
    <x v="9"/>
    <x v="914"/>
    <x v="2416"/>
    <n v="6"/>
    <x v="2349"/>
  </r>
  <r>
    <d v="2017-11-07T00:00:00"/>
    <x v="375"/>
    <x v="42"/>
    <x v="0"/>
    <x v="4"/>
    <x v="1029"/>
    <x v="2417"/>
    <n v="4"/>
    <x v="2350"/>
  </r>
  <r>
    <d v="2017-11-07T00:00:00"/>
    <x v="470"/>
    <x v="3"/>
    <x v="2"/>
    <x v="9"/>
    <x v="1267"/>
    <x v="2418"/>
    <n v="5"/>
    <x v="2351"/>
  </r>
  <r>
    <d v="2017-11-07T00:00:00"/>
    <x v="470"/>
    <x v="3"/>
    <x v="0"/>
    <x v="13"/>
    <x v="1482"/>
    <x v="2419"/>
    <n v="5"/>
    <x v="2352"/>
  </r>
  <r>
    <d v="2017-11-07T00:00:00"/>
    <x v="281"/>
    <x v="3"/>
    <x v="2"/>
    <x v="6"/>
    <x v="1483"/>
    <x v="2420"/>
    <n v="6"/>
    <x v="74"/>
  </r>
  <r>
    <d v="2017-11-07T00:00:00"/>
    <x v="281"/>
    <x v="3"/>
    <x v="0"/>
    <x v="3"/>
    <x v="15"/>
    <x v="2421"/>
    <n v="5"/>
    <x v="2353"/>
  </r>
  <r>
    <d v="2017-12-07T00:00:00"/>
    <x v="81"/>
    <x v="16"/>
    <x v="0"/>
    <x v="0"/>
    <x v="681"/>
    <x v="2422"/>
    <n v="1"/>
    <x v="2354"/>
  </r>
  <r>
    <d v="2017-01-08T00:00:00"/>
    <x v="261"/>
    <x v="1"/>
    <x v="2"/>
    <x v="6"/>
    <x v="412"/>
    <x v="357"/>
    <n v="2"/>
    <x v="940"/>
  </r>
  <r>
    <d v="2017-01-08T00:00:00"/>
    <x v="693"/>
    <x v="15"/>
    <x v="2"/>
    <x v="6"/>
    <x v="1243"/>
    <x v="2068"/>
    <n v="5"/>
    <x v="2355"/>
  </r>
  <r>
    <d v="2017-01-08T00:00:00"/>
    <x v="645"/>
    <x v="0"/>
    <x v="2"/>
    <x v="16"/>
    <x v="1150"/>
    <x v="2423"/>
    <n v="3"/>
    <x v="2356"/>
  </r>
  <r>
    <d v="2017-01-08T00:00:00"/>
    <x v="645"/>
    <x v="0"/>
    <x v="0"/>
    <x v="0"/>
    <x v="1484"/>
    <x v="658"/>
    <n v="7"/>
    <x v="646"/>
  </r>
  <r>
    <d v="2017-01-08T00:00:00"/>
    <x v="128"/>
    <x v="3"/>
    <x v="0"/>
    <x v="3"/>
    <x v="716"/>
    <x v="1595"/>
    <n v="2"/>
    <x v="2357"/>
  </r>
  <r>
    <d v="2017-01-08T00:00:00"/>
    <x v="447"/>
    <x v="3"/>
    <x v="0"/>
    <x v="2"/>
    <x v="1067"/>
    <x v="1254"/>
    <n v="3"/>
    <x v="1405"/>
  </r>
  <r>
    <d v="2017-03-08T00:00:00"/>
    <x v="480"/>
    <x v="1"/>
    <x v="1"/>
    <x v="12"/>
    <x v="1485"/>
    <x v="2424"/>
    <n v="2"/>
    <x v="2358"/>
  </r>
  <r>
    <d v="2017-03-08T00:00:00"/>
    <x v="397"/>
    <x v="3"/>
    <x v="0"/>
    <x v="1"/>
    <x v="1100"/>
    <x v="1924"/>
    <n v="5"/>
    <x v="1885"/>
  </r>
  <r>
    <d v="2017-03-08T00:00:00"/>
    <x v="397"/>
    <x v="3"/>
    <x v="1"/>
    <x v="8"/>
    <x v="200"/>
    <x v="909"/>
    <n v="3"/>
    <x v="890"/>
  </r>
  <r>
    <d v="2017-03-08T00:00:00"/>
    <x v="272"/>
    <x v="3"/>
    <x v="0"/>
    <x v="2"/>
    <x v="1486"/>
    <x v="2425"/>
    <n v="3"/>
    <x v="2359"/>
  </r>
  <r>
    <d v="2017-03-08T00:00:00"/>
    <x v="474"/>
    <x v="1"/>
    <x v="2"/>
    <x v="9"/>
    <x v="1297"/>
    <x v="2426"/>
    <n v="3"/>
    <x v="1542"/>
  </r>
  <r>
    <d v="2017-03-08T00:00:00"/>
    <x v="567"/>
    <x v="10"/>
    <x v="0"/>
    <x v="2"/>
    <x v="1487"/>
    <x v="2390"/>
    <n v="1"/>
    <x v="1188"/>
  </r>
  <r>
    <d v="2017-03-08T00:00:00"/>
    <x v="694"/>
    <x v="16"/>
    <x v="0"/>
    <x v="1"/>
    <x v="957"/>
    <x v="2427"/>
    <n v="5"/>
    <x v="282"/>
  </r>
  <r>
    <d v="2017-04-08T00:00:00"/>
    <x v="493"/>
    <x v="19"/>
    <x v="0"/>
    <x v="0"/>
    <x v="1488"/>
    <x v="866"/>
    <n v="2"/>
    <x v="844"/>
  </r>
  <r>
    <d v="2017-04-08T00:00:00"/>
    <x v="493"/>
    <x v="19"/>
    <x v="0"/>
    <x v="11"/>
    <x v="1159"/>
    <x v="1722"/>
    <n v="1"/>
    <x v="2360"/>
  </r>
  <r>
    <d v="2017-04-08T00:00:00"/>
    <x v="493"/>
    <x v="0"/>
    <x v="0"/>
    <x v="3"/>
    <x v="26"/>
    <x v="2428"/>
    <n v="3"/>
    <x v="2361"/>
  </r>
  <r>
    <d v="2017-05-08T00:00:00"/>
    <x v="329"/>
    <x v="5"/>
    <x v="0"/>
    <x v="0"/>
    <x v="1033"/>
    <x v="2429"/>
    <n v="2"/>
    <x v="2325"/>
  </r>
  <r>
    <d v="2017-05-08T00:00:00"/>
    <x v="157"/>
    <x v="0"/>
    <x v="0"/>
    <x v="2"/>
    <x v="1489"/>
    <x v="2430"/>
    <n v="9"/>
    <x v="2362"/>
  </r>
  <r>
    <d v="2017-05-08T00:00:00"/>
    <x v="695"/>
    <x v="26"/>
    <x v="0"/>
    <x v="3"/>
    <x v="1254"/>
    <x v="2431"/>
    <n v="6"/>
    <x v="2363"/>
  </r>
  <r>
    <d v="2017-05-08T00:00:00"/>
    <x v="695"/>
    <x v="26"/>
    <x v="2"/>
    <x v="9"/>
    <x v="1051"/>
    <x v="2432"/>
    <n v="2"/>
    <x v="2364"/>
  </r>
  <r>
    <d v="2017-05-08T00:00:00"/>
    <x v="695"/>
    <x v="26"/>
    <x v="0"/>
    <x v="1"/>
    <x v="503"/>
    <x v="2433"/>
    <n v="9"/>
    <x v="2365"/>
  </r>
  <r>
    <d v="2017-06-08T00:00:00"/>
    <x v="9"/>
    <x v="21"/>
    <x v="1"/>
    <x v="12"/>
    <x v="350"/>
    <x v="2434"/>
    <n v="3"/>
    <x v="2366"/>
  </r>
  <r>
    <d v="2017-06-08T00:00:00"/>
    <x v="9"/>
    <x v="21"/>
    <x v="1"/>
    <x v="8"/>
    <x v="648"/>
    <x v="2435"/>
    <n v="5"/>
    <x v="424"/>
  </r>
  <r>
    <d v="2017-06-08T00:00:00"/>
    <x v="696"/>
    <x v="0"/>
    <x v="0"/>
    <x v="0"/>
    <x v="1244"/>
    <x v="2162"/>
    <n v="3"/>
    <x v="2105"/>
  </r>
  <r>
    <d v="2017-06-08T00:00:00"/>
    <x v="75"/>
    <x v="43"/>
    <x v="2"/>
    <x v="6"/>
    <x v="839"/>
    <x v="2436"/>
    <n v="5"/>
    <x v="2367"/>
  </r>
  <r>
    <d v="2017-06-08T00:00:00"/>
    <x v="75"/>
    <x v="43"/>
    <x v="0"/>
    <x v="1"/>
    <x v="164"/>
    <x v="1137"/>
    <n v="8"/>
    <x v="2368"/>
  </r>
  <r>
    <d v="2017-06-08T00:00:00"/>
    <x v="75"/>
    <x v="43"/>
    <x v="0"/>
    <x v="4"/>
    <x v="424"/>
    <x v="2437"/>
    <n v="6"/>
    <x v="257"/>
  </r>
  <r>
    <d v="2017-06-08T00:00:00"/>
    <x v="257"/>
    <x v="12"/>
    <x v="0"/>
    <x v="14"/>
    <x v="741"/>
    <x v="2438"/>
    <n v="4"/>
    <x v="2369"/>
  </r>
  <r>
    <d v="2017-07-08T00:00:00"/>
    <x v="408"/>
    <x v="15"/>
    <x v="2"/>
    <x v="9"/>
    <x v="338"/>
    <x v="1045"/>
    <n v="1"/>
    <x v="223"/>
  </r>
  <r>
    <d v="2017-07-08T00:00:00"/>
    <x v="697"/>
    <x v="12"/>
    <x v="0"/>
    <x v="4"/>
    <x v="1490"/>
    <x v="1773"/>
    <n v="2"/>
    <x v="2370"/>
  </r>
  <r>
    <d v="2017-07-08T00:00:00"/>
    <x v="697"/>
    <x v="12"/>
    <x v="0"/>
    <x v="4"/>
    <x v="1029"/>
    <x v="2439"/>
    <n v="10"/>
    <x v="2371"/>
  </r>
  <r>
    <d v="2017-07-08T00:00:00"/>
    <x v="73"/>
    <x v="3"/>
    <x v="2"/>
    <x v="6"/>
    <x v="297"/>
    <x v="2440"/>
    <n v="5"/>
    <x v="2372"/>
  </r>
  <r>
    <d v="2017-07-08T00:00:00"/>
    <x v="73"/>
    <x v="3"/>
    <x v="0"/>
    <x v="3"/>
    <x v="1491"/>
    <x v="2429"/>
    <n v="2"/>
    <x v="2373"/>
  </r>
  <r>
    <d v="2017-07-08T00:00:00"/>
    <x v="554"/>
    <x v="28"/>
    <x v="2"/>
    <x v="9"/>
    <x v="1453"/>
    <x v="1292"/>
    <n v="4"/>
    <x v="1971"/>
  </r>
  <r>
    <d v="2017-07-08T00:00:00"/>
    <x v="293"/>
    <x v="3"/>
    <x v="0"/>
    <x v="0"/>
    <x v="73"/>
    <x v="1269"/>
    <n v="5"/>
    <x v="2181"/>
  </r>
  <r>
    <d v="2017-07-08T00:00:00"/>
    <x v="43"/>
    <x v="0"/>
    <x v="2"/>
    <x v="9"/>
    <x v="943"/>
    <x v="2441"/>
    <n v="3"/>
    <x v="2374"/>
  </r>
  <r>
    <d v="2017-07-08T00:00:00"/>
    <x v="43"/>
    <x v="0"/>
    <x v="0"/>
    <x v="2"/>
    <x v="1492"/>
    <x v="2442"/>
    <n v="2"/>
    <x v="2375"/>
  </r>
  <r>
    <d v="2017-07-08T00:00:00"/>
    <x v="549"/>
    <x v="3"/>
    <x v="2"/>
    <x v="6"/>
    <x v="1493"/>
    <x v="2443"/>
    <n v="3"/>
    <x v="2376"/>
  </r>
  <r>
    <d v="2017-07-08T00:00:00"/>
    <x v="549"/>
    <x v="3"/>
    <x v="0"/>
    <x v="3"/>
    <x v="259"/>
    <x v="969"/>
    <n v="3"/>
    <x v="1188"/>
  </r>
  <r>
    <d v="2017-07-08T00:00:00"/>
    <x v="549"/>
    <x v="3"/>
    <x v="0"/>
    <x v="3"/>
    <x v="1494"/>
    <x v="2444"/>
    <n v="3"/>
    <x v="2377"/>
  </r>
  <r>
    <d v="2017-07-08T00:00:00"/>
    <x v="549"/>
    <x v="3"/>
    <x v="2"/>
    <x v="9"/>
    <x v="1211"/>
    <x v="2445"/>
    <n v="4"/>
    <x v="2378"/>
  </r>
  <r>
    <d v="2017-07-08T00:00:00"/>
    <x v="549"/>
    <x v="3"/>
    <x v="0"/>
    <x v="0"/>
    <x v="292"/>
    <x v="173"/>
    <n v="2"/>
    <x v="176"/>
  </r>
  <r>
    <d v="2017-07-08T00:00:00"/>
    <x v="549"/>
    <x v="3"/>
    <x v="1"/>
    <x v="8"/>
    <x v="819"/>
    <x v="1924"/>
    <n v="1"/>
    <x v="2217"/>
  </r>
  <r>
    <d v="2017-07-08T00:00:00"/>
    <x v="549"/>
    <x v="3"/>
    <x v="1"/>
    <x v="5"/>
    <x v="1495"/>
    <x v="2446"/>
    <n v="1"/>
    <x v="2379"/>
  </r>
  <r>
    <d v="2017-07-08T00:00:00"/>
    <x v="549"/>
    <x v="3"/>
    <x v="0"/>
    <x v="13"/>
    <x v="65"/>
    <x v="2447"/>
    <n v="5"/>
    <x v="2380"/>
  </r>
  <r>
    <d v="2017-10-08T00:00:00"/>
    <x v="155"/>
    <x v="26"/>
    <x v="0"/>
    <x v="11"/>
    <x v="55"/>
    <x v="2448"/>
    <n v="6"/>
    <x v="2381"/>
  </r>
  <r>
    <d v="2017-10-08T00:00:00"/>
    <x v="155"/>
    <x v="26"/>
    <x v="1"/>
    <x v="8"/>
    <x v="923"/>
    <x v="2449"/>
    <n v="2"/>
    <x v="2382"/>
  </r>
  <r>
    <d v="2017-10-08T00:00:00"/>
    <x v="155"/>
    <x v="26"/>
    <x v="2"/>
    <x v="6"/>
    <x v="31"/>
    <x v="2450"/>
    <n v="9"/>
    <x v="2383"/>
  </r>
  <r>
    <d v="2017-10-08T00:00:00"/>
    <x v="485"/>
    <x v="26"/>
    <x v="0"/>
    <x v="0"/>
    <x v="833"/>
    <x v="296"/>
    <n v="5"/>
    <x v="118"/>
  </r>
  <r>
    <d v="2017-11-08T00:00:00"/>
    <x v="319"/>
    <x v="0"/>
    <x v="0"/>
    <x v="0"/>
    <x v="582"/>
    <x v="2451"/>
    <n v="4"/>
    <x v="2384"/>
  </r>
  <r>
    <d v="2017-11-08T00:00:00"/>
    <x v="319"/>
    <x v="0"/>
    <x v="0"/>
    <x v="4"/>
    <x v="1496"/>
    <x v="2452"/>
    <n v="7"/>
    <x v="2385"/>
  </r>
  <r>
    <d v="2017-11-08T00:00:00"/>
    <x v="319"/>
    <x v="0"/>
    <x v="2"/>
    <x v="6"/>
    <x v="156"/>
    <x v="2453"/>
    <n v="2"/>
    <x v="450"/>
  </r>
  <r>
    <d v="2017-11-08T00:00:00"/>
    <x v="319"/>
    <x v="0"/>
    <x v="0"/>
    <x v="3"/>
    <x v="120"/>
    <x v="2454"/>
    <n v="8"/>
    <x v="2386"/>
  </r>
  <r>
    <d v="2017-11-08T00:00:00"/>
    <x v="424"/>
    <x v="21"/>
    <x v="0"/>
    <x v="3"/>
    <x v="540"/>
    <x v="2455"/>
    <n v="11"/>
    <x v="2387"/>
  </r>
  <r>
    <d v="2017-11-08T00:00:00"/>
    <x v="535"/>
    <x v="12"/>
    <x v="0"/>
    <x v="0"/>
    <x v="140"/>
    <x v="212"/>
    <n v="4"/>
    <x v="215"/>
  </r>
  <r>
    <d v="2017-12-08T00:00:00"/>
    <x v="698"/>
    <x v="9"/>
    <x v="0"/>
    <x v="0"/>
    <x v="392"/>
    <x v="961"/>
    <n v="4"/>
    <x v="202"/>
  </r>
  <r>
    <d v="2017-12-08T00:00:00"/>
    <x v="188"/>
    <x v="3"/>
    <x v="0"/>
    <x v="13"/>
    <x v="696"/>
    <x v="1362"/>
    <n v="3"/>
    <x v="2388"/>
  </r>
  <r>
    <d v="2017-12-08T00:00:00"/>
    <x v="188"/>
    <x v="3"/>
    <x v="1"/>
    <x v="8"/>
    <x v="168"/>
    <x v="1371"/>
    <n v="4"/>
    <x v="1462"/>
  </r>
  <r>
    <d v="2017-12-08T00:00:00"/>
    <x v="384"/>
    <x v="39"/>
    <x v="0"/>
    <x v="4"/>
    <x v="16"/>
    <x v="2348"/>
    <n v="3"/>
    <x v="841"/>
  </r>
  <r>
    <d v="2017-12-08T00:00:00"/>
    <x v="384"/>
    <x v="39"/>
    <x v="1"/>
    <x v="5"/>
    <x v="1497"/>
    <x v="2456"/>
    <n v="5"/>
    <x v="2389"/>
  </r>
  <r>
    <d v="2017-12-08T00:00:00"/>
    <x v="384"/>
    <x v="39"/>
    <x v="0"/>
    <x v="4"/>
    <x v="251"/>
    <x v="2457"/>
    <n v="5"/>
    <x v="2390"/>
  </r>
  <r>
    <d v="2017-12-08T00:00:00"/>
    <x v="347"/>
    <x v="10"/>
    <x v="2"/>
    <x v="15"/>
    <x v="902"/>
    <x v="2458"/>
    <n v="1"/>
    <x v="164"/>
  </r>
  <r>
    <d v="2017-12-08T00:00:00"/>
    <x v="347"/>
    <x v="10"/>
    <x v="0"/>
    <x v="0"/>
    <x v="1498"/>
    <x v="1775"/>
    <n v="4"/>
    <x v="1746"/>
  </r>
  <r>
    <d v="2017-12-08T00:00:00"/>
    <x v="347"/>
    <x v="10"/>
    <x v="2"/>
    <x v="6"/>
    <x v="1081"/>
    <x v="2459"/>
    <n v="8"/>
    <x v="2391"/>
  </r>
  <r>
    <d v="2017-12-08T00:00:00"/>
    <x v="347"/>
    <x v="10"/>
    <x v="0"/>
    <x v="2"/>
    <x v="1460"/>
    <x v="2460"/>
    <n v="3"/>
    <x v="1525"/>
  </r>
  <r>
    <d v="2017-12-08T00:00:00"/>
    <x v="347"/>
    <x v="10"/>
    <x v="2"/>
    <x v="9"/>
    <x v="1499"/>
    <x v="2406"/>
    <n v="5"/>
    <x v="2392"/>
  </r>
  <r>
    <d v="2017-12-08T00:00:00"/>
    <x v="347"/>
    <x v="10"/>
    <x v="0"/>
    <x v="3"/>
    <x v="405"/>
    <x v="724"/>
    <n v="6"/>
    <x v="1424"/>
  </r>
  <r>
    <d v="2017-01-09T00:00:00"/>
    <x v="699"/>
    <x v="12"/>
    <x v="1"/>
    <x v="8"/>
    <x v="1500"/>
    <x v="253"/>
    <n v="5"/>
    <x v="2393"/>
  </r>
  <r>
    <d v="2017-01-09T00:00:00"/>
    <x v="700"/>
    <x v="10"/>
    <x v="2"/>
    <x v="9"/>
    <x v="897"/>
    <x v="1135"/>
    <n v="1"/>
    <x v="1106"/>
  </r>
  <r>
    <d v="2017-01-09T00:00:00"/>
    <x v="700"/>
    <x v="10"/>
    <x v="0"/>
    <x v="3"/>
    <x v="1501"/>
    <x v="2017"/>
    <n v="5"/>
    <x v="2394"/>
  </r>
  <r>
    <d v="2017-01-09T00:00:00"/>
    <x v="109"/>
    <x v="10"/>
    <x v="0"/>
    <x v="4"/>
    <x v="1029"/>
    <x v="857"/>
    <n v="1"/>
    <x v="709"/>
  </r>
  <r>
    <d v="2017-01-09T00:00:00"/>
    <x v="512"/>
    <x v="18"/>
    <x v="1"/>
    <x v="5"/>
    <x v="1317"/>
    <x v="2461"/>
    <n v="7"/>
    <x v="2395"/>
  </r>
  <r>
    <d v="2017-01-09T00:00:00"/>
    <x v="328"/>
    <x v="10"/>
    <x v="0"/>
    <x v="13"/>
    <x v="306"/>
    <x v="2462"/>
    <n v="4"/>
    <x v="2396"/>
  </r>
  <r>
    <d v="2017-01-09T00:00:00"/>
    <x v="328"/>
    <x v="10"/>
    <x v="1"/>
    <x v="10"/>
    <x v="846"/>
    <x v="2463"/>
    <n v="4"/>
    <x v="2397"/>
  </r>
  <r>
    <d v="2017-02-09T00:00:00"/>
    <x v="129"/>
    <x v="16"/>
    <x v="1"/>
    <x v="8"/>
    <x v="1444"/>
    <x v="496"/>
    <n v="3"/>
    <x v="2398"/>
  </r>
  <r>
    <d v="2017-02-09T00:00:00"/>
    <x v="701"/>
    <x v="18"/>
    <x v="2"/>
    <x v="6"/>
    <x v="1502"/>
    <x v="2464"/>
    <n v="4"/>
    <x v="2399"/>
  </r>
  <r>
    <d v="2017-02-09T00:00:00"/>
    <x v="701"/>
    <x v="18"/>
    <x v="2"/>
    <x v="9"/>
    <x v="1503"/>
    <x v="2465"/>
    <n v="7"/>
    <x v="2400"/>
  </r>
  <r>
    <d v="2017-02-09T00:00:00"/>
    <x v="701"/>
    <x v="18"/>
    <x v="0"/>
    <x v="2"/>
    <x v="486"/>
    <x v="2077"/>
    <n v="2"/>
    <x v="2023"/>
  </r>
  <r>
    <d v="2017-02-09T00:00:00"/>
    <x v="459"/>
    <x v="2"/>
    <x v="0"/>
    <x v="0"/>
    <x v="609"/>
    <x v="1756"/>
    <n v="3"/>
    <x v="427"/>
  </r>
  <r>
    <d v="2017-02-09T00:00:00"/>
    <x v="615"/>
    <x v="3"/>
    <x v="0"/>
    <x v="4"/>
    <x v="1422"/>
    <x v="2466"/>
    <n v="3"/>
    <x v="1181"/>
  </r>
  <r>
    <d v="2017-02-09T00:00:00"/>
    <x v="702"/>
    <x v="12"/>
    <x v="0"/>
    <x v="4"/>
    <x v="379"/>
    <x v="260"/>
    <n v="2"/>
    <x v="2252"/>
  </r>
  <r>
    <d v="2017-02-09T00:00:00"/>
    <x v="702"/>
    <x v="12"/>
    <x v="1"/>
    <x v="8"/>
    <x v="488"/>
    <x v="2467"/>
    <n v="2"/>
    <x v="2401"/>
  </r>
  <r>
    <d v="2017-02-09T00:00:00"/>
    <x v="702"/>
    <x v="12"/>
    <x v="1"/>
    <x v="10"/>
    <x v="664"/>
    <x v="2468"/>
    <n v="1"/>
    <x v="2402"/>
  </r>
  <r>
    <d v="2017-02-09T00:00:00"/>
    <x v="702"/>
    <x v="12"/>
    <x v="0"/>
    <x v="13"/>
    <x v="1250"/>
    <x v="2469"/>
    <n v="1"/>
    <x v="1745"/>
  </r>
  <r>
    <d v="2017-02-09T00:00:00"/>
    <x v="702"/>
    <x v="12"/>
    <x v="0"/>
    <x v="3"/>
    <x v="546"/>
    <x v="2470"/>
    <n v="8"/>
    <x v="1779"/>
  </r>
  <r>
    <d v="2017-02-09T00:00:00"/>
    <x v="702"/>
    <x v="12"/>
    <x v="2"/>
    <x v="6"/>
    <x v="286"/>
    <x v="297"/>
    <n v="3"/>
    <x v="297"/>
  </r>
  <r>
    <d v="2017-02-09T00:00:00"/>
    <x v="702"/>
    <x v="12"/>
    <x v="0"/>
    <x v="1"/>
    <x v="104"/>
    <x v="107"/>
    <n v="6"/>
    <x v="107"/>
  </r>
  <r>
    <d v="2017-02-09T00:00:00"/>
    <x v="702"/>
    <x v="12"/>
    <x v="1"/>
    <x v="5"/>
    <x v="287"/>
    <x v="2471"/>
    <n v="5"/>
    <x v="298"/>
  </r>
  <r>
    <d v="2017-02-09T00:00:00"/>
    <x v="702"/>
    <x v="12"/>
    <x v="0"/>
    <x v="4"/>
    <x v="1496"/>
    <x v="1117"/>
    <n v="3"/>
    <x v="754"/>
  </r>
  <r>
    <d v="2017-02-09T00:00:00"/>
    <x v="702"/>
    <x v="12"/>
    <x v="2"/>
    <x v="9"/>
    <x v="375"/>
    <x v="2472"/>
    <n v="2"/>
    <x v="2403"/>
  </r>
  <r>
    <d v="2017-02-09T00:00:00"/>
    <x v="702"/>
    <x v="12"/>
    <x v="2"/>
    <x v="9"/>
    <x v="186"/>
    <x v="187"/>
    <n v="3"/>
    <x v="190"/>
  </r>
  <r>
    <d v="2017-02-09T00:00:00"/>
    <x v="702"/>
    <x v="12"/>
    <x v="0"/>
    <x v="0"/>
    <x v="758"/>
    <x v="2473"/>
    <n v="4"/>
    <x v="1384"/>
  </r>
  <r>
    <d v="2017-02-09T00:00:00"/>
    <x v="703"/>
    <x v="3"/>
    <x v="0"/>
    <x v="4"/>
    <x v="502"/>
    <x v="2278"/>
    <n v="5"/>
    <x v="430"/>
  </r>
  <r>
    <d v="2017-02-09T00:00:00"/>
    <x v="703"/>
    <x v="3"/>
    <x v="0"/>
    <x v="1"/>
    <x v="649"/>
    <x v="2474"/>
    <n v="5"/>
    <x v="2404"/>
  </r>
  <r>
    <d v="2017-02-09T00:00:00"/>
    <x v="703"/>
    <x v="3"/>
    <x v="2"/>
    <x v="6"/>
    <x v="1504"/>
    <x v="918"/>
    <n v="2"/>
    <x v="2405"/>
  </r>
  <r>
    <d v="2017-02-09T00:00:00"/>
    <x v="694"/>
    <x v="27"/>
    <x v="0"/>
    <x v="2"/>
    <x v="1236"/>
    <x v="165"/>
    <n v="1"/>
    <x v="2406"/>
  </r>
  <r>
    <d v="2017-02-09T00:00:00"/>
    <x v="694"/>
    <x v="27"/>
    <x v="0"/>
    <x v="0"/>
    <x v="1168"/>
    <x v="1347"/>
    <n v="4"/>
    <x v="2407"/>
  </r>
  <r>
    <d v="2017-02-09T00:00:00"/>
    <x v="694"/>
    <x v="27"/>
    <x v="0"/>
    <x v="0"/>
    <x v="1505"/>
    <x v="681"/>
    <n v="3"/>
    <x v="667"/>
  </r>
  <r>
    <d v="2017-02-09T00:00:00"/>
    <x v="33"/>
    <x v="1"/>
    <x v="0"/>
    <x v="7"/>
    <x v="419"/>
    <x v="2475"/>
    <n v="4"/>
    <x v="1592"/>
  </r>
  <r>
    <d v="2017-02-09T00:00:00"/>
    <x v="33"/>
    <x v="1"/>
    <x v="0"/>
    <x v="13"/>
    <x v="1108"/>
    <x v="2476"/>
    <n v="2"/>
    <x v="2408"/>
  </r>
  <r>
    <d v="2017-02-09T00:00:00"/>
    <x v="33"/>
    <x v="1"/>
    <x v="0"/>
    <x v="2"/>
    <x v="889"/>
    <x v="2477"/>
    <n v="5"/>
    <x v="2409"/>
  </r>
  <r>
    <d v="2017-02-09T00:00:00"/>
    <x v="361"/>
    <x v="1"/>
    <x v="2"/>
    <x v="9"/>
    <x v="129"/>
    <x v="2088"/>
    <n v="3"/>
    <x v="2410"/>
  </r>
  <r>
    <d v="2017-02-09T00:00:00"/>
    <x v="566"/>
    <x v="3"/>
    <x v="0"/>
    <x v="3"/>
    <x v="370"/>
    <x v="2478"/>
    <n v="5"/>
    <x v="1509"/>
  </r>
  <r>
    <d v="2017-02-09T00:00:00"/>
    <x v="566"/>
    <x v="3"/>
    <x v="1"/>
    <x v="10"/>
    <x v="1506"/>
    <x v="2479"/>
    <n v="2"/>
    <x v="2411"/>
  </r>
  <r>
    <d v="2017-02-09T00:00:00"/>
    <x v="495"/>
    <x v="10"/>
    <x v="1"/>
    <x v="5"/>
    <x v="1200"/>
    <x v="1736"/>
    <n v="3"/>
    <x v="1136"/>
  </r>
  <r>
    <d v="2017-02-09T00:00:00"/>
    <x v="484"/>
    <x v="5"/>
    <x v="0"/>
    <x v="3"/>
    <x v="645"/>
    <x v="2480"/>
    <n v="3"/>
    <x v="2412"/>
  </r>
  <r>
    <d v="2017-02-09T00:00:00"/>
    <x v="222"/>
    <x v="19"/>
    <x v="0"/>
    <x v="1"/>
    <x v="470"/>
    <x v="2481"/>
    <n v="2"/>
    <x v="167"/>
  </r>
  <r>
    <d v="2017-02-09T00:00:00"/>
    <x v="663"/>
    <x v="3"/>
    <x v="0"/>
    <x v="13"/>
    <x v="838"/>
    <x v="2482"/>
    <n v="5"/>
    <x v="2413"/>
  </r>
  <r>
    <d v="2017-02-09T00:00:00"/>
    <x v="663"/>
    <x v="3"/>
    <x v="1"/>
    <x v="8"/>
    <x v="1414"/>
    <x v="2483"/>
    <n v="5"/>
    <x v="2414"/>
  </r>
  <r>
    <d v="2017-02-09T00:00:00"/>
    <x v="663"/>
    <x v="3"/>
    <x v="0"/>
    <x v="3"/>
    <x v="1103"/>
    <x v="2301"/>
    <n v="5"/>
    <x v="2236"/>
  </r>
  <r>
    <d v="2017-03-09T00:00:00"/>
    <x v="138"/>
    <x v="1"/>
    <x v="0"/>
    <x v="3"/>
    <x v="450"/>
    <x v="2484"/>
    <n v="7"/>
    <x v="2415"/>
  </r>
  <r>
    <d v="2017-03-09T00:00:00"/>
    <x v="280"/>
    <x v="9"/>
    <x v="0"/>
    <x v="11"/>
    <x v="481"/>
    <x v="1381"/>
    <n v="4"/>
    <x v="1355"/>
  </r>
  <r>
    <d v="2017-03-09T00:00:00"/>
    <x v="636"/>
    <x v="3"/>
    <x v="0"/>
    <x v="4"/>
    <x v="493"/>
    <x v="2485"/>
    <n v="2"/>
    <x v="813"/>
  </r>
  <r>
    <d v="2017-03-09T00:00:00"/>
    <x v="672"/>
    <x v="3"/>
    <x v="0"/>
    <x v="3"/>
    <x v="1253"/>
    <x v="2486"/>
    <n v="5"/>
    <x v="2416"/>
  </r>
  <r>
    <d v="2017-03-09T00:00:00"/>
    <x v="672"/>
    <x v="3"/>
    <x v="2"/>
    <x v="9"/>
    <x v="1507"/>
    <x v="2487"/>
    <n v="3"/>
    <x v="2417"/>
  </r>
  <r>
    <d v="2017-03-09T00:00:00"/>
    <x v="704"/>
    <x v="12"/>
    <x v="0"/>
    <x v="0"/>
    <x v="1386"/>
    <x v="2164"/>
    <n v="4"/>
    <x v="2418"/>
  </r>
  <r>
    <d v="2017-03-09T00:00:00"/>
    <x v="704"/>
    <x v="12"/>
    <x v="1"/>
    <x v="5"/>
    <x v="1508"/>
    <x v="2488"/>
    <n v="1"/>
    <x v="2419"/>
  </r>
  <r>
    <d v="2017-03-09T00:00:00"/>
    <x v="704"/>
    <x v="12"/>
    <x v="1"/>
    <x v="5"/>
    <x v="1016"/>
    <x v="2489"/>
    <n v="2"/>
    <x v="2420"/>
  </r>
  <r>
    <d v="2017-03-09T00:00:00"/>
    <x v="704"/>
    <x v="12"/>
    <x v="0"/>
    <x v="4"/>
    <x v="284"/>
    <x v="295"/>
    <n v="2"/>
    <x v="296"/>
  </r>
  <r>
    <d v="2017-03-09T00:00:00"/>
    <x v="287"/>
    <x v="3"/>
    <x v="1"/>
    <x v="12"/>
    <x v="283"/>
    <x v="2490"/>
    <n v="2"/>
    <x v="2421"/>
  </r>
  <r>
    <d v="2017-03-09T00:00:00"/>
    <x v="430"/>
    <x v="0"/>
    <x v="1"/>
    <x v="8"/>
    <x v="715"/>
    <x v="844"/>
    <n v="5"/>
    <x v="2422"/>
  </r>
  <r>
    <d v="2017-03-09T00:00:00"/>
    <x v="546"/>
    <x v="1"/>
    <x v="0"/>
    <x v="0"/>
    <x v="1509"/>
    <x v="1529"/>
    <n v="3"/>
    <x v="1543"/>
  </r>
  <r>
    <d v="2017-03-09T00:00:00"/>
    <x v="546"/>
    <x v="1"/>
    <x v="2"/>
    <x v="9"/>
    <x v="58"/>
    <x v="2491"/>
    <n v="2"/>
    <x v="2423"/>
  </r>
  <r>
    <d v="2017-04-09T00:00:00"/>
    <x v="355"/>
    <x v="0"/>
    <x v="0"/>
    <x v="4"/>
    <x v="1270"/>
    <x v="2492"/>
    <n v="7"/>
    <x v="2424"/>
  </r>
  <r>
    <d v="2017-04-09T00:00:00"/>
    <x v="355"/>
    <x v="0"/>
    <x v="0"/>
    <x v="2"/>
    <x v="564"/>
    <x v="441"/>
    <n v="1"/>
    <x v="2425"/>
  </r>
  <r>
    <d v="2017-04-09T00:00:00"/>
    <x v="355"/>
    <x v="0"/>
    <x v="0"/>
    <x v="4"/>
    <x v="1510"/>
    <x v="1366"/>
    <n v="5"/>
    <x v="942"/>
  </r>
  <r>
    <d v="2017-04-09T00:00:00"/>
    <x v="37"/>
    <x v="12"/>
    <x v="2"/>
    <x v="9"/>
    <x v="999"/>
    <x v="129"/>
    <n v="4"/>
    <x v="2426"/>
  </r>
  <r>
    <d v="2017-04-09T00:00:00"/>
    <x v="57"/>
    <x v="3"/>
    <x v="1"/>
    <x v="10"/>
    <x v="1511"/>
    <x v="2493"/>
    <n v="3"/>
    <x v="2427"/>
  </r>
  <r>
    <d v="2017-04-09T00:00:00"/>
    <x v="704"/>
    <x v="3"/>
    <x v="0"/>
    <x v="0"/>
    <x v="446"/>
    <x v="113"/>
    <n v="2"/>
    <x v="411"/>
  </r>
  <r>
    <d v="2017-04-09T00:00:00"/>
    <x v="704"/>
    <x v="3"/>
    <x v="2"/>
    <x v="6"/>
    <x v="387"/>
    <x v="531"/>
    <n v="3"/>
    <x v="2428"/>
  </r>
  <r>
    <d v="2017-04-09T00:00:00"/>
    <x v="675"/>
    <x v="1"/>
    <x v="1"/>
    <x v="12"/>
    <x v="1512"/>
    <x v="2494"/>
    <n v="9"/>
    <x v="2429"/>
  </r>
  <r>
    <d v="2017-04-09T00:00:00"/>
    <x v="675"/>
    <x v="1"/>
    <x v="0"/>
    <x v="0"/>
    <x v="660"/>
    <x v="2495"/>
    <n v="3"/>
    <x v="0"/>
  </r>
  <r>
    <d v="2017-04-09T00:00:00"/>
    <x v="675"/>
    <x v="1"/>
    <x v="0"/>
    <x v="4"/>
    <x v="683"/>
    <x v="146"/>
    <n v="3"/>
    <x v="2133"/>
  </r>
  <r>
    <d v="2017-04-09T00:00:00"/>
    <x v="270"/>
    <x v="16"/>
    <x v="0"/>
    <x v="4"/>
    <x v="255"/>
    <x v="1515"/>
    <n v="4"/>
    <x v="2430"/>
  </r>
  <r>
    <d v="2017-04-09T00:00:00"/>
    <x v="270"/>
    <x v="16"/>
    <x v="0"/>
    <x v="3"/>
    <x v="813"/>
    <x v="2496"/>
    <n v="5"/>
    <x v="2431"/>
  </r>
  <r>
    <d v="2017-04-09T00:00:00"/>
    <x v="270"/>
    <x v="16"/>
    <x v="0"/>
    <x v="3"/>
    <x v="814"/>
    <x v="278"/>
    <n v="2"/>
    <x v="2432"/>
  </r>
  <r>
    <d v="2017-04-09T00:00:00"/>
    <x v="270"/>
    <x v="16"/>
    <x v="0"/>
    <x v="0"/>
    <x v="1513"/>
    <x v="719"/>
    <n v="4"/>
    <x v="527"/>
  </r>
  <r>
    <d v="2017-04-09T00:00:00"/>
    <x v="590"/>
    <x v="3"/>
    <x v="0"/>
    <x v="3"/>
    <x v="8"/>
    <x v="2497"/>
    <n v="2"/>
    <x v="2433"/>
  </r>
  <r>
    <d v="2017-04-09T00:00:00"/>
    <x v="590"/>
    <x v="3"/>
    <x v="2"/>
    <x v="6"/>
    <x v="1514"/>
    <x v="295"/>
    <n v="1"/>
    <x v="2434"/>
  </r>
  <r>
    <d v="2017-04-09T00:00:00"/>
    <x v="590"/>
    <x v="3"/>
    <x v="0"/>
    <x v="2"/>
    <x v="526"/>
    <x v="2498"/>
    <n v="5"/>
    <x v="2435"/>
  </r>
  <r>
    <d v="2017-04-09T00:00:00"/>
    <x v="324"/>
    <x v="2"/>
    <x v="2"/>
    <x v="9"/>
    <x v="608"/>
    <x v="2090"/>
    <n v="4"/>
    <x v="2033"/>
  </r>
  <r>
    <d v="2017-04-09T00:00:00"/>
    <x v="267"/>
    <x v="3"/>
    <x v="0"/>
    <x v="2"/>
    <x v="737"/>
    <x v="2499"/>
    <n v="4"/>
    <x v="2436"/>
  </r>
  <r>
    <d v="2017-04-09T00:00:00"/>
    <x v="277"/>
    <x v="3"/>
    <x v="0"/>
    <x v="3"/>
    <x v="708"/>
    <x v="2500"/>
    <n v="6"/>
    <x v="2437"/>
  </r>
  <r>
    <d v="2017-04-09T00:00:00"/>
    <x v="277"/>
    <x v="3"/>
    <x v="1"/>
    <x v="10"/>
    <x v="1177"/>
    <x v="2501"/>
    <n v="8"/>
    <x v="922"/>
  </r>
  <r>
    <d v="2017-04-09T00:00:00"/>
    <x v="564"/>
    <x v="43"/>
    <x v="0"/>
    <x v="7"/>
    <x v="22"/>
    <x v="1940"/>
    <n v="6"/>
    <x v="268"/>
  </r>
  <r>
    <d v="2017-04-09T00:00:00"/>
    <x v="35"/>
    <x v="3"/>
    <x v="0"/>
    <x v="2"/>
    <x v="1459"/>
    <x v="2502"/>
    <n v="2"/>
    <x v="2438"/>
  </r>
  <r>
    <d v="2017-04-09T00:00:00"/>
    <x v="473"/>
    <x v="9"/>
    <x v="1"/>
    <x v="5"/>
    <x v="328"/>
    <x v="2503"/>
    <n v="2"/>
    <x v="2050"/>
  </r>
  <r>
    <d v="2017-04-09T00:00:00"/>
    <x v="473"/>
    <x v="9"/>
    <x v="0"/>
    <x v="0"/>
    <x v="160"/>
    <x v="148"/>
    <n v="2"/>
    <x v="150"/>
  </r>
  <r>
    <d v="2017-04-09T00:00:00"/>
    <x v="256"/>
    <x v="0"/>
    <x v="0"/>
    <x v="4"/>
    <x v="424"/>
    <x v="2504"/>
    <n v="1"/>
    <x v="310"/>
  </r>
  <r>
    <d v="2017-04-09T00:00:00"/>
    <x v="561"/>
    <x v="3"/>
    <x v="0"/>
    <x v="3"/>
    <x v="910"/>
    <x v="1157"/>
    <n v="3"/>
    <x v="1129"/>
  </r>
  <r>
    <d v="2017-04-09T00:00:00"/>
    <x v="645"/>
    <x v="35"/>
    <x v="0"/>
    <x v="3"/>
    <x v="1515"/>
    <x v="2505"/>
    <n v="7"/>
    <x v="2439"/>
  </r>
  <r>
    <d v="2017-05-09T00:00:00"/>
    <x v="449"/>
    <x v="10"/>
    <x v="0"/>
    <x v="4"/>
    <x v="806"/>
    <x v="2506"/>
    <n v="1"/>
    <x v="1764"/>
  </r>
  <r>
    <d v="2017-05-09T00:00:00"/>
    <x v="605"/>
    <x v="9"/>
    <x v="0"/>
    <x v="2"/>
    <x v="268"/>
    <x v="2507"/>
    <n v="2"/>
    <x v="2440"/>
  </r>
  <r>
    <d v="2017-05-09T00:00:00"/>
    <x v="568"/>
    <x v="31"/>
    <x v="2"/>
    <x v="9"/>
    <x v="1404"/>
    <x v="1953"/>
    <n v="4"/>
    <x v="2441"/>
  </r>
  <r>
    <d v="2017-05-09T00:00:00"/>
    <x v="568"/>
    <x v="31"/>
    <x v="0"/>
    <x v="4"/>
    <x v="180"/>
    <x v="2508"/>
    <n v="5"/>
    <x v="30"/>
  </r>
  <r>
    <d v="2017-05-09T00:00:00"/>
    <x v="568"/>
    <x v="31"/>
    <x v="0"/>
    <x v="0"/>
    <x v="446"/>
    <x v="70"/>
    <n v="3"/>
    <x v="366"/>
  </r>
  <r>
    <d v="2017-07-09T00:00:00"/>
    <x v="599"/>
    <x v="3"/>
    <x v="1"/>
    <x v="8"/>
    <x v="1343"/>
    <x v="2509"/>
    <n v="3"/>
    <x v="1221"/>
  </r>
  <r>
    <d v="2017-07-09T00:00:00"/>
    <x v="59"/>
    <x v="35"/>
    <x v="0"/>
    <x v="2"/>
    <x v="958"/>
    <x v="1990"/>
    <n v="3"/>
    <x v="2195"/>
  </r>
  <r>
    <d v="2017-07-09T00:00:00"/>
    <x v="59"/>
    <x v="35"/>
    <x v="2"/>
    <x v="9"/>
    <x v="109"/>
    <x v="1960"/>
    <n v="7"/>
    <x v="2442"/>
  </r>
  <r>
    <d v="2017-07-09T00:00:00"/>
    <x v="205"/>
    <x v="12"/>
    <x v="0"/>
    <x v="2"/>
    <x v="989"/>
    <x v="2510"/>
    <n v="8"/>
    <x v="2443"/>
  </r>
  <r>
    <d v="2017-07-09T00:00:00"/>
    <x v="214"/>
    <x v="1"/>
    <x v="0"/>
    <x v="0"/>
    <x v="177"/>
    <x v="2511"/>
    <n v="9"/>
    <x v="2444"/>
  </r>
  <r>
    <d v="2017-07-09T00:00:00"/>
    <x v="365"/>
    <x v="14"/>
    <x v="0"/>
    <x v="3"/>
    <x v="645"/>
    <x v="2480"/>
    <n v="3"/>
    <x v="2412"/>
  </r>
  <r>
    <d v="2017-07-09T00:00:00"/>
    <x v="242"/>
    <x v="23"/>
    <x v="0"/>
    <x v="3"/>
    <x v="38"/>
    <x v="564"/>
    <n v="3"/>
    <x v="389"/>
  </r>
  <r>
    <d v="2017-07-09T00:00:00"/>
    <x v="649"/>
    <x v="2"/>
    <x v="0"/>
    <x v="1"/>
    <x v="470"/>
    <x v="499"/>
    <n v="5"/>
    <x v="1005"/>
  </r>
  <r>
    <d v="2017-07-09T00:00:00"/>
    <x v="649"/>
    <x v="2"/>
    <x v="0"/>
    <x v="0"/>
    <x v="278"/>
    <x v="70"/>
    <n v="3"/>
    <x v="366"/>
  </r>
  <r>
    <d v="2017-07-09T00:00:00"/>
    <x v="649"/>
    <x v="2"/>
    <x v="0"/>
    <x v="11"/>
    <x v="985"/>
    <x v="2512"/>
    <n v="3"/>
    <x v="2445"/>
  </r>
  <r>
    <d v="2017-07-09T00:00:00"/>
    <x v="373"/>
    <x v="8"/>
    <x v="2"/>
    <x v="9"/>
    <x v="434"/>
    <x v="2513"/>
    <n v="1"/>
    <x v="2446"/>
  </r>
  <r>
    <d v="2017-07-09T00:00:00"/>
    <x v="188"/>
    <x v="30"/>
    <x v="1"/>
    <x v="8"/>
    <x v="1516"/>
    <x v="2514"/>
    <n v="2"/>
    <x v="519"/>
  </r>
  <r>
    <d v="2017-07-09T00:00:00"/>
    <x v="188"/>
    <x v="30"/>
    <x v="2"/>
    <x v="6"/>
    <x v="1517"/>
    <x v="2515"/>
    <n v="4"/>
    <x v="2447"/>
  </r>
  <r>
    <d v="2017-07-09T00:00:00"/>
    <x v="191"/>
    <x v="3"/>
    <x v="1"/>
    <x v="8"/>
    <x v="1115"/>
    <x v="2516"/>
    <n v="4"/>
    <x v="523"/>
  </r>
  <r>
    <d v="2017-07-09T00:00:00"/>
    <x v="388"/>
    <x v="14"/>
    <x v="2"/>
    <x v="9"/>
    <x v="325"/>
    <x v="829"/>
    <n v="4"/>
    <x v="2448"/>
  </r>
  <r>
    <d v="2017-07-09T00:00:00"/>
    <x v="388"/>
    <x v="14"/>
    <x v="1"/>
    <x v="8"/>
    <x v="787"/>
    <x v="2517"/>
    <n v="5"/>
    <x v="2449"/>
  </r>
  <r>
    <d v="2017-07-09T00:00:00"/>
    <x v="283"/>
    <x v="3"/>
    <x v="1"/>
    <x v="5"/>
    <x v="1016"/>
    <x v="2518"/>
    <n v="2"/>
    <x v="2450"/>
  </r>
  <r>
    <d v="2017-07-09T00:00:00"/>
    <x v="312"/>
    <x v="31"/>
    <x v="0"/>
    <x v="13"/>
    <x v="324"/>
    <x v="2519"/>
    <n v="2"/>
    <x v="2451"/>
  </r>
  <r>
    <d v="2017-07-09T00:00:00"/>
    <x v="615"/>
    <x v="10"/>
    <x v="1"/>
    <x v="8"/>
    <x v="1518"/>
    <x v="2520"/>
    <n v="4"/>
    <x v="1707"/>
  </r>
  <r>
    <d v="2017-07-09T00:00:00"/>
    <x v="615"/>
    <x v="10"/>
    <x v="2"/>
    <x v="6"/>
    <x v="248"/>
    <x v="2521"/>
    <n v="2"/>
    <x v="2452"/>
  </r>
  <r>
    <d v="2017-07-09T00:00:00"/>
    <x v="615"/>
    <x v="10"/>
    <x v="0"/>
    <x v="4"/>
    <x v="1519"/>
    <x v="567"/>
    <n v="1"/>
    <x v="2453"/>
  </r>
  <r>
    <d v="2017-07-09T00:00:00"/>
    <x v="327"/>
    <x v="40"/>
    <x v="0"/>
    <x v="0"/>
    <x v="937"/>
    <x v="1317"/>
    <n v="5"/>
    <x v="549"/>
  </r>
  <r>
    <d v="2017-07-09T00:00:00"/>
    <x v="327"/>
    <x v="40"/>
    <x v="0"/>
    <x v="0"/>
    <x v="1168"/>
    <x v="195"/>
    <n v="2"/>
    <x v="327"/>
  </r>
  <r>
    <d v="2017-08-09T00:00:00"/>
    <x v="76"/>
    <x v="1"/>
    <x v="1"/>
    <x v="10"/>
    <x v="313"/>
    <x v="2522"/>
    <n v="7"/>
    <x v="2454"/>
  </r>
  <r>
    <d v="2017-08-09T00:00:00"/>
    <x v="487"/>
    <x v="2"/>
    <x v="2"/>
    <x v="6"/>
    <x v="949"/>
    <x v="2523"/>
    <n v="2"/>
    <x v="2455"/>
  </r>
  <r>
    <d v="2017-08-09T00:00:00"/>
    <x v="244"/>
    <x v="16"/>
    <x v="2"/>
    <x v="9"/>
    <x v="1520"/>
    <x v="2524"/>
    <n v="1"/>
    <x v="1546"/>
  </r>
  <r>
    <d v="2017-08-09T00:00:00"/>
    <x v="67"/>
    <x v="16"/>
    <x v="2"/>
    <x v="9"/>
    <x v="538"/>
    <x v="2525"/>
    <n v="4"/>
    <x v="1220"/>
  </r>
  <r>
    <d v="2017-08-09T00:00:00"/>
    <x v="442"/>
    <x v="0"/>
    <x v="2"/>
    <x v="9"/>
    <x v="1521"/>
    <x v="2526"/>
    <n v="6"/>
    <x v="2456"/>
  </r>
  <r>
    <d v="2017-08-09T00:00:00"/>
    <x v="582"/>
    <x v="0"/>
    <x v="0"/>
    <x v="3"/>
    <x v="450"/>
    <x v="2484"/>
    <n v="7"/>
    <x v="2415"/>
  </r>
  <r>
    <d v="2017-08-09T00:00:00"/>
    <x v="582"/>
    <x v="0"/>
    <x v="2"/>
    <x v="15"/>
    <x v="736"/>
    <x v="2527"/>
    <n v="2"/>
    <x v="2457"/>
  </r>
  <r>
    <d v="2017-08-09T00:00:00"/>
    <x v="582"/>
    <x v="0"/>
    <x v="0"/>
    <x v="7"/>
    <x v="361"/>
    <x v="2528"/>
    <n v="5"/>
    <x v="2458"/>
  </r>
  <r>
    <d v="2017-08-09T00:00:00"/>
    <x v="582"/>
    <x v="0"/>
    <x v="1"/>
    <x v="8"/>
    <x v="51"/>
    <x v="2529"/>
    <n v="2"/>
    <x v="2459"/>
  </r>
  <r>
    <d v="2017-08-09T00:00:00"/>
    <x v="582"/>
    <x v="0"/>
    <x v="0"/>
    <x v="0"/>
    <x v="209"/>
    <x v="961"/>
    <n v="4"/>
    <x v="202"/>
  </r>
  <r>
    <d v="2017-08-09T00:00:00"/>
    <x v="582"/>
    <x v="0"/>
    <x v="1"/>
    <x v="5"/>
    <x v="944"/>
    <x v="2530"/>
    <n v="5"/>
    <x v="2460"/>
  </r>
  <r>
    <d v="2017-08-09T00:00:00"/>
    <x v="506"/>
    <x v="9"/>
    <x v="0"/>
    <x v="2"/>
    <x v="552"/>
    <x v="1291"/>
    <n v="5"/>
    <x v="74"/>
  </r>
  <r>
    <d v="2017-08-09T00:00:00"/>
    <x v="506"/>
    <x v="9"/>
    <x v="2"/>
    <x v="6"/>
    <x v="513"/>
    <x v="890"/>
    <n v="3"/>
    <x v="868"/>
  </r>
  <r>
    <d v="2017-08-09T00:00:00"/>
    <x v="415"/>
    <x v="12"/>
    <x v="0"/>
    <x v="2"/>
    <x v="118"/>
    <x v="2531"/>
    <n v="4"/>
    <x v="2461"/>
  </r>
  <r>
    <d v="2017-09-09T00:00:00"/>
    <x v="205"/>
    <x v="2"/>
    <x v="1"/>
    <x v="5"/>
    <x v="1016"/>
    <x v="2532"/>
    <n v="2"/>
    <x v="2462"/>
  </r>
  <r>
    <d v="2017-09-09T00:00:00"/>
    <x v="205"/>
    <x v="2"/>
    <x v="0"/>
    <x v="3"/>
    <x v="672"/>
    <x v="2533"/>
    <n v="2"/>
    <x v="2463"/>
  </r>
  <r>
    <d v="2017-09-09T00:00:00"/>
    <x v="205"/>
    <x v="2"/>
    <x v="0"/>
    <x v="3"/>
    <x v="1123"/>
    <x v="2534"/>
    <n v="1"/>
    <x v="1533"/>
  </r>
  <r>
    <d v="2017-09-09T00:00:00"/>
    <x v="205"/>
    <x v="2"/>
    <x v="0"/>
    <x v="4"/>
    <x v="1490"/>
    <x v="478"/>
    <n v="1"/>
    <x v="1105"/>
  </r>
  <r>
    <d v="2017-09-09T00:00:00"/>
    <x v="205"/>
    <x v="2"/>
    <x v="2"/>
    <x v="9"/>
    <x v="699"/>
    <x v="2535"/>
    <n v="3"/>
    <x v="1515"/>
  </r>
  <r>
    <d v="2017-09-09T00:00:00"/>
    <x v="205"/>
    <x v="2"/>
    <x v="1"/>
    <x v="8"/>
    <x v="558"/>
    <x v="2536"/>
    <n v="2"/>
    <x v="88"/>
  </r>
  <r>
    <d v="2017-09-09T00:00:00"/>
    <x v="205"/>
    <x v="2"/>
    <x v="2"/>
    <x v="9"/>
    <x v="1167"/>
    <x v="2537"/>
    <n v="3"/>
    <x v="2464"/>
  </r>
  <r>
    <d v="2017-09-09T00:00:00"/>
    <x v="205"/>
    <x v="2"/>
    <x v="2"/>
    <x v="6"/>
    <x v="1522"/>
    <x v="2538"/>
    <n v="7"/>
    <x v="2465"/>
  </r>
  <r>
    <d v="2017-09-09T00:00:00"/>
    <x v="95"/>
    <x v="17"/>
    <x v="0"/>
    <x v="2"/>
    <x v="1463"/>
    <x v="2539"/>
    <n v="7"/>
    <x v="1523"/>
  </r>
  <r>
    <d v="2017-09-09T00:00:00"/>
    <x v="95"/>
    <x v="17"/>
    <x v="0"/>
    <x v="2"/>
    <x v="545"/>
    <x v="1414"/>
    <n v="5"/>
    <x v="1388"/>
  </r>
  <r>
    <d v="2017-09-09T00:00:00"/>
    <x v="458"/>
    <x v="31"/>
    <x v="0"/>
    <x v="14"/>
    <x v="252"/>
    <x v="2540"/>
    <n v="3"/>
    <x v="2466"/>
  </r>
  <r>
    <d v="2017-09-09T00:00:00"/>
    <x v="458"/>
    <x v="31"/>
    <x v="0"/>
    <x v="0"/>
    <x v="1523"/>
    <x v="271"/>
    <n v="4"/>
    <x v="273"/>
  </r>
  <r>
    <d v="2017-09-09T00:00:00"/>
    <x v="458"/>
    <x v="31"/>
    <x v="0"/>
    <x v="2"/>
    <x v="772"/>
    <x v="2541"/>
    <n v="2"/>
    <x v="2467"/>
  </r>
  <r>
    <d v="2017-09-09T00:00:00"/>
    <x v="458"/>
    <x v="31"/>
    <x v="1"/>
    <x v="8"/>
    <x v="85"/>
    <x v="1795"/>
    <n v="3"/>
    <x v="174"/>
  </r>
  <r>
    <d v="2017-09-09T00:00:00"/>
    <x v="521"/>
    <x v="18"/>
    <x v="0"/>
    <x v="11"/>
    <x v="233"/>
    <x v="756"/>
    <n v="2"/>
    <x v="739"/>
  </r>
  <r>
    <d v="2017-09-09T00:00:00"/>
    <x v="96"/>
    <x v="23"/>
    <x v="0"/>
    <x v="0"/>
    <x v="1524"/>
    <x v="1019"/>
    <n v="2"/>
    <x v="796"/>
  </r>
  <r>
    <d v="2017-09-09T00:00:00"/>
    <x v="255"/>
    <x v="3"/>
    <x v="0"/>
    <x v="4"/>
    <x v="1525"/>
    <x v="172"/>
    <n v="2"/>
    <x v="175"/>
  </r>
  <r>
    <d v="2017-09-09T00:00:00"/>
    <x v="255"/>
    <x v="3"/>
    <x v="1"/>
    <x v="5"/>
    <x v="821"/>
    <x v="2542"/>
    <n v="5"/>
    <x v="2468"/>
  </r>
  <r>
    <d v="2017-09-09T00:00:00"/>
    <x v="255"/>
    <x v="3"/>
    <x v="0"/>
    <x v="0"/>
    <x v="634"/>
    <x v="1113"/>
    <n v="9"/>
    <x v="2469"/>
  </r>
  <r>
    <d v="2017-09-09T00:00:00"/>
    <x v="479"/>
    <x v="3"/>
    <x v="0"/>
    <x v="2"/>
    <x v="1486"/>
    <x v="2425"/>
    <n v="3"/>
    <x v="2359"/>
  </r>
  <r>
    <d v="2017-09-09T00:00:00"/>
    <x v="705"/>
    <x v="0"/>
    <x v="0"/>
    <x v="1"/>
    <x v="1287"/>
    <x v="2543"/>
    <n v="4"/>
    <x v="2470"/>
  </r>
  <r>
    <d v="2017-09-09T00:00:00"/>
    <x v="212"/>
    <x v="16"/>
    <x v="0"/>
    <x v="4"/>
    <x v="68"/>
    <x v="212"/>
    <n v="5"/>
    <x v="2471"/>
  </r>
  <r>
    <d v="2017-09-09T00:00:00"/>
    <x v="212"/>
    <x v="16"/>
    <x v="1"/>
    <x v="8"/>
    <x v="200"/>
    <x v="201"/>
    <n v="2"/>
    <x v="1604"/>
  </r>
  <r>
    <d v="2017-09-09T00:00:00"/>
    <x v="288"/>
    <x v="3"/>
    <x v="2"/>
    <x v="9"/>
    <x v="1526"/>
    <x v="2440"/>
    <n v="4"/>
    <x v="2472"/>
  </r>
  <r>
    <d v="2017-09-09T00:00:00"/>
    <x v="332"/>
    <x v="35"/>
    <x v="0"/>
    <x v="0"/>
    <x v="1046"/>
    <x v="378"/>
    <n v="6"/>
    <x v="2207"/>
  </r>
  <r>
    <d v="2017-09-09T00:00:00"/>
    <x v="332"/>
    <x v="35"/>
    <x v="0"/>
    <x v="13"/>
    <x v="1108"/>
    <x v="2544"/>
    <n v="1"/>
    <x v="965"/>
  </r>
  <r>
    <d v="2017-09-09T00:00:00"/>
    <x v="231"/>
    <x v="16"/>
    <x v="0"/>
    <x v="1"/>
    <x v="369"/>
    <x v="2545"/>
    <n v="6"/>
    <x v="1835"/>
  </r>
  <r>
    <d v="2017-09-09T00:00:00"/>
    <x v="231"/>
    <x v="16"/>
    <x v="0"/>
    <x v="3"/>
    <x v="820"/>
    <x v="2546"/>
    <n v="3"/>
    <x v="490"/>
  </r>
  <r>
    <d v="2017-09-09T00:00:00"/>
    <x v="231"/>
    <x v="16"/>
    <x v="0"/>
    <x v="3"/>
    <x v="1527"/>
    <x v="1828"/>
    <n v="2"/>
    <x v="2473"/>
  </r>
  <r>
    <d v="2017-10-09T00:00:00"/>
    <x v="591"/>
    <x v="1"/>
    <x v="2"/>
    <x v="6"/>
    <x v="524"/>
    <x v="2547"/>
    <n v="4"/>
    <x v="2474"/>
  </r>
  <r>
    <d v="2017-10-09T00:00:00"/>
    <x v="65"/>
    <x v="3"/>
    <x v="1"/>
    <x v="5"/>
    <x v="522"/>
    <x v="2548"/>
    <n v="3"/>
    <x v="2475"/>
  </r>
  <r>
    <d v="2017-10-09T00:00:00"/>
    <x v="65"/>
    <x v="3"/>
    <x v="0"/>
    <x v="3"/>
    <x v="107"/>
    <x v="110"/>
    <n v="2"/>
    <x v="110"/>
  </r>
  <r>
    <d v="2017-10-09T00:00:00"/>
    <x v="706"/>
    <x v="14"/>
    <x v="0"/>
    <x v="3"/>
    <x v="820"/>
    <x v="2549"/>
    <n v="3"/>
    <x v="1732"/>
  </r>
  <r>
    <d v="2017-10-09T00:00:00"/>
    <x v="706"/>
    <x v="14"/>
    <x v="0"/>
    <x v="13"/>
    <x v="416"/>
    <x v="2550"/>
    <n v="3"/>
    <x v="2476"/>
  </r>
  <r>
    <d v="2017-10-09T00:00:00"/>
    <x v="706"/>
    <x v="14"/>
    <x v="2"/>
    <x v="9"/>
    <x v="465"/>
    <x v="2551"/>
    <n v="5"/>
    <x v="2477"/>
  </r>
  <r>
    <d v="2017-10-09T00:00:00"/>
    <x v="706"/>
    <x v="14"/>
    <x v="2"/>
    <x v="9"/>
    <x v="1049"/>
    <x v="2552"/>
    <n v="6"/>
    <x v="1467"/>
  </r>
  <r>
    <d v="2017-10-09T00:00:00"/>
    <x v="706"/>
    <x v="14"/>
    <x v="0"/>
    <x v="3"/>
    <x v="293"/>
    <x v="2553"/>
    <n v="3"/>
    <x v="2478"/>
  </r>
  <r>
    <d v="2017-10-09T00:00:00"/>
    <x v="706"/>
    <x v="14"/>
    <x v="0"/>
    <x v="0"/>
    <x v="1013"/>
    <x v="2554"/>
    <n v="5"/>
    <x v="1894"/>
  </r>
  <r>
    <d v="2017-10-09T00:00:00"/>
    <x v="706"/>
    <x v="14"/>
    <x v="0"/>
    <x v="2"/>
    <x v="1425"/>
    <x v="2555"/>
    <n v="3"/>
    <x v="2479"/>
  </r>
  <r>
    <d v="2017-10-09T00:00:00"/>
    <x v="706"/>
    <x v="14"/>
    <x v="0"/>
    <x v="13"/>
    <x v="1528"/>
    <x v="2556"/>
    <n v="2"/>
    <x v="2480"/>
  </r>
  <r>
    <d v="2017-10-09T00:00:00"/>
    <x v="444"/>
    <x v="1"/>
    <x v="0"/>
    <x v="3"/>
    <x v="580"/>
    <x v="2557"/>
    <n v="3"/>
    <x v="2481"/>
  </r>
  <r>
    <d v="2017-10-09T00:00:00"/>
    <x v="257"/>
    <x v="12"/>
    <x v="0"/>
    <x v="0"/>
    <x v="1529"/>
    <x v="2558"/>
    <n v="2"/>
    <x v="436"/>
  </r>
  <r>
    <d v="2017-10-09T00:00:00"/>
    <x v="442"/>
    <x v="20"/>
    <x v="0"/>
    <x v="4"/>
    <x v="1261"/>
    <x v="1802"/>
    <n v="2"/>
    <x v="119"/>
  </r>
  <r>
    <d v="2017-10-09T00:00:00"/>
    <x v="249"/>
    <x v="16"/>
    <x v="0"/>
    <x v="0"/>
    <x v="833"/>
    <x v="1373"/>
    <n v="3"/>
    <x v="1348"/>
  </r>
  <r>
    <d v="2017-10-09T00:00:00"/>
    <x v="200"/>
    <x v="4"/>
    <x v="0"/>
    <x v="3"/>
    <x v="1530"/>
    <x v="2506"/>
    <n v="1"/>
    <x v="18"/>
  </r>
  <r>
    <d v="2017-10-09T00:00:00"/>
    <x v="475"/>
    <x v="16"/>
    <x v="2"/>
    <x v="9"/>
    <x v="678"/>
    <x v="2559"/>
    <n v="4"/>
    <x v="2482"/>
  </r>
  <r>
    <d v="2017-10-09T00:00:00"/>
    <x v="475"/>
    <x v="16"/>
    <x v="2"/>
    <x v="6"/>
    <x v="951"/>
    <x v="2560"/>
    <n v="2"/>
    <x v="2483"/>
  </r>
  <r>
    <d v="2017-11-09T00:00:00"/>
    <x v="305"/>
    <x v="9"/>
    <x v="1"/>
    <x v="8"/>
    <x v="276"/>
    <x v="2283"/>
    <n v="1"/>
    <x v="29"/>
  </r>
  <r>
    <d v="2017-11-09T00:00:00"/>
    <x v="545"/>
    <x v="4"/>
    <x v="0"/>
    <x v="0"/>
    <x v="1003"/>
    <x v="1305"/>
    <n v="7"/>
    <x v="1282"/>
  </r>
  <r>
    <d v="2017-11-09T00:00:00"/>
    <x v="539"/>
    <x v="3"/>
    <x v="0"/>
    <x v="0"/>
    <x v="1325"/>
    <x v="113"/>
    <n v="2"/>
    <x v="411"/>
  </r>
  <r>
    <d v="2017-11-09T00:00:00"/>
    <x v="539"/>
    <x v="3"/>
    <x v="0"/>
    <x v="11"/>
    <x v="1114"/>
    <x v="2561"/>
    <n v="2"/>
    <x v="2484"/>
  </r>
  <r>
    <d v="2017-11-09T00:00:00"/>
    <x v="539"/>
    <x v="3"/>
    <x v="1"/>
    <x v="5"/>
    <x v="197"/>
    <x v="2562"/>
    <n v="8"/>
    <x v="2485"/>
  </r>
  <r>
    <d v="2017-11-09T00:00:00"/>
    <x v="243"/>
    <x v="1"/>
    <x v="0"/>
    <x v="7"/>
    <x v="406"/>
    <x v="2563"/>
    <n v="4"/>
    <x v="825"/>
  </r>
  <r>
    <d v="2017-11-09T00:00:00"/>
    <x v="243"/>
    <x v="1"/>
    <x v="0"/>
    <x v="0"/>
    <x v="1436"/>
    <x v="2564"/>
    <n v="6"/>
    <x v="2193"/>
  </r>
  <r>
    <d v="2017-11-09T00:00:00"/>
    <x v="649"/>
    <x v="3"/>
    <x v="1"/>
    <x v="8"/>
    <x v="1240"/>
    <x v="2565"/>
    <n v="4"/>
    <x v="1753"/>
  </r>
  <r>
    <d v="2017-11-09T00:00:00"/>
    <x v="649"/>
    <x v="3"/>
    <x v="0"/>
    <x v="13"/>
    <x v="733"/>
    <x v="878"/>
    <n v="5"/>
    <x v="856"/>
  </r>
  <r>
    <d v="2017-11-09T00:00:00"/>
    <x v="358"/>
    <x v="10"/>
    <x v="1"/>
    <x v="5"/>
    <x v="1279"/>
    <x v="2566"/>
    <n v="2"/>
    <x v="725"/>
  </r>
  <r>
    <d v="2017-11-09T00:00:00"/>
    <x v="358"/>
    <x v="10"/>
    <x v="0"/>
    <x v="0"/>
    <x v="5"/>
    <x v="5"/>
    <n v="3"/>
    <x v="5"/>
  </r>
  <r>
    <d v="2017-11-09T00:00:00"/>
    <x v="358"/>
    <x v="10"/>
    <x v="0"/>
    <x v="0"/>
    <x v="929"/>
    <x v="2567"/>
    <n v="11"/>
    <x v="2486"/>
  </r>
  <r>
    <d v="2017-11-09T00:00:00"/>
    <x v="358"/>
    <x v="10"/>
    <x v="0"/>
    <x v="3"/>
    <x v="355"/>
    <x v="2568"/>
    <n v="5"/>
    <x v="2487"/>
  </r>
  <r>
    <d v="2017-11-09T00:00:00"/>
    <x v="358"/>
    <x v="10"/>
    <x v="2"/>
    <x v="6"/>
    <x v="1531"/>
    <x v="2389"/>
    <n v="5"/>
    <x v="2488"/>
  </r>
  <r>
    <d v="2017-11-09T00:00:00"/>
    <x v="554"/>
    <x v="0"/>
    <x v="0"/>
    <x v="0"/>
    <x v="759"/>
    <x v="536"/>
    <n v="3"/>
    <x v="1484"/>
  </r>
  <r>
    <d v="2017-11-09T00:00:00"/>
    <x v="554"/>
    <x v="0"/>
    <x v="1"/>
    <x v="10"/>
    <x v="983"/>
    <x v="2569"/>
    <n v="5"/>
    <x v="2489"/>
  </r>
  <r>
    <d v="2017-11-09T00:00:00"/>
    <x v="554"/>
    <x v="0"/>
    <x v="0"/>
    <x v="13"/>
    <x v="226"/>
    <x v="2570"/>
    <n v="2"/>
    <x v="2490"/>
  </r>
  <r>
    <d v="2017-11-09T00:00:00"/>
    <x v="249"/>
    <x v="3"/>
    <x v="2"/>
    <x v="6"/>
    <x v="1197"/>
    <x v="2571"/>
    <n v="6"/>
    <x v="2491"/>
  </r>
  <r>
    <d v="2017-11-09T00:00:00"/>
    <x v="249"/>
    <x v="3"/>
    <x v="0"/>
    <x v="0"/>
    <x v="726"/>
    <x v="5"/>
    <n v="3"/>
    <x v="5"/>
  </r>
  <r>
    <d v="2017-11-09T00:00:00"/>
    <x v="649"/>
    <x v="6"/>
    <x v="0"/>
    <x v="13"/>
    <x v="1379"/>
    <x v="1832"/>
    <n v="5"/>
    <x v="2492"/>
  </r>
  <r>
    <d v="2017-11-09T00:00:00"/>
    <x v="200"/>
    <x v="5"/>
    <x v="0"/>
    <x v="13"/>
    <x v="88"/>
    <x v="2572"/>
    <n v="4"/>
    <x v="2493"/>
  </r>
  <r>
    <d v="2017-11-09T00:00:00"/>
    <x v="200"/>
    <x v="5"/>
    <x v="0"/>
    <x v="7"/>
    <x v="309"/>
    <x v="1648"/>
    <n v="4"/>
    <x v="2494"/>
  </r>
  <r>
    <d v="2017-12-09T00:00:00"/>
    <x v="707"/>
    <x v="3"/>
    <x v="1"/>
    <x v="8"/>
    <x v="646"/>
    <x v="2573"/>
    <n v="2"/>
    <x v="13"/>
  </r>
  <r>
    <d v="2017-12-09T00:00:00"/>
    <x v="708"/>
    <x v="39"/>
    <x v="0"/>
    <x v="0"/>
    <x v="207"/>
    <x v="753"/>
    <n v="5"/>
    <x v="736"/>
  </r>
  <r>
    <d v="2017-12-09T00:00:00"/>
    <x v="708"/>
    <x v="39"/>
    <x v="0"/>
    <x v="13"/>
    <x v="1250"/>
    <x v="2574"/>
    <n v="7"/>
    <x v="2495"/>
  </r>
  <r>
    <d v="2017-12-09T00:00:00"/>
    <x v="708"/>
    <x v="39"/>
    <x v="0"/>
    <x v="0"/>
    <x v="1107"/>
    <x v="614"/>
    <n v="5"/>
    <x v="604"/>
  </r>
  <r>
    <d v="2017-12-09T00:00:00"/>
    <x v="651"/>
    <x v="40"/>
    <x v="0"/>
    <x v="0"/>
    <x v="110"/>
    <x v="190"/>
    <n v="7"/>
    <x v="193"/>
  </r>
  <r>
    <d v="2017-12-09T00:00:00"/>
    <x v="651"/>
    <x v="40"/>
    <x v="0"/>
    <x v="3"/>
    <x v="713"/>
    <x v="2575"/>
    <n v="3"/>
    <x v="1475"/>
  </r>
  <r>
    <d v="2017-12-09T00:00:00"/>
    <x v="630"/>
    <x v="3"/>
    <x v="0"/>
    <x v="0"/>
    <x v="112"/>
    <x v="453"/>
    <n v="3"/>
    <x v="453"/>
  </r>
  <r>
    <d v="2017-01-10T00:00:00"/>
    <x v="249"/>
    <x v="0"/>
    <x v="0"/>
    <x v="4"/>
    <x v="1532"/>
    <x v="2109"/>
    <n v="6"/>
    <x v="1331"/>
  </r>
  <r>
    <d v="2017-01-10T00:00:00"/>
    <x v="634"/>
    <x v="10"/>
    <x v="0"/>
    <x v="0"/>
    <x v="1533"/>
    <x v="2576"/>
    <n v="8"/>
    <x v="2496"/>
  </r>
  <r>
    <d v="2017-01-10T00:00:00"/>
    <x v="634"/>
    <x v="10"/>
    <x v="0"/>
    <x v="3"/>
    <x v="1010"/>
    <x v="2577"/>
    <n v="7"/>
    <x v="2497"/>
  </r>
  <r>
    <d v="2017-01-10T00:00:00"/>
    <x v="634"/>
    <x v="10"/>
    <x v="0"/>
    <x v="0"/>
    <x v="781"/>
    <x v="5"/>
    <n v="3"/>
    <x v="5"/>
  </r>
  <r>
    <d v="2017-01-10T00:00:00"/>
    <x v="634"/>
    <x v="10"/>
    <x v="1"/>
    <x v="5"/>
    <x v="563"/>
    <x v="1985"/>
    <n v="3"/>
    <x v="52"/>
  </r>
  <r>
    <d v="2017-01-10T00:00:00"/>
    <x v="709"/>
    <x v="3"/>
    <x v="0"/>
    <x v="3"/>
    <x v="1377"/>
    <x v="2578"/>
    <n v="1"/>
    <x v="1331"/>
  </r>
  <r>
    <d v="2017-01-10T00:00:00"/>
    <x v="709"/>
    <x v="3"/>
    <x v="0"/>
    <x v="3"/>
    <x v="176"/>
    <x v="2579"/>
    <n v="13"/>
    <x v="2498"/>
  </r>
  <r>
    <d v="2017-01-10T00:00:00"/>
    <x v="709"/>
    <x v="3"/>
    <x v="0"/>
    <x v="13"/>
    <x v="955"/>
    <x v="2580"/>
    <n v="2"/>
    <x v="2499"/>
  </r>
  <r>
    <d v="2017-01-10T00:00:00"/>
    <x v="709"/>
    <x v="3"/>
    <x v="1"/>
    <x v="5"/>
    <x v="879"/>
    <x v="2581"/>
    <n v="4"/>
    <x v="81"/>
  </r>
  <r>
    <d v="2017-01-10T00:00:00"/>
    <x v="466"/>
    <x v="12"/>
    <x v="2"/>
    <x v="16"/>
    <x v="810"/>
    <x v="2582"/>
    <n v="11"/>
    <x v="2500"/>
  </r>
  <r>
    <d v="2017-01-10T00:00:00"/>
    <x v="339"/>
    <x v="37"/>
    <x v="0"/>
    <x v="0"/>
    <x v="1351"/>
    <x v="410"/>
    <n v="1"/>
    <x v="1997"/>
  </r>
  <r>
    <d v="2017-01-10T00:00:00"/>
    <x v="239"/>
    <x v="3"/>
    <x v="2"/>
    <x v="9"/>
    <x v="1534"/>
    <x v="2583"/>
    <n v="5"/>
    <x v="223"/>
  </r>
  <r>
    <d v="2017-02-10T00:00:00"/>
    <x v="167"/>
    <x v="18"/>
    <x v="0"/>
    <x v="3"/>
    <x v="1384"/>
    <x v="2584"/>
    <n v="3"/>
    <x v="2501"/>
  </r>
  <r>
    <d v="2017-02-10T00:00:00"/>
    <x v="167"/>
    <x v="18"/>
    <x v="1"/>
    <x v="8"/>
    <x v="1535"/>
    <x v="2585"/>
    <n v="11"/>
    <x v="2502"/>
  </r>
  <r>
    <d v="2017-02-10T00:00:00"/>
    <x v="167"/>
    <x v="18"/>
    <x v="0"/>
    <x v="4"/>
    <x v="4"/>
    <x v="2586"/>
    <n v="7"/>
    <x v="1847"/>
  </r>
  <r>
    <d v="2017-02-10T00:00:00"/>
    <x v="167"/>
    <x v="18"/>
    <x v="0"/>
    <x v="3"/>
    <x v="261"/>
    <x v="290"/>
    <n v="1"/>
    <x v="292"/>
  </r>
  <r>
    <d v="2017-02-10T00:00:00"/>
    <x v="383"/>
    <x v="12"/>
    <x v="0"/>
    <x v="0"/>
    <x v="1374"/>
    <x v="302"/>
    <n v="4"/>
    <x v="302"/>
  </r>
  <r>
    <d v="2017-02-10T00:00:00"/>
    <x v="532"/>
    <x v="12"/>
    <x v="2"/>
    <x v="6"/>
    <x v="1536"/>
    <x v="2587"/>
    <n v="1"/>
    <x v="1917"/>
  </r>
  <r>
    <d v="2017-02-10T00:00:00"/>
    <x v="691"/>
    <x v="10"/>
    <x v="0"/>
    <x v="7"/>
    <x v="22"/>
    <x v="740"/>
    <n v="3"/>
    <x v="427"/>
  </r>
  <r>
    <d v="2017-02-10T00:00:00"/>
    <x v="691"/>
    <x v="10"/>
    <x v="2"/>
    <x v="6"/>
    <x v="1537"/>
    <x v="1240"/>
    <n v="2"/>
    <x v="1882"/>
  </r>
  <r>
    <d v="2017-02-10T00:00:00"/>
    <x v="153"/>
    <x v="3"/>
    <x v="0"/>
    <x v="3"/>
    <x v="363"/>
    <x v="2588"/>
    <n v="5"/>
    <x v="970"/>
  </r>
  <r>
    <d v="2017-02-10T00:00:00"/>
    <x v="153"/>
    <x v="3"/>
    <x v="0"/>
    <x v="2"/>
    <x v="536"/>
    <x v="2589"/>
    <n v="7"/>
    <x v="2503"/>
  </r>
  <r>
    <d v="2017-02-10T00:00:00"/>
    <x v="242"/>
    <x v="31"/>
    <x v="1"/>
    <x v="8"/>
    <x v="831"/>
    <x v="1157"/>
    <n v="2"/>
    <x v="2504"/>
  </r>
  <r>
    <d v="2017-02-10T00:00:00"/>
    <x v="242"/>
    <x v="31"/>
    <x v="1"/>
    <x v="8"/>
    <x v="1207"/>
    <x v="2590"/>
    <n v="1"/>
    <x v="1558"/>
  </r>
  <r>
    <d v="2017-02-10T00:00:00"/>
    <x v="242"/>
    <x v="31"/>
    <x v="0"/>
    <x v="0"/>
    <x v="1325"/>
    <x v="961"/>
    <n v="4"/>
    <x v="202"/>
  </r>
  <r>
    <d v="2017-02-10T00:00:00"/>
    <x v="242"/>
    <x v="31"/>
    <x v="0"/>
    <x v="3"/>
    <x v="1281"/>
    <x v="421"/>
    <n v="3"/>
    <x v="2505"/>
  </r>
  <r>
    <d v="2017-02-10T00:00:00"/>
    <x v="242"/>
    <x v="31"/>
    <x v="1"/>
    <x v="10"/>
    <x v="1511"/>
    <x v="2591"/>
    <n v="7"/>
    <x v="2506"/>
  </r>
  <r>
    <d v="2017-02-10T00:00:00"/>
    <x v="242"/>
    <x v="31"/>
    <x v="0"/>
    <x v="3"/>
    <x v="1538"/>
    <x v="28"/>
    <n v="4"/>
    <x v="2507"/>
  </r>
  <r>
    <d v="2017-02-10T00:00:00"/>
    <x v="242"/>
    <x v="31"/>
    <x v="1"/>
    <x v="8"/>
    <x v="359"/>
    <x v="2516"/>
    <n v="2"/>
    <x v="2508"/>
  </r>
  <r>
    <d v="2017-02-10T00:00:00"/>
    <x v="710"/>
    <x v="22"/>
    <x v="1"/>
    <x v="8"/>
    <x v="1539"/>
    <x v="803"/>
    <n v="2"/>
    <x v="2470"/>
  </r>
  <r>
    <d v="2017-02-10T00:00:00"/>
    <x v="711"/>
    <x v="35"/>
    <x v="1"/>
    <x v="12"/>
    <x v="63"/>
    <x v="2592"/>
    <n v="6"/>
    <x v="2509"/>
  </r>
  <r>
    <d v="2017-02-10T00:00:00"/>
    <x v="711"/>
    <x v="35"/>
    <x v="0"/>
    <x v="14"/>
    <x v="1198"/>
    <x v="720"/>
    <n v="6"/>
    <x v="766"/>
  </r>
  <r>
    <d v="2017-02-10T00:00:00"/>
    <x v="711"/>
    <x v="35"/>
    <x v="0"/>
    <x v="3"/>
    <x v="29"/>
    <x v="2593"/>
    <n v="7"/>
    <x v="2510"/>
  </r>
  <r>
    <d v="2017-02-10T00:00:00"/>
    <x v="711"/>
    <x v="35"/>
    <x v="0"/>
    <x v="4"/>
    <x v="1080"/>
    <x v="2594"/>
    <n v="7"/>
    <x v="2511"/>
  </r>
  <r>
    <d v="2017-02-10T00:00:00"/>
    <x v="712"/>
    <x v="3"/>
    <x v="1"/>
    <x v="8"/>
    <x v="1186"/>
    <x v="39"/>
    <n v="2"/>
    <x v="2512"/>
  </r>
  <r>
    <d v="2017-02-10T00:00:00"/>
    <x v="712"/>
    <x v="3"/>
    <x v="2"/>
    <x v="16"/>
    <x v="1540"/>
    <x v="2595"/>
    <n v="11"/>
    <x v="2513"/>
  </r>
  <r>
    <d v="2017-02-10T00:00:00"/>
    <x v="485"/>
    <x v="0"/>
    <x v="0"/>
    <x v="13"/>
    <x v="339"/>
    <x v="469"/>
    <n v="2"/>
    <x v="2081"/>
  </r>
  <r>
    <d v="2017-02-10T00:00:00"/>
    <x v="485"/>
    <x v="0"/>
    <x v="0"/>
    <x v="13"/>
    <x v="1541"/>
    <x v="1048"/>
    <n v="6"/>
    <x v="2514"/>
  </r>
  <r>
    <d v="2017-03-10T00:00:00"/>
    <x v="477"/>
    <x v="28"/>
    <x v="0"/>
    <x v="3"/>
    <x v="382"/>
    <x v="396"/>
    <n v="2"/>
    <x v="398"/>
  </r>
  <r>
    <d v="2017-03-10T00:00:00"/>
    <x v="104"/>
    <x v="12"/>
    <x v="0"/>
    <x v="2"/>
    <x v="545"/>
    <x v="603"/>
    <n v="2"/>
    <x v="595"/>
  </r>
  <r>
    <d v="2017-03-10T00:00:00"/>
    <x v="645"/>
    <x v="3"/>
    <x v="1"/>
    <x v="10"/>
    <x v="823"/>
    <x v="2596"/>
    <n v="3"/>
    <x v="2515"/>
  </r>
  <r>
    <d v="2017-03-10T00:00:00"/>
    <x v="254"/>
    <x v="9"/>
    <x v="0"/>
    <x v="0"/>
    <x v="901"/>
    <x v="70"/>
    <n v="3"/>
    <x v="366"/>
  </r>
  <r>
    <d v="2017-03-10T00:00:00"/>
    <x v="254"/>
    <x v="9"/>
    <x v="0"/>
    <x v="13"/>
    <x v="1542"/>
    <x v="1523"/>
    <n v="5"/>
    <x v="1009"/>
  </r>
  <r>
    <d v="2017-03-10T00:00:00"/>
    <x v="435"/>
    <x v="12"/>
    <x v="1"/>
    <x v="8"/>
    <x v="1336"/>
    <x v="423"/>
    <n v="4"/>
    <x v="2516"/>
  </r>
  <r>
    <d v="2017-03-10T00:00:00"/>
    <x v="435"/>
    <x v="12"/>
    <x v="0"/>
    <x v="4"/>
    <x v="1480"/>
    <x v="2597"/>
    <n v="3"/>
    <x v="2517"/>
  </r>
  <r>
    <d v="2017-03-10T00:00:00"/>
    <x v="435"/>
    <x v="12"/>
    <x v="2"/>
    <x v="9"/>
    <x v="869"/>
    <x v="1245"/>
    <n v="3"/>
    <x v="1222"/>
  </r>
  <r>
    <d v="2017-03-10T00:00:00"/>
    <x v="130"/>
    <x v="0"/>
    <x v="0"/>
    <x v="4"/>
    <x v="798"/>
    <x v="2598"/>
    <n v="5"/>
    <x v="1597"/>
  </r>
  <r>
    <d v="2017-04-10T00:00:00"/>
    <x v="377"/>
    <x v="39"/>
    <x v="1"/>
    <x v="8"/>
    <x v="791"/>
    <x v="1489"/>
    <n v="1"/>
    <x v="2518"/>
  </r>
  <r>
    <d v="2017-05-10T00:00:00"/>
    <x v="1"/>
    <x v="12"/>
    <x v="2"/>
    <x v="6"/>
    <x v="1360"/>
    <x v="2599"/>
    <n v="7"/>
    <x v="1500"/>
  </r>
  <r>
    <d v="2017-05-10T00:00:00"/>
    <x v="1"/>
    <x v="12"/>
    <x v="0"/>
    <x v="3"/>
    <x v="824"/>
    <x v="2600"/>
    <n v="3"/>
    <x v="2519"/>
  </r>
  <r>
    <d v="2017-05-10T00:00:00"/>
    <x v="500"/>
    <x v="3"/>
    <x v="0"/>
    <x v="3"/>
    <x v="1286"/>
    <x v="1002"/>
    <n v="5"/>
    <x v="2520"/>
  </r>
  <r>
    <d v="2017-05-10T00:00:00"/>
    <x v="500"/>
    <x v="3"/>
    <x v="0"/>
    <x v="0"/>
    <x v="771"/>
    <x v="1124"/>
    <n v="2"/>
    <x v="1831"/>
  </r>
  <r>
    <d v="2017-05-10T00:00:00"/>
    <x v="500"/>
    <x v="3"/>
    <x v="0"/>
    <x v="3"/>
    <x v="358"/>
    <x v="2601"/>
    <n v="4"/>
    <x v="2521"/>
  </r>
  <r>
    <d v="2017-05-10T00:00:00"/>
    <x v="407"/>
    <x v="12"/>
    <x v="2"/>
    <x v="6"/>
    <x v="627"/>
    <x v="843"/>
    <n v="4"/>
    <x v="2522"/>
  </r>
  <r>
    <d v="2017-05-10T00:00:00"/>
    <x v="407"/>
    <x v="12"/>
    <x v="1"/>
    <x v="5"/>
    <x v="275"/>
    <x v="2602"/>
    <n v="2"/>
    <x v="2523"/>
  </r>
  <r>
    <d v="2017-05-10T00:00:00"/>
    <x v="407"/>
    <x v="12"/>
    <x v="2"/>
    <x v="16"/>
    <x v="1543"/>
    <x v="2603"/>
    <n v="4"/>
    <x v="2524"/>
  </r>
  <r>
    <d v="2017-05-10T00:00:00"/>
    <x v="111"/>
    <x v="19"/>
    <x v="2"/>
    <x v="9"/>
    <x v="1051"/>
    <x v="2604"/>
    <n v="2"/>
    <x v="2525"/>
  </r>
  <r>
    <d v="2017-05-10T00:00:00"/>
    <x v="356"/>
    <x v="3"/>
    <x v="1"/>
    <x v="5"/>
    <x v="1296"/>
    <x v="2605"/>
    <n v="4"/>
    <x v="2526"/>
  </r>
  <r>
    <d v="2017-05-10T00:00:00"/>
    <x v="356"/>
    <x v="3"/>
    <x v="0"/>
    <x v="7"/>
    <x v="22"/>
    <x v="528"/>
    <n v="5"/>
    <x v="2527"/>
  </r>
  <r>
    <d v="2017-05-10T00:00:00"/>
    <x v="356"/>
    <x v="3"/>
    <x v="0"/>
    <x v="13"/>
    <x v="1544"/>
    <x v="993"/>
    <n v="4"/>
    <x v="427"/>
  </r>
  <r>
    <d v="2017-05-10T00:00:00"/>
    <x v="356"/>
    <x v="3"/>
    <x v="1"/>
    <x v="8"/>
    <x v="782"/>
    <x v="2606"/>
    <n v="5"/>
    <x v="2528"/>
  </r>
  <r>
    <d v="2017-05-10T00:00:00"/>
    <x v="356"/>
    <x v="3"/>
    <x v="1"/>
    <x v="10"/>
    <x v="126"/>
    <x v="2607"/>
    <n v="3"/>
    <x v="1246"/>
  </r>
  <r>
    <d v="2017-05-10T00:00:00"/>
    <x v="356"/>
    <x v="3"/>
    <x v="2"/>
    <x v="6"/>
    <x v="1471"/>
    <x v="256"/>
    <n v="1"/>
    <x v="462"/>
  </r>
  <r>
    <d v="2017-06-10T00:00:00"/>
    <x v="157"/>
    <x v="24"/>
    <x v="1"/>
    <x v="8"/>
    <x v="694"/>
    <x v="1051"/>
    <n v="2"/>
    <x v="1028"/>
  </r>
  <r>
    <d v="2017-06-10T00:00:00"/>
    <x v="157"/>
    <x v="24"/>
    <x v="0"/>
    <x v="13"/>
    <x v="843"/>
    <x v="2608"/>
    <n v="4"/>
    <x v="2529"/>
  </r>
  <r>
    <d v="2017-06-10T00:00:00"/>
    <x v="157"/>
    <x v="24"/>
    <x v="0"/>
    <x v="0"/>
    <x v="909"/>
    <x v="910"/>
    <n v="2"/>
    <x v="891"/>
  </r>
  <r>
    <d v="2017-06-10T00:00:00"/>
    <x v="713"/>
    <x v="12"/>
    <x v="2"/>
    <x v="9"/>
    <x v="1545"/>
    <x v="2609"/>
    <n v="4"/>
    <x v="2530"/>
  </r>
  <r>
    <d v="2017-06-10T00:00:00"/>
    <x v="713"/>
    <x v="12"/>
    <x v="0"/>
    <x v="0"/>
    <x v="1455"/>
    <x v="1516"/>
    <n v="3"/>
    <x v="2531"/>
  </r>
  <r>
    <d v="2017-06-10T00:00:00"/>
    <x v="713"/>
    <x v="12"/>
    <x v="0"/>
    <x v="2"/>
    <x v="122"/>
    <x v="2610"/>
    <n v="3"/>
    <x v="165"/>
  </r>
  <r>
    <d v="2017-06-10T00:00:00"/>
    <x v="683"/>
    <x v="12"/>
    <x v="0"/>
    <x v="0"/>
    <x v="572"/>
    <x v="1537"/>
    <n v="1"/>
    <x v="1166"/>
  </r>
  <r>
    <d v="2017-06-10T00:00:00"/>
    <x v="234"/>
    <x v="11"/>
    <x v="0"/>
    <x v="0"/>
    <x v="849"/>
    <x v="1056"/>
    <n v="3"/>
    <x v="1032"/>
  </r>
  <r>
    <d v="2017-06-10T00:00:00"/>
    <x v="234"/>
    <x v="11"/>
    <x v="0"/>
    <x v="0"/>
    <x v="1546"/>
    <x v="1005"/>
    <n v="1"/>
    <x v="1043"/>
  </r>
  <r>
    <d v="2017-06-10T00:00:00"/>
    <x v="148"/>
    <x v="1"/>
    <x v="0"/>
    <x v="2"/>
    <x v="512"/>
    <x v="2611"/>
    <n v="2"/>
    <x v="2532"/>
  </r>
  <r>
    <d v="2017-06-10T00:00:00"/>
    <x v="148"/>
    <x v="1"/>
    <x v="0"/>
    <x v="4"/>
    <x v="1029"/>
    <x v="1034"/>
    <n v="2"/>
    <x v="780"/>
  </r>
  <r>
    <d v="2017-06-10T00:00:00"/>
    <x v="31"/>
    <x v="23"/>
    <x v="0"/>
    <x v="4"/>
    <x v="926"/>
    <x v="16"/>
    <n v="2"/>
    <x v="2533"/>
  </r>
  <r>
    <d v="2017-07-10T00:00:00"/>
    <x v="625"/>
    <x v="3"/>
    <x v="1"/>
    <x v="12"/>
    <x v="834"/>
    <x v="2612"/>
    <n v="2"/>
    <x v="1639"/>
  </r>
  <r>
    <d v="2017-07-10T00:00:00"/>
    <x v="426"/>
    <x v="3"/>
    <x v="2"/>
    <x v="9"/>
    <x v="869"/>
    <x v="2613"/>
    <n v="9"/>
    <x v="2534"/>
  </r>
  <r>
    <d v="2017-07-10T00:00:00"/>
    <x v="426"/>
    <x v="3"/>
    <x v="2"/>
    <x v="6"/>
    <x v="1360"/>
    <x v="2614"/>
    <n v="7"/>
    <x v="2535"/>
  </r>
  <r>
    <d v="2017-07-10T00:00:00"/>
    <x v="426"/>
    <x v="3"/>
    <x v="2"/>
    <x v="6"/>
    <x v="1471"/>
    <x v="1347"/>
    <n v="10"/>
    <x v="2528"/>
  </r>
  <r>
    <d v="2017-07-10T00:00:00"/>
    <x v="242"/>
    <x v="15"/>
    <x v="0"/>
    <x v="2"/>
    <x v="512"/>
    <x v="2615"/>
    <n v="4"/>
    <x v="2536"/>
  </r>
  <r>
    <d v="2017-07-10T00:00:00"/>
    <x v="242"/>
    <x v="15"/>
    <x v="0"/>
    <x v="7"/>
    <x v="22"/>
    <x v="1552"/>
    <n v="3"/>
    <x v="316"/>
  </r>
  <r>
    <d v="2017-07-10T00:00:00"/>
    <x v="242"/>
    <x v="15"/>
    <x v="2"/>
    <x v="6"/>
    <x v="549"/>
    <x v="2616"/>
    <n v="2"/>
    <x v="928"/>
  </r>
  <r>
    <d v="2017-07-10T00:00:00"/>
    <x v="242"/>
    <x v="15"/>
    <x v="0"/>
    <x v="3"/>
    <x v="363"/>
    <x v="2617"/>
    <n v="6"/>
    <x v="2537"/>
  </r>
  <r>
    <d v="2017-07-10T00:00:00"/>
    <x v="242"/>
    <x v="15"/>
    <x v="1"/>
    <x v="10"/>
    <x v="126"/>
    <x v="125"/>
    <n v="3"/>
    <x v="128"/>
  </r>
  <r>
    <d v="2017-07-10T00:00:00"/>
    <x v="287"/>
    <x v="0"/>
    <x v="0"/>
    <x v="3"/>
    <x v="1547"/>
    <x v="2618"/>
    <n v="5"/>
    <x v="2538"/>
  </r>
  <r>
    <d v="2017-07-10T00:00:00"/>
    <x v="572"/>
    <x v="18"/>
    <x v="0"/>
    <x v="2"/>
    <x v="653"/>
    <x v="747"/>
    <n v="2"/>
    <x v="730"/>
  </r>
  <r>
    <d v="2017-08-10T00:00:00"/>
    <x v="19"/>
    <x v="3"/>
    <x v="2"/>
    <x v="6"/>
    <x v="760"/>
    <x v="2619"/>
    <n v="1"/>
    <x v="2539"/>
  </r>
  <r>
    <d v="2017-08-10T00:00:00"/>
    <x v="19"/>
    <x v="3"/>
    <x v="2"/>
    <x v="9"/>
    <x v="884"/>
    <x v="1981"/>
    <n v="2"/>
    <x v="1936"/>
  </r>
  <r>
    <d v="2017-08-10T00:00:00"/>
    <x v="19"/>
    <x v="3"/>
    <x v="2"/>
    <x v="9"/>
    <x v="1215"/>
    <x v="2620"/>
    <n v="4"/>
    <x v="2540"/>
  </r>
  <r>
    <d v="2017-08-10T00:00:00"/>
    <x v="19"/>
    <x v="3"/>
    <x v="0"/>
    <x v="2"/>
    <x v="1382"/>
    <x v="2088"/>
    <n v="2"/>
    <x v="861"/>
  </r>
  <r>
    <d v="2017-08-10T00:00:00"/>
    <x v="246"/>
    <x v="40"/>
    <x v="0"/>
    <x v="2"/>
    <x v="653"/>
    <x v="763"/>
    <n v="1"/>
    <x v="747"/>
  </r>
  <r>
    <d v="2017-08-10T00:00:00"/>
    <x v="633"/>
    <x v="12"/>
    <x v="1"/>
    <x v="5"/>
    <x v="865"/>
    <x v="1709"/>
    <n v="2"/>
    <x v="274"/>
  </r>
  <r>
    <d v="2017-09-10T00:00:00"/>
    <x v="352"/>
    <x v="15"/>
    <x v="0"/>
    <x v="0"/>
    <x v="937"/>
    <x v="2621"/>
    <n v="4"/>
    <x v="511"/>
  </r>
  <r>
    <d v="2017-09-10T00:00:00"/>
    <x v="18"/>
    <x v="1"/>
    <x v="1"/>
    <x v="10"/>
    <x v="66"/>
    <x v="2622"/>
    <n v="5"/>
    <x v="2541"/>
  </r>
  <r>
    <d v="2017-09-10T00:00:00"/>
    <x v="18"/>
    <x v="1"/>
    <x v="1"/>
    <x v="10"/>
    <x v="1143"/>
    <x v="2623"/>
    <n v="3"/>
    <x v="2542"/>
  </r>
  <r>
    <d v="2017-09-10T00:00:00"/>
    <x v="297"/>
    <x v="16"/>
    <x v="1"/>
    <x v="8"/>
    <x v="1535"/>
    <x v="2624"/>
    <n v="4"/>
    <x v="64"/>
  </r>
  <r>
    <d v="2017-09-10T00:00:00"/>
    <x v="714"/>
    <x v="12"/>
    <x v="0"/>
    <x v="3"/>
    <x v="1023"/>
    <x v="2625"/>
    <n v="3"/>
    <x v="720"/>
  </r>
  <r>
    <d v="2017-09-10T00:00:00"/>
    <x v="714"/>
    <x v="12"/>
    <x v="1"/>
    <x v="12"/>
    <x v="1485"/>
    <x v="2265"/>
    <n v="3"/>
    <x v="2200"/>
  </r>
  <r>
    <d v="2017-09-10T00:00:00"/>
    <x v="714"/>
    <x v="12"/>
    <x v="0"/>
    <x v="0"/>
    <x v="1548"/>
    <x v="2626"/>
    <n v="2"/>
    <x v="1779"/>
  </r>
  <r>
    <d v="2017-09-10T00:00:00"/>
    <x v="714"/>
    <x v="12"/>
    <x v="0"/>
    <x v="3"/>
    <x v="800"/>
    <x v="2404"/>
    <n v="6"/>
    <x v="260"/>
  </r>
  <r>
    <d v="2017-09-10T00:00:00"/>
    <x v="170"/>
    <x v="0"/>
    <x v="0"/>
    <x v="4"/>
    <x v="366"/>
    <x v="1794"/>
    <n v="7"/>
    <x v="232"/>
  </r>
  <r>
    <d v="2017-09-10T00:00:00"/>
    <x v="170"/>
    <x v="0"/>
    <x v="1"/>
    <x v="5"/>
    <x v="1549"/>
    <x v="2627"/>
    <n v="3"/>
    <x v="2543"/>
  </r>
  <r>
    <d v="2017-09-10T00:00:00"/>
    <x v="234"/>
    <x v="3"/>
    <x v="0"/>
    <x v="0"/>
    <x v="1550"/>
    <x v="2628"/>
    <n v="5"/>
    <x v="2544"/>
  </r>
  <r>
    <d v="2017-10-10T00:00:00"/>
    <x v="463"/>
    <x v="1"/>
    <x v="1"/>
    <x v="5"/>
    <x v="941"/>
    <x v="2629"/>
    <n v="3"/>
    <x v="2545"/>
  </r>
  <r>
    <d v="2017-12-10T00:00:00"/>
    <x v="92"/>
    <x v="1"/>
    <x v="1"/>
    <x v="5"/>
    <x v="1131"/>
    <x v="2630"/>
    <n v="14"/>
    <x v="701"/>
  </r>
  <r>
    <d v="2017-12-10T00:00:00"/>
    <x v="690"/>
    <x v="15"/>
    <x v="0"/>
    <x v="0"/>
    <x v="1551"/>
    <x v="866"/>
    <n v="2"/>
    <x v="371"/>
  </r>
  <r>
    <d v="2017-12-10T00:00:00"/>
    <x v="678"/>
    <x v="38"/>
    <x v="2"/>
    <x v="9"/>
    <x v="375"/>
    <x v="2631"/>
    <n v="5"/>
    <x v="2546"/>
  </r>
  <r>
    <d v="2017-12-10T00:00:00"/>
    <x v="678"/>
    <x v="38"/>
    <x v="0"/>
    <x v="3"/>
    <x v="1202"/>
    <x v="2632"/>
    <n v="3"/>
    <x v="664"/>
  </r>
  <r>
    <d v="2017-12-10T00:00:00"/>
    <x v="715"/>
    <x v="3"/>
    <x v="2"/>
    <x v="9"/>
    <x v="1552"/>
    <x v="2633"/>
    <n v="1"/>
    <x v="782"/>
  </r>
  <r>
    <d v="2017-12-10T00:00:00"/>
    <x v="715"/>
    <x v="3"/>
    <x v="0"/>
    <x v="3"/>
    <x v="1328"/>
    <x v="2634"/>
    <n v="5"/>
    <x v="2547"/>
  </r>
  <r>
    <d v="2017-12-10T00:00:00"/>
    <x v="706"/>
    <x v="3"/>
    <x v="2"/>
    <x v="9"/>
    <x v="198"/>
    <x v="2635"/>
    <n v="12"/>
    <x v="2548"/>
  </r>
  <r>
    <d v="2017-12-10T00:00:00"/>
    <x v="706"/>
    <x v="3"/>
    <x v="0"/>
    <x v="4"/>
    <x v="533"/>
    <x v="442"/>
    <n v="2"/>
    <x v="2549"/>
  </r>
  <r>
    <d v="2017-12-10T00:00:00"/>
    <x v="432"/>
    <x v="0"/>
    <x v="2"/>
    <x v="9"/>
    <x v="413"/>
    <x v="1726"/>
    <n v="2"/>
    <x v="1435"/>
  </r>
  <r>
    <d v="2017-12-10T00:00:00"/>
    <x v="716"/>
    <x v="11"/>
    <x v="2"/>
    <x v="9"/>
    <x v="915"/>
    <x v="439"/>
    <n v="3"/>
    <x v="393"/>
  </r>
  <r>
    <d v="2017-12-10T00:00:00"/>
    <x v="716"/>
    <x v="11"/>
    <x v="0"/>
    <x v="7"/>
    <x v="1307"/>
    <x v="446"/>
    <n v="5"/>
    <x v="923"/>
  </r>
  <r>
    <d v="2017-12-10T00:00:00"/>
    <x v="716"/>
    <x v="11"/>
    <x v="1"/>
    <x v="8"/>
    <x v="1518"/>
    <x v="1837"/>
    <n v="2"/>
    <x v="2550"/>
  </r>
  <r>
    <d v="2017-12-10T00:00:00"/>
    <x v="716"/>
    <x v="11"/>
    <x v="1"/>
    <x v="12"/>
    <x v="1553"/>
    <x v="2636"/>
    <n v="5"/>
    <x v="2551"/>
  </r>
  <r>
    <d v="2017-12-10T00:00:00"/>
    <x v="176"/>
    <x v="0"/>
    <x v="2"/>
    <x v="6"/>
    <x v="1554"/>
    <x v="2637"/>
    <n v="7"/>
    <x v="2552"/>
  </r>
  <r>
    <d v="2017-12-10T00:00:00"/>
    <x v="176"/>
    <x v="0"/>
    <x v="0"/>
    <x v="0"/>
    <x v="1085"/>
    <x v="148"/>
    <n v="2"/>
    <x v="1745"/>
  </r>
  <r>
    <d v="2017-12-10T00:00:00"/>
    <x v="176"/>
    <x v="0"/>
    <x v="2"/>
    <x v="9"/>
    <x v="1475"/>
    <x v="2638"/>
    <n v="3"/>
    <x v="2553"/>
  </r>
  <r>
    <d v="2017-12-10T00:00:00"/>
    <x v="21"/>
    <x v="46"/>
    <x v="1"/>
    <x v="10"/>
    <x v="1217"/>
    <x v="2639"/>
    <n v="3"/>
    <x v="2554"/>
  </r>
  <r>
    <d v="2017-12-10T00:00:00"/>
    <x v="523"/>
    <x v="12"/>
    <x v="0"/>
    <x v="0"/>
    <x v="887"/>
    <x v="2640"/>
    <n v="2"/>
    <x v="2015"/>
  </r>
  <r>
    <d v="2017-01-11T00:00:00"/>
    <x v="341"/>
    <x v="10"/>
    <x v="0"/>
    <x v="3"/>
    <x v="785"/>
    <x v="1583"/>
    <n v="5"/>
    <x v="2555"/>
  </r>
  <r>
    <d v="2017-01-11T00:00:00"/>
    <x v="341"/>
    <x v="10"/>
    <x v="1"/>
    <x v="10"/>
    <x v="1362"/>
    <x v="2641"/>
    <n v="9"/>
    <x v="2556"/>
  </r>
  <r>
    <d v="2017-01-11T00:00:00"/>
    <x v="217"/>
    <x v="20"/>
    <x v="0"/>
    <x v="0"/>
    <x v="1107"/>
    <x v="2065"/>
    <n v="10"/>
    <x v="2557"/>
  </r>
  <r>
    <d v="2017-01-11T00:00:00"/>
    <x v="217"/>
    <x v="20"/>
    <x v="0"/>
    <x v="0"/>
    <x v="572"/>
    <x v="1537"/>
    <n v="1"/>
    <x v="1166"/>
  </r>
  <r>
    <d v="2017-02-11T00:00:00"/>
    <x v="249"/>
    <x v="10"/>
    <x v="0"/>
    <x v="0"/>
    <x v="681"/>
    <x v="2642"/>
    <n v="5"/>
    <x v="2558"/>
  </r>
  <r>
    <d v="2017-02-11T00:00:00"/>
    <x v="403"/>
    <x v="36"/>
    <x v="0"/>
    <x v="7"/>
    <x v="22"/>
    <x v="2404"/>
    <n v="3"/>
    <x v="323"/>
  </r>
  <r>
    <d v="2017-02-11T00:00:00"/>
    <x v="403"/>
    <x v="36"/>
    <x v="0"/>
    <x v="4"/>
    <x v="121"/>
    <x v="2643"/>
    <n v="6"/>
    <x v="2559"/>
  </r>
  <r>
    <d v="2017-02-11T00:00:00"/>
    <x v="717"/>
    <x v="3"/>
    <x v="0"/>
    <x v="11"/>
    <x v="861"/>
    <x v="2644"/>
    <n v="7"/>
    <x v="2560"/>
  </r>
  <r>
    <d v="2017-02-11T00:00:00"/>
    <x v="717"/>
    <x v="3"/>
    <x v="0"/>
    <x v="4"/>
    <x v="428"/>
    <x v="2645"/>
    <n v="5"/>
    <x v="2561"/>
  </r>
  <r>
    <d v="2017-02-11T00:00:00"/>
    <x v="717"/>
    <x v="3"/>
    <x v="0"/>
    <x v="3"/>
    <x v="1000"/>
    <x v="1302"/>
    <n v="6"/>
    <x v="1278"/>
  </r>
  <r>
    <d v="2017-02-11T00:00:00"/>
    <x v="717"/>
    <x v="3"/>
    <x v="0"/>
    <x v="7"/>
    <x v="357"/>
    <x v="270"/>
    <n v="3"/>
    <x v="2562"/>
  </r>
  <r>
    <d v="2017-02-11T00:00:00"/>
    <x v="717"/>
    <x v="3"/>
    <x v="1"/>
    <x v="8"/>
    <x v="1555"/>
    <x v="2646"/>
    <n v="3"/>
    <x v="2563"/>
  </r>
  <r>
    <d v="2017-02-11T00:00:00"/>
    <x v="717"/>
    <x v="3"/>
    <x v="0"/>
    <x v="2"/>
    <x v="1556"/>
    <x v="2647"/>
    <n v="7"/>
    <x v="363"/>
  </r>
  <r>
    <d v="2017-02-11T00:00:00"/>
    <x v="308"/>
    <x v="5"/>
    <x v="0"/>
    <x v="11"/>
    <x v="459"/>
    <x v="2648"/>
    <n v="2"/>
    <x v="2564"/>
  </r>
  <r>
    <d v="2017-02-11T00:00:00"/>
    <x v="308"/>
    <x v="5"/>
    <x v="1"/>
    <x v="5"/>
    <x v="423"/>
    <x v="443"/>
    <n v="4"/>
    <x v="1476"/>
  </r>
  <r>
    <d v="2017-02-11T00:00:00"/>
    <x v="308"/>
    <x v="5"/>
    <x v="2"/>
    <x v="9"/>
    <x v="1222"/>
    <x v="2649"/>
    <n v="9"/>
    <x v="2565"/>
  </r>
  <r>
    <d v="2017-02-11T00:00:00"/>
    <x v="308"/>
    <x v="5"/>
    <x v="0"/>
    <x v="2"/>
    <x v="1130"/>
    <x v="2650"/>
    <n v="4"/>
    <x v="1868"/>
  </r>
  <r>
    <d v="2017-02-11T00:00:00"/>
    <x v="586"/>
    <x v="2"/>
    <x v="1"/>
    <x v="8"/>
    <x v="1557"/>
    <x v="2651"/>
    <n v="1"/>
    <x v="2566"/>
  </r>
  <r>
    <d v="2017-02-11T00:00:00"/>
    <x v="586"/>
    <x v="2"/>
    <x v="0"/>
    <x v="13"/>
    <x v="421"/>
    <x v="2652"/>
    <n v="3"/>
    <x v="2567"/>
  </r>
  <r>
    <d v="2017-02-11T00:00:00"/>
    <x v="586"/>
    <x v="2"/>
    <x v="0"/>
    <x v="11"/>
    <x v="1558"/>
    <x v="889"/>
    <n v="3"/>
    <x v="2568"/>
  </r>
  <r>
    <d v="2017-02-11T00:00:00"/>
    <x v="586"/>
    <x v="2"/>
    <x v="2"/>
    <x v="6"/>
    <x v="195"/>
    <x v="2653"/>
    <n v="4"/>
    <x v="2569"/>
  </r>
  <r>
    <d v="2017-02-11T00:00:00"/>
    <x v="521"/>
    <x v="30"/>
    <x v="0"/>
    <x v="0"/>
    <x v="446"/>
    <x v="5"/>
    <n v="3"/>
    <x v="5"/>
  </r>
  <r>
    <d v="2017-02-11T00:00:00"/>
    <x v="348"/>
    <x v="16"/>
    <x v="0"/>
    <x v="14"/>
    <x v="1105"/>
    <x v="2654"/>
    <n v="2"/>
    <x v="2570"/>
  </r>
  <r>
    <d v="2017-02-11T00:00:00"/>
    <x v="378"/>
    <x v="3"/>
    <x v="0"/>
    <x v="13"/>
    <x v="1482"/>
    <x v="2419"/>
    <n v="5"/>
    <x v="2352"/>
  </r>
  <r>
    <d v="2017-02-11T00:00:00"/>
    <x v="356"/>
    <x v="1"/>
    <x v="0"/>
    <x v="4"/>
    <x v="1278"/>
    <x v="2655"/>
    <n v="4"/>
    <x v="374"/>
  </r>
  <r>
    <d v="2017-02-11T00:00:00"/>
    <x v="716"/>
    <x v="14"/>
    <x v="0"/>
    <x v="13"/>
    <x v="421"/>
    <x v="2656"/>
    <n v="10"/>
    <x v="2571"/>
  </r>
  <r>
    <d v="2017-02-11T00:00:00"/>
    <x v="716"/>
    <x v="14"/>
    <x v="0"/>
    <x v="0"/>
    <x v="457"/>
    <x v="927"/>
    <n v="2"/>
    <x v="423"/>
  </r>
  <r>
    <d v="2017-02-11T00:00:00"/>
    <x v="718"/>
    <x v="16"/>
    <x v="1"/>
    <x v="5"/>
    <x v="830"/>
    <x v="2657"/>
    <n v="2"/>
    <x v="2572"/>
  </r>
  <r>
    <d v="2017-02-11T00:00:00"/>
    <x v="271"/>
    <x v="6"/>
    <x v="0"/>
    <x v="4"/>
    <x v="1364"/>
    <x v="295"/>
    <n v="2"/>
    <x v="2573"/>
  </r>
  <r>
    <d v="2017-03-11T00:00:00"/>
    <x v="651"/>
    <x v="31"/>
    <x v="1"/>
    <x v="8"/>
    <x v="386"/>
    <x v="510"/>
    <n v="1"/>
    <x v="385"/>
  </r>
  <r>
    <d v="2017-03-11T00:00:00"/>
    <x v="719"/>
    <x v="10"/>
    <x v="0"/>
    <x v="0"/>
    <x v="1168"/>
    <x v="2658"/>
    <n v="7"/>
    <x v="2574"/>
  </r>
  <r>
    <d v="2017-03-11T00:00:00"/>
    <x v="719"/>
    <x v="10"/>
    <x v="1"/>
    <x v="5"/>
    <x v="1559"/>
    <x v="2659"/>
    <n v="4"/>
    <x v="1974"/>
  </r>
  <r>
    <d v="2017-03-11T00:00:00"/>
    <x v="425"/>
    <x v="4"/>
    <x v="0"/>
    <x v="1"/>
    <x v="957"/>
    <x v="604"/>
    <n v="3"/>
    <x v="969"/>
  </r>
  <r>
    <d v="2017-03-11T00:00:00"/>
    <x v="720"/>
    <x v="38"/>
    <x v="1"/>
    <x v="8"/>
    <x v="288"/>
    <x v="2660"/>
    <n v="3"/>
    <x v="2575"/>
  </r>
  <r>
    <d v="2017-03-11T00:00:00"/>
    <x v="213"/>
    <x v="28"/>
    <x v="0"/>
    <x v="0"/>
    <x v="57"/>
    <x v="221"/>
    <n v="2"/>
    <x v="1818"/>
  </r>
  <r>
    <d v="2017-03-11T00:00:00"/>
    <x v="213"/>
    <x v="28"/>
    <x v="0"/>
    <x v="2"/>
    <x v="862"/>
    <x v="2661"/>
    <n v="5"/>
    <x v="2576"/>
  </r>
  <r>
    <d v="2017-03-11T00:00:00"/>
    <x v="213"/>
    <x v="28"/>
    <x v="0"/>
    <x v="1"/>
    <x v="222"/>
    <x v="41"/>
    <n v="3"/>
    <x v="41"/>
  </r>
  <r>
    <d v="2017-03-11T00:00:00"/>
    <x v="404"/>
    <x v="2"/>
    <x v="0"/>
    <x v="3"/>
    <x v="1494"/>
    <x v="1617"/>
    <n v="3"/>
    <x v="2577"/>
  </r>
  <r>
    <d v="2017-03-11T00:00:00"/>
    <x v="35"/>
    <x v="10"/>
    <x v="2"/>
    <x v="9"/>
    <x v="801"/>
    <x v="2662"/>
    <n v="3"/>
    <x v="1379"/>
  </r>
  <r>
    <d v="2017-03-11T00:00:00"/>
    <x v="557"/>
    <x v="5"/>
    <x v="0"/>
    <x v="0"/>
    <x v="776"/>
    <x v="1122"/>
    <n v="5"/>
    <x v="1093"/>
  </r>
  <r>
    <d v="2017-03-11T00:00:00"/>
    <x v="99"/>
    <x v="3"/>
    <x v="0"/>
    <x v="0"/>
    <x v="1560"/>
    <x v="2663"/>
    <n v="6"/>
    <x v="2578"/>
  </r>
  <r>
    <d v="2017-03-11T00:00:00"/>
    <x v="692"/>
    <x v="9"/>
    <x v="2"/>
    <x v="6"/>
    <x v="436"/>
    <x v="2664"/>
    <n v="2"/>
    <x v="2579"/>
  </r>
  <r>
    <d v="2017-03-11T00:00:00"/>
    <x v="721"/>
    <x v="2"/>
    <x v="2"/>
    <x v="9"/>
    <x v="1031"/>
    <x v="791"/>
    <n v="3"/>
    <x v="2580"/>
  </r>
  <r>
    <d v="2017-03-11T00:00:00"/>
    <x v="722"/>
    <x v="3"/>
    <x v="2"/>
    <x v="9"/>
    <x v="699"/>
    <x v="1475"/>
    <n v="5"/>
    <x v="1453"/>
  </r>
  <r>
    <d v="2017-03-11T00:00:00"/>
    <x v="722"/>
    <x v="3"/>
    <x v="1"/>
    <x v="10"/>
    <x v="752"/>
    <x v="2665"/>
    <n v="12"/>
    <x v="2581"/>
  </r>
  <r>
    <d v="2017-03-11T00:00:00"/>
    <x v="188"/>
    <x v="15"/>
    <x v="0"/>
    <x v="0"/>
    <x v="1561"/>
    <x v="1097"/>
    <n v="3"/>
    <x v="2582"/>
  </r>
  <r>
    <d v="2017-03-11T00:00:00"/>
    <x v="4"/>
    <x v="10"/>
    <x v="0"/>
    <x v="3"/>
    <x v="982"/>
    <x v="2666"/>
    <n v="4"/>
    <x v="2583"/>
  </r>
  <r>
    <d v="2017-03-11T00:00:00"/>
    <x v="604"/>
    <x v="3"/>
    <x v="1"/>
    <x v="10"/>
    <x v="144"/>
    <x v="2667"/>
    <n v="4"/>
    <x v="2584"/>
  </r>
  <r>
    <d v="2017-03-11T00:00:00"/>
    <x v="339"/>
    <x v="9"/>
    <x v="2"/>
    <x v="15"/>
    <x v="1562"/>
    <x v="1071"/>
    <n v="2"/>
    <x v="2585"/>
  </r>
  <r>
    <d v="2017-03-11T00:00:00"/>
    <x v="339"/>
    <x v="9"/>
    <x v="0"/>
    <x v="3"/>
    <x v="518"/>
    <x v="2668"/>
    <n v="2"/>
    <x v="510"/>
  </r>
  <r>
    <d v="2017-03-11T00:00:00"/>
    <x v="339"/>
    <x v="9"/>
    <x v="0"/>
    <x v="4"/>
    <x v="463"/>
    <x v="489"/>
    <n v="2"/>
    <x v="381"/>
  </r>
  <r>
    <d v="2017-03-11T00:00:00"/>
    <x v="339"/>
    <x v="9"/>
    <x v="0"/>
    <x v="0"/>
    <x v="1111"/>
    <x v="725"/>
    <n v="2"/>
    <x v="527"/>
  </r>
  <r>
    <d v="2017-04-11T00:00:00"/>
    <x v="116"/>
    <x v="15"/>
    <x v="2"/>
    <x v="16"/>
    <x v="1563"/>
    <x v="2669"/>
    <n v="4"/>
    <x v="2586"/>
  </r>
  <r>
    <d v="2017-04-11T00:00:00"/>
    <x v="116"/>
    <x v="15"/>
    <x v="0"/>
    <x v="13"/>
    <x v="1228"/>
    <x v="2670"/>
    <n v="2"/>
    <x v="2587"/>
  </r>
  <r>
    <d v="2017-04-11T00:00:00"/>
    <x v="322"/>
    <x v="31"/>
    <x v="0"/>
    <x v="0"/>
    <x v="1564"/>
    <x v="2590"/>
    <n v="2"/>
    <x v="2588"/>
  </r>
  <r>
    <d v="2017-04-11T00:00:00"/>
    <x v="197"/>
    <x v="0"/>
    <x v="0"/>
    <x v="1"/>
    <x v="430"/>
    <x v="742"/>
    <n v="2"/>
    <x v="725"/>
  </r>
  <r>
    <d v="2017-04-11T00:00:00"/>
    <x v="619"/>
    <x v="15"/>
    <x v="1"/>
    <x v="10"/>
    <x v="296"/>
    <x v="2671"/>
    <n v="3"/>
    <x v="2589"/>
  </r>
  <r>
    <d v="2017-04-11T00:00:00"/>
    <x v="619"/>
    <x v="15"/>
    <x v="2"/>
    <x v="6"/>
    <x v="1565"/>
    <x v="2672"/>
    <n v="5"/>
    <x v="2590"/>
  </r>
  <r>
    <d v="2017-04-11T00:00:00"/>
    <x v="523"/>
    <x v="31"/>
    <x v="2"/>
    <x v="9"/>
    <x v="250"/>
    <x v="357"/>
    <n v="3"/>
    <x v="2591"/>
  </r>
  <r>
    <d v="2017-04-11T00:00:00"/>
    <x v="523"/>
    <x v="31"/>
    <x v="2"/>
    <x v="6"/>
    <x v="1531"/>
    <x v="2673"/>
    <n v="9"/>
    <x v="2592"/>
  </r>
  <r>
    <d v="2017-04-11T00:00:00"/>
    <x v="523"/>
    <x v="31"/>
    <x v="0"/>
    <x v="3"/>
    <x v="176"/>
    <x v="1919"/>
    <n v="2"/>
    <x v="2593"/>
  </r>
  <r>
    <d v="2017-04-11T00:00:00"/>
    <x v="523"/>
    <x v="31"/>
    <x v="0"/>
    <x v="1"/>
    <x v="164"/>
    <x v="494"/>
    <n v="2"/>
    <x v="493"/>
  </r>
  <r>
    <d v="2017-04-11T00:00:00"/>
    <x v="360"/>
    <x v="0"/>
    <x v="0"/>
    <x v="3"/>
    <x v="785"/>
    <x v="2674"/>
    <n v="6"/>
    <x v="2594"/>
  </r>
  <r>
    <d v="2017-04-11T00:00:00"/>
    <x v="360"/>
    <x v="0"/>
    <x v="0"/>
    <x v="3"/>
    <x v="299"/>
    <x v="1871"/>
    <n v="2"/>
    <x v="2595"/>
  </r>
  <r>
    <d v="2017-04-11T00:00:00"/>
    <x v="360"/>
    <x v="0"/>
    <x v="0"/>
    <x v="3"/>
    <x v="449"/>
    <x v="2675"/>
    <n v="4"/>
    <x v="2515"/>
  </r>
  <r>
    <d v="2017-04-11T00:00:00"/>
    <x v="360"/>
    <x v="0"/>
    <x v="0"/>
    <x v="2"/>
    <x v="621"/>
    <x v="2676"/>
    <n v="3"/>
    <x v="2082"/>
  </r>
  <r>
    <d v="2017-04-11T00:00:00"/>
    <x v="503"/>
    <x v="16"/>
    <x v="2"/>
    <x v="9"/>
    <x v="914"/>
    <x v="2677"/>
    <n v="4"/>
    <x v="2596"/>
  </r>
  <r>
    <d v="2017-04-11T00:00:00"/>
    <x v="503"/>
    <x v="16"/>
    <x v="0"/>
    <x v="2"/>
    <x v="76"/>
    <x v="1541"/>
    <n v="3"/>
    <x v="2597"/>
  </r>
  <r>
    <d v="2017-04-11T00:00:00"/>
    <x v="498"/>
    <x v="29"/>
    <x v="0"/>
    <x v="4"/>
    <x v="808"/>
    <x v="2678"/>
    <n v="2"/>
    <x v="654"/>
  </r>
  <r>
    <d v="2017-05-11T00:00:00"/>
    <x v="606"/>
    <x v="23"/>
    <x v="0"/>
    <x v="3"/>
    <x v="866"/>
    <x v="679"/>
    <n v="2"/>
    <x v="2598"/>
  </r>
  <r>
    <d v="2017-05-11T00:00:00"/>
    <x v="606"/>
    <x v="23"/>
    <x v="0"/>
    <x v="2"/>
    <x v="526"/>
    <x v="2166"/>
    <n v="7"/>
    <x v="2599"/>
  </r>
  <r>
    <d v="2017-05-11T00:00:00"/>
    <x v="70"/>
    <x v="38"/>
    <x v="2"/>
    <x v="9"/>
    <x v="265"/>
    <x v="2679"/>
    <n v="1"/>
    <x v="2600"/>
  </r>
  <r>
    <d v="2017-05-11T00:00:00"/>
    <x v="723"/>
    <x v="12"/>
    <x v="2"/>
    <x v="9"/>
    <x v="21"/>
    <x v="2680"/>
    <n v="5"/>
    <x v="2601"/>
  </r>
  <r>
    <d v="2017-05-11T00:00:00"/>
    <x v="342"/>
    <x v="1"/>
    <x v="0"/>
    <x v="3"/>
    <x v="401"/>
    <x v="316"/>
    <n v="5"/>
    <x v="2602"/>
  </r>
  <r>
    <d v="2017-05-11T00:00:00"/>
    <x v="294"/>
    <x v="0"/>
    <x v="2"/>
    <x v="6"/>
    <x v="704"/>
    <x v="2681"/>
    <n v="4"/>
    <x v="2603"/>
  </r>
  <r>
    <d v="2017-05-11T00:00:00"/>
    <x v="289"/>
    <x v="3"/>
    <x v="0"/>
    <x v="0"/>
    <x v="1325"/>
    <x v="113"/>
    <n v="2"/>
    <x v="411"/>
  </r>
  <r>
    <d v="2017-05-11T00:00:00"/>
    <x v="724"/>
    <x v="12"/>
    <x v="0"/>
    <x v="3"/>
    <x v="716"/>
    <x v="2682"/>
    <n v="6"/>
    <x v="2604"/>
  </r>
  <r>
    <d v="2017-05-11T00:00:00"/>
    <x v="724"/>
    <x v="12"/>
    <x v="1"/>
    <x v="10"/>
    <x v="182"/>
    <x v="1386"/>
    <n v="2"/>
    <x v="2605"/>
  </r>
  <r>
    <d v="2017-05-11T00:00:00"/>
    <x v="724"/>
    <x v="12"/>
    <x v="0"/>
    <x v="0"/>
    <x v="912"/>
    <x v="113"/>
    <n v="2"/>
    <x v="411"/>
  </r>
  <r>
    <d v="2017-05-11T00:00:00"/>
    <x v="724"/>
    <x v="12"/>
    <x v="0"/>
    <x v="0"/>
    <x v="112"/>
    <x v="339"/>
    <n v="2"/>
    <x v="341"/>
  </r>
  <r>
    <d v="2017-05-11T00:00:00"/>
    <x v="724"/>
    <x v="12"/>
    <x v="2"/>
    <x v="6"/>
    <x v="1068"/>
    <x v="112"/>
    <n v="2"/>
    <x v="1108"/>
  </r>
  <r>
    <d v="2017-05-11T00:00:00"/>
    <x v="724"/>
    <x v="12"/>
    <x v="0"/>
    <x v="3"/>
    <x v="707"/>
    <x v="2683"/>
    <n v="1"/>
    <x v="2606"/>
  </r>
  <r>
    <d v="2017-05-11T00:00:00"/>
    <x v="724"/>
    <x v="12"/>
    <x v="1"/>
    <x v="5"/>
    <x v="1317"/>
    <x v="2684"/>
    <n v="2"/>
    <x v="1199"/>
  </r>
  <r>
    <d v="2017-05-11T00:00:00"/>
    <x v="724"/>
    <x v="12"/>
    <x v="1"/>
    <x v="8"/>
    <x v="1426"/>
    <x v="2685"/>
    <n v="5"/>
    <x v="2607"/>
  </r>
  <r>
    <d v="2017-05-11T00:00:00"/>
    <x v="595"/>
    <x v="26"/>
    <x v="0"/>
    <x v="0"/>
    <x v="1260"/>
    <x v="2686"/>
    <n v="1"/>
    <x v="131"/>
  </r>
  <r>
    <d v="2017-05-11T00:00:00"/>
    <x v="595"/>
    <x v="26"/>
    <x v="0"/>
    <x v="0"/>
    <x v="177"/>
    <x v="545"/>
    <n v="3"/>
    <x v="542"/>
  </r>
  <r>
    <d v="2017-05-11T00:00:00"/>
    <x v="595"/>
    <x v="26"/>
    <x v="0"/>
    <x v="0"/>
    <x v="1561"/>
    <x v="186"/>
    <n v="10"/>
    <x v="2608"/>
  </r>
  <r>
    <d v="2017-06-11T00:00:00"/>
    <x v="725"/>
    <x v="35"/>
    <x v="0"/>
    <x v="3"/>
    <x v="1421"/>
    <x v="322"/>
    <n v="1"/>
    <x v="1526"/>
  </r>
  <r>
    <d v="2017-06-11T00:00:00"/>
    <x v="68"/>
    <x v="11"/>
    <x v="0"/>
    <x v="2"/>
    <x v="1566"/>
    <x v="2687"/>
    <n v="3"/>
    <x v="2609"/>
  </r>
  <r>
    <d v="2017-06-11T00:00:00"/>
    <x v="659"/>
    <x v="5"/>
    <x v="0"/>
    <x v="0"/>
    <x v="632"/>
    <x v="179"/>
    <n v="1"/>
    <x v="2406"/>
  </r>
  <r>
    <d v="2017-06-11T00:00:00"/>
    <x v="533"/>
    <x v="3"/>
    <x v="0"/>
    <x v="11"/>
    <x v="481"/>
    <x v="225"/>
    <n v="2"/>
    <x v="228"/>
  </r>
  <r>
    <d v="2017-06-11T00:00:00"/>
    <x v="533"/>
    <x v="3"/>
    <x v="1"/>
    <x v="8"/>
    <x v="1186"/>
    <x v="2688"/>
    <n v="1"/>
    <x v="2610"/>
  </r>
  <r>
    <d v="2017-06-11T00:00:00"/>
    <x v="533"/>
    <x v="3"/>
    <x v="0"/>
    <x v="4"/>
    <x v="676"/>
    <x v="322"/>
    <n v="2"/>
    <x v="764"/>
  </r>
  <r>
    <d v="2017-06-11T00:00:00"/>
    <x v="241"/>
    <x v="15"/>
    <x v="0"/>
    <x v="13"/>
    <x v="1181"/>
    <x v="2689"/>
    <n v="3"/>
    <x v="2352"/>
  </r>
  <r>
    <d v="2017-06-11T00:00:00"/>
    <x v="241"/>
    <x v="15"/>
    <x v="0"/>
    <x v="0"/>
    <x v="446"/>
    <x v="378"/>
    <n v="6"/>
    <x v="380"/>
  </r>
  <r>
    <d v="2017-06-11T00:00:00"/>
    <x v="241"/>
    <x v="15"/>
    <x v="0"/>
    <x v="3"/>
    <x v="26"/>
    <x v="26"/>
    <n v="8"/>
    <x v="2611"/>
  </r>
  <r>
    <d v="2017-06-11T00:00:00"/>
    <x v="241"/>
    <x v="15"/>
    <x v="1"/>
    <x v="8"/>
    <x v="528"/>
    <x v="2690"/>
    <n v="2"/>
    <x v="2612"/>
  </r>
  <r>
    <d v="2017-06-11T00:00:00"/>
    <x v="241"/>
    <x v="15"/>
    <x v="0"/>
    <x v="2"/>
    <x v="425"/>
    <x v="2691"/>
    <n v="4"/>
    <x v="2613"/>
  </r>
  <r>
    <d v="2017-06-11T00:00:00"/>
    <x v="435"/>
    <x v="28"/>
    <x v="0"/>
    <x v="4"/>
    <x v="1567"/>
    <x v="1290"/>
    <n v="5"/>
    <x v="2069"/>
  </r>
  <r>
    <d v="2017-06-11T00:00:00"/>
    <x v="435"/>
    <x v="28"/>
    <x v="0"/>
    <x v="0"/>
    <x v="177"/>
    <x v="768"/>
    <n v="1"/>
    <x v="1417"/>
  </r>
  <r>
    <d v="2017-06-11T00:00:00"/>
    <x v="726"/>
    <x v="2"/>
    <x v="1"/>
    <x v="5"/>
    <x v="789"/>
    <x v="2692"/>
    <n v="2"/>
    <x v="2614"/>
  </r>
  <r>
    <d v="2017-06-11T00:00:00"/>
    <x v="726"/>
    <x v="2"/>
    <x v="0"/>
    <x v="0"/>
    <x v="1168"/>
    <x v="867"/>
    <n v="3"/>
    <x v="845"/>
  </r>
  <r>
    <d v="2017-06-11T00:00:00"/>
    <x v="360"/>
    <x v="3"/>
    <x v="0"/>
    <x v="0"/>
    <x v="1168"/>
    <x v="1615"/>
    <n v="3"/>
    <x v="1590"/>
  </r>
  <r>
    <d v="2017-06-11T00:00:00"/>
    <x v="360"/>
    <x v="3"/>
    <x v="0"/>
    <x v="0"/>
    <x v="177"/>
    <x v="190"/>
    <n v="4"/>
    <x v="2273"/>
  </r>
  <r>
    <d v="2017-06-11T00:00:00"/>
    <x v="360"/>
    <x v="3"/>
    <x v="0"/>
    <x v="0"/>
    <x v="634"/>
    <x v="1122"/>
    <n v="5"/>
    <x v="1280"/>
  </r>
  <r>
    <d v="2017-06-11T00:00:00"/>
    <x v="360"/>
    <x v="3"/>
    <x v="0"/>
    <x v="1"/>
    <x v="899"/>
    <x v="1063"/>
    <n v="4"/>
    <x v="1037"/>
  </r>
  <r>
    <d v="2017-06-11T00:00:00"/>
    <x v="360"/>
    <x v="3"/>
    <x v="2"/>
    <x v="9"/>
    <x v="129"/>
    <x v="2693"/>
    <n v="1"/>
    <x v="1273"/>
  </r>
  <r>
    <d v="2017-06-11T00:00:00"/>
    <x v="727"/>
    <x v="12"/>
    <x v="0"/>
    <x v="0"/>
    <x v="833"/>
    <x v="2694"/>
    <n v="9"/>
    <x v="2615"/>
  </r>
  <r>
    <d v="2017-06-11T00:00:00"/>
    <x v="595"/>
    <x v="10"/>
    <x v="1"/>
    <x v="10"/>
    <x v="296"/>
    <x v="2695"/>
    <n v="7"/>
    <x v="2616"/>
  </r>
  <r>
    <d v="2017-06-11T00:00:00"/>
    <x v="595"/>
    <x v="10"/>
    <x v="1"/>
    <x v="5"/>
    <x v="783"/>
    <x v="2696"/>
    <n v="2"/>
    <x v="2617"/>
  </r>
  <r>
    <d v="2017-06-11T00:00:00"/>
    <x v="595"/>
    <x v="10"/>
    <x v="2"/>
    <x v="9"/>
    <x v="198"/>
    <x v="2697"/>
    <n v="3"/>
    <x v="2618"/>
  </r>
  <r>
    <d v="2017-06-11T00:00:00"/>
    <x v="255"/>
    <x v="0"/>
    <x v="1"/>
    <x v="8"/>
    <x v="599"/>
    <x v="1487"/>
    <n v="5"/>
    <x v="2619"/>
  </r>
  <r>
    <d v="2017-06-11T00:00:00"/>
    <x v="583"/>
    <x v="0"/>
    <x v="0"/>
    <x v="3"/>
    <x v="95"/>
    <x v="2698"/>
    <n v="2"/>
    <x v="2210"/>
  </r>
  <r>
    <d v="2017-06-11T00:00:00"/>
    <x v="714"/>
    <x v="0"/>
    <x v="0"/>
    <x v="2"/>
    <x v="1363"/>
    <x v="2699"/>
    <n v="2"/>
    <x v="2166"/>
  </r>
  <r>
    <d v="2017-07-11T00:00:00"/>
    <x v="14"/>
    <x v="3"/>
    <x v="2"/>
    <x v="9"/>
    <x v="712"/>
    <x v="1973"/>
    <n v="3"/>
    <x v="1660"/>
  </r>
  <r>
    <d v="2017-07-11T00:00:00"/>
    <x v="14"/>
    <x v="3"/>
    <x v="2"/>
    <x v="6"/>
    <x v="335"/>
    <x v="2700"/>
    <n v="7"/>
    <x v="2620"/>
  </r>
  <r>
    <d v="2017-07-11T00:00:00"/>
    <x v="138"/>
    <x v="2"/>
    <x v="2"/>
    <x v="6"/>
    <x v="610"/>
    <x v="1944"/>
    <n v="5"/>
    <x v="1434"/>
  </r>
  <r>
    <d v="2017-07-11T00:00:00"/>
    <x v="138"/>
    <x v="2"/>
    <x v="1"/>
    <x v="10"/>
    <x v="1038"/>
    <x v="2701"/>
    <n v="4"/>
    <x v="2621"/>
  </r>
  <r>
    <d v="2017-07-11T00:00:00"/>
    <x v="686"/>
    <x v="3"/>
    <x v="0"/>
    <x v="3"/>
    <x v="518"/>
    <x v="2702"/>
    <n v="4"/>
    <x v="724"/>
  </r>
  <r>
    <d v="2017-07-11T00:00:00"/>
    <x v="686"/>
    <x v="3"/>
    <x v="2"/>
    <x v="9"/>
    <x v="1445"/>
    <x v="2703"/>
    <n v="4"/>
    <x v="2622"/>
  </r>
  <r>
    <d v="2017-07-11T00:00:00"/>
    <x v="277"/>
    <x v="7"/>
    <x v="0"/>
    <x v="13"/>
    <x v="171"/>
    <x v="2704"/>
    <n v="7"/>
    <x v="1672"/>
  </r>
  <r>
    <d v="2017-07-11T00:00:00"/>
    <x v="306"/>
    <x v="12"/>
    <x v="2"/>
    <x v="9"/>
    <x v="1568"/>
    <x v="1208"/>
    <n v="4"/>
    <x v="1163"/>
  </r>
  <r>
    <d v="2017-07-11T00:00:00"/>
    <x v="292"/>
    <x v="39"/>
    <x v="1"/>
    <x v="5"/>
    <x v="922"/>
    <x v="2705"/>
    <n v="3"/>
    <x v="2623"/>
  </r>
  <r>
    <d v="2017-07-11T00:00:00"/>
    <x v="643"/>
    <x v="34"/>
    <x v="0"/>
    <x v="3"/>
    <x v="1547"/>
    <x v="2706"/>
    <n v="9"/>
    <x v="2624"/>
  </r>
  <r>
    <d v="2017-08-11T00:00:00"/>
    <x v="718"/>
    <x v="12"/>
    <x v="0"/>
    <x v="4"/>
    <x v="1569"/>
    <x v="2707"/>
    <n v="5"/>
    <x v="2625"/>
  </r>
  <r>
    <d v="2017-08-11T00:00:00"/>
    <x v="77"/>
    <x v="39"/>
    <x v="1"/>
    <x v="8"/>
    <x v="1403"/>
    <x v="2708"/>
    <n v="10"/>
    <x v="2626"/>
  </r>
  <r>
    <d v="2017-09-11T00:00:00"/>
    <x v="413"/>
    <x v="12"/>
    <x v="1"/>
    <x v="8"/>
    <x v="288"/>
    <x v="2709"/>
    <n v="7"/>
    <x v="2627"/>
  </r>
  <r>
    <d v="2017-09-11T00:00:00"/>
    <x v="366"/>
    <x v="3"/>
    <x v="1"/>
    <x v="5"/>
    <x v="1200"/>
    <x v="1736"/>
    <n v="3"/>
    <x v="1136"/>
  </r>
  <r>
    <d v="2017-09-11T00:00:00"/>
    <x v="607"/>
    <x v="3"/>
    <x v="0"/>
    <x v="2"/>
    <x v="323"/>
    <x v="2710"/>
    <n v="2"/>
    <x v="2360"/>
  </r>
  <r>
    <d v="2017-09-11T00:00:00"/>
    <x v="607"/>
    <x v="3"/>
    <x v="2"/>
    <x v="9"/>
    <x v="136"/>
    <x v="2254"/>
    <n v="1"/>
    <x v="2628"/>
  </r>
  <r>
    <d v="2017-09-11T00:00:00"/>
    <x v="143"/>
    <x v="39"/>
    <x v="0"/>
    <x v="3"/>
    <x v="41"/>
    <x v="42"/>
    <n v="2"/>
    <x v="42"/>
  </r>
  <r>
    <d v="2017-09-11T00:00:00"/>
    <x v="143"/>
    <x v="39"/>
    <x v="2"/>
    <x v="9"/>
    <x v="1503"/>
    <x v="2711"/>
    <n v="3"/>
    <x v="2629"/>
  </r>
  <r>
    <d v="2017-09-11T00:00:00"/>
    <x v="143"/>
    <x v="39"/>
    <x v="0"/>
    <x v="2"/>
    <x v="512"/>
    <x v="2712"/>
    <n v="9"/>
    <x v="2630"/>
  </r>
  <r>
    <d v="2017-09-11T00:00:00"/>
    <x v="143"/>
    <x v="39"/>
    <x v="0"/>
    <x v="2"/>
    <x v="512"/>
    <x v="2713"/>
    <n v="3"/>
    <x v="2631"/>
  </r>
  <r>
    <d v="2017-09-11T00:00:00"/>
    <x v="612"/>
    <x v="3"/>
    <x v="1"/>
    <x v="8"/>
    <x v="85"/>
    <x v="2714"/>
    <n v="8"/>
    <x v="2632"/>
  </r>
  <r>
    <d v="2017-09-11T00:00:00"/>
    <x v="391"/>
    <x v="3"/>
    <x v="1"/>
    <x v="5"/>
    <x v="184"/>
    <x v="2715"/>
    <n v="3"/>
    <x v="2633"/>
  </r>
  <r>
    <d v="2017-09-11T00:00:00"/>
    <x v="613"/>
    <x v="9"/>
    <x v="2"/>
    <x v="9"/>
    <x v="591"/>
    <x v="2716"/>
    <n v="3"/>
    <x v="2634"/>
  </r>
  <r>
    <d v="2017-09-11T00:00:00"/>
    <x v="613"/>
    <x v="9"/>
    <x v="2"/>
    <x v="6"/>
    <x v="1070"/>
    <x v="2717"/>
    <n v="4"/>
    <x v="931"/>
  </r>
  <r>
    <d v="2017-10-11T00:00:00"/>
    <x v="728"/>
    <x v="23"/>
    <x v="0"/>
    <x v="3"/>
    <x v="530"/>
    <x v="2718"/>
    <n v="14"/>
    <x v="2635"/>
  </r>
  <r>
    <d v="2017-10-11T00:00:00"/>
    <x v="728"/>
    <x v="23"/>
    <x v="2"/>
    <x v="16"/>
    <x v="1570"/>
    <x v="2719"/>
    <n v="2"/>
    <x v="2636"/>
  </r>
  <r>
    <d v="2017-10-11T00:00:00"/>
    <x v="728"/>
    <x v="23"/>
    <x v="2"/>
    <x v="9"/>
    <x v="1373"/>
    <x v="2720"/>
    <n v="6"/>
    <x v="2637"/>
  </r>
  <r>
    <d v="2017-10-11T00:00:00"/>
    <x v="728"/>
    <x v="23"/>
    <x v="2"/>
    <x v="6"/>
    <x v="213"/>
    <x v="918"/>
    <n v="2"/>
    <x v="2638"/>
  </r>
  <r>
    <d v="2017-10-11T00:00:00"/>
    <x v="728"/>
    <x v="23"/>
    <x v="1"/>
    <x v="5"/>
    <x v="783"/>
    <x v="1193"/>
    <n v="4"/>
    <x v="2639"/>
  </r>
  <r>
    <d v="2017-10-11T00:00:00"/>
    <x v="65"/>
    <x v="12"/>
    <x v="0"/>
    <x v="3"/>
    <x v="1571"/>
    <x v="2721"/>
    <n v="3"/>
    <x v="2640"/>
  </r>
  <r>
    <d v="2017-10-11T00:00:00"/>
    <x v="65"/>
    <x v="12"/>
    <x v="2"/>
    <x v="6"/>
    <x v="949"/>
    <x v="2722"/>
    <n v="2"/>
    <x v="2641"/>
  </r>
  <r>
    <d v="2017-10-11T00:00:00"/>
    <x v="351"/>
    <x v="0"/>
    <x v="1"/>
    <x v="8"/>
    <x v="519"/>
    <x v="1972"/>
    <n v="5"/>
    <x v="2642"/>
  </r>
  <r>
    <d v="2017-10-11T00:00:00"/>
    <x v="664"/>
    <x v="10"/>
    <x v="0"/>
    <x v="3"/>
    <x v="1572"/>
    <x v="2723"/>
    <n v="3"/>
    <x v="2643"/>
  </r>
  <r>
    <d v="2017-10-11T00:00:00"/>
    <x v="424"/>
    <x v="9"/>
    <x v="0"/>
    <x v="3"/>
    <x v="384"/>
    <x v="719"/>
    <n v="5"/>
    <x v="2644"/>
  </r>
  <r>
    <d v="2017-10-11T00:00:00"/>
    <x v="729"/>
    <x v="3"/>
    <x v="0"/>
    <x v="4"/>
    <x v="1573"/>
    <x v="2724"/>
    <n v="3"/>
    <x v="2645"/>
  </r>
  <r>
    <d v="2017-10-11T00:00:00"/>
    <x v="133"/>
    <x v="10"/>
    <x v="0"/>
    <x v="13"/>
    <x v="1574"/>
    <x v="2725"/>
    <n v="5"/>
    <x v="2646"/>
  </r>
  <r>
    <d v="2017-10-11T00:00:00"/>
    <x v="133"/>
    <x v="10"/>
    <x v="0"/>
    <x v="3"/>
    <x v="1324"/>
    <x v="2726"/>
    <n v="1"/>
    <x v="1260"/>
  </r>
  <r>
    <d v="2017-10-11T00:00:00"/>
    <x v="497"/>
    <x v="3"/>
    <x v="2"/>
    <x v="9"/>
    <x v="1407"/>
    <x v="2727"/>
    <n v="7"/>
    <x v="2647"/>
  </r>
  <r>
    <d v="2017-10-11T00:00:00"/>
    <x v="5"/>
    <x v="3"/>
    <x v="1"/>
    <x v="5"/>
    <x v="930"/>
    <x v="2728"/>
    <n v="2"/>
    <x v="2648"/>
  </r>
  <r>
    <d v="2017-11-11T00:00:00"/>
    <x v="688"/>
    <x v="0"/>
    <x v="0"/>
    <x v="1"/>
    <x v="1028"/>
    <x v="2729"/>
    <n v="5"/>
    <x v="2649"/>
  </r>
  <r>
    <d v="2017-11-11T00:00:00"/>
    <x v="688"/>
    <x v="0"/>
    <x v="0"/>
    <x v="3"/>
    <x v="858"/>
    <x v="23"/>
    <n v="4"/>
    <x v="2650"/>
  </r>
  <r>
    <d v="2017-11-11T00:00:00"/>
    <x v="589"/>
    <x v="16"/>
    <x v="0"/>
    <x v="0"/>
    <x v="781"/>
    <x v="148"/>
    <n v="2"/>
    <x v="150"/>
  </r>
  <r>
    <d v="2017-11-11T00:00:00"/>
    <x v="22"/>
    <x v="3"/>
    <x v="0"/>
    <x v="13"/>
    <x v="162"/>
    <x v="2730"/>
    <n v="1"/>
    <x v="2406"/>
  </r>
  <r>
    <d v="2017-11-11T00:00:00"/>
    <x v="22"/>
    <x v="3"/>
    <x v="0"/>
    <x v="0"/>
    <x v="1030"/>
    <x v="5"/>
    <n v="3"/>
    <x v="5"/>
  </r>
  <r>
    <d v="2017-11-11T00:00:00"/>
    <x v="22"/>
    <x v="3"/>
    <x v="0"/>
    <x v="3"/>
    <x v="1281"/>
    <x v="2731"/>
    <n v="5"/>
    <x v="2651"/>
  </r>
  <r>
    <d v="2017-11-11T00:00:00"/>
    <x v="138"/>
    <x v="18"/>
    <x v="0"/>
    <x v="4"/>
    <x v="1519"/>
    <x v="2732"/>
    <n v="7"/>
    <x v="2652"/>
  </r>
  <r>
    <d v="2017-11-11T00:00:00"/>
    <x v="266"/>
    <x v="42"/>
    <x v="0"/>
    <x v="7"/>
    <x v="361"/>
    <x v="2528"/>
    <n v="4"/>
    <x v="2653"/>
  </r>
  <r>
    <d v="2017-11-11T00:00:00"/>
    <x v="382"/>
    <x v="8"/>
    <x v="0"/>
    <x v="3"/>
    <x v="372"/>
    <x v="2404"/>
    <n v="3"/>
    <x v="1118"/>
  </r>
  <r>
    <d v="2017-11-11T00:00:00"/>
    <x v="469"/>
    <x v="12"/>
    <x v="0"/>
    <x v="2"/>
    <x v="1350"/>
    <x v="2733"/>
    <n v="1"/>
    <x v="52"/>
  </r>
  <r>
    <d v="2017-11-11T00:00:00"/>
    <x v="384"/>
    <x v="9"/>
    <x v="0"/>
    <x v="13"/>
    <x v="723"/>
    <x v="2734"/>
    <n v="5"/>
    <x v="2654"/>
  </r>
  <r>
    <d v="2017-11-11T00:00:00"/>
    <x v="141"/>
    <x v="31"/>
    <x v="1"/>
    <x v="8"/>
    <x v="972"/>
    <x v="2735"/>
    <n v="5"/>
    <x v="2655"/>
  </r>
  <r>
    <d v="2017-11-11T00:00:00"/>
    <x v="729"/>
    <x v="3"/>
    <x v="1"/>
    <x v="8"/>
    <x v="1186"/>
    <x v="2736"/>
    <n v="4"/>
    <x v="2656"/>
  </r>
  <r>
    <d v="2017-11-11T00:00:00"/>
    <x v="94"/>
    <x v="0"/>
    <x v="2"/>
    <x v="6"/>
    <x v="732"/>
    <x v="2737"/>
    <n v="2"/>
    <x v="1087"/>
  </r>
  <r>
    <d v="2017-11-11T00:00:00"/>
    <x v="549"/>
    <x v="47"/>
    <x v="0"/>
    <x v="14"/>
    <x v="959"/>
    <x v="2738"/>
    <n v="3"/>
    <x v="1658"/>
  </r>
  <r>
    <d v="2017-12-11T00:00:00"/>
    <x v="367"/>
    <x v="3"/>
    <x v="0"/>
    <x v="0"/>
    <x v="562"/>
    <x v="934"/>
    <n v="2"/>
    <x v="913"/>
  </r>
  <r>
    <d v="2017-12-11T00:00:00"/>
    <x v="142"/>
    <x v="12"/>
    <x v="0"/>
    <x v="3"/>
    <x v="866"/>
    <x v="1440"/>
    <n v="5"/>
    <x v="282"/>
  </r>
  <r>
    <d v="2017-12-11T00:00:00"/>
    <x v="295"/>
    <x v="0"/>
    <x v="0"/>
    <x v="0"/>
    <x v="1472"/>
    <x v="2390"/>
    <n v="3"/>
    <x v="596"/>
  </r>
  <r>
    <d v="2017-12-11T00:00:00"/>
    <x v="295"/>
    <x v="0"/>
    <x v="0"/>
    <x v="0"/>
    <x v="479"/>
    <x v="2739"/>
    <n v="9"/>
    <x v="2657"/>
  </r>
  <r>
    <d v="2017-12-11T00:00:00"/>
    <x v="295"/>
    <x v="0"/>
    <x v="0"/>
    <x v="2"/>
    <x v="536"/>
    <x v="2740"/>
    <n v="3"/>
    <x v="2658"/>
  </r>
  <r>
    <d v="2017-12-11T00:00:00"/>
    <x v="730"/>
    <x v="16"/>
    <x v="2"/>
    <x v="6"/>
    <x v="1204"/>
    <x v="2741"/>
    <n v="3"/>
    <x v="2659"/>
  </r>
  <r>
    <d v="2017-12-11T00:00:00"/>
    <x v="346"/>
    <x v="23"/>
    <x v="2"/>
    <x v="9"/>
    <x v="17"/>
    <x v="1575"/>
    <n v="4"/>
    <x v="311"/>
  </r>
  <r>
    <d v="2017-12-11T00:00:00"/>
    <x v="346"/>
    <x v="23"/>
    <x v="0"/>
    <x v="0"/>
    <x v="984"/>
    <x v="1640"/>
    <n v="5"/>
    <x v="1614"/>
  </r>
  <r>
    <d v="2017-12-11T00:00:00"/>
    <x v="346"/>
    <x v="23"/>
    <x v="1"/>
    <x v="5"/>
    <x v="1317"/>
    <x v="1928"/>
    <n v="2"/>
    <x v="1887"/>
  </r>
  <r>
    <d v="2017-12-11T00:00:00"/>
    <x v="346"/>
    <x v="23"/>
    <x v="1"/>
    <x v="8"/>
    <x v="837"/>
    <x v="2742"/>
    <n v="2"/>
    <x v="2660"/>
  </r>
  <r>
    <d v="2017-12-11T00:00:00"/>
    <x v="346"/>
    <x v="23"/>
    <x v="2"/>
    <x v="6"/>
    <x v="720"/>
    <x v="2743"/>
    <n v="2"/>
    <x v="992"/>
  </r>
  <r>
    <d v="2017-12-11T00:00:00"/>
    <x v="346"/>
    <x v="23"/>
    <x v="2"/>
    <x v="6"/>
    <x v="1173"/>
    <x v="2744"/>
    <n v="2"/>
    <x v="378"/>
  </r>
  <r>
    <d v="2017-12-11T00:00:00"/>
    <x v="618"/>
    <x v="0"/>
    <x v="0"/>
    <x v="3"/>
    <x v="23"/>
    <x v="1487"/>
    <n v="5"/>
    <x v="2661"/>
  </r>
  <r>
    <d v="2017-12-11T00:00:00"/>
    <x v="618"/>
    <x v="0"/>
    <x v="0"/>
    <x v="2"/>
    <x v="44"/>
    <x v="1304"/>
    <n v="3"/>
    <x v="2662"/>
  </r>
  <r>
    <d v="2017-12-11T00:00:00"/>
    <x v="618"/>
    <x v="0"/>
    <x v="2"/>
    <x v="6"/>
    <x v="1340"/>
    <x v="659"/>
    <n v="1"/>
    <x v="437"/>
  </r>
  <r>
    <d v="2017-12-11T00:00:00"/>
    <x v="618"/>
    <x v="0"/>
    <x v="0"/>
    <x v="11"/>
    <x v="481"/>
    <x v="1328"/>
    <n v="2"/>
    <x v="42"/>
  </r>
  <r>
    <d v="2017-12-11T00:00:00"/>
    <x v="618"/>
    <x v="0"/>
    <x v="2"/>
    <x v="9"/>
    <x v="1404"/>
    <x v="1705"/>
    <n v="2"/>
    <x v="2663"/>
  </r>
  <r>
    <d v="2017-12-11T00:00:00"/>
    <x v="618"/>
    <x v="0"/>
    <x v="1"/>
    <x v="8"/>
    <x v="1272"/>
    <x v="979"/>
    <n v="3"/>
    <x v="2664"/>
  </r>
  <r>
    <d v="2017-12-11T00:00:00"/>
    <x v="319"/>
    <x v="16"/>
    <x v="0"/>
    <x v="0"/>
    <x v="1561"/>
    <x v="2745"/>
    <n v="2"/>
    <x v="1430"/>
  </r>
  <r>
    <d v="2017-12-11T00:00:00"/>
    <x v="319"/>
    <x v="16"/>
    <x v="2"/>
    <x v="9"/>
    <x v="1575"/>
    <x v="1298"/>
    <n v="2"/>
    <x v="13"/>
  </r>
  <r>
    <d v="2017-12-11T00:00:00"/>
    <x v="428"/>
    <x v="10"/>
    <x v="0"/>
    <x v="1"/>
    <x v="40"/>
    <x v="2640"/>
    <n v="2"/>
    <x v="123"/>
  </r>
  <r>
    <d v="2017-12-11T00:00:00"/>
    <x v="428"/>
    <x v="10"/>
    <x v="0"/>
    <x v="4"/>
    <x v="1576"/>
    <x v="2746"/>
    <n v="3"/>
    <x v="2019"/>
  </r>
  <r>
    <d v="2017-12-11T00:00:00"/>
    <x v="428"/>
    <x v="10"/>
    <x v="0"/>
    <x v="14"/>
    <x v="71"/>
    <x v="2747"/>
    <n v="3"/>
    <x v="1285"/>
  </r>
  <r>
    <d v="2017-12-11T00:00:00"/>
    <x v="391"/>
    <x v="3"/>
    <x v="0"/>
    <x v="3"/>
    <x v="1577"/>
    <x v="702"/>
    <n v="4"/>
    <x v="65"/>
  </r>
  <r>
    <d v="2017-12-11T00:00:00"/>
    <x v="170"/>
    <x v="10"/>
    <x v="0"/>
    <x v="7"/>
    <x v="22"/>
    <x v="2404"/>
    <n v="3"/>
    <x v="323"/>
  </r>
  <r>
    <d v="2017-12-11T00:00:00"/>
    <x v="170"/>
    <x v="10"/>
    <x v="0"/>
    <x v="13"/>
    <x v="339"/>
    <x v="352"/>
    <n v="2"/>
    <x v="353"/>
  </r>
  <r>
    <d v="2017-12-11T00:00:00"/>
    <x v="731"/>
    <x v="9"/>
    <x v="0"/>
    <x v="0"/>
    <x v="1578"/>
    <x v="101"/>
    <n v="5"/>
    <x v="101"/>
  </r>
  <r>
    <d v="2017-12-11T00:00:00"/>
    <x v="651"/>
    <x v="23"/>
    <x v="2"/>
    <x v="9"/>
    <x v="628"/>
    <x v="2748"/>
    <n v="6"/>
    <x v="2665"/>
  </r>
  <r>
    <d v="2017-12-11T00:00:00"/>
    <x v="138"/>
    <x v="3"/>
    <x v="0"/>
    <x v="0"/>
    <x v="1579"/>
    <x v="2357"/>
    <n v="2"/>
    <x v="1975"/>
  </r>
  <r>
    <d v="2017-12-11T00:00:00"/>
    <x v="196"/>
    <x v="2"/>
    <x v="0"/>
    <x v="2"/>
    <x v="1580"/>
    <x v="2749"/>
    <n v="2"/>
    <x v="2666"/>
  </r>
  <r>
    <d v="2017-01-12T00:00:00"/>
    <x v="177"/>
    <x v="18"/>
    <x v="0"/>
    <x v="2"/>
    <x v="474"/>
    <x v="423"/>
    <n v="4"/>
    <x v="595"/>
  </r>
  <r>
    <d v="2017-01-12T00:00:00"/>
    <x v="177"/>
    <x v="18"/>
    <x v="2"/>
    <x v="6"/>
    <x v="1002"/>
    <x v="2750"/>
    <n v="2"/>
    <x v="2667"/>
  </r>
  <r>
    <d v="2017-01-12T00:00:00"/>
    <x v="177"/>
    <x v="18"/>
    <x v="0"/>
    <x v="3"/>
    <x v="866"/>
    <x v="1440"/>
    <n v="4"/>
    <x v="121"/>
  </r>
  <r>
    <d v="2017-01-12T00:00:00"/>
    <x v="177"/>
    <x v="18"/>
    <x v="0"/>
    <x v="7"/>
    <x v="682"/>
    <x v="2751"/>
    <n v="9"/>
    <x v="2668"/>
  </r>
  <r>
    <d v="2017-01-12T00:00:00"/>
    <x v="177"/>
    <x v="18"/>
    <x v="0"/>
    <x v="2"/>
    <x v="268"/>
    <x v="2752"/>
    <n v="1"/>
    <x v="897"/>
  </r>
  <r>
    <d v="2017-01-12T00:00:00"/>
    <x v="445"/>
    <x v="12"/>
    <x v="2"/>
    <x v="9"/>
    <x v="1225"/>
    <x v="1962"/>
    <n v="3"/>
    <x v="2669"/>
  </r>
  <r>
    <d v="2017-01-12T00:00:00"/>
    <x v="445"/>
    <x v="12"/>
    <x v="0"/>
    <x v="2"/>
    <x v="1492"/>
    <x v="2753"/>
    <n v="3"/>
    <x v="2670"/>
  </r>
  <r>
    <d v="2017-01-12T00:00:00"/>
    <x v="445"/>
    <x v="12"/>
    <x v="0"/>
    <x v="3"/>
    <x v="1577"/>
    <x v="2348"/>
    <n v="5"/>
    <x v="2671"/>
  </r>
  <r>
    <d v="2017-01-12T00:00:00"/>
    <x v="482"/>
    <x v="19"/>
    <x v="2"/>
    <x v="6"/>
    <x v="10"/>
    <x v="2342"/>
    <n v="3"/>
    <x v="2279"/>
  </r>
  <r>
    <d v="2017-01-12T00:00:00"/>
    <x v="482"/>
    <x v="19"/>
    <x v="2"/>
    <x v="6"/>
    <x v="154"/>
    <x v="153"/>
    <n v="2"/>
    <x v="155"/>
  </r>
  <r>
    <d v="2017-01-12T00:00:00"/>
    <x v="482"/>
    <x v="19"/>
    <x v="0"/>
    <x v="13"/>
    <x v="1250"/>
    <x v="2754"/>
    <n v="3"/>
    <x v="1560"/>
  </r>
  <r>
    <d v="2017-01-12T00:00:00"/>
    <x v="482"/>
    <x v="19"/>
    <x v="0"/>
    <x v="3"/>
    <x v="158"/>
    <x v="2755"/>
    <n v="7"/>
    <x v="981"/>
  </r>
  <r>
    <d v="2017-01-12T00:00:00"/>
    <x v="482"/>
    <x v="19"/>
    <x v="2"/>
    <x v="6"/>
    <x v="1581"/>
    <x v="2756"/>
    <n v="4"/>
    <x v="2672"/>
  </r>
  <r>
    <d v="2017-01-12T00:00:00"/>
    <x v="307"/>
    <x v="2"/>
    <x v="0"/>
    <x v="11"/>
    <x v="1582"/>
    <x v="2757"/>
    <n v="5"/>
    <x v="2336"/>
  </r>
  <r>
    <d v="2017-01-12T00:00:00"/>
    <x v="307"/>
    <x v="2"/>
    <x v="2"/>
    <x v="6"/>
    <x v="1257"/>
    <x v="2758"/>
    <n v="7"/>
    <x v="2242"/>
  </r>
  <r>
    <d v="2017-01-12T00:00:00"/>
    <x v="335"/>
    <x v="0"/>
    <x v="2"/>
    <x v="6"/>
    <x v="294"/>
    <x v="2759"/>
    <n v="5"/>
    <x v="2673"/>
  </r>
  <r>
    <d v="2017-01-12T00:00:00"/>
    <x v="335"/>
    <x v="0"/>
    <x v="1"/>
    <x v="5"/>
    <x v="522"/>
    <x v="2760"/>
    <n v="3"/>
    <x v="2674"/>
  </r>
  <r>
    <d v="2017-01-12T00:00:00"/>
    <x v="732"/>
    <x v="3"/>
    <x v="0"/>
    <x v="0"/>
    <x v="1380"/>
    <x v="190"/>
    <n v="7"/>
    <x v="193"/>
  </r>
  <r>
    <d v="2017-01-12T00:00:00"/>
    <x v="732"/>
    <x v="3"/>
    <x v="0"/>
    <x v="3"/>
    <x v="61"/>
    <x v="2761"/>
    <n v="2"/>
    <x v="1493"/>
  </r>
  <r>
    <d v="2017-01-12T00:00:00"/>
    <x v="590"/>
    <x v="2"/>
    <x v="0"/>
    <x v="2"/>
    <x v="1460"/>
    <x v="2762"/>
    <n v="3"/>
    <x v="1323"/>
  </r>
  <r>
    <d v="2017-01-12T00:00:00"/>
    <x v="590"/>
    <x v="2"/>
    <x v="1"/>
    <x v="8"/>
    <x v="1583"/>
    <x v="2763"/>
    <n v="5"/>
    <x v="309"/>
  </r>
  <r>
    <d v="2017-01-12T00:00:00"/>
    <x v="399"/>
    <x v="27"/>
    <x v="0"/>
    <x v="0"/>
    <x v="597"/>
    <x v="5"/>
    <n v="3"/>
    <x v="5"/>
  </r>
  <r>
    <d v="2017-01-12T00:00:00"/>
    <x v="399"/>
    <x v="27"/>
    <x v="1"/>
    <x v="5"/>
    <x v="274"/>
    <x v="2764"/>
    <n v="3"/>
    <x v="2675"/>
  </r>
  <r>
    <d v="2017-01-12T00:00:00"/>
    <x v="176"/>
    <x v="16"/>
    <x v="1"/>
    <x v="8"/>
    <x v="1284"/>
    <x v="305"/>
    <n v="2"/>
    <x v="2434"/>
  </r>
  <r>
    <d v="2017-01-12T00:00:00"/>
    <x v="653"/>
    <x v="0"/>
    <x v="0"/>
    <x v="0"/>
    <x v="1030"/>
    <x v="148"/>
    <n v="2"/>
    <x v="150"/>
  </r>
  <r>
    <d v="2017-01-12T00:00:00"/>
    <x v="458"/>
    <x v="10"/>
    <x v="0"/>
    <x v="0"/>
    <x v="100"/>
    <x v="1339"/>
    <n v="7"/>
    <x v="2676"/>
  </r>
  <r>
    <d v="2017-01-12T00:00:00"/>
    <x v="458"/>
    <x v="10"/>
    <x v="1"/>
    <x v="12"/>
    <x v="675"/>
    <x v="2765"/>
    <n v="2"/>
    <x v="2677"/>
  </r>
  <r>
    <d v="2017-01-12T00:00:00"/>
    <x v="314"/>
    <x v="10"/>
    <x v="0"/>
    <x v="3"/>
    <x v="827"/>
    <x v="1440"/>
    <n v="5"/>
    <x v="282"/>
  </r>
  <r>
    <d v="2017-01-12T00:00:00"/>
    <x v="314"/>
    <x v="10"/>
    <x v="1"/>
    <x v="8"/>
    <x v="85"/>
    <x v="2766"/>
    <n v="12"/>
    <x v="2678"/>
  </r>
  <r>
    <d v="2017-01-12T00:00:00"/>
    <x v="314"/>
    <x v="10"/>
    <x v="0"/>
    <x v="2"/>
    <x v="1095"/>
    <x v="2767"/>
    <n v="4"/>
    <x v="2679"/>
  </r>
  <r>
    <d v="2017-01-12T00:00:00"/>
    <x v="589"/>
    <x v="3"/>
    <x v="1"/>
    <x v="8"/>
    <x v="1235"/>
    <x v="2768"/>
    <n v="9"/>
    <x v="2680"/>
  </r>
  <r>
    <d v="2017-01-12T00:00:00"/>
    <x v="681"/>
    <x v="2"/>
    <x v="0"/>
    <x v="1"/>
    <x v="40"/>
    <x v="226"/>
    <n v="4"/>
    <x v="229"/>
  </r>
  <r>
    <d v="2017-01-12T00:00:00"/>
    <x v="681"/>
    <x v="2"/>
    <x v="0"/>
    <x v="3"/>
    <x v="1390"/>
    <x v="1585"/>
    <n v="7"/>
    <x v="2681"/>
  </r>
  <r>
    <d v="2017-01-12T00:00:00"/>
    <x v="681"/>
    <x v="2"/>
    <x v="1"/>
    <x v="5"/>
    <x v="287"/>
    <x v="2769"/>
    <n v="2"/>
    <x v="2682"/>
  </r>
  <r>
    <d v="2017-02-12T00:00:00"/>
    <x v="102"/>
    <x v="3"/>
    <x v="0"/>
    <x v="2"/>
    <x v="1067"/>
    <x v="2770"/>
    <n v="9"/>
    <x v="2683"/>
  </r>
  <r>
    <d v="2017-02-12T00:00:00"/>
    <x v="102"/>
    <x v="3"/>
    <x v="0"/>
    <x v="0"/>
    <x v="1584"/>
    <x v="1547"/>
    <n v="2"/>
    <x v="1522"/>
  </r>
  <r>
    <d v="2017-02-12T00:00:00"/>
    <x v="102"/>
    <x v="3"/>
    <x v="0"/>
    <x v="0"/>
    <x v="758"/>
    <x v="221"/>
    <n v="2"/>
    <x v="1818"/>
  </r>
  <r>
    <d v="2017-02-12T00:00:00"/>
    <x v="481"/>
    <x v="6"/>
    <x v="0"/>
    <x v="4"/>
    <x v="1293"/>
    <x v="2771"/>
    <n v="3"/>
    <x v="259"/>
  </r>
  <r>
    <d v="2017-02-12T00:00:00"/>
    <x v="733"/>
    <x v="0"/>
    <x v="0"/>
    <x v="13"/>
    <x v="65"/>
    <x v="2772"/>
    <n v="5"/>
    <x v="2684"/>
  </r>
  <r>
    <d v="2017-02-12T00:00:00"/>
    <x v="733"/>
    <x v="0"/>
    <x v="1"/>
    <x v="8"/>
    <x v="105"/>
    <x v="1891"/>
    <n v="4"/>
    <x v="2685"/>
  </r>
  <r>
    <d v="2017-02-12T00:00:00"/>
    <x v="734"/>
    <x v="9"/>
    <x v="0"/>
    <x v="4"/>
    <x v="366"/>
    <x v="379"/>
    <n v="5"/>
    <x v="381"/>
  </r>
  <r>
    <d v="2017-02-12T00:00:00"/>
    <x v="235"/>
    <x v="3"/>
    <x v="0"/>
    <x v="3"/>
    <x v="769"/>
    <x v="2773"/>
    <n v="6"/>
    <x v="1628"/>
  </r>
  <r>
    <d v="2017-02-12T00:00:00"/>
    <x v="235"/>
    <x v="3"/>
    <x v="0"/>
    <x v="3"/>
    <x v="540"/>
    <x v="1471"/>
    <n v="2"/>
    <x v="1447"/>
  </r>
  <r>
    <d v="2017-02-12T00:00:00"/>
    <x v="235"/>
    <x v="3"/>
    <x v="0"/>
    <x v="0"/>
    <x v="571"/>
    <x v="2774"/>
    <n v="2"/>
    <x v="1215"/>
  </r>
  <r>
    <d v="2017-02-12T00:00:00"/>
    <x v="235"/>
    <x v="3"/>
    <x v="0"/>
    <x v="13"/>
    <x v="332"/>
    <x v="344"/>
    <n v="3"/>
    <x v="346"/>
  </r>
  <r>
    <d v="2017-02-12T00:00:00"/>
    <x v="235"/>
    <x v="3"/>
    <x v="0"/>
    <x v="4"/>
    <x v="521"/>
    <x v="1454"/>
    <n v="6"/>
    <x v="1856"/>
  </r>
  <r>
    <d v="2017-02-12T00:00:00"/>
    <x v="545"/>
    <x v="9"/>
    <x v="0"/>
    <x v="3"/>
    <x v="450"/>
    <x v="2775"/>
    <n v="5"/>
    <x v="2686"/>
  </r>
  <r>
    <d v="2017-02-12T00:00:00"/>
    <x v="28"/>
    <x v="2"/>
    <x v="0"/>
    <x v="3"/>
    <x v="645"/>
    <x v="2776"/>
    <n v="4"/>
    <x v="2687"/>
  </r>
  <r>
    <d v="2017-02-12T00:00:00"/>
    <x v="711"/>
    <x v="37"/>
    <x v="2"/>
    <x v="6"/>
    <x v="496"/>
    <x v="2777"/>
    <n v="4"/>
    <x v="2688"/>
  </r>
  <r>
    <d v="2017-02-12T00:00:00"/>
    <x v="384"/>
    <x v="3"/>
    <x v="2"/>
    <x v="6"/>
    <x v="1068"/>
    <x v="1478"/>
    <n v="1"/>
    <x v="2689"/>
  </r>
  <r>
    <d v="2017-02-12T00:00:00"/>
    <x v="384"/>
    <x v="3"/>
    <x v="1"/>
    <x v="5"/>
    <x v="954"/>
    <x v="2778"/>
    <n v="9"/>
    <x v="2690"/>
  </r>
  <r>
    <d v="2017-02-12T00:00:00"/>
    <x v="384"/>
    <x v="3"/>
    <x v="0"/>
    <x v="4"/>
    <x v="740"/>
    <x v="2779"/>
    <n v="5"/>
    <x v="2691"/>
  </r>
  <r>
    <d v="2017-02-12T00:00:00"/>
    <x v="152"/>
    <x v="6"/>
    <x v="1"/>
    <x v="5"/>
    <x v="592"/>
    <x v="2780"/>
    <n v="2"/>
    <x v="2692"/>
  </r>
  <r>
    <d v="2017-02-12T00:00:00"/>
    <x v="60"/>
    <x v="0"/>
    <x v="0"/>
    <x v="4"/>
    <x v="890"/>
    <x v="2781"/>
    <n v="5"/>
    <x v="1073"/>
  </r>
  <r>
    <d v="2017-02-12T00:00:00"/>
    <x v="271"/>
    <x v="15"/>
    <x v="0"/>
    <x v="4"/>
    <x v="360"/>
    <x v="963"/>
    <n v="1"/>
    <x v="2523"/>
  </r>
  <r>
    <d v="2017-02-12T00:00:00"/>
    <x v="490"/>
    <x v="19"/>
    <x v="0"/>
    <x v="2"/>
    <x v="988"/>
    <x v="2782"/>
    <n v="1"/>
    <x v="439"/>
  </r>
  <r>
    <d v="2017-02-12T00:00:00"/>
    <x v="490"/>
    <x v="19"/>
    <x v="0"/>
    <x v="3"/>
    <x v="713"/>
    <x v="1542"/>
    <n v="8"/>
    <x v="2693"/>
  </r>
  <r>
    <d v="2017-02-12T00:00:00"/>
    <x v="490"/>
    <x v="19"/>
    <x v="1"/>
    <x v="12"/>
    <x v="1585"/>
    <x v="2783"/>
    <n v="8"/>
    <x v="2694"/>
  </r>
  <r>
    <d v="2017-02-12T00:00:00"/>
    <x v="490"/>
    <x v="19"/>
    <x v="2"/>
    <x v="6"/>
    <x v="1586"/>
    <x v="2784"/>
    <n v="2"/>
    <x v="639"/>
  </r>
  <r>
    <d v="2017-02-12T00:00:00"/>
    <x v="490"/>
    <x v="19"/>
    <x v="1"/>
    <x v="8"/>
    <x v="1151"/>
    <x v="2785"/>
    <n v="6"/>
    <x v="52"/>
  </r>
  <r>
    <d v="2017-02-12T00:00:00"/>
    <x v="490"/>
    <x v="19"/>
    <x v="2"/>
    <x v="6"/>
    <x v="1587"/>
    <x v="2786"/>
    <n v="6"/>
    <x v="2695"/>
  </r>
  <r>
    <d v="2017-02-12T00:00:00"/>
    <x v="490"/>
    <x v="19"/>
    <x v="1"/>
    <x v="5"/>
    <x v="334"/>
    <x v="2787"/>
    <n v="5"/>
    <x v="2696"/>
  </r>
  <r>
    <d v="2017-02-12T00:00:00"/>
    <x v="723"/>
    <x v="23"/>
    <x v="0"/>
    <x v="3"/>
    <x v="270"/>
    <x v="2788"/>
    <n v="6"/>
    <x v="2697"/>
  </r>
  <r>
    <d v="2017-02-12T00:00:00"/>
    <x v="224"/>
    <x v="16"/>
    <x v="0"/>
    <x v="4"/>
    <x v="9"/>
    <x v="2789"/>
    <n v="9"/>
    <x v="772"/>
  </r>
  <r>
    <d v="2017-02-12T00:00:00"/>
    <x v="224"/>
    <x v="16"/>
    <x v="2"/>
    <x v="6"/>
    <x v="1588"/>
    <x v="2790"/>
    <n v="2"/>
    <x v="2698"/>
  </r>
  <r>
    <d v="2017-02-12T00:00:00"/>
    <x v="47"/>
    <x v="20"/>
    <x v="0"/>
    <x v="13"/>
    <x v="543"/>
    <x v="2791"/>
    <n v="7"/>
    <x v="2699"/>
  </r>
  <r>
    <d v="2017-02-12T00:00:00"/>
    <x v="47"/>
    <x v="20"/>
    <x v="2"/>
    <x v="6"/>
    <x v="10"/>
    <x v="1055"/>
    <n v="5"/>
    <x v="2700"/>
  </r>
  <r>
    <d v="2017-02-12T00:00:00"/>
    <x v="47"/>
    <x v="20"/>
    <x v="0"/>
    <x v="14"/>
    <x v="252"/>
    <x v="1090"/>
    <n v="2"/>
    <x v="2562"/>
  </r>
  <r>
    <d v="2017-03-12T00:00:00"/>
    <x v="685"/>
    <x v="12"/>
    <x v="0"/>
    <x v="3"/>
    <x v="946"/>
    <x v="423"/>
    <n v="5"/>
    <x v="2701"/>
  </r>
  <r>
    <d v="2017-03-12T00:00:00"/>
    <x v="685"/>
    <x v="12"/>
    <x v="0"/>
    <x v="3"/>
    <x v="1004"/>
    <x v="275"/>
    <n v="2"/>
    <x v="2702"/>
  </r>
  <r>
    <d v="2017-03-12T00:00:00"/>
    <x v="685"/>
    <x v="12"/>
    <x v="2"/>
    <x v="6"/>
    <x v="157"/>
    <x v="2792"/>
    <n v="1"/>
    <x v="2703"/>
  </r>
  <r>
    <d v="2017-03-12T00:00:00"/>
    <x v="685"/>
    <x v="12"/>
    <x v="0"/>
    <x v="1"/>
    <x v="903"/>
    <x v="2793"/>
    <n v="1"/>
    <x v="2704"/>
  </r>
  <r>
    <d v="2017-03-12T00:00:00"/>
    <x v="571"/>
    <x v="3"/>
    <x v="0"/>
    <x v="0"/>
    <x v="1523"/>
    <x v="453"/>
    <n v="3"/>
    <x v="453"/>
  </r>
  <r>
    <d v="2017-03-12T00:00:00"/>
    <x v="248"/>
    <x v="9"/>
    <x v="2"/>
    <x v="9"/>
    <x v="1112"/>
    <x v="1975"/>
    <n v="1"/>
    <x v="30"/>
  </r>
  <r>
    <d v="2017-03-12T00:00:00"/>
    <x v="293"/>
    <x v="15"/>
    <x v="0"/>
    <x v="13"/>
    <x v="1098"/>
    <x v="2794"/>
    <n v="3"/>
    <x v="2705"/>
  </r>
  <r>
    <d v="2017-03-12T00:00:00"/>
    <x v="293"/>
    <x v="15"/>
    <x v="0"/>
    <x v="3"/>
    <x v="991"/>
    <x v="2795"/>
    <n v="6"/>
    <x v="2706"/>
  </r>
  <r>
    <d v="2017-03-12T00:00:00"/>
    <x v="293"/>
    <x v="15"/>
    <x v="0"/>
    <x v="0"/>
    <x v="1075"/>
    <x v="1381"/>
    <n v="4"/>
    <x v="1355"/>
  </r>
  <r>
    <d v="2017-03-12T00:00:00"/>
    <x v="466"/>
    <x v="10"/>
    <x v="1"/>
    <x v="10"/>
    <x v="66"/>
    <x v="641"/>
    <n v="2"/>
    <x v="1454"/>
  </r>
  <r>
    <d v="2017-03-12T00:00:00"/>
    <x v="600"/>
    <x v="0"/>
    <x v="1"/>
    <x v="8"/>
    <x v="873"/>
    <x v="2796"/>
    <n v="2"/>
    <x v="2707"/>
  </r>
  <r>
    <d v="2017-03-12T00:00:00"/>
    <x v="732"/>
    <x v="0"/>
    <x v="0"/>
    <x v="0"/>
    <x v="1484"/>
    <x v="148"/>
    <n v="2"/>
    <x v="150"/>
  </r>
  <r>
    <d v="2017-03-12T00:00:00"/>
    <x v="370"/>
    <x v="19"/>
    <x v="0"/>
    <x v="4"/>
    <x v="774"/>
    <x v="2500"/>
    <n v="6"/>
    <x v="385"/>
  </r>
  <r>
    <d v="2017-03-12T00:00:00"/>
    <x v="370"/>
    <x v="19"/>
    <x v="2"/>
    <x v="9"/>
    <x v="1453"/>
    <x v="896"/>
    <n v="6"/>
    <x v="1947"/>
  </r>
  <r>
    <d v="2017-03-12T00:00:00"/>
    <x v="370"/>
    <x v="19"/>
    <x v="2"/>
    <x v="9"/>
    <x v="1453"/>
    <x v="2797"/>
    <n v="8"/>
    <x v="2708"/>
  </r>
  <r>
    <d v="2017-03-12T00:00:00"/>
    <x v="370"/>
    <x v="19"/>
    <x v="0"/>
    <x v="0"/>
    <x v="1238"/>
    <x v="2798"/>
    <n v="2"/>
    <x v="527"/>
  </r>
  <r>
    <d v="2017-03-12T00:00:00"/>
    <x v="370"/>
    <x v="19"/>
    <x v="0"/>
    <x v="14"/>
    <x v="1078"/>
    <x v="2799"/>
    <n v="7"/>
    <x v="316"/>
  </r>
  <r>
    <d v="2017-03-12T00:00:00"/>
    <x v="370"/>
    <x v="19"/>
    <x v="1"/>
    <x v="8"/>
    <x v="750"/>
    <x v="2800"/>
    <n v="3"/>
    <x v="1140"/>
  </r>
  <r>
    <d v="2017-03-12T00:00:00"/>
    <x v="370"/>
    <x v="19"/>
    <x v="1"/>
    <x v="8"/>
    <x v="646"/>
    <x v="1567"/>
    <n v="5"/>
    <x v="1543"/>
  </r>
  <r>
    <d v="2017-03-12T00:00:00"/>
    <x v="370"/>
    <x v="19"/>
    <x v="1"/>
    <x v="8"/>
    <x v="1518"/>
    <x v="2801"/>
    <n v="1"/>
    <x v="78"/>
  </r>
  <r>
    <d v="2017-04-12T00:00:00"/>
    <x v="735"/>
    <x v="2"/>
    <x v="0"/>
    <x v="3"/>
    <x v="176"/>
    <x v="2802"/>
    <n v="3"/>
    <x v="2709"/>
  </r>
  <r>
    <d v="2017-04-12T00:00:00"/>
    <x v="575"/>
    <x v="2"/>
    <x v="1"/>
    <x v="5"/>
    <x v="298"/>
    <x v="2803"/>
    <n v="7"/>
    <x v="2116"/>
  </r>
  <r>
    <d v="2017-04-12T00:00:00"/>
    <x v="333"/>
    <x v="2"/>
    <x v="1"/>
    <x v="5"/>
    <x v="757"/>
    <x v="2620"/>
    <n v="10"/>
    <x v="2710"/>
  </r>
  <r>
    <d v="2017-04-12T00:00:00"/>
    <x v="333"/>
    <x v="2"/>
    <x v="1"/>
    <x v="8"/>
    <x v="671"/>
    <x v="2804"/>
    <n v="2"/>
    <x v="2527"/>
  </r>
  <r>
    <d v="2017-04-12T00:00:00"/>
    <x v="333"/>
    <x v="2"/>
    <x v="0"/>
    <x v="4"/>
    <x v="193"/>
    <x v="2396"/>
    <n v="3"/>
    <x v="2360"/>
  </r>
  <r>
    <d v="2017-04-12T00:00:00"/>
    <x v="333"/>
    <x v="2"/>
    <x v="0"/>
    <x v="0"/>
    <x v="1589"/>
    <x v="292"/>
    <n v="5"/>
    <x v="2340"/>
  </r>
  <r>
    <d v="2017-04-12T00:00:00"/>
    <x v="333"/>
    <x v="2"/>
    <x v="2"/>
    <x v="9"/>
    <x v="1391"/>
    <x v="2805"/>
    <n v="4"/>
    <x v="2711"/>
  </r>
  <r>
    <d v="2017-04-12T00:00:00"/>
    <x v="468"/>
    <x v="1"/>
    <x v="0"/>
    <x v="2"/>
    <x v="345"/>
    <x v="487"/>
    <n v="2"/>
    <x v="487"/>
  </r>
  <r>
    <d v="2017-04-12T00:00:00"/>
    <x v="638"/>
    <x v="28"/>
    <x v="0"/>
    <x v="4"/>
    <x v="674"/>
    <x v="2645"/>
    <n v="5"/>
    <x v="2712"/>
  </r>
  <r>
    <d v="2017-04-12T00:00:00"/>
    <x v="638"/>
    <x v="28"/>
    <x v="2"/>
    <x v="9"/>
    <x v="1590"/>
    <x v="2806"/>
    <n v="1"/>
    <x v="1758"/>
  </r>
  <r>
    <d v="2017-04-12T00:00:00"/>
    <x v="638"/>
    <x v="28"/>
    <x v="2"/>
    <x v="9"/>
    <x v="1545"/>
    <x v="2807"/>
    <n v="5"/>
    <x v="2713"/>
  </r>
  <r>
    <d v="2017-04-12T00:00:00"/>
    <x v="169"/>
    <x v="31"/>
    <x v="2"/>
    <x v="16"/>
    <x v="1230"/>
    <x v="2808"/>
    <n v="2"/>
    <x v="2714"/>
  </r>
  <r>
    <d v="2017-04-12T00:00:00"/>
    <x v="185"/>
    <x v="16"/>
    <x v="0"/>
    <x v="0"/>
    <x v="1184"/>
    <x v="597"/>
    <n v="3"/>
    <x v="2715"/>
  </r>
  <r>
    <d v="2017-04-12T00:00:00"/>
    <x v="19"/>
    <x v="3"/>
    <x v="0"/>
    <x v="0"/>
    <x v="457"/>
    <x v="927"/>
    <n v="2"/>
    <x v="423"/>
  </r>
  <r>
    <d v="2017-04-12T00:00:00"/>
    <x v="473"/>
    <x v="11"/>
    <x v="1"/>
    <x v="8"/>
    <x v="1591"/>
    <x v="1457"/>
    <n v="1"/>
    <x v="751"/>
  </r>
  <r>
    <d v="2017-04-12T00:00:00"/>
    <x v="473"/>
    <x v="11"/>
    <x v="1"/>
    <x v="5"/>
    <x v="328"/>
    <x v="2809"/>
    <n v="3"/>
    <x v="2716"/>
  </r>
  <r>
    <d v="2017-04-12T00:00:00"/>
    <x v="473"/>
    <x v="11"/>
    <x v="1"/>
    <x v="5"/>
    <x v="1016"/>
    <x v="2810"/>
    <n v="3"/>
    <x v="2717"/>
  </r>
  <r>
    <d v="2017-04-12T00:00:00"/>
    <x v="51"/>
    <x v="2"/>
    <x v="1"/>
    <x v="8"/>
    <x v="131"/>
    <x v="1263"/>
    <n v="3"/>
    <x v="462"/>
  </r>
  <r>
    <d v="2017-05-12T00:00:00"/>
    <x v="597"/>
    <x v="26"/>
    <x v="0"/>
    <x v="13"/>
    <x v="443"/>
    <x v="1845"/>
    <n v="3"/>
    <x v="1807"/>
  </r>
  <r>
    <d v="2017-05-12T00:00:00"/>
    <x v="597"/>
    <x v="26"/>
    <x v="0"/>
    <x v="0"/>
    <x v="87"/>
    <x v="2811"/>
    <n v="5"/>
    <x v="2718"/>
  </r>
  <r>
    <d v="2017-05-12T00:00:00"/>
    <x v="597"/>
    <x v="26"/>
    <x v="2"/>
    <x v="9"/>
    <x v="589"/>
    <x v="2812"/>
    <n v="3"/>
    <x v="2719"/>
  </r>
  <r>
    <d v="2017-05-12T00:00:00"/>
    <x v="418"/>
    <x v="3"/>
    <x v="0"/>
    <x v="0"/>
    <x v="888"/>
    <x v="1246"/>
    <n v="3"/>
    <x v="1224"/>
  </r>
  <r>
    <d v="2017-05-12T00:00:00"/>
    <x v="108"/>
    <x v="41"/>
    <x v="2"/>
    <x v="9"/>
    <x v="201"/>
    <x v="2813"/>
    <n v="7"/>
    <x v="2720"/>
  </r>
  <r>
    <d v="2017-05-12T00:00:00"/>
    <x v="250"/>
    <x v="12"/>
    <x v="1"/>
    <x v="8"/>
    <x v="242"/>
    <x v="338"/>
    <n v="3"/>
    <x v="2050"/>
  </r>
  <r>
    <d v="2017-05-12T00:00:00"/>
    <x v="250"/>
    <x v="12"/>
    <x v="1"/>
    <x v="8"/>
    <x v="1592"/>
    <x v="2814"/>
    <n v="2"/>
    <x v="2721"/>
  </r>
  <r>
    <d v="2017-05-12T00:00:00"/>
    <x v="250"/>
    <x v="12"/>
    <x v="0"/>
    <x v="13"/>
    <x v="324"/>
    <x v="465"/>
    <n v="5"/>
    <x v="2722"/>
  </r>
  <r>
    <d v="2017-05-12T00:00:00"/>
    <x v="376"/>
    <x v="10"/>
    <x v="0"/>
    <x v="3"/>
    <x v="72"/>
    <x v="689"/>
    <n v="3"/>
    <x v="1614"/>
  </r>
  <r>
    <d v="2017-05-12T00:00:00"/>
    <x v="376"/>
    <x v="10"/>
    <x v="0"/>
    <x v="3"/>
    <x v="95"/>
    <x v="825"/>
    <n v="6"/>
    <x v="374"/>
  </r>
  <r>
    <d v="2017-05-12T00:00:00"/>
    <x v="121"/>
    <x v="12"/>
    <x v="1"/>
    <x v="8"/>
    <x v="1336"/>
    <x v="1051"/>
    <n v="2"/>
    <x v="474"/>
  </r>
  <r>
    <d v="2017-05-12T00:00:00"/>
    <x v="121"/>
    <x v="12"/>
    <x v="0"/>
    <x v="1"/>
    <x v="1593"/>
    <x v="189"/>
    <n v="3"/>
    <x v="192"/>
  </r>
  <r>
    <d v="2017-05-12T00:00:00"/>
    <x v="736"/>
    <x v="10"/>
    <x v="0"/>
    <x v="3"/>
    <x v="946"/>
    <x v="423"/>
    <n v="5"/>
    <x v="2701"/>
  </r>
  <r>
    <d v="2017-05-12T00:00:00"/>
    <x v="736"/>
    <x v="10"/>
    <x v="1"/>
    <x v="8"/>
    <x v="1118"/>
    <x v="2815"/>
    <n v="5"/>
    <x v="2723"/>
  </r>
  <r>
    <d v="2017-05-12T00:00:00"/>
    <x v="736"/>
    <x v="10"/>
    <x v="2"/>
    <x v="6"/>
    <x v="1059"/>
    <x v="2816"/>
    <n v="3"/>
    <x v="689"/>
  </r>
  <r>
    <d v="2017-05-12T00:00:00"/>
    <x v="736"/>
    <x v="10"/>
    <x v="0"/>
    <x v="3"/>
    <x v="1324"/>
    <x v="2817"/>
    <n v="6"/>
    <x v="2724"/>
  </r>
  <r>
    <d v="2017-05-12T00:00:00"/>
    <x v="736"/>
    <x v="10"/>
    <x v="0"/>
    <x v="3"/>
    <x v="1302"/>
    <x v="1897"/>
    <n v="2"/>
    <x v="1859"/>
  </r>
  <r>
    <d v="2017-05-12T00:00:00"/>
    <x v="708"/>
    <x v="12"/>
    <x v="0"/>
    <x v="0"/>
    <x v="1513"/>
    <x v="2818"/>
    <n v="6"/>
    <x v="1115"/>
  </r>
  <r>
    <d v="2017-05-12T00:00:00"/>
    <x v="708"/>
    <x v="12"/>
    <x v="0"/>
    <x v="1"/>
    <x v="1255"/>
    <x v="1830"/>
    <n v="3"/>
    <x v="1540"/>
  </r>
  <r>
    <d v="2017-06-12T00:00:00"/>
    <x v="219"/>
    <x v="3"/>
    <x v="0"/>
    <x v="2"/>
    <x v="317"/>
    <x v="2819"/>
    <n v="1"/>
    <x v="2568"/>
  </r>
  <r>
    <d v="2017-07-12T00:00:00"/>
    <x v="306"/>
    <x v="3"/>
    <x v="2"/>
    <x v="6"/>
    <x v="784"/>
    <x v="2820"/>
    <n v="3"/>
    <x v="1570"/>
  </r>
  <r>
    <d v="2017-07-12T00:00:00"/>
    <x v="417"/>
    <x v="0"/>
    <x v="0"/>
    <x v="7"/>
    <x v="142"/>
    <x v="798"/>
    <n v="3"/>
    <x v="2725"/>
  </r>
  <r>
    <d v="2017-07-12T00:00:00"/>
    <x v="417"/>
    <x v="0"/>
    <x v="0"/>
    <x v="0"/>
    <x v="267"/>
    <x v="70"/>
    <n v="3"/>
    <x v="366"/>
  </r>
  <r>
    <d v="2017-07-12T00:00:00"/>
    <x v="257"/>
    <x v="16"/>
    <x v="2"/>
    <x v="9"/>
    <x v="591"/>
    <x v="661"/>
    <n v="2"/>
    <x v="649"/>
  </r>
  <r>
    <d v="2017-07-12T00:00:00"/>
    <x v="625"/>
    <x v="6"/>
    <x v="1"/>
    <x v="8"/>
    <x v="581"/>
    <x v="2821"/>
    <n v="6"/>
    <x v="2726"/>
  </r>
  <r>
    <d v="2017-07-12T00:00:00"/>
    <x v="503"/>
    <x v="1"/>
    <x v="0"/>
    <x v="3"/>
    <x v="1594"/>
    <x v="2822"/>
    <n v="5"/>
    <x v="2727"/>
  </r>
  <r>
    <d v="2017-07-12T00:00:00"/>
    <x v="123"/>
    <x v="32"/>
    <x v="0"/>
    <x v="13"/>
    <x v="1574"/>
    <x v="2823"/>
    <n v="4"/>
    <x v="2728"/>
  </r>
  <r>
    <d v="2017-07-12T00:00:00"/>
    <x v="123"/>
    <x v="32"/>
    <x v="2"/>
    <x v="9"/>
    <x v="17"/>
    <x v="2824"/>
    <n v="4"/>
    <x v="2030"/>
  </r>
  <r>
    <d v="2017-07-12T00:00:00"/>
    <x v="263"/>
    <x v="3"/>
    <x v="0"/>
    <x v="0"/>
    <x v="1458"/>
    <x v="2825"/>
    <n v="6"/>
    <x v="599"/>
  </r>
  <r>
    <d v="2017-08-12T00:00:00"/>
    <x v="233"/>
    <x v="3"/>
    <x v="2"/>
    <x v="9"/>
    <x v="1252"/>
    <x v="2826"/>
    <n v="5"/>
    <x v="1195"/>
  </r>
  <r>
    <d v="2017-08-12T00:00:00"/>
    <x v="233"/>
    <x v="3"/>
    <x v="2"/>
    <x v="15"/>
    <x v="340"/>
    <x v="353"/>
    <n v="3"/>
    <x v="354"/>
  </r>
  <r>
    <d v="2017-08-12T00:00:00"/>
    <x v="233"/>
    <x v="3"/>
    <x v="0"/>
    <x v="0"/>
    <x v="571"/>
    <x v="2827"/>
    <n v="5"/>
    <x v="908"/>
  </r>
  <r>
    <d v="2017-08-12T00:00:00"/>
    <x v="233"/>
    <x v="3"/>
    <x v="1"/>
    <x v="10"/>
    <x v="237"/>
    <x v="2828"/>
    <n v="7"/>
    <x v="2729"/>
  </r>
  <r>
    <d v="2017-08-12T00:00:00"/>
    <x v="233"/>
    <x v="3"/>
    <x v="0"/>
    <x v="0"/>
    <x v="1595"/>
    <x v="2829"/>
    <n v="1"/>
    <x v="294"/>
  </r>
  <r>
    <d v="2017-08-12T00:00:00"/>
    <x v="233"/>
    <x v="3"/>
    <x v="0"/>
    <x v="1"/>
    <x v="1593"/>
    <x v="1842"/>
    <n v="9"/>
    <x v="2730"/>
  </r>
  <r>
    <d v="2017-08-12T00:00:00"/>
    <x v="233"/>
    <x v="3"/>
    <x v="0"/>
    <x v="0"/>
    <x v="868"/>
    <x v="489"/>
    <n v="1"/>
    <x v="2731"/>
  </r>
  <r>
    <d v="2017-08-12T00:00:00"/>
    <x v="233"/>
    <x v="3"/>
    <x v="1"/>
    <x v="12"/>
    <x v="63"/>
    <x v="2830"/>
    <n v="13"/>
    <x v="641"/>
  </r>
  <r>
    <d v="2017-08-12T00:00:00"/>
    <x v="233"/>
    <x v="3"/>
    <x v="1"/>
    <x v="5"/>
    <x v="793"/>
    <x v="2742"/>
    <n v="2"/>
    <x v="2732"/>
  </r>
  <r>
    <d v="2017-08-12T00:00:00"/>
    <x v="17"/>
    <x v="12"/>
    <x v="1"/>
    <x v="8"/>
    <x v="1596"/>
    <x v="2831"/>
    <n v="2"/>
    <x v="1186"/>
  </r>
  <r>
    <d v="2017-08-12T00:00:00"/>
    <x v="17"/>
    <x v="12"/>
    <x v="0"/>
    <x v="2"/>
    <x v="1597"/>
    <x v="2832"/>
    <n v="3"/>
    <x v="52"/>
  </r>
  <r>
    <d v="2017-08-12T00:00:00"/>
    <x v="17"/>
    <x v="12"/>
    <x v="0"/>
    <x v="0"/>
    <x v="1325"/>
    <x v="5"/>
    <n v="3"/>
    <x v="5"/>
  </r>
  <r>
    <d v="2017-08-12T00:00:00"/>
    <x v="17"/>
    <x v="12"/>
    <x v="0"/>
    <x v="2"/>
    <x v="490"/>
    <x v="523"/>
    <n v="4"/>
    <x v="523"/>
  </r>
  <r>
    <d v="2017-08-12T00:00:00"/>
    <x v="304"/>
    <x v="3"/>
    <x v="0"/>
    <x v="2"/>
    <x v="403"/>
    <x v="1064"/>
    <n v="3"/>
    <x v="1633"/>
  </r>
  <r>
    <d v="2017-08-12T00:00:00"/>
    <x v="304"/>
    <x v="3"/>
    <x v="1"/>
    <x v="8"/>
    <x v="1598"/>
    <x v="2833"/>
    <n v="2"/>
    <x v="2733"/>
  </r>
  <r>
    <d v="2017-08-12T00:00:00"/>
    <x v="304"/>
    <x v="3"/>
    <x v="0"/>
    <x v="0"/>
    <x v="1578"/>
    <x v="2834"/>
    <n v="9"/>
    <x v="1924"/>
  </r>
  <r>
    <d v="2017-08-12T00:00:00"/>
    <x v="371"/>
    <x v="3"/>
    <x v="0"/>
    <x v="13"/>
    <x v="1599"/>
    <x v="2835"/>
    <n v="1"/>
    <x v="1932"/>
  </r>
  <r>
    <d v="2017-08-12T00:00:00"/>
    <x v="262"/>
    <x v="3"/>
    <x v="0"/>
    <x v="0"/>
    <x v="1600"/>
    <x v="2385"/>
    <n v="4"/>
    <x v="2734"/>
  </r>
  <r>
    <d v="2017-08-12T00:00:00"/>
    <x v="262"/>
    <x v="3"/>
    <x v="0"/>
    <x v="3"/>
    <x v="363"/>
    <x v="2836"/>
    <n v="1"/>
    <x v="116"/>
  </r>
  <r>
    <d v="2017-08-12T00:00:00"/>
    <x v="262"/>
    <x v="3"/>
    <x v="0"/>
    <x v="3"/>
    <x v="270"/>
    <x v="1420"/>
    <n v="3"/>
    <x v="1530"/>
  </r>
  <r>
    <d v="2017-08-12T00:00:00"/>
    <x v="262"/>
    <x v="3"/>
    <x v="0"/>
    <x v="2"/>
    <x v="653"/>
    <x v="763"/>
    <n v="1"/>
    <x v="747"/>
  </r>
  <r>
    <d v="2017-08-12T00:00:00"/>
    <x v="275"/>
    <x v="8"/>
    <x v="2"/>
    <x v="9"/>
    <x v="465"/>
    <x v="2837"/>
    <n v="3"/>
    <x v="2735"/>
  </r>
  <r>
    <d v="2017-08-12T00:00:00"/>
    <x v="275"/>
    <x v="8"/>
    <x v="0"/>
    <x v="13"/>
    <x v="319"/>
    <x v="330"/>
    <n v="3"/>
    <x v="331"/>
  </r>
  <r>
    <d v="2017-08-12T00:00:00"/>
    <x v="275"/>
    <x v="8"/>
    <x v="0"/>
    <x v="1"/>
    <x v="1399"/>
    <x v="2838"/>
    <n v="2"/>
    <x v="2736"/>
  </r>
  <r>
    <d v="2017-08-12T00:00:00"/>
    <x v="275"/>
    <x v="8"/>
    <x v="1"/>
    <x v="12"/>
    <x v="872"/>
    <x v="2839"/>
    <n v="4"/>
    <x v="2737"/>
  </r>
  <r>
    <d v="2017-08-12T00:00:00"/>
    <x v="275"/>
    <x v="8"/>
    <x v="0"/>
    <x v="0"/>
    <x v="1033"/>
    <x v="2840"/>
    <n v="4"/>
    <x v="2738"/>
  </r>
  <r>
    <d v="2017-08-12T00:00:00"/>
    <x v="124"/>
    <x v="40"/>
    <x v="0"/>
    <x v="2"/>
    <x v="633"/>
    <x v="2841"/>
    <n v="6"/>
    <x v="2739"/>
  </r>
  <r>
    <d v="2017-08-12T00:00:00"/>
    <x v="465"/>
    <x v="2"/>
    <x v="1"/>
    <x v="5"/>
    <x v="658"/>
    <x v="2842"/>
    <n v="4"/>
    <x v="2740"/>
  </r>
  <r>
    <d v="2017-08-12T00:00:00"/>
    <x v="389"/>
    <x v="2"/>
    <x v="0"/>
    <x v="4"/>
    <x v="408"/>
    <x v="2843"/>
    <n v="4"/>
    <x v="2741"/>
  </r>
  <r>
    <d v="2017-08-12T00:00:00"/>
    <x v="389"/>
    <x v="2"/>
    <x v="2"/>
    <x v="6"/>
    <x v="1456"/>
    <x v="2844"/>
    <n v="2"/>
    <x v="2742"/>
  </r>
  <r>
    <d v="2017-09-12T00:00:00"/>
    <x v="504"/>
    <x v="0"/>
    <x v="0"/>
    <x v="3"/>
    <x v="1397"/>
    <x v="2698"/>
    <n v="3"/>
    <x v="2210"/>
  </r>
  <r>
    <d v="2017-09-12T00:00:00"/>
    <x v="504"/>
    <x v="0"/>
    <x v="1"/>
    <x v="8"/>
    <x v="1240"/>
    <x v="2845"/>
    <n v="3"/>
    <x v="2743"/>
  </r>
  <r>
    <d v="2017-09-12T00:00:00"/>
    <x v="504"/>
    <x v="0"/>
    <x v="0"/>
    <x v="2"/>
    <x v="1363"/>
    <x v="1885"/>
    <n v="3"/>
    <x v="182"/>
  </r>
  <r>
    <d v="2017-09-12T00:00:00"/>
    <x v="393"/>
    <x v="3"/>
    <x v="2"/>
    <x v="6"/>
    <x v="1209"/>
    <x v="2846"/>
    <n v="4"/>
    <x v="2744"/>
  </r>
  <r>
    <d v="2017-09-12T00:00:00"/>
    <x v="515"/>
    <x v="16"/>
    <x v="0"/>
    <x v="2"/>
    <x v="108"/>
    <x v="2847"/>
    <n v="1"/>
    <x v="2745"/>
  </r>
  <r>
    <d v="2017-09-12T00:00:00"/>
    <x v="515"/>
    <x v="16"/>
    <x v="0"/>
    <x v="11"/>
    <x v="1601"/>
    <x v="1792"/>
    <n v="3"/>
    <x v="2746"/>
  </r>
  <r>
    <d v="2017-09-12T00:00:00"/>
    <x v="332"/>
    <x v="18"/>
    <x v="1"/>
    <x v="5"/>
    <x v="1102"/>
    <x v="2848"/>
    <n v="3"/>
    <x v="2747"/>
  </r>
  <r>
    <d v="2017-09-12T00:00:00"/>
    <x v="332"/>
    <x v="18"/>
    <x v="0"/>
    <x v="3"/>
    <x v="230"/>
    <x v="2849"/>
    <n v="2"/>
    <x v="1627"/>
  </r>
  <r>
    <d v="2017-09-12T00:00:00"/>
    <x v="332"/>
    <x v="18"/>
    <x v="0"/>
    <x v="0"/>
    <x v="920"/>
    <x v="113"/>
    <n v="2"/>
    <x v="411"/>
  </r>
  <r>
    <d v="2017-09-12T00:00:00"/>
    <x v="551"/>
    <x v="26"/>
    <x v="0"/>
    <x v="0"/>
    <x v="1265"/>
    <x v="2850"/>
    <n v="5"/>
    <x v="421"/>
  </r>
  <r>
    <d v="2017-09-12T00:00:00"/>
    <x v="551"/>
    <x v="26"/>
    <x v="0"/>
    <x v="3"/>
    <x v="1397"/>
    <x v="2851"/>
    <n v="5"/>
    <x v="537"/>
  </r>
  <r>
    <d v="2017-09-12T00:00:00"/>
    <x v="403"/>
    <x v="2"/>
    <x v="0"/>
    <x v="4"/>
    <x v="113"/>
    <x v="2852"/>
    <n v="1"/>
    <x v="2748"/>
  </r>
  <r>
    <d v="2017-09-12T00:00:00"/>
    <x v="572"/>
    <x v="18"/>
    <x v="2"/>
    <x v="9"/>
    <x v="1442"/>
    <x v="2853"/>
    <n v="6"/>
    <x v="2300"/>
  </r>
  <r>
    <d v="2017-09-12T00:00:00"/>
    <x v="572"/>
    <x v="18"/>
    <x v="0"/>
    <x v="4"/>
    <x v="1602"/>
    <x v="2854"/>
    <n v="5"/>
    <x v="2749"/>
  </r>
  <r>
    <d v="2017-09-12T00:00:00"/>
    <x v="572"/>
    <x v="18"/>
    <x v="0"/>
    <x v="3"/>
    <x v="1321"/>
    <x v="2855"/>
    <n v="4"/>
    <x v="1422"/>
  </r>
  <r>
    <d v="2017-09-12T00:00:00"/>
    <x v="572"/>
    <x v="18"/>
    <x v="0"/>
    <x v="0"/>
    <x v="177"/>
    <x v="41"/>
    <n v="3"/>
    <x v="93"/>
  </r>
  <r>
    <d v="2017-09-12T00:00:00"/>
    <x v="687"/>
    <x v="1"/>
    <x v="0"/>
    <x v="0"/>
    <x v="1205"/>
    <x v="796"/>
    <n v="2"/>
    <x v="1650"/>
  </r>
  <r>
    <d v="2017-09-12T00:00:00"/>
    <x v="436"/>
    <x v="3"/>
    <x v="0"/>
    <x v="4"/>
    <x v="974"/>
    <x v="104"/>
    <n v="2"/>
    <x v="1583"/>
  </r>
  <r>
    <d v="2017-09-12T00:00:00"/>
    <x v="436"/>
    <x v="3"/>
    <x v="1"/>
    <x v="10"/>
    <x v="145"/>
    <x v="2856"/>
    <n v="9"/>
    <x v="2750"/>
  </r>
  <r>
    <d v="2017-09-12T00:00:00"/>
    <x v="436"/>
    <x v="3"/>
    <x v="0"/>
    <x v="13"/>
    <x v="1603"/>
    <x v="2857"/>
    <n v="1"/>
    <x v="2751"/>
  </r>
  <r>
    <d v="2017-09-12T00:00:00"/>
    <x v="187"/>
    <x v="1"/>
    <x v="0"/>
    <x v="0"/>
    <x v="315"/>
    <x v="566"/>
    <n v="9"/>
    <x v="562"/>
  </r>
  <r>
    <d v="2017-09-12T00:00:00"/>
    <x v="664"/>
    <x v="23"/>
    <x v="0"/>
    <x v="0"/>
    <x v="1304"/>
    <x v="2164"/>
    <n v="5"/>
    <x v="2107"/>
  </r>
  <r>
    <d v="2017-09-12T00:00:00"/>
    <x v="664"/>
    <x v="23"/>
    <x v="0"/>
    <x v="3"/>
    <x v="1388"/>
    <x v="2858"/>
    <n v="3"/>
    <x v="2752"/>
  </r>
  <r>
    <d v="2017-09-12T00:00:00"/>
    <x v="545"/>
    <x v="3"/>
    <x v="1"/>
    <x v="12"/>
    <x v="1465"/>
    <x v="2859"/>
    <n v="3"/>
    <x v="1201"/>
  </r>
  <r>
    <d v="2017-09-12T00:00:00"/>
    <x v="140"/>
    <x v="5"/>
    <x v="0"/>
    <x v="3"/>
    <x v="685"/>
    <x v="2860"/>
    <n v="2"/>
    <x v="2753"/>
  </r>
  <r>
    <d v="2017-09-12T00:00:00"/>
    <x v="140"/>
    <x v="5"/>
    <x v="0"/>
    <x v="13"/>
    <x v="1231"/>
    <x v="2861"/>
    <n v="5"/>
    <x v="2754"/>
  </r>
  <r>
    <d v="2017-09-12T00:00:00"/>
    <x v="140"/>
    <x v="5"/>
    <x v="0"/>
    <x v="3"/>
    <x v="866"/>
    <x v="1440"/>
    <n v="4"/>
    <x v="121"/>
  </r>
  <r>
    <d v="2017-09-12T00:00:00"/>
    <x v="140"/>
    <x v="5"/>
    <x v="2"/>
    <x v="9"/>
    <x v="201"/>
    <x v="2862"/>
    <n v="5"/>
    <x v="1451"/>
  </r>
  <r>
    <d v="2017-09-12T00:00:00"/>
    <x v="140"/>
    <x v="5"/>
    <x v="0"/>
    <x v="2"/>
    <x v="860"/>
    <x v="1825"/>
    <n v="1"/>
    <x v="2091"/>
  </r>
  <r>
    <d v="2017-09-12T00:00:00"/>
    <x v="140"/>
    <x v="5"/>
    <x v="0"/>
    <x v="1"/>
    <x v="629"/>
    <x v="570"/>
    <n v="2"/>
    <x v="224"/>
  </r>
  <r>
    <d v="2017-09-12T00:00:00"/>
    <x v="140"/>
    <x v="5"/>
    <x v="2"/>
    <x v="15"/>
    <x v="273"/>
    <x v="2863"/>
    <n v="2"/>
    <x v="2755"/>
  </r>
  <r>
    <d v="2017-09-12T00:00:00"/>
    <x v="179"/>
    <x v="2"/>
    <x v="0"/>
    <x v="3"/>
    <x v="956"/>
    <x v="1818"/>
    <n v="7"/>
    <x v="2756"/>
  </r>
  <r>
    <d v="2017-09-12T00:00:00"/>
    <x v="222"/>
    <x v="18"/>
    <x v="0"/>
    <x v="3"/>
    <x v="1572"/>
    <x v="1595"/>
    <n v="5"/>
    <x v="1569"/>
  </r>
  <r>
    <d v="2017-10-12T00:00:00"/>
    <x v="518"/>
    <x v="3"/>
    <x v="0"/>
    <x v="3"/>
    <x v="358"/>
    <x v="2601"/>
    <n v="4"/>
    <x v="2521"/>
  </r>
  <r>
    <d v="2017-10-12T00:00:00"/>
    <x v="518"/>
    <x v="3"/>
    <x v="0"/>
    <x v="3"/>
    <x v="277"/>
    <x v="132"/>
    <n v="2"/>
    <x v="2757"/>
  </r>
  <r>
    <d v="2017-10-12T00:00:00"/>
    <x v="243"/>
    <x v="2"/>
    <x v="2"/>
    <x v="9"/>
    <x v="1521"/>
    <x v="1648"/>
    <n v="1"/>
    <x v="2758"/>
  </r>
  <r>
    <d v="2017-10-12T00:00:00"/>
    <x v="618"/>
    <x v="37"/>
    <x v="0"/>
    <x v="3"/>
    <x v="620"/>
    <x v="2283"/>
    <n v="3"/>
    <x v="2217"/>
  </r>
  <r>
    <d v="2017-10-12T00:00:00"/>
    <x v="133"/>
    <x v="13"/>
    <x v="1"/>
    <x v="10"/>
    <x v="1178"/>
    <x v="2864"/>
    <n v="4"/>
    <x v="2759"/>
  </r>
  <r>
    <d v="2017-10-12T00:00:00"/>
    <x v="703"/>
    <x v="2"/>
    <x v="0"/>
    <x v="0"/>
    <x v="433"/>
    <x v="148"/>
    <n v="2"/>
    <x v="150"/>
  </r>
  <r>
    <d v="2017-10-12T00:00:00"/>
    <x v="703"/>
    <x v="2"/>
    <x v="1"/>
    <x v="8"/>
    <x v="1174"/>
    <x v="2865"/>
    <n v="2"/>
    <x v="2366"/>
  </r>
  <r>
    <d v="2017-10-12T00:00:00"/>
    <x v="215"/>
    <x v="27"/>
    <x v="0"/>
    <x v="11"/>
    <x v="464"/>
    <x v="2774"/>
    <n v="3"/>
    <x v="537"/>
  </r>
  <r>
    <d v="2017-10-12T00:00:00"/>
    <x v="215"/>
    <x v="27"/>
    <x v="0"/>
    <x v="13"/>
    <x v="1419"/>
    <x v="2866"/>
    <n v="7"/>
    <x v="2760"/>
  </r>
  <r>
    <d v="2017-10-12T00:00:00"/>
    <x v="405"/>
    <x v="9"/>
    <x v="1"/>
    <x v="8"/>
    <x v="750"/>
    <x v="2867"/>
    <n v="3"/>
    <x v="2761"/>
  </r>
  <r>
    <d v="2017-10-12T00:00:00"/>
    <x v="518"/>
    <x v="10"/>
    <x v="2"/>
    <x v="9"/>
    <x v="329"/>
    <x v="2201"/>
    <n v="3"/>
    <x v="65"/>
  </r>
  <r>
    <d v="2017-10-12T00:00:00"/>
    <x v="518"/>
    <x v="10"/>
    <x v="0"/>
    <x v="2"/>
    <x v="1126"/>
    <x v="2868"/>
    <n v="5"/>
    <x v="2762"/>
  </r>
  <r>
    <d v="2017-10-12T00:00:00"/>
    <x v="518"/>
    <x v="10"/>
    <x v="0"/>
    <x v="4"/>
    <x v="1604"/>
    <x v="2404"/>
    <n v="3"/>
    <x v="2582"/>
  </r>
  <r>
    <d v="2017-10-12T00:00:00"/>
    <x v="495"/>
    <x v="32"/>
    <x v="2"/>
    <x v="9"/>
    <x v="938"/>
    <x v="2869"/>
    <n v="3"/>
    <x v="2763"/>
  </r>
  <r>
    <d v="2017-10-12T00:00:00"/>
    <x v="495"/>
    <x v="32"/>
    <x v="2"/>
    <x v="6"/>
    <x v="1059"/>
    <x v="2870"/>
    <n v="3"/>
    <x v="1276"/>
  </r>
  <r>
    <d v="2017-10-12T00:00:00"/>
    <x v="495"/>
    <x v="32"/>
    <x v="0"/>
    <x v="3"/>
    <x v="1501"/>
    <x v="671"/>
    <n v="8"/>
    <x v="223"/>
  </r>
  <r>
    <d v="2017-10-12T00:00:00"/>
    <x v="588"/>
    <x v="3"/>
    <x v="2"/>
    <x v="6"/>
    <x v="689"/>
    <x v="801"/>
    <n v="4"/>
    <x v="784"/>
  </r>
  <r>
    <d v="2017-10-12T00:00:00"/>
    <x v="588"/>
    <x v="3"/>
    <x v="0"/>
    <x v="0"/>
    <x v="5"/>
    <x v="113"/>
    <n v="2"/>
    <x v="411"/>
  </r>
  <r>
    <d v="2017-10-12T00:00:00"/>
    <x v="635"/>
    <x v="17"/>
    <x v="1"/>
    <x v="8"/>
    <x v="831"/>
    <x v="1027"/>
    <n v="2"/>
    <x v="1724"/>
  </r>
  <r>
    <d v="2017-10-12T00:00:00"/>
    <x v="266"/>
    <x v="2"/>
    <x v="0"/>
    <x v="3"/>
    <x v="1135"/>
    <x v="2871"/>
    <n v="1"/>
    <x v="2764"/>
  </r>
  <r>
    <d v="2017-10-12T00:00:00"/>
    <x v="266"/>
    <x v="2"/>
    <x v="1"/>
    <x v="8"/>
    <x v="223"/>
    <x v="2385"/>
    <n v="5"/>
    <x v="421"/>
  </r>
  <r>
    <d v="2017-11-12T00:00:00"/>
    <x v="343"/>
    <x v="12"/>
    <x v="0"/>
    <x v="3"/>
    <x v="397"/>
    <x v="2872"/>
    <n v="4"/>
    <x v="1935"/>
  </r>
  <r>
    <d v="2017-11-12T00:00:00"/>
    <x v="343"/>
    <x v="12"/>
    <x v="2"/>
    <x v="9"/>
    <x v="897"/>
    <x v="1726"/>
    <n v="2"/>
    <x v="1841"/>
  </r>
  <r>
    <d v="2017-11-12T00:00:00"/>
    <x v="96"/>
    <x v="2"/>
    <x v="1"/>
    <x v="5"/>
    <x v="1605"/>
    <x v="2873"/>
    <n v="1"/>
    <x v="2765"/>
  </r>
  <r>
    <d v="2017-11-12T00:00:00"/>
    <x v="737"/>
    <x v="1"/>
    <x v="0"/>
    <x v="0"/>
    <x v="351"/>
    <x v="148"/>
    <n v="2"/>
    <x v="150"/>
  </r>
  <r>
    <d v="2017-11-12T00:00:00"/>
    <x v="737"/>
    <x v="1"/>
    <x v="1"/>
    <x v="8"/>
    <x v="1174"/>
    <x v="2874"/>
    <n v="1"/>
    <x v="2766"/>
  </r>
  <r>
    <d v="2017-11-12T00:00:00"/>
    <x v="737"/>
    <x v="1"/>
    <x v="1"/>
    <x v="5"/>
    <x v="442"/>
    <x v="2875"/>
    <n v="2"/>
    <x v="2767"/>
  </r>
  <r>
    <d v="2017-11-12T00:00:00"/>
    <x v="292"/>
    <x v="20"/>
    <x v="2"/>
    <x v="6"/>
    <x v="829"/>
    <x v="1021"/>
    <n v="3"/>
    <x v="999"/>
  </r>
  <r>
    <d v="2017-11-12T00:00:00"/>
    <x v="616"/>
    <x v="1"/>
    <x v="2"/>
    <x v="9"/>
    <x v="102"/>
    <x v="2876"/>
    <n v="7"/>
    <x v="2768"/>
  </r>
  <r>
    <d v="2017-11-12T00:00:00"/>
    <x v="327"/>
    <x v="12"/>
    <x v="0"/>
    <x v="3"/>
    <x v="925"/>
    <x v="2877"/>
    <n v="1"/>
    <x v="2769"/>
  </r>
  <r>
    <d v="2017-11-12T00:00:00"/>
    <x v="327"/>
    <x v="12"/>
    <x v="0"/>
    <x v="0"/>
    <x v="279"/>
    <x v="77"/>
    <n v="3"/>
    <x v="394"/>
  </r>
  <r>
    <d v="2017-11-12T00:00:00"/>
    <x v="327"/>
    <x v="12"/>
    <x v="2"/>
    <x v="6"/>
    <x v="777"/>
    <x v="2878"/>
    <n v="2"/>
    <x v="2770"/>
  </r>
  <r>
    <d v="2017-11-12T00:00:00"/>
    <x v="196"/>
    <x v="0"/>
    <x v="0"/>
    <x v="13"/>
    <x v="1606"/>
    <x v="2879"/>
    <n v="2"/>
    <x v="2771"/>
  </r>
  <r>
    <d v="2017-11-12T00:00:00"/>
    <x v="575"/>
    <x v="9"/>
    <x v="1"/>
    <x v="10"/>
    <x v="313"/>
    <x v="2880"/>
    <n v="6"/>
    <x v="2772"/>
  </r>
  <r>
    <d v="2017-11-12T00:00:00"/>
    <x v="575"/>
    <x v="9"/>
    <x v="2"/>
    <x v="6"/>
    <x v="1360"/>
    <x v="2881"/>
    <n v="4"/>
    <x v="2773"/>
  </r>
  <r>
    <d v="2017-11-12T00:00:00"/>
    <x v="575"/>
    <x v="9"/>
    <x v="0"/>
    <x v="4"/>
    <x v="1278"/>
    <x v="2882"/>
    <n v="1"/>
    <x v="18"/>
  </r>
  <r>
    <d v="2017-11-12T00:00:00"/>
    <x v="575"/>
    <x v="9"/>
    <x v="1"/>
    <x v="5"/>
    <x v="45"/>
    <x v="403"/>
    <n v="1"/>
    <x v="2774"/>
  </r>
  <r>
    <d v="2017-11-12T00:00:00"/>
    <x v="570"/>
    <x v="42"/>
    <x v="0"/>
    <x v="11"/>
    <x v="1607"/>
    <x v="250"/>
    <n v="1"/>
    <x v="2775"/>
  </r>
  <r>
    <d v="2017-11-12T00:00:00"/>
    <x v="570"/>
    <x v="42"/>
    <x v="0"/>
    <x v="3"/>
    <x v="1377"/>
    <x v="2883"/>
    <n v="3"/>
    <x v="2776"/>
  </r>
  <r>
    <d v="2017-11-12T00:00:00"/>
    <x v="301"/>
    <x v="11"/>
    <x v="0"/>
    <x v="7"/>
    <x v="86"/>
    <x v="13"/>
    <n v="3"/>
    <x v="2777"/>
  </r>
  <r>
    <d v="2017-11-12T00:00:00"/>
    <x v="46"/>
    <x v="11"/>
    <x v="0"/>
    <x v="3"/>
    <x v="120"/>
    <x v="120"/>
    <n v="5"/>
    <x v="122"/>
  </r>
  <r>
    <d v="2017-11-12T00:00:00"/>
    <x v="46"/>
    <x v="11"/>
    <x v="0"/>
    <x v="3"/>
    <x v="355"/>
    <x v="1849"/>
    <n v="2"/>
    <x v="1811"/>
  </r>
  <r>
    <d v="2017-11-12T00:00:00"/>
    <x v="46"/>
    <x v="11"/>
    <x v="0"/>
    <x v="13"/>
    <x v="314"/>
    <x v="2000"/>
    <n v="7"/>
    <x v="9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6DF0B-20E9-4D3C-B90A-D896D39E793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9">
    <pivotField showAll="0"/>
    <pivotField showAll="0"/>
    <pivotField showAll="0"/>
    <pivotField showAll="0">
      <items count="5">
        <item x="1"/>
        <item x="0"/>
        <item x="2"/>
        <item x="3"/>
        <item t="default"/>
      </items>
    </pivotField>
    <pivotField showAll="0">
      <items count="19">
        <item x="9"/>
        <item x="13"/>
        <item x="4"/>
        <item x="3"/>
        <item x="12"/>
        <item x="5"/>
        <item x="15"/>
        <item x="11"/>
        <item x="7"/>
        <item x="8"/>
        <item x="1"/>
        <item x="16"/>
        <item x="0"/>
        <item x="6"/>
        <item x="2"/>
        <item x="14"/>
        <item x="10"/>
        <item x="17"/>
        <item t="default"/>
      </items>
    </pivotField>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Sales" fld="6" baseField="0" baseItem="0"/>
    <dataField name="Sum of Quantity" fld="7" baseField="0" baseItem="0"/>
    <dataField name="Sum of Profit" fld="8" baseField="0" baseItem="1" numFmtId="1"/>
  </dataFields>
  <formats count="1">
    <format dxfId="1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9A227F-5733-4EF5-A02E-E6250762A07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9">
    <pivotField numFmtId="14" showAll="0"/>
    <pivotField showAll="0"/>
    <pivotField showAll="0">
      <items count="49">
        <item x="22"/>
        <item x="23"/>
        <item x="29"/>
        <item x="3"/>
        <item x="19"/>
        <item x="27"/>
        <item x="7"/>
        <item x="45"/>
        <item x="9"/>
        <item x="4"/>
        <item x="24"/>
        <item x="1"/>
        <item x="26"/>
        <item x="42"/>
        <item x="36"/>
        <item x="5"/>
        <item x="21"/>
        <item x="33"/>
        <item x="39"/>
        <item x="20"/>
        <item x="18"/>
        <item x="28"/>
        <item x="32"/>
        <item x="14"/>
        <item x="25"/>
        <item x="37"/>
        <item x="13"/>
        <item x="43"/>
        <item x="11"/>
        <item x="38"/>
        <item x="12"/>
        <item x="15"/>
        <item x="16"/>
        <item x="34"/>
        <item x="35"/>
        <item x="2"/>
        <item x="40"/>
        <item x="17"/>
        <item x="47"/>
        <item x="31"/>
        <item x="0"/>
        <item x="30"/>
        <item x="41"/>
        <item x="6"/>
        <item x="10"/>
        <item x="46"/>
        <item x="8"/>
        <item x="44"/>
        <item t="default"/>
      </items>
    </pivotField>
    <pivotField axis="axisRow" showAll="0">
      <items count="4">
        <item x="1"/>
        <item x="0"/>
        <item x="2"/>
        <item t="default"/>
      </items>
    </pivotField>
    <pivotField showAll="0">
      <items count="18">
        <item x="9"/>
        <item x="13"/>
        <item x="4"/>
        <item x="3"/>
        <item x="12"/>
        <item x="5"/>
        <item x="15"/>
        <item x="11"/>
        <item x="7"/>
        <item x="8"/>
        <item x="1"/>
        <item x="16"/>
        <item x="0"/>
        <item x="6"/>
        <item x="2"/>
        <item x="14"/>
        <item x="10"/>
        <item t="default"/>
      </items>
    </pivotField>
    <pivotField showAll="0"/>
    <pivotField dataField="1" showAll="0"/>
    <pivotField showAll="0"/>
    <pivotField showAll="0"/>
  </pivotFields>
  <rowFields count="1">
    <field x="3"/>
  </rowFields>
  <rowItems count="4">
    <i>
      <x/>
    </i>
    <i>
      <x v="1"/>
    </i>
    <i>
      <x v="2"/>
    </i>
    <i t="grand">
      <x/>
    </i>
  </rowItems>
  <colItems count="1">
    <i/>
  </colItems>
  <dataFields count="1">
    <dataField name="Sum of Sales" fld="6" baseField="0" baseItem="0"/>
  </dataFields>
  <chartFormats count="9">
    <chartFormat chart="17"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3" count="1" selected="0">
            <x v="0"/>
          </reference>
        </references>
      </pivotArea>
    </chartFormat>
    <chartFormat chart="24" format="7">
      <pivotArea type="data" outline="0" fieldPosition="0">
        <references count="2">
          <reference field="4294967294" count="1" selected="0">
            <x v="0"/>
          </reference>
          <reference field="3" count="1" selected="0">
            <x v="1"/>
          </reference>
        </references>
      </pivotArea>
    </chartFormat>
    <chartFormat chart="24" format="8">
      <pivotArea type="data" outline="0" fieldPosition="0">
        <references count="2">
          <reference field="4294967294" count="1" selected="0">
            <x v="0"/>
          </reference>
          <reference field="3" count="1" selected="0">
            <x v="2"/>
          </reference>
        </references>
      </pivotArea>
    </chartFormat>
    <chartFormat chart="17" format="1">
      <pivotArea type="data" outline="0" fieldPosition="0">
        <references count="2">
          <reference field="4294967294" count="1" selected="0">
            <x v="0"/>
          </reference>
          <reference field="3" count="1" selected="0">
            <x v="0"/>
          </reference>
        </references>
      </pivotArea>
    </chartFormat>
    <chartFormat chart="17" format="2">
      <pivotArea type="data" outline="0" fieldPosition="0">
        <references count="2">
          <reference field="4294967294" count="1" selected="0">
            <x v="0"/>
          </reference>
          <reference field="3" count="1" selected="0">
            <x v="1"/>
          </reference>
        </references>
      </pivotArea>
    </chartFormat>
    <chartFormat chart="17"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DC9902-55A3-45A6-AA0B-6ABBF09EC6ED}"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2" firstHeaderRow="1" firstDataRow="1" firstDataCol="1"/>
  <pivotFields count="9">
    <pivotField numFmtId="14" showAll="0"/>
    <pivotField showAll="0"/>
    <pivotField axis="axisRow" showAll="0">
      <items count="49">
        <item x="22"/>
        <item x="23"/>
        <item x="29"/>
        <item x="3"/>
        <item x="19"/>
        <item x="27"/>
        <item x="7"/>
        <item x="45"/>
        <item x="9"/>
        <item x="4"/>
        <item x="24"/>
        <item x="1"/>
        <item x="26"/>
        <item x="42"/>
        <item x="36"/>
        <item x="5"/>
        <item x="21"/>
        <item x="33"/>
        <item x="39"/>
        <item x="20"/>
        <item x="18"/>
        <item x="28"/>
        <item x="32"/>
        <item x="14"/>
        <item x="25"/>
        <item x="37"/>
        <item x="13"/>
        <item x="43"/>
        <item x="11"/>
        <item x="38"/>
        <item x="12"/>
        <item x="15"/>
        <item x="16"/>
        <item x="34"/>
        <item x="35"/>
        <item x="2"/>
        <item x="40"/>
        <item x="17"/>
        <item x="47"/>
        <item x="31"/>
        <item x="0"/>
        <item x="30"/>
        <item x="41"/>
        <item x="6"/>
        <item x="10"/>
        <item x="46"/>
        <item x="8"/>
        <item x="44"/>
        <item t="default"/>
      </items>
    </pivotField>
    <pivotField showAll="0">
      <items count="4">
        <item x="1"/>
        <item x="0"/>
        <item x="2"/>
        <item t="default"/>
      </items>
    </pivotField>
    <pivotField showAll="0"/>
    <pivotField showAll="0">
      <items count="1609">
        <item x="1509"/>
        <item x="233"/>
        <item x="481"/>
        <item x="953"/>
        <item x="1114"/>
        <item x="1354"/>
        <item x="1181"/>
        <item x="1573"/>
        <item x="603"/>
        <item x="1244"/>
        <item x="1459"/>
        <item x="791"/>
        <item x="65"/>
        <item x="694"/>
        <item x="1543"/>
        <item x="437"/>
        <item x="212"/>
        <item x="820"/>
        <item x="1327"/>
        <item x="393"/>
        <item x="1035"/>
        <item x="769"/>
        <item x="935"/>
        <item x="575"/>
        <item x="1240"/>
        <item x="288"/>
        <item x="31"/>
        <item x="949"/>
        <item x="1577"/>
        <item x="1541"/>
        <item x="215"/>
        <item x="1528"/>
        <item x="817"/>
        <item x="148"/>
        <item x="309"/>
        <item x="1527"/>
        <item x="511"/>
        <item x="506"/>
        <item x="718"/>
        <item x="532"/>
        <item x="15"/>
        <item x="874"/>
        <item x="406"/>
        <item x="1264"/>
        <item x="564"/>
        <item x="35"/>
        <item x="1390"/>
        <item x="1188"/>
        <item x="514"/>
        <item x="885"/>
        <item x="181"/>
        <item x="626"/>
        <item x="429"/>
        <item x="1388"/>
        <item x="368"/>
        <item x="838"/>
        <item x="367"/>
        <item x="347"/>
        <item x="708"/>
        <item x="370"/>
        <item x="546"/>
        <item x="818"/>
        <item x="741"/>
        <item x="316"/>
        <item x="404"/>
        <item x="196"/>
        <item x="71"/>
        <item x="1383"/>
        <item x="495"/>
        <item x="515"/>
        <item x="231"/>
        <item x="1239"/>
        <item x="1198"/>
        <item x="542"/>
        <item x="1451"/>
        <item x="959"/>
        <item x="584"/>
        <item x="710"/>
        <item x="172"/>
        <item x="1033"/>
        <item x="326"/>
        <item x="1455"/>
        <item x="457"/>
        <item x="207"/>
        <item x="1564"/>
        <item x="637"/>
        <item x="512"/>
        <item x="118"/>
        <item x="213"/>
        <item x="989"/>
        <item x="773"/>
        <item x="809"/>
        <item x="432"/>
        <item x="105"/>
        <item x="271"/>
        <item x="419"/>
        <item x="1245"/>
        <item x="682"/>
        <item x="345"/>
        <item x="790"/>
        <item x="1147"/>
        <item x="487"/>
        <item x="330"/>
        <item x="403"/>
        <item x="1022"/>
        <item x="970"/>
        <item x="12"/>
        <item x="430"/>
        <item x="217"/>
        <item x="713"/>
        <item x="986"/>
        <item x="969"/>
        <item x="1064"/>
        <item x="1116"/>
        <item x="516"/>
        <item x="1260"/>
        <item x="1434"/>
        <item x="440"/>
        <item x="880"/>
        <item x="397"/>
        <item x="882"/>
        <item x="666"/>
        <item x="1227"/>
        <item x="1068"/>
        <item x="1313"/>
        <item x="712"/>
        <item x="711"/>
        <item x="1219"/>
        <item x="1092"/>
        <item x="1473"/>
        <item x="1366"/>
        <item x="56"/>
        <item x="848"/>
        <item x="876"/>
        <item x="634"/>
        <item x="341"/>
        <item x="157"/>
        <item x="24"/>
        <item x="857"/>
        <item x="1588"/>
        <item x="32"/>
        <item x="1251"/>
        <item x="395"/>
        <item x="154"/>
        <item x="138"/>
        <item x="839"/>
        <item x="1073"/>
        <item x="578"/>
        <item x="934"/>
        <item x="688"/>
        <item x="1194"/>
        <item x="696"/>
        <item x="1146"/>
        <item x="1055"/>
        <item x="812"/>
        <item x="1378"/>
        <item x="1399"/>
        <item x="1100"/>
        <item x="894"/>
        <item x="503"/>
        <item x="957"/>
        <item x="1190"/>
        <item x="1212"/>
        <item x="1418"/>
        <item x="30"/>
        <item x="164"/>
        <item x="18"/>
        <item x="40"/>
        <item x="1477"/>
        <item x="1032"/>
        <item x="1179"/>
        <item x="1011"/>
        <item x="854"/>
        <item x="280"/>
        <item x="92"/>
        <item x="764"/>
        <item x="629"/>
        <item x="352"/>
        <item x="62"/>
        <item x="1139"/>
        <item x="1393"/>
        <item x="1409"/>
        <item x="507"/>
        <item x="840"/>
        <item x="369"/>
        <item x="1133"/>
        <item x="899"/>
        <item x="649"/>
        <item x="188"/>
        <item x="1"/>
        <item x="607"/>
        <item x="1287"/>
        <item x="468"/>
        <item x="222"/>
        <item x="289"/>
        <item x="1394"/>
        <item x="266"/>
        <item x="1365"/>
        <item x="104"/>
        <item x="470"/>
        <item x="1255"/>
        <item x="903"/>
        <item x="1401"/>
        <item x="204"/>
        <item x="1170"/>
        <item x="748"/>
        <item x="261"/>
        <item x="166"/>
        <item x="26"/>
        <item x="1220"/>
        <item x="1024"/>
        <item x="866"/>
        <item x="851"/>
        <item x="33"/>
        <item x="588"/>
        <item x="1286"/>
        <item x="965"/>
        <item x="1182"/>
        <item x="407"/>
        <item x="282"/>
        <item x="560"/>
        <item x="4"/>
        <item x="1009"/>
        <item x="1193"/>
        <item x="926"/>
        <item x="358"/>
        <item x="405"/>
        <item x="1501"/>
        <item x="107"/>
        <item x="1040"/>
        <item x="761"/>
        <item x="707"/>
        <item x="1491"/>
        <item x="401"/>
        <item x="1012"/>
        <item x="693"/>
        <item x="518"/>
        <item x="1515"/>
        <item x="135"/>
        <item x="541"/>
        <item x="559"/>
        <item x="937"/>
        <item x="1150"/>
        <item x="1337"/>
        <item x="182"/>
        <item x="1208"/>
        <item x="889"/>
        <item x="1014"/>
        <item x="955"/>
        <item x="661"/>
        <item x="162"/>
        <item x="1108"/>
        <item x="543"/>
        <item x="928"/>
        <item x="1400"/>
        <item x="1599"/>
        <item x="246"/>
        <item x="520"/>
        <item x="1098"/>
        <item x="1231"/>
        <item x="1329"/>
        <item x="1084"/>
        <item x="1483"/>
        <item x="1350"/>
        <item x="1431"/>
        <item x="850"/>
        <item x="1257"/>
        <item x="399"/>
        <item x="1080"/>
        <item x="192"/>
        <item x="145"/>
        <item x="254"/>
        <item x="587"/>
        <item x="66"/>
        <item x="1038"/>
        <item x="942"/>
        <item x="54"/>
        <item x="983"/>
        <item x="237"/>
        <item x="1306"/>
        <item x="205"/>
        <item x="1496"/>
        <item x="566"/>
        <item x="408"/>
        <item x="68"/>
        <item x="1602"/>
        <item x="142"/>
        <item x="982"/>
        <item x="1189"/>
        <item x="121"/>
        <item x="808"/>
        <item x="1476"/>
        <item x="333"/>
        <item x="618"/>
        <item x="421"/>
        <item x="1372"/>
        <item x="48"/>
        <item x="1044"/>
        <item x="364"/>
        <item x="1234"/>
        <item x="1432"/>
        <item x="990"/>
        <item x="595"/>
        <item x="458"/>
        <item x="251"/>
        <item x="1299"/>
        <item x="1224"/>
        <item x="1099"/>
        <item x="662"/>
        <item x="1519"/>
        <item x="842"/>
        <item x="705"/>
        <item x="893"/>
        <item x="570"/>
        <item x="211"/>
        <item x="134"/>
        <item x="331"/>
        <item x="1214"/>
        <item x="371"/>
        <item x="84"/>
        <item x="1335"/>
        <item x="313"/>
        <item x="1223"/>
        <item x="314"/>
        <item x="1178"/>
        <item x="931"/>
        <item x="886"/>
        <item x="643"/>
        <item x="936"/>
        <item x="163"/>
        <item x="1206"/>
        <item x="690"/>
        <item x="366"/>
        <item x="664"/>
        <item x="994"/>
        <item x="1063"/>
        <item x="1283"/>
        <item x="1512"/>
        <item x="921"/>
        <item x="1177"/>
        <item x="283"/>
        <item x="804"/>
        <item x="1120"/>
        <item x="1036"/>
        <item x="1290"/>
        <item x="1047"/>
        <item x="614"/>
        <item x="1183"/>
        <item x="1562"/>
        <item x="1277"/>
        <item x="273"/>
        <item x="523"/>
        <item x="698"/>
        <item x="968"/>
        <item x="736"/>
        <item x="636"/>
        <item x="1328"/>
        <item x="530"/>
        <item x="259"/>
        <item x="835"/>
        <item x="1312"/>
        <item x="61"/>
        <item x="998"/>
        <item x="719"/>
        <item x="1426"/>
        <item x="76"/>
        <item x="425"/>
        <item x="1349"/>
        <item x="497"/>
        <item x="1373"/>
        <item x="77"/>
        <item x="1316"/>
        <item x="1217"/>
        <item x="232"/>
        <item x="1511"/>
        <item x="128"/>
        <item x="247"/>
        <item x="752"/>
        <item x="1138"/>
        <item x="483"/>
        <item x="652"/>
        <item x="1176"/>
        <item x="1464"/>
        <item x="951"/>
        <item x="499"/>
        <item x="1141"/>
        <item x="1201"/>
        <item x="294"/>
        <item x="784"/>
        <item x="286"/>
        <item x="695"/>
        <item x="353"/>
        <item x="1554"/>
        <item x="574"/>
        <item x="925"/>
        <item x="496"/>
        <item x="1452"/>
        <item x="1104"/>
        <item x="1596"/>
        <item x="131"/>
        <item x="1115"/>
        <item x="1242"/>
        <item x="1604"/>
        <item x="1415"/>
        <item x="1558"/>
        <item x="466"/>
        <item x="669"/>
        <item x="798"/>
        <item x="226"/>
        <item x="451"/>
        <item x="625"/>
        <item x="1142"/>
        <item x="1416"/>
        <item x="909"/>
        <item x="1137"/>
        <item x="843"/>
        <item x="945"/>
        <item x="79"/>
        <item x="223"/>
        <item x="464"/>
        <item x="1236"/>
        <item x="1270"/>
        <item x="113"/>
        <item x="1410"/>
        <item x="1563"/>
        <item x="720"/>
        <item x="1059"/>
        <item x="444"/>
        <item x="342"/>
        <item x="1467"/>
        <item x="787"/>
        <item x="51"/>
        <item x="721"/>
        <item x="1186"/>
        <item x="782"/>
        <item x="1276"/>
        <item x="1516"/>
        <item x="488"/>
        <item x="1441"/>
        <item x="605"/>
        <item x="388"/>
        <item x="1148"/>
        <item x="1005"/>
        <item x="1518"/>
        <item x="20"/>
        <item x="168"/>
        <item x="581"/>
        <item x="1566"/>
        <item x="552"/>
        <item x="895"/>
        <item x="445"/>
        <item x="1175"/>
        <item x="200"/>
        <item x="697"/>
        <item x="898"/>
        <item x="1061"/>
        <item x="602"/>
        <item x="253"/>
        <item x="858"/>
        <item x="1346"/>
        <item x="1532"/>
        <item x="1406"/>
        <item x="777"/>
        <item x="760"/>
        <item x="255"/>
        <item x="6"/>
        <item x="400"/>
        <item x="485"/>
        <item x="193"/>
        <item x="1420"/>
        <item x="1576"/>
        <item x="722"/>
        <item x="522"/>
        <item x="1555"/>
        <item x="258"/>
        <item x="665"/>
        <item x="800"/>
        <item x="245"/>
        <item x="871"/>
        <item x="1570"/>
        <item x="177"/>
        <item x="112"/>
        <item x="1261"/>
        <item x="91"/>
        <item x="1397"/>
        <item x="385"/>
        <item x="1163"/>
        <item x="1134"/>
        <item x="555"/>
        <item x="1444"/>
        <item x="1481"/>
        <item x="1449"/>
        <item x="1292"/>
        <item x="1207"/>
        <item x="644"/>
        <item x="715"/>
        <item x="794"/>
        <item x="1166"/>
        <item x="1045"/>
        <item x="1083"/>
        <item x="811"/>
        <item x="343"/>
        <item x="709"/>
        <item x="1272"/>
        <item x="1263"/>
        <item x="558"/>
        <item x="242"/>
        <item x="1331"/>
        <item x="831"/>
        <item x="932"/>
        <item x="860"/>
        <item x="1557"/>
        <item x="646"/>
        <item x="359"/>
        <item x="1109"/>
        <item x="1241"/>
        <item x="492"/>
        <item x="175"/>
        <item x="684"/>
        <item x="1118"/>
        <item x="1345"/>
        <item x="170"/>
        <item x="64"/>
        <item x="153"/>
        <item x="85"/>
        <item x="749"/>
        <item x="1359"/>
        <item x="1174"/>
        <item x="1078"/>
        <item x="1319"/>
        <item x="656"/>
        <item x="21"/>
        <item x="102"/>
        <item x="381"/>
        <item x="420"/>
        <item x="1450"/>
        <item x="950"/>
        <item x="278"/>
        <item x="1443"/>
        <item x="324"/>
        <item x="1574"/>
        <item x="1228"/>
        <item x="1155"/>
        <item x="98"/>
        <item x="766"/>
        <item x="528"/>
        <item x="390"/>
        <item x="257"/>
        <item x="1342"/>
        <item x="972"/>
        <item x="1323"/>
        <item x="735"/>
        <item x="1408"/>
        <item x="1149"/>
        <item x="734"/>
        <item x="731"/>
        <item x="447"/>
        <item x="1482"/>
        <item x="900"/>
        <item x="332"/>
        <item x="52"/>
        <item x="1126"/>
        <item x="269"/>
        <item x="1486"/>
        <item x="1250"/>
        <item x="167"/>
        <item x="1302"/>
        <item x="975"/>
        <item x="1288"/>
        <item x="486"/>
        <item x="263"/>
        <item x="1067"/>
        <item x="44"/>
        <item x="1463"/>
        <item x="1352"/>
        <item x="1571"/>
        <item x="580"/>
        <item x="477"/>
        <item x="810"/>
        <item x="88"/>
        <item x="967"/>
        <item x="475"/>
        <item x="1425"/>
        <item x="691"/>
        <item x="187"/>
        <item x="772"/>
        <item x="339"/>
        <item x="120"/>
        <item x="617"/>
        <item x="1398"/>
        <item x="1371"/>
        <item x="1590"/>
        <item x="739"/>
        <item x="1375"/>
        <item x="1199"/>
        <item x="1421"/>
        <item x="594"/>
        <item x="303"/>
        <item x="228"/>
        <item x="856"/>
        <item x="210"/>
        <item x="645"/>
        <item x="453"/>
        <item x="1113"/>
        <item x="844"/>
        <item x="1405"/>
        <item x="382"/>
        <item x="1384"/>
        <item x="847"/>
        <item x="1572"/>
        <item x="1412"/>
        <item x="1273"/>
        <item x="391"/>
        <item x="747"/>
        <item x="151"/>
        <item x="913"/>
        <item x="877"/>
        <item x="165"/>
        <item x="946"/>
        <item x="991"/>
        <item x="1123"/>
        <item x="716"/>
        <item x="1381"/>
        <item x="414"/>
        <item x="27"/>
        <item x="469"/>
        <item x="813"/>
        <item x="3"/>
        <item x="785"/>
        <item x="29"/>
        <item x="216"/>
        <item x="1000"/>
        <item x="1202"/>
        <item x="700"/>
        <item x="1157"/>
        <item x="1103"/>
        <item x="1454"/>
        <item x="1324"/>
        <item x="384"/>
        <item x="1010"/>
        <item x="72"/>
        <item x="881"/>
        <item x="826"/>
        <item x="1048"/>
        <item x="10"/>
        <item x="577"/>
        <item x="867"/>
        <item x="297"/>
        <item x="590"/>
        <item x="573"/>
        <item x="82"/>
        <item x="1553"/>
        <item x="1144"/>
        <item x="568"/>
        <item x="944"/>
        <item x="757"/>
        <item x="1249"/>
        <item x="274"/>
        <item x="287"/>
        <item x="892"/>
        <item x="7"/>
        <item x="1296"/>
        <item x="1559"/>
        <item x="462"/>
        <item x="658"/>
        <item x="491"/>
        <item x="1495"/>
        <item x="841"/>
        <item x="1102"/>
        <item x="673"/>
        <item x="45"/>
        <item x="922"/>
        <item x="275"/>
        <item x="431"/>
        <item x="930"/>
        <item x="81"/>
        <item x="1462"/>
        <item x="745"/>
        <item x="1200"/>
        <item x="1016"/>
        <item x="1291"/>
        <item x="74"/>
        <item x="539"/>
        <item x="1131"/>
        <item x="427"/>
        <item x="1248"/>
        <item x="992"/>
        <item x="39"/>
        <item x="328"/>
        <item x="789"/>
        <item x="348"/>
        <item x="1356"/>
        <item x="268"/>
        <item x="904"/>
        <item x="1081"/>
        <item x="356"/>
        <item x="624"/>
        <item x="240"/>
        <item x="1158"/>
        <item x="442"/>
        <item x="1096"/>
        <item x="1488"/>
        <item x="671"/>
        <item x="958"/>
        <item x="1317"/>
        <item x="50"/>
        <item x="1603"/>
        <item x="1368"/>
        <item x="1135"/>
        <item x="902"/>
        <item x="1019"/>
        <item x="185"/>
        <item x="1446"/>
        <item x="1469"/>
        <item x="531"/>
        <item x="484"/>
        <item x="1079"/>
        <item x="927"/>
        <item x="1300"/>
        <item x="376"/>
        <item x="1367"/>
        <item x="171"/>
        <item x="743"/>
        <item x="416"/>
        <item x="864"/>
        <item x="1433"/>
        <item x="783"/>
        <item x="37"/>
        <item x="1506"/>
        <item x="1348"/>
        <item x="788"/>
        <item x="598"/>
        <item x="1497"/>
        <item x="1585"/>
        <item x="296"/>
        <item x="455"/>
        <item x="1143"/>
        <item x="1362"/>
        <item x="941"/>
        <item x="302"/>
        <item x="423"/>
        <item x="238"/>
        <item x="1549"/>
        <item x="563"/>
        <item x="334"/>
        <item x="1117"/>
        <item x="675"/>
        <item x="703"/>
        <item x="203"/>
        <item x="642"/>
        <item x="948"/>
        <item x="576"/>
        <item x="197"/>
        <item x="1050"/>
        <item x="517"/>
        <item x="1088"/>
        <item x="1298"/>
        <item x="208"/>
        <item x="728"/>
        <item x="306"/>
        <item x="1606"/>
        <item x="1440"/>
        <item x="1379"/>
        <item x="1542"/>
        <item x="686"/>
        <item x="1544"/>
        <item x="717"/>
        <item x="723"/>
        <item x="319"/>
        <item x="220"/>
        <item x="1376"/>
        <item x="276"/>
        <item x="19"/>
        <item x="796"/>
        <item x="505"/>
        <item x="819"/>
        <item x="14"/>
        <item x="875"/>
        <item x="1403"/>
        <item x="1060"/>
        <item x="906"/>
        <item x="1385"/>
        <item x="801"/>
        <item x="911"/>
        <item x="611"/>
        <item x="463"/>
        <item x="593"/>
        <item x="424"/>
        <item x="58"/>
        <item x="510"/>
        <item x="1537"/>
        <item x="620"/>
        <item x="1266"/>
        <item x="1594"/>
        <item x="8"/>
        <item x="355"/>
        <item x="25"/>
        <item x="1321"/>
        <item x="1281"/>
        <item x="827"/>
        <item x="746"/>
        <item x="123"/>
        <item x="1184"/>
        <item x="803"/>
        <item x="940"/>
        <item x="418"/>
        <item x="1456"/>
        <item x="763"/>
        <item x="1392"/>
        <item x="589"/>
        <item x="1274"/>
        <item x="604"/>
        <item x="915"/>
        <item x="1049"/>
        <item x="127"/>
        <item x="1520"/>
        <item x="473"/>
        <item x="795"/>
        <item x="1216"/>
        <item x="1447"/>
        <item x="1269"/>
        <item x="729"/>
        <item x="1196"/>
        <item x="387"/>
        <item x="480"/>
        <item x="1531"/>
        <item x="490"/>
        <item x="660"/>
        <item x="1581"/>
        <item x="556"/>
        <item x="1204"/>
        <item x="610"/>
        <item x="689"/>
        <item x="152"/>
        <item x="354"/>
        <item x="412"/>
        <item x="1008"/>
        <item x="859"/>
        <item x="1124"/>
        <item x="733"/>
        <item x="443"/>
        <item x="1395"/>
        <item x="411"/>
        <item x="1256"/>
        <item x="1507"/>
        <item x="1297"/>
        <item x="1112"/>
        <item x="670"/>
        <item x="884"/>
        <item x="1191"/>
        <item x="126"/>
        <item x="846"/>
        <item x="461"/>
        <item x="129"/>
        <item x="608"/>
        <item x="924"/>
        <item x="1424"/>
        <item x="248"/>
        <item x="727"/>
        <item x="124"/>
        <item x="1280"/>
        <item x="1605"/>
        <item x="908"/>
        <item x="1259"/>
        <item x="823"/>
        <item x="459"/>
        <item x="988"/>
        <item x="1282"/>
        <item x="1487"/>
        <item x="997"/>
        <item x="409"/>
        <item x="191"/>
        <item x="668"/>
        <item x="701"/>
        <item x="184"/>
        <item x="599"/>
        <item x="1538"/>
        <item x="601"/>
        <item x="262"/>
        <item x="201"/>
        <item x="329"/>
        <item x="1222"/>
        <item x="465"/>
        <item x="1391"/>
        <item x="869"/>
        <item x="1180"/>
        <item x="1545"/>
        <item x="1056"/>
        <item x="103"/>
        <item x="591"/>
        <item x="338"/>
        <item x="943"/>
        <item x="779"/>
        <item x="250"/>
        <item x="1057"/>
        <item x="1203"/>
        <item x="952"/>
        <item x="150"/>
        <item x="70"/>
        <item x="1315"/>
        <item x="146"/>
        <item x="109"/>
        <item x="380"/>
        <item x="413"/>
        <item x="383"/>
        <item x="1215"/>
        <item x="897"/>
        <item x="1051"/>
        <item x="1267"/>
        <item x="987"/>
        <item x="767"/>
        <item x="648"/>
        <item x="963"/>
        <item x="939"/>
        <item x="615"/>
        <item x="101"/>
        <item x="557"/>
        <item x="1414"/>
        <item x="1161"/>
        <item x="1289"/>
        <item x="1587"/>
        <item x="1284"/>
        <item x="1336"/>
        <item x="890"/>
        <item x="1159"/>
        <item x="116"/>
        <item x="125"/>
        <item x="504"/>
        <item x="596"/>
        <item x="1539"/>
        <item x="36"/>
        <item x="435"/>
        <item x="770"/>
        <item x="1041"/>
        <item x="325"/>
        <item x="1552"/>
        <item x="535"/>
        <item x="337"/>
        <item x="478"/>
        <item x="1568"/>
        <item x="34"/>
        <item x="1442"/>
        <item x="1503"/>
        <item x="1404"/>
        <item x="1494"/>
        <item x="1072"/>
        <item x="1031"/>
        <item x="933"/>
        <item x="415"/>
        <item x="1521"/>
        <item x="1453"/>
        <item x="538"/>
        <item x="311"/>
        <item x="17"/>
        <item x="1407"/>
        <item x="1160"/>
        <item x="155"/>
        <item x="678"/>
        <item x="1017"/>
        <item x="28"/>
        <item x="0"/>
        <item x="879"/>
        <item x="1069"/>
        <item x="1333"/>
        <item x="973"/>
        <item x="917"/>
        <item x="699"/>
        <item x="1526"/>
        <item x="1094"/>
        <item x="244"/>
        <item x="797"/>
        <item x="883"/>
        <item x="180"/>
        <item x="219"/>
        <item x="1517"/>
        <item x="97"/>
        <item x="1360"/>
        <item x="1070"/>
        <item x="1427"/>
        <item x="1565"/>
        <item x="1304"/>
        <item x="501"/>
        <item x="265"/>
        <item x="525"/>
        <item x="612"/>
        <item x="996"/>
        <item x="1293"/>
        <item x="674"/>
        <item x="1043"/>
        <item x="16"/>
        <item x="654"/>
        <item x="974"/>
        <item x="1229"/>
        <item x="1136"/>
        <item x="657"/>
        <item x="1364"/>
        <item x="106"/>
        <item x="623"/>
        <item x="439"/>
        <item x="115"/>
        <item x="243"/>
        <item x="1402"/>
        <item x="379"/>
        <item x="1479"/>
        <item x="1037"/>
        <item x="321"/>
        <item x="75"/>
        <item x="725"/>
        <item x="1295"/>
        <item x="806"/>
        <item x="183"/>
        <item x="1052"/>
        <item x="1330"/>
        <item x="1567"/>
        <item x="659"/>
        <item x="1361"/>
        <item x="1097"/>
        <item x="533"/>
        <item x="774"/>
        <item x="69"/>
        <item x="1448"/>
        <item x="1439"/>
        <item x="1435"/>
        <item x="1525"/>
        <item x="173"/>
        <item x="1457"/>
        <item x="293"/>
        <item x="78"/>
        <item x="1026"/>
        <item x="428"/>
        <item x="1209"/>
        <item x="704"/>
        <item x="1106"/>
        <item x="1243"/>
        <item x="821"/>
        <item x="793"/>
        <item x="47"/>
        <item x="805"/>
        <item x="438"/>
        <item x="976"/>
        <item x="349"/>
        <item x="1535"/>
        <item x="1077"/>
        <item x="1417"/>
        <item x="639"/>
        <item x="1279"/>
        <item x="471"/>
        <item x="865"/>
        <item x="918"/>
        <item x="954"/>
        <item x="592"/>
        <item x="80"/>
        <item x="1508"/>
        <item x="830"/>
        <item x="502"/>
        <item x="978"/>
        <item x="905"/>
        <item x="527"/>
        <item x="1307"/>
        <item x="534"/>
        <item x="169"/>
        <item x="1311"/>
        <item x="1305"/>
        <item x="828"/>
        <item x="1230"/>
        <item x="1470"/>
        <item x="1093"/>
        <item x="1504"/>
        <item x="650"/>
        <item x="350"/>
        <item x="1465"/>
        <item x="63"/>
        <item x="1353"/>
        <item x="852"/>
        <item x="1485"/>
        <item x="159"/>
        <item x="947"/>
        <item x="227"/>
        <item x="834"/>
        <item x="1314"/>
        <item x="732"/>
        <item x="802"/>
        <item x="738"/>
        <item x="1197"/>
        <item x="402"/>
        <item x="548"/>
        <item x="1569"/>
        <item x="687"/>
        <item x="740"/>
        <item x="1437"/>
        <item x="1411"/>
        <item x="1164"/>
        <item x="322"/>
        <item x="616"/>
        <item x="396"/>
        <item x="1340"/>
        <item x="1002"/>
        <item x="89"/>
        <item x="816"/>
        <item x="524"/>
        <item x="1607"/>
        <item x="441"/>
        <item x="1429"/>
        <item x="1082"/>
        <item x="855"/>
        <item x="1422"/>
        <item x="363"/>
        <item x="1499"/>
        <item x="281"/>
        <item x="1028"/>
        <item x="979"/>
        <item x="1533"/>
        <item x="1460"/>
        <item x="585"/>
        <item x="1089"/>
        <item x="1258"/>
        <item x="417"/>
        <item x="1536"/>
        <item x="472"/>
        <item x="1445"/>
        <item x="1355"/>
        <item x="394"/>
        <item x="335"/>
        <item x="1475"/>
        <item x="1076"/>
        <item x="829"/>
        <item x="1167"/>
        <item x="1232"/>
        <item x="498"/>
        <item x="1054"/>
        <item x="1474"/>
        <item x="49"/>
        <item x="638"/>
        <item x="985"/>
        <item x="509"/>
        <item x="1502"/>
        <item x="436"/>
        <item x="529"/>
        <item x="1015"/>
        <item x="1493"/>
        <item x="290"/>
        <item x="544"/>
        <item x="60"/>
        <item x="422"/>
        <item x="284"/>
        <item x="521"/>
        <item x="1105"/>
        <item x="1310"/>
        <item x="450"/>
        <item x="1254"/>
        <item x="1221"/>
        <item x="493"/>
        <item x="1213"/>
        <item x="93"/>
        <item x="1023"/>
        <item x="910"/>
        <item x="235"/>
        <item x="372"/>
        <item x="161"/>
        <item x="815"/>
        <item x="1162"/>
        <item x="156"/>
        <item x="1582"/>
        <item x="1480"/>
        <item x="1490"/>
        <item x="1514"/>
        <item x="136"/>
        <item x="724"/>
        <item x="938"/>
        <item x="1074"/>
        <item x="141"/>
        <item x="633"/>
        <item x="553"/>
        <item x="1247"/>
        <item x="613"/>
        <item x="1601"/>
        <item x="1042"/>
        <item x="158"/>
        <item x="53"/>
        <item x="224"/>
        <item x="1458"/>
        <item x="1529"/>
        <item x="1091"/>
        <item x="1075"/>
        <item x="960"/>
        <item x="1101"/>
        <item x="1062"/>
        <item x="1540"/>
        <item x="547"/>
        <item x="398"/>
        <item x="147"/>
        <item x="980"/>
        <item x="621"/>
        <item x="9"/>
        <item x="737"/>
        <item x="94"/>
        <item x="434"/>
        <item x="1338"/>
        <item x="234"/>
        <item x="609"/>
        <item x="962"/>
        <item x="42"/>
        <item x="702"/>
        <item x="1225"/>
        <item x="410"/>
        <item x="2"/>
        <item x="298"/>
        <item x="108"/>
        <item x="1580"/>
        <item x="961"/>
        <item x="1492"/>
        <item x="878"/>
        <item x="1597"/>
        <item x="653"/>
        <item x="1430"/>
        <item x="144"/>
        <item x="336"/>
        <item x="206"/>
        <item x="916"/>
        <item x="1237"/>
        <item x="323"/>
        <item x="692"/>
        <item x="1173"/>
        <item x="1522"/>
        <item x="551"/>
        <item x="567"/>
        <item x="1071"/>
        <item x="627"/>
        <item x="513"/>
        <item x="452"/>
        <item x="448"/>
        <item x="667"/>
        <item x="198"/>
        <item x="628"/>
        <item x="914"/>
        <item x="344"/>
        <item x="360"/>
        <item x="683"/>
        <item x="1510"/>
        <item x="218"/>
        <item x="1461"/>
        <item x="229"/>
        <item x="676"/>
        <item x="378"/>
        <item x="1153"/>
        <item x="742"/>
        <item x="845"/>
        <item x="46"/>
        <item x="1334"/>
        <item x="1387"/>
        <item x="540"/>
        <item x="1110"/>
        <item x="870"/>
        <item x="872"/>
        <item x="1347"/>
        <item x="1332"/>
        <item x="1344"/>
        <item x="1001"/>
        <item x="1165"/>
        <item x="550"/>
        <item x="221"/>
        <item x="1586"/>
        <item x="305"/>
        <item x="1593"/>
        <item x="299"/>
        <item x="67"/>
        <item x="1308"/>
        <item x="1500"/>
        <item x="891"/>
        <item x="225"/>
        <item x="1592"/>
        <item x="476"/>
        <item x="454"/>
        <item x="346"/>
        <item x="340"/>
        <item x="619"/>
        <item x="751"/>
        <item x="1363"/>
        <item x="239"/>
        <item x="780"/>
        <item x="312"/>
        <item x="775"/>
        <item x="467"/>
        <item x="426"/>
        <item x="1145"/>
        <item x="537"/>
        <item x="1534"/>
        <item x="1252"/>
        <item x="186"/>
        <item x="1211"/>
        <item x="1152"/>
        <item x="494"/>
        <item x="87"/>
        <item x="1192"/>
        <item x="13"/>
        <item x="194"/>
        <item x="500"/>
        <item x="264"/>
        <item x="1556"/>
        <item x="122"/>
        <item x="896"/>
        <item x="651"/>
        <item x="663"/>
        <item x="1004"/>
        <item x="1021"/>
        <item x="249"/>
        <item x="1471"/>
        <item x="1253"/>
        <item x="799"/>
        <item x="137"/>
        <item x="1389"/>
        <item x="1600"/>
        <item x="622"/>
        <item x="1278"/>
        <item x="119"/>
        <item x="55"/>
        <item x="202"/>
        <item x="317"/>
        <item x="252"/>
        <item x="750"/>
        <item x="179"/>
        <item x="22"/>
        <item x="1029"/>
        <item x="389"/>
        <item x="730"/>
        <item x="862"/>
        <item x="1132"/>
        <item x="456"/>
        <item x="460"/>
        <item x="86"/>
        <item x="176"/>
        <item x="1547"/>
        <item x="1119"/>
        <item x="190"/>
        <item x="1561"/>
        <item x="565"/>
        <item x="357"/>
        <item x="1130"/>
        <item x="23"/>
        <item x="1513"/>
        <item x="1226"/>
        <item x="386"/>
        <item x="1235"/>
        <item x="1151"/>
        <item x="519"/>
        <item x="130"/>
        <item x="377"/>
        <item x="1318"/>
        <item x="1343"/>
        <item x="966"/>
        <item x="1413"/>
        <item x="117"/>
        <item x="1294"/>
        <item x="919"/>
        <item x="1428"/>
        <item x="1598"/>
        <item x="923"/>
        <item x="837"/>
        <item x="786"/>
        <item x="83"/>
        <item x="1382"/>
        <item x="536"/>
        <item x="679"/>
        <item x="474"/>
        <item x="1489"/>
        <item x="1370"/>
        <item x="362"/>
        <item x="241"/>
        <item x="1095"/>
        <item x="1591"/>
        <item x="873"/>
        <item x="508"/>
        <item x="1478"/>
        <item x="792"/>
        <item x="143"/>
        <item x="1127"/>
        <item x="1548"/>
        <item x="1438"/>
        <item x="1154"/>
        <item x="1466"/>
        <item x="807"/>
        <item x="549"/>
        <item x="526"/>
        <item x="863"/>
        <item x="1169"/>
        <item x="1419"/>
        <item x="756"/>
        <item x="635"/>
        <item x="295"/>
        <item x="824"/>
        <item x="1339"/>
        <item x="907"/>
        <item x="1087"/>
        <item x="1007"/>
        <item x="1583"/>
        <item x="1233"/>
        <item x="600"/>
        <item x="677"/>
        <item x="1341"/>
        <item x="569"/>
        <item x="1524"/>
        <item x="43"/>
        <item x="301"/>
        <item x="1575"/>
        <item x="999"/>
        <item x="1086"/>
        <item x="361"/>
        <item x="270"/>
        <item x="714"/>
        <item x="825"/>
        <item x="754"/>
        <item x="1006"/>
        <item x="489"/>
        <item x="375"/>
        <item x="1027"/>
        <item x="482"/>
        <item x="1396"/>
        <item x="189"/>
        <item x="981"/>
        <item x="861"/>
        <item x="318"/>
        <item x="1065"/>
        <item x="964"/>
        <item x="195"/>
        <item x="956"/>
        <item x="310"/>
        <item x="814"/>
        <item x="230"/>
        <item x="1122"/>
        <item x="308"/>
        <item x="1377"/>
        <item x="778"/>
        <item x="272"/>
        <item x="374"/>
        <item x="836"/>
        <item x="214"/>
        <item x="449"/>
        <item x="1320"/>
        <item x="38"/>
        <item x="277"/>
        <item x="178"/>
        <item x="672"/>
        <item x="1530"/>
        <item x="41"/>
        <item x="260"/>
        <item x="1238"/>
        <item x="571"/>
        <item x="1550"/>
        <item x="1472"/>
        <item x="681"/>
        <item x="1265"/>
        <item x="582"/>
        <item x="765"/>
        <item x="1595"/>
        <item x="11"/>
        <item x="647"/>
        <item x="199"/>
        <item x="832"/>
        <item x="1357"/>
        <item x="292"/>
        <item x="583"/>
        <item x="1034"/>
        <item x="315"/>
        <item x="853"/>
        <item x="849"/>
        <item x="1309"/>
        <item x="1523"/>
        <item x="1386"/>
        <item x="1505"/>
        <item x="73"/>
        <item x="1301"/>
        <item x="572"/>
        <item x="929"/>
        <item x="279"/>
        <item x="822"/>
        <item x="744"/>
        <item x="99"/>
        <item x="1579"/>
        <item x="1262"/>
        <item x="753"/>
        <item x="1018"/>
        <item x="1380"/>
        <item x="833"/>
        <item x="1374"/>
        <item x="868"/>
        <item x="256"/>
        <item x="1168"/>
        <item x="1156"/>
        <item x="554"/>
        <item x="327"/>
        <item x="1128"/>
        <item x="1351"/>
        <item x="307"/>
        <item x="726"/>
        <item x="680"/>
        <item x="1205"/>
        <item x="1111"/>
        <item x="1326"/>
        <item x="1195"/>
        <item x="1436"/>
        <item x="762"/>
        <item x="1090"/>
        <item x="1046"/>
        <item x="640"/>
        <item x="1039"/>
        <item x="174"/>
        <item x="320"/>
        <item x="1003"/>
        <item x="1498"/>
        <item x="1107"/>
        <item x="133"/>
        <item x="1584"/>
        <item x="606"/>
        <item x="1066"/>
        <item x="236"/>
        <item x="139"/>
        <item x="920"/>
        <item x="100"/>
        <item x="1423"/>
        <item x="300"/>
        <item x="304"/>
        <item x="771"/>
        <item x="887"/>
        <item x="759"/>
        <item x="1218"/>
        <item x="1589"/>
        <item x="114"/>
        <item x="655"/>
        <item x="1246"/>
        <item x="888"/>
        <item x="758"/>
        <item x="776"/>
        <item x="631"/>
        <item x="1140"/>
        <item x="111"/>
        <item x="285"/>
        <item x="1578"/>
        <item x="479"/>
        <item x="1013"/>
        <item x="57"/>
        <item x="1268"/>
        <item x="586"/>
        <item x="1187"/>
        <item x="1271"/>
        <item x="1358"/>
        <item x="984"/>
        <item x="579"/>
        <item x="90"/>
        <item x="768"/>
        <item x="632"/>
        <item x="971"/>
        <item x="1551"/>
        <item x="561"/>
        <item x="96"/>
        <item x="1275"/>
        <item x="1560"/>
        <item x="1085"/>
        <item x="1129"/>
        <item x="267"/>
        <item x="1325"/>
        <item x="706"/>
        <item x="1484"/>
        <item x="1058"/>
        <item x="1020"/>
        <item x="291"/>
        <item x="392"/>
        <item x="1030"/>
        <item x="912"/>
        <item x="1468"/>
        <item x="755"/>
        <item x="209"/>
        <item x="1125"/>
        <item x="995"/>
        <item x="901"/>
        <item x="110"/>
        <item x="351"/>
        <item x="433"/>
        <item x="132"/>
        <item x="1053"/>
        <item x="160"/>
        <item x="597"/>
        <item x="373"/>
        <item x="1546"/>
        <item x="1025"/>
        <item x="993"/>
        <item x="1303"/>
        <item x="446"/>
        <item x="1369"/>
        <item x="781"/>
        <item x="149"/>
        <item x="5"/>
        <item x="140"/>
        <item x="1121"/>
        <item x="1185"/>
        <item x="365"/>
        <item x="1322"/>
        <item x="1171"/>
        <item x="630"/>
        <item x="562"/>
        <item x="1172"/>
        <item x="641"/>
        <item x="545"/>
        <item x="685"/>
        <item x="1210"/>
        <item x="1285"/>
        <item x="59"/>
        <item x="977"/>
        <item x="95"/>
        <item t="default"/>
      </items>
    </pivotField>
    <pivotField dataField="1" showAll="0">
      <items count="2885">
        <item x="2179"/>
        <item x="515"/>
        <item x="2633"/>
        <item x="2407"/>
        <item x="832"/>
        <item x="632"/>
        <item x="1144"/>
        <item x="2698"/>
        <item x="1629"/>
        <item x="1026"/>
        <item x="241"/>
        <item x="2879"/>
        <item x="1871"/>
        <item x="2578"/>
        <item x="599"/>
        <item x="1647"/>
        <item x="2570"/>
        <item x="2343"/>
        <item x="1462"/>
        <item x="2259"/>
        <item x="1356"/>
        <item x="495"/>
        <item x="1727"/>
        <item x="1184"/>
        <item x="1821"/>
        <item x="1014"/>
        <item x="760"/>
        <item x="1459"/>
        <item x="1557"/>
        <item x="1046"/>
        <item x="1383"/>
        <item x="1450"/>
        <item x="2277"/>
        <item x="1461"/>
        <item x="139"/>
        <item x="937"/>
        <item x="679"/>
        <item x="2187"/>
        <item x="1272"/>
        <item x="1004"/>
        <item x="811"/>
        <item x="326"/>
        <item x="1346"/>
        <item x="2852"/>
        <item x="1664"/>
        <item x="655"/>
        <item x="1546"/>
        <item x="1331"/>
        <item x="2506"/>
        <item x="2145"/>
        <item x="290"/>
        <item x="18"/>
        <item x="1822"/>
        <item x="413"/>
        <item x="780"/>
        <item x="586"/>
        <item x="383"/>
        <item x="1300"/>
        <item x="2328"/>
        <item x="1151"/>
        <item x="2533"/>
        <item x="1715"/>
        <item x="548"/>
        <item x="2793"/>
        <item x="1202"/>
        <item x="1786"/>
        <item x="1573"/>
        <item x="2871"/>
        <item x="1033"/>
        <item x="2651"/>
        <item x="2428"/>
        <item x="2262"/>
        <item x="2205"/>
        <item x="1001"/>
        <item x="628"/>
        <item x="827"/>
        <item x="58"/>
        <item x="1107"/>
        <item x="314"/>
        <item x="450"/>
        <item x="3"/>
        <item x="798"/>
        <item x="1919"/>
        <item x="1498"/>
        <item x="2130"/>
        <item x="1297"/>
        <item x="387"/>
        <item x="2082"/>
        <item x="1062"/>
        <item x="2364"/>
        <item x="959"/>
        <item x="2320"/>
        <item x="2422"/>
        <item x="425"/>
        <item x="2161"/>
        <item x="622"/>
        <item x="1751"/>
        <item x="1345"/>
        <item x="1544"/>
        <item x="438"/>
        <item x="1604"/>
        <item x="2668"/>
        <item x="1874"/>
        <item x="1693"/>
        <item x="2675"/>
        <item x="1899"/>
        <item x="1912"/>
        <item x="1368"/>
        <item x="2618"/>
        <item x="2678"/>
        <item x="492"/>
        <item x="1090"/>
        <item x="278"/>
        <item x="1231"/>
        <item x="2686"/>
        <item x="2253"/>
        <item x="942"/>
        <item x="371"/>
        <item x="1099"/>
        <item x="2534"/>
        <item x="2331"/>
        <item x="345"/>
        <item x="2369"/>
        <item x="706"/>
        <item x="831"/>
        <item x="1957"/>
        <item x="1284"/>
        <item x="478"/>
        <item x="2003"/>
        <item x="476"/>
        <item x="1624"/>
        <item x="1070"/>
        <item x="1623"/>
        <item x="2546"/>
        <item x="2512"/>
        <item x="1117"/>
        <item x="494"/>
        <item x="1203"/>
        <item x="2059"/>
        <item x="1244"/>
        <item x="837"/>
        <item x="992"/>
        <item x="268"/>
        <item x="2332"/>
        <item x="2159"/>
        <item x="1283"/>
        <item x="907"/>
        <item x="777"/>
        <item x="2648"/>
        <item x="2234"/>
        <item x="1878"/>
        <item x="2802"/>
        <item x="1843"/>
        <item x="2883"/>
        <item x="2137"/>
        <item x="108"/>
        <item x="9"/>
        <item x="382"/>
        <item x="295"/>
        <item x="270"/>
        <item x="2476"/>
        <item x="541"/>
        <item x="322"/>
        <item x="1671"/>
        <item x="923"/>
        <item x="570"/>
        <item x="179"/>
        <item x="788"/>
        <item x="847"/>
        <item x="2120"/>
        <item x="442"/>
        <item x="2316"/>
        <item x="605"/>
        <item x="47"/>
        <item x="684"/>
        <item x="2485"/>
        <item x="370"/>
        <item x="1564"/>
        <item x="1128"/>
        <item x="1102"/>
        <item x="1054"/>
        <item x="488"/>
        <item x="1030"/>
        <item x="97"/>
        <item x="1828"/>
        <item x="1988"/>
        <item x="2033"/>
        <item x="2388"/>
        <item x="1019"/>
        <item x="836"/>
        <item x="715"/>
        <item x="2135"/>
        <item x="1005"/>
        <item x="13"/>
        <item x="172"/>
        <item x="2466"/>
        <item x="990"/>
        <item x="1040"/>
        <item x="2597"/>
        <item x="2109"/>
        <item x="2284"/>
        <item x="1289"/>
        <item x="2206"/>
        <item x="572"/>
        <item x="2755"/>
        <item x="1714"/>
        <item x="2307"/>
        <item x="864"/>
        <item x="146"/>
        <item x="1977"/>
        <item x="1644"/>
        <item x="1499"/>
        <item x="750"/>
        <item x="1592"/>
        <item x="1230"/>
        <item x="814"/>
        <item x="2167"/>
        <item x="483"/>
        <item x="110"/>
        <item x="1228"/>
        <item x="980"/>
        <item x="1106"/>
        <item x="250"/>
        <item x="651"/>
        <item x="525"/>
        <item x="259"/>
        <item x="928"/>
        <item x="1605"/>
        <item x="1087"/>
        <item x="535"/>
        <item x="2674"/>
        <item x="1610"/>
        <item x="857"/>
        <item x="1813"/>
        <item x="527"/>
        <item x="1093"/>
        <item x="398"/>
        <item x="1654"/>
        <item x="305"/>
        <item x="1015"/>
        <item x="2313"/>
        <item x="643"/>
        <item x="2724"/>
        <item x="1432"/>
        <item x="564"/>
        <item x="654"/>
        <item x="1208"/>
        <item x="2149"/>
        <item x="2189"/>
        <item x="2743"/>
        <item x="866"/>
        <item x="93"/>
        <item x="256"/>
        <item x="1585"/>
        <item x="936"/>
        <item x="2231"/>
        <item x="667"/>
        <item x="1382"/>
        <item x="1306"/>
        <item x="1515"/>
        <item x="1630"/>
        <item x="87"/>
        <item x="906"/>
        <item x="2573"/>
        <item x="578"/>
        <item x="1108"/>
        <item x="1022"/>
        <item x="727"/>
        <item x="221"/>
        <item x="828"/>
        <item x="451"/>
        <item x="183"/>
        <item x="1597"/>
        <item x="834"/>
        <item x="2188"/>
        <item x="2688"/>
        <item x="1674"/>
        <item x="1891"/>
        <item x="1722"/>
        <item x="2645"/>
        <item x="1744"/>
        <item x="897"/>
        <item x="2540"/>
        <item x="2408"/>
        <item x="889"/>
        <item x="1520"/>
        <item x="1529"/>
        <item x="526"/>
        <item x="740"/>
        <item x="33"/>
        <item x="134"/>
        <item x="943"/>
        <item x="2773"/>
        <item x="502"/>
        <item x="2524"/>
        <item x="2274"/>
        <item x="2142"/>
        <item x="841"/>
        <item x="2452"/>
        <item x="2746"/>
        <item x="1952"/>
        <item x="741"/>
        <item x="1778"/>
        <item x="929"/>
        <item x="1897"/>
        <item x="2184"/>
        <item x="2084"/>
        <item x="16"/>
        <item x="372"/>
        <item x="972"/>
        <item x="2278"/>
        <item x="477"/>
        <item x="171"/>
        <item x="189"/>
        <item x="1115"/>
        <item x="787"/>
        <item x="2281"/>
        <item x="1769"/>
        <item x="1823"/>
        <item x="150"/>
        <item x="42"/>
        <item x="865"/>
        <item x="2590"/>
        <item x="2829"/>
        <item x="1468"/>
        <item x="2845"/>
        <item x="1091"/>
        <item x="2153"/>
        <item x="280"/>
        <item x="672"/>
        <item x="748"/>
        <item x="2543"/>
        <item x="1978"/>
        <item x="20"/>
        <item x="2640"/>
        <item x="1969"/>
        <item x="61"/>
        <item x="1060"/>
        <item x="1454"/>
        <item x="2761"/>
        <item x="803"/>
        <item x="2492"/>
        <item x="536"/>
        <item x="124"/>
        <item x="810"/>
        <item x="2798"/>
        <item x="1375"/>
        <item x="2346"/>
        <item x="148"/>
        <item x="769"/>
        <item x="2851"/>
        <item x="15"/>
        <item x="2729"/>
        <item x="88"/>
        <item x="1829"/>
        <item x="1250"/>
        <item x="2563"/>
        <item x="934"/>
        <item x="2078"/>
        <item x="1057"/>
        <item x="2819"/>
        <item x="725"/>
        <item x="1273"/>
        <item x="1301"/>
        <item x="705"/>
        <item x="2621"/>
        <item x="2745"/>
        <item x="2774"/>
        <item x="2730"/>
        <item x="165"/>
        <item x="1161"/>
        <item x="849"/>
        <item x="1593"/>
        <item x="647"/>
        <item x="617"/>
        <item x="1162"/>
        <item x="2287"/>
        <item x="1830"/>
        <item x="1818"/>
        <item x="988"/>
        <item x="104"/>
        <item x="968"/>
        <item x="2544"/>
        <item x="2128"/>
        <item x="815"/>
        <item x="1599"/>
        <item x="310"/>
        <item x="1831"/>
        <item x="1263"/>
        <item x="56"/>
        <item x="1916"/>
        <item x="2387"/>
        <item x="2683"/>
        <item x="719"/>
        <item x="2467"/>
        <item x="2357"/>
        <item x="1861"/>
        <item x="565"/>
        <item x="1243"/>
        <item x="1617"/>
        <item x="1773"/>
        <item x="1602"/>
        <item x="2481"/>
        <item x="870"/>
        <item x="927"/>
        <item x="1"/>
        <item x="1157"/>
        <item x="1258"/>
        <item x="1926"/>
        <item x="176"/>
        <item x="969"/>
        <item x="652"/>
        <item x="514"/>
        <item x="774"/>
        <item x="2781"/>
        <item x="169"/>
        <item x="1756"/>
        <item x="1328"/>
        <item x="1270"/>
        <item x="2213"/>
        <item x="2252"/>
        <item x="22"/>
        <item x="604"/>
        <item x="243"/>
        <item x="2340"/>
        <item x="739"/>
        <item x="1198"/>
        <item x="1921"/>
        <item x="1142"/>
        <item x="1553"/>
        <item x="2134"/>
        <item x="848"/>
        <item x="480"/>
        <item x="6"/>
        <item x="2625"/>
        <item x="873"/>
        <item x="623"/>
        <item x="2454"/>
        <item x="1942"/>
        <item x="113"/>
        <item x="2469"/>
        <item x="1457"/>
        <item x="2858"/>
        <item x="1555"/>
        <item x="2208"/>
        <item x="1366"/>
        <item x="2372"/>
        <item x="424"/>
        <item x="757"/>
        <item x="334"/>
        <item x="590"/>
        <item x="1540"/>
        <item x="1950"/>
        <item x="2843"/>
        <item x="26"/>
        <item x="2500"/>
        <item x="234"/>
        <item x="2070"/>
        <item x="2396"/>
        <item x="2058"/>
        <item x="2513"/>
        <item x="1204"/>
        <item x="1535"/>
        <item x="2882"/>
        <item x="2796"/>
        <item x="2553"/>
        <item x="2136"/>
        <item x="2429"/>
        <item x="901"/>
        <item x="2069"/>
        <item x="717"/>
        <item x="121"/>
        <item x="1290"/>
        <item x="233"/>
        <item x="239"/>
        <item x="1876"/>
        <item x="702"/>
        <item x="384"/>
        <item x="1987"/>
        <item x="2359"/>
        <item x="1795"/>
        <item x="1648"/>
        <item x="1809"/>
        <item x="293"/>
        <item x="289"/>
        <item x="1072"/>
        <item x="300"/>
        <item x="497"/>
        <item x="490"/>
        <item x="2021"/>
        <item x="36"/>
        <item x="919"/>
        <item x="275"/>
        <item x="875"/>
        <item x="1968"/>
        <item x="1951"/>
        <item x="1427"/>
        <item x="1027"/>
        <item x="2106"/>
        <item x="1940"/>
        <item x="1343"/>
        <item x="855"/>
        <item x="1802"/>
        <item x="528"/>
        <item x="41"/>
        <item x="2877"/>
        <item x="1941"/>
        <item x="437"/>
        <item x="825"/>
        <item x="30"/>
        <item x="1167"/>
        <item x="496"/>
        <item x="64"/>
        <item x="1825"/>
        <item x="1408"/>
        <item x="1910"/>
        <item x="469"/>
        <item x="1827"/>
        <item x="685"/>
        <item x="2185"/>
        <item x="1893"/>
        <item x="225"/>
        <item x="481"/>
        <item x="2435"/>
        <item x="978"/>
        <item x="1384"/>
        <item x="2049"/>
        <item x="70"/>
        <item x="231"/>
        <item x="2358"/>
        <item x="1412"/>
        <item x="274"/>
        <item x="1852"/>
        <item x="683"/>
        <item x="539"/>
        <item x="342"/>
        <item x="993"/>
        <item x="1774"/>
        <item x="98"/>
        <item x="2362"/>
        <item x="1440"/>
        <item x="226"/>
        <item x="348"/>
        <item x="796"/>
        <item x="510"/>
        <item x="2475"/>
        <item x="316"/>
        <item x="2390"/>
        <item x="181"/>
        <item x="1236"/>
        <item x="2801"/>
        <item x="2549"/>
        <item x="229"/>
        <item x="2237"/>
        <item x="1097"/>
        <item x="341"/>
        <item x="1877"/>
        <item x="332"/>
        <item x="0"/>
        <item x="677"/>
        <item x="2427"/>
        <item x="1760"/>
        <item x="2140"/>
        <item x="656"/>
        <item x="1719"/>
        <item x="1567"/>
        <item x="1634"/>
        <item x="1995"/>
        <item x="1680"/>
        <item x="441"/>
        <item x="1317"/>
        <item x="2276"/>
        <item x="2693"/>
        <item x="2230"/>
        <item x="1453"/>
        <item x="2318"/>
        <item x="2536"/>
        <item x="1516"/>
        <item x="95"/>
        <item x="2473"/>
        <item x="236"/>
        <item x="1264"/>
        <item x="29"/>
        <item x="2002"/>
        <item x="1267"/>
        <item x="1992"/>
        <item x="2247"/>
        <item x="39"/>
        <item x="49"/>
        <item x="756"/>
        <item x="2348"/>
        <item x="317"/>
        <item x="1906"/>
        <item x="2272"/>
        <item x="2545"/>
        <item x="2495"/>
        <item x="446"/>
        <item x="1523"/>
        <item x="77"/>
        <item x="262"/>
        <item x="157"/>
        <item x="2699"/>
        <item x="2035"/>
        <item x="893"/>
        <item x="2404"/>
        <item x="517"/>
        <item x="303"/>
        <item x="2365"/>
        <item x="935"/>
        <item x="23"/>
        <item x="2666"/>
        <item x="252"/>
        <item x="781"/>
        <item x="1298"/>
        <item x="73"/>
        <item x="1417"/>
        <item x="2478"/>
        <item x="2558"/>
        <item x="50"/>
        <item x="107"/>
        <item x="1552"/>
        <item x="2626"/>
        <item x="981"/>
        <item x="140"/>
        <item x="2090"/>
        <item x="2867"/>
        <item x="1587"/>
        <item x="1034"/>
        <item x="2315"/>
        <item x="555"/>
        <item x="1676"/>
        <item x="1689"/>
        <item x="5"/>
        <item x="60"/>
        <item x="279"/>
        <item x="4"/>
        <item x="1686"/>
        <item x="2789"/>
        <item x="321"/>
        <item x="2516"/>
        <item x="1226"/>
        <item x="420"/>
        <item x="390"/>
        <item x="266"/>
        <item x="2601"/>
        <item x="1673"/>
        <item x="1489"/>
        <item x="1135"/>
        <item x="1890"/>
        <item x="587"/>
        <item x="2652"/>
        <item x="1962"/>
        <item x="728"/>
        <item x="2564"/>
        <item x="422"/>
        <item x="2089"/>
        <item x="1991"/>
        <item x="1873"/>
        <item x="2598"/>
        <item x="80"/>
        <item x="1145"/>
        <item x="961"/>
        <item x="789"/>
        <item x="2221"/>
        <item x="366"/>
        <item x="338"/>
        <item x="1696"/>
        <item x="2260"/>
        <item x="1465"/>
        <item x="989"/>
        <item x="2529"/>
        <item x="323"/>
        <item x="392"/>
        <item x="2174"/>
        <item x="328"/>
        <item x="529"/>
        <item x="543"/>
        <item x="2155"/>
        <item x="1611"/>
        <item x="163"/>
        <item x="2818"/>
        <item x="634"/>
        <item x="462"/>
        <item x="2702"/>
        <item x="1880"/>
        <item x="273"/>
        <item x="416"/>
        <item x="1717"/>
        <item x="2041"/>
        <item x="583"/>
        <item x="920"/>
        <item x="1048"/>
        <item x="877"/>
        <item x="1618"/>
        <item x="2561"/>
        <item x="215"/>
        <item x="530"/>
        <item x="1954"/>
        <item x="315"/>
        <item x="194"/>
        <item x="1191"/>
        <item x="84"/>
        <item x="2836"/>
        <item x="549"/>
        <item x="1150"/>
        <item x="603"/>
        <item x="2593"/>
        <item x="1325"/>
        <item x="1755"/>
        <item x="2000"/>
        <item x="979"/>
        <item x="1731"/>
        <item x="2017"/>
        <item x="115"/>
        <item x="644"/>
        <item x="1379"/>
        <item x="1025"/>
        <item x="1400"/>
        <item x="260"/>
        <item x="1640"/>
        <item x="2280"/>
        <item x="2400"/>
        <item x="1530"/>
        <item x="2113"/>
        <item x="1702"/>
        <item x="2872"/>
        <item x="2800"/>
        <item x="506"/>
        <item x="1628"/>
        <item x="1239"/>
        <item x="1739"/>
        <item x="742"/>
        <item x="1665"/>
        <item x="892"/>
        <item x="388"/>
        <item x="2344"/>
        <item x="312"/>
        <item x="2642"/>
        <item x="2197"/>
        <item x="859"/>
        <item x="292"/>
        <item x="640"/>
        <item x="699"/>
        <item x="1718"/>
        <item x="1165"/>
        <item x="1721"/>
        <item x="2556"/>
        <item x="1763"/>
        <item x="1234"/>
        <item x="1381"/>
        <item x="2334"/>
        <item x="173"/>
        <item x="238"/>
        <item x="1137"/>
        <item x="1522"/>
        <item x="689"/>
        <item x="1410"/>
        <item x="2554"/>
        <item x="2646"/>
        <item x="1039"/>
        <item x="1318"/>
        <item x="2223"/>
        <item x="1583"/>
        <item x="660"/>
        <item x="2514"/>
        <item x="63"/>
        <item x="1007"/>
        <item x="1448"/>
        <item x="1658"/>
        <item x="2225"/>
        <item x="863"/>
        <item x="2738"/>
        <item x="2496"/>
        <item x="917"/>
        <item x="1390"/>
        <item x="212"/>
        <item x="567"/>
        <item x="2305"/>
        <item x="596"/>
        <item x="1320"/>
        <item x="161"/>
        <item x="1233"/>
        <item x="455"/>
        <item x="1266"/>
        <item x="2723"/>
        <item x="768"/>
        <item x="2269"/>
        <item x="1122"/>
        <item x="1559"/>
        <item x="2470"/>
        <item x="697"/>
        <item x="2293"/>
        <item x="119"/>
        <item x="101"/>
        <item x="902"/>
        <item x="1480"/>
        <item x="2124"/>
        <item x="2181"/>
        <item x="1160"/>
        <item x="1170"/>
        <item x="1939"/>
        <item x="2258"/>
        <item x="2827"/>
        <item x="1147"/>
        <item x="1229"/>
        <item x="1028"/>
        <item x="1885"/>
        <item x="1864"/>
        <item x="421"/>
        <item x="1558"/>
        <item x="1114"/>
        <item x="2329"/>
        <item x="167"/>
        <item x="2840"/>
        <item x="894"/>
        <item x="1937"/>
        <item x="1374"/>
        <item x="1879"/>
        <item x="2321"/>
        <item x="2643"/>
        <item x="1504"/>
        <item x="1588"/>
        <item x="714"/>
        <item x="1255"/>
        <item x="1661"/>
        <item x="2747"/>
        <item x="1472"/>
        <item x="1980"/>
        <item x="2690"/>
        <item x="1842"/>
        <item x="771"/>
        <item x="1307"/>
        <item x="1095"/>
        <item x="2795"/>
        <item x="2726"/>
        <item x="1173"/>
        <item x="1862"/>
        <item x="1146"/>
        <item x="926"/>
        <item x="116"/>
        <item x="1917"/>
        <item x="953"/>
        <item x="1279"/>
        <item x="499"/>
        <item x="805"/>
        <item x="2860"/>
        <item x="1218"/>
        <item x="1183"/>
        <item x="1724"/>
        <item x="94"/>
        <item x="2451"/>
        <item x="2261"/>
        <item x="1970"/>
        <item x="1064"/>
        <item x="2421"/>
        <item x="784"/>
        <item x="694"/>
        <item x="1008"/>
        <item x="2039"/>
        <item x="1524"/>
        <item x="1393"/>
        <item x="1494"/>
        <item x="606"/>
        <item x="2417"/>
        <item x="1485"/>
        <item x="1433"/>
        <item x="2504"/>
        <item x="1857"/>
        <item x="820"/>
        <item x="638"/>
        <item x="1651"/>
        <item x="1487"/>
        <item x="729"/>
        <item x="461"/>
        <item x="1403"/>
        <item x="1180"/>
        <item x="1801"/>
        <item x="835"/>
        <item x="1750"/>
        <item x="1844"/>
        <item x="1507"/>
        <item x="1138"/>
        <item x="378"/>
        <item x="12"/>
        <item x="2444"/>
        <item x="2754"/>
        <item x="2816"/>
        <item x="17"/>
        <item x="1081"/>
        <item x="1261"/>
        <item x="1493"/>
        <item x="546"/>
        <item x="1758"/>
        <item x="493"/>
        <item x="1437"/>
        <item x="523"/>
        <item x="1192"/>
        <item x="2014"/>
        <item x="400"/>
        <item x="1586"/>
        <item x="418"/>
        <item x="1164"/>
        <item x="838"/>
        <item x="752"/>
        <item x="2565"/>
        <item x="404"/>
        <item x="159"/>
        <item x="272"/>
        <item x="2268"/>
        <item x="1847"/>
        <item x="2165"/>
        <item x="1338"/>
        <item x="963"/>
        <item x="2379"/>
        <item x="91"/>
        <item x="434"/>
        <item x="1793"/>
        <item x="130"/>
        <item x="2850"/>
        <item x="2123"/>
        <item x="102"/>
        <item x="1513"/>
        <item x="813"/>
        <item x="2031"/>
        <item x="2855"/>
        <item x="2143"/>
        <item x="2019"/>
        <item x="128"/>
        <item x="2055"/>
        <item x="1851"/>
        <item x="2550"/>
        <item x="1353"/>
        <item x="2076"/>
        <item x="28"/>
        <item x="1850"/>
        <item x="1517"/>
        <item x="2283"/>
        <item x="1399"/>
        <item x="2771"/>
        <item x="723"/>
        <item x="2854"/>
        <item x="206"/>
        <item x="982"/>
        <item x="550"/>
        <item x="2736"/>
        <item x="704"/>
        <item x="888"/>
        <item x="2098"/>
        <item x="1492"/>
        <item x="707"/>
        <item x="2737"/>
        <item x="2628"/>
        <item x="1984"/>
        <item x="930"/>
        <item x="580"/>
        <item x="1526"/>
        <item x="1201"/>
        <item x="177"/>
        <item x="2733"/>
        <item x="1166"/>
        <item x="1029"/>
        <item x="1935"/>
        <item x="2115"/>
        <item x="311"/>
        <item x="2663"/>
        <item x="2062"/>
        <item x="203"/>
        <item x="1789"/>
        <item x="2244"/>
        <item x="1981"/>
        <item x="1934"/>
        <item x="951"/>
        <item x="658"/>
        <item x="1078"/>
        <item x="2352"/>
        <item x="57"/>
        <item x="1385"/>
        <item x="1447"/>
        <item x="1542"/>
        <item x="602"/>
        <item x="2257"/>
        <item x="695"/>
        <item x="915"/>
        <item x="1100"/>
        <item x="1314"/>
        <item x="2559"/>
        <item x="2847"/>
        <item x="1961"/>
        <item x="1713"/>
        <item x="887"/>
        <item x="1185"/>
        <item x="2762"/>
        <item x="264"/>
        <item x="1938"/>
        <item x="1816"/>
        <item x="2304"/>
        <item x="1990"/>
        <item x="168"/>
        <item x="2250"/>
        <item x="910"/>
        <item x="1854"/>
        <item x="2706"/>
        <item x="1904"/>
        <item x="361"/>
        <item x="2718"/>
        <item x="948"/>
        <item x="1141"/>
        <item x="2811"/>
        <item x="2870"/>
        <item x="983"/>
        <item x="1326"/>
        <item x="720"/>
        <item x="1811"/>
        <item x="1042"/>
        <item x="160"/>
        <item x="2426"/>
        <item x="621"/>
        <item x="1819"/>
        <item x="618"/>
        <item x="2327"/>
        <item x="753"/>
        <item x="1002"/>
        <item x="195"/>
        <item x="1726"/>
        <item x="1478"/>
        <item x="2355"/>
        <item x="2152"/>
        <item x="790"/>
        <item x="164"/>
        <item x="120"/>
        <item x="2215"/>
        <item x="2018"/>
        <item x="1837"/>
        <item x="474"/>
        <item x="2088"/>
        <item x="2013"/>
        <item x="600"/>
        <item x="883"/>
        <item x="791"/>
        <item x="373"/>
        <item x="1537"/>
        <item x="197"/>
        <item x="2227"/>
        <item x="1359"/>
        <item x="2660"/>
        <item x="885"/>
        <item x="1063"/>
        <item x="1656"/>
        <item x="2849"/>
        <item x="1575"/>
        <item x="1452"/>
        <item x="1840"/>
        <item x="1339"/>
        <item x="401"/>
        <item x="291"/>
        <item x="2415"/>
        <item x="1787"/>
        <item x="559"/>
        <item x="2241"/>
        <item x="1051"/>
        <item x="856"/>
        <item x="862"/>
        <item x="709"/>
        <item x="924"/>
        <item x="405"/>
        <item x="1222"/>
        <item x="2484"/>
        <item x="2192"/>
        <item x="763"/>
        <item x="1443"/>
        <item x="408"/>
        <item x="2317"/>
        <item x="2220"/>
        <item x="1206"/>
        <item x="2482"/>
        <item x="1800"/>
        <item x="531"/>
        <item x="2214"/>
        <item x="962"/>
        <item x="737"/>
        <item x="1894"/>
        <item x="2662"/>
        <item x="577"/>
        <item x="1895"/>
        <item x="192"/>
        <item x="595"/>
        <item x="2207"/>
        <item x="2309"/>
        <item x="1659"/>
        <item x="908"/>
        <item x="318"/>
        <item x="542"/>
        <item x="1252"/>
        <item x="1319"/>
        <item x="66"/>
        <item x="1360"/>
        <item x="1705"/>
        <item x="1683"/>
        <item x="123"/>
        <item x="1549"/>
        <item x="439"/>
        <item x="1322"/>
        <item x="2794"/>
        <item x="175"/>
        <item x="190"/>
        <item x="213"/>
        <item x="1550"/>
        <item x="2775"/>
        <item x="721"/>
        <item x="2575"/>
        <item x="671"/>
        <item x="2624"/>
        <item x="2528"/>
        <item x="1688"/>
        <item x="343"/>
        <item x="1068"/>
        <item x="1172"/>
        <item x="2172"/>
        <item x="2687"/>
        <item x="1104"/>
        <item x="1365"/>
        <item x="649"/>
        <item x="557"/>
        <item x="1728"/>
        <item x="1110"/>
        <item x="663"/>
        <item x="415"/>
        <item x="675"/>
        <item x="2460"/>
        <item x="166"/>
        <item x="202"/>
        <item x="511"/>
        <item x="1053"/>
        <item x="2714"/>
        <item x="2063"/>
        <item x="2799"/>
        <item x="1113"/>
        <item x="1404"/>
        <item x="588"/>
        <item x="537"/>
        <item x="210"/>
        <item x="2015"/>
        <item x="2509"/>
        <item x="867"/>
        <item x="379"/>
        <item x="840"/>
        <item x="1975"/>
        <item x="1534"/>
        <item x="1745"/>
        <item x="1000"/>
        <item x="956"/>
        <item x="76"/>
        <item x="2042"/>
        <item x="1590"/>
        <item x="913"/>
        <item x="249"/>
        <item x="563"/>
        <item x="1669"/>
        <item x="2201"/>
        <item x="302"/>
        <item x="900"/>
        <item x="2784"/>
        <item x="74"/>
        <item x="142"/>
        <item x="1963"/>
        <item x="432"/>
        <item x="2401"/>
        <item x="2825"/>
        <item x="839"/>
        <item x="2118"/>
        <item x="554"/>
        <item x="2617"/>
        <item x="1911"/>
        <item x="1155"/>
        <item x="433"/>
        <item x="1123"/>
        <item x="764"/>
        <item x="592"/>
        <item x="1598"/>
        <item x="1867"/>
        <item x="1924"/>
        <item x="1476"/>
        <item x="1195"/>
        <item x="44"/>
        <item x="19"/>
        <item x="1562"/>
        <item x="1543"/>
        <item x="2824"/>
        <item x="585"/>
        <item x="118"/>
        <item x="1249"/>
        <item x="2751"/>
        <item x="2661"/>
        <item x="1370"/>
        <item x="1080"/>
        <item x="1641"/>
        <item x="716"/>
        <item x="2676"/>
        <item x="882"/>
        <item x="560"/>
        <item x="1163"/>
        <item x="1363"/>
        <item x="620"/>
        <item x="1925"/>
        <item x="700"/>
        <item x="1158"/>
        <item x="950"/>
        <item x="362"/>
        <item x="2322"/>
        <item x="386"/>
        <item x="1701"/>
        <item x="1631"/>
        <item x="2499"/>
        <item x="2655"/>
        <item x="1574"/>
        <item x="1746"/>
        <item x="880"/>
        <item x="2286"/>
        <item x="1572"/>
        <item x="2804"/>
        <item x="1846"/>
        <item x="1595"/>
        <item x="1371"/>
        <item x="2026"/>
        <item x="1413"/>
        <item x="1983"/>
        <item x="799"/>
        <item x="1804"/>
        <item x="1288"/>
        <item x="114"/>
        <item x="2445"/>
        <item x="489"/>
        <item x="759"/>
        <item x="2238"/>
        <item x="952"/>
        <item x="1414"/>
        <item x="615"/>
        <item x="436"/>
        <item x="1031"/>
        <item x="230"/>
        <item x="2586"/>
        <item x="2786"/>
        <item x="472"/>
        <item x="1154"/>
        <item x="1792"/>
        <item x="170"/>
        <item x="407"/>
        <item x="393"/>
        <item x="1182"/>
        <item x="2584"/>
        <item x="1369"/>
        <item x="199"/>
        <item x="664"/>
        <item x="579"/>
        <item x="1780"/>
        <item x="137"/>
        <item x="1649"/>
        <item x="676"/>
        <item x="593"/>
        <item x="2409"/>
        <item x="402"/>
        <item x="2814"/>
        <item x="795"/>
        <item x="1398"/>
        <item x="2285"/>
        <item x="1805"/>
        <item x="71"/>
        <item x="2020"/>
        <item x="1856"/>
        <item x="219"/>
        <item x="891"/>
        <item x="2650"/>
        <item x="1615"/>
        <item x="1798"/>
        <item x="1973"/>
        <item x="2086"/>
        <item x="1670"/>
        <item x="2834"/>
        <item x="1868"/>
        <item x="1663"/>
        <item x="2081"/>
        <item x="2127"/>
        <item x="713"/>
        <item x="1754"/>
        <item x="460"/>
        <item x="808"/>
        <item x="680"/>
        <item x="1074"/>
        <item x="957"/>
        <item x="40"/>
        <item x="2147"/>
        <item x="2838"/>
        <item x="1608"/>
        <item x="1612"/>
        <item x="1966"/>
        <item x="1845"/>
        <item x="227"/>
        <item x="487"/>
        <item x="755"/>
        <item x="1291"/>
        <item x="2579"/>
        <item x="2087"/>
        <item x="1124"/>
        <item x="242"/>
        <item x="619"/>
        <item x="105"/>
        <item x="2748"/>
        <item x="1752"/>
        <item x="898"/>
        <item x="613"/>
        <item x="1771"/>
        <item x="1227"/>
        <item x="2102"/>
        <item x="350"/>
        <item x="319"/>
        <item x="625"/>
        <item x="2758"/>
        <item x="744"/>
        <item x="1411"/>
        <item x="521"/>
        <item x="2200"/>
        <item x="52"/>
        <item x="2710"/>
        <item x="1580"/>
        <item x="2873"/>
        <item x="2604"/>
        <item x="1497"/>
        <item x="286"/>
        <item x="1538"/>
        <item x="470"/>
        <item x="1753"/>
        <item x="1292"/>
        <item x="257"/>
        <item x="1616"/>
        <item x="947"/>
        <item x="1643"/>
        <item x="457"/>
        <item x="1067"/>
        <item x="403"/>
        <item x="1171"/>
        <item x="35"/>
        <item x="2531"/>
        <item x="2300"/>
        <item x="2097"/>
        <item x="218"/>
        <item x="132"/>
        <item x="2163"/>
        <item x="1737"/>
        <item x="2587"/>
        <item x="201"/>
        <item x="1175"/>
        <item x="2623"/>
        <item x="1247"/>
        <item x="96"/>
        <item x="1794"/>
        <item x="1256"/>
        <item x="879"/>
        <item x="1646"/>
        <item x="633"/>
        <item x="1964"/>
        <item x="2196"/>
        <item x="186"/>
        <item x="2788"/>
        <item x="1832"/>
        <item x="1101"/>
        <item x="659"/>
        <item x="1637"/>
        <item x="1883"/>
        <item x="1460"/>
        <item x="2361"/>
        <item x="247"/>
        <item x="1834"/>
        <item x="2289"/>
        <item x="966"/>
        <item x="547"/>
        <item x="285"/>
        <item x="1098"/>
        <item x="821"/>
        <item x="1471"/>
        <item x="2835"/>
        <item x="540"/>
        <item x="1367"/>
        <item x="1959"/>
        <item x="1839"/>
        <item x="1438"/>
        <item x="1409"/>
        <item x="467"/>
        <item x="1949"/>
        <item x="2448"/>
        <item x="2438"/>
        <item x="1119"/>
        <item x="258"/>
        <item x="2766"/>
        <item x="1337"/>
        <item x="391"/>
        <item x="2677"/>
        <item x="1698"/>
        <item x="131"/>
        <item x="914"/>
        <item x="973"/>
        <item x="1568"/>
        <item x="1502"/>
        <item x="1781"/>
        <item x="2567"/>
        <item x="1194"/>
        <item x="2420"/>
        <item x="2508"/>
        <item x="2195"/>
        <item x="842"/>
        <item x="1901"/>
        <item x="2024"/>
        <item x="1720"/>
        <item x="2350"/>
        <item x="949"/>
        <item x="1179"/>
        <item x="2180"/>
        <item x="2606"/>
        <item x="2511"/>
        <item x="220"/>
        <item x="2121"/>
        <item x="2881"/>
        <item x="1418"/>
        <item x="269"/>
        <item x="2474"/>
        <item x="970"/>
        <item x="597"/>
        <item x="2306"/>
        <item x="775"/>
        <item x="1278"/>
        <item x="1652"/>
        <item x="2402"/>
        <item x="1725"/>
        <item x="2600"/>
        <item x="1600"/>
        <item x="1884"/>
        <item x="352"/>
        <item x="2644"/>
        <item x="1238"/>
        <item x="14"/>
        <item x="896"/>
        <item x="1483"/>
        <item x="794"/>
        <item x="1174"/>
        <item x="1707"/>
        <item x="1037"/>
        <item x="2874"/>
        <item x="1783"/>
        <item x="1304"/>
        <item x="2045"/>
        <item x="320"/>
        <item x="958"/>
        <item x="2338"/>
        <item x="1134"/>
        <item x="2763"/>
        <item x="263"/>
        <item x="109"/>
        <item x="722"/>
        <item x="344"/>
        <item x="657"/>
        <item x="2432"/>
        <item x="2632"/>
        <item x="1274"/>
        <item x="1347"/>
        <item x="2389"/>
        <item x="2085"/>
        <item x="1045"/>
        <item x="2100"/>
        <item x="2094"/>
        <item x="2520"/>
        <item x="1421"/>
        <item x="2299"/>
        <item x="2577"/>
        <item x="1931"/>
        <item x="1691"/>
        <item x="2519"/>
        <item x="464"/>
        <item x="2054"/>
        <item x="1200"/>
        <item x="1810"/>
        <item x="845"/>
        <item x="1594"/>
        <item x="2821"/>
        <item x="2486"/>
        <item x="1506"/>
        <item x="1764"/>
        <item x="27"/>
        <item x="1887"/>
        <item x="1836"/>
        <item x="86"/>
        <item x="188"/>
        <item x="1974"/>
        <item x="2119"/>
        <item x="25"/>
        <item x="435"/>
        <item x="2656"/>
        <item x="423"/>
        <item x="1743"/>
        <item x="2326"/>
        <item x="2844"/>
        <item x="996"/>
        <item x="1730"/>
        <item x="2291"/>
        <item x="1240"/>
        <item x="1936"/>
        <item x="1373"/>
        <item x="876"/>
        <item x="2526"/>
        <item x="2108"/>
        <item x="1576"/>
        <item x="1779"/>
        <item x="377"/>
        <item x="747"/>
        <item x="1312"/>
        <item x="1111"/>
        <item x="1770"/>
        <item x="2156"/>
        <item x="1335"/>
        <item x="1548"/>
        <item x="2403"/>
        <item x="152"/>
        <item x="1757"/>
        <item x="2394"/>
        <item x="1747"/>
        <item x="758"/>
        <item x="2319"/>
        <item x="2295"/>
        <item x="2311"/>
        <item x="1888"/>
        <item x="843"/>
        <item x="2385"/>
        <item x="1495"/>
        <item x="2505"/>
        <item x="2004"/>
        <item x="884"/>
        <item x="508"/>
        <item x="552"/>
        <item x="2735"/>
        <item x="551"/>
        <item x="2349"/>
        <item x="1953"/>
        <item x="746"/>
        <item x="833"/>
        <item x="571"/>
        <item x="2282"/>
        <item x="1120"/>
        <item x="1420"/>
        <item x="2488"/>
        <item x="2574"/>
        <item x="776"/>
        <item x="2370"/>
        <item x="733"/>
        <item x="2202"/>
        <item x="1248"/>
        <item x="2576"/>
        <item x="501"/>
        <item x="129"/>
        <item x="2752"/>
        <item x="612"/>
        <item x="1246"/>
        <item x="329"/>
        <item x="1570"/>
        <item x="1866"/>
        <item x="1776"/>
        <item x="1584"/>
        <item x="2216"/>
        <item x="1738"/>
        <item x="614"/>
        <item x="2594"/>
        <item x="498"/>
        <item x="2251"/>
        <item x="1685"/>
        <item x="801"/>
        <item x="2535"/>
        <item x="1785"/>
        <item x="665"/>
        <item x="357"/>
        <item x="2719"/>
        <item x="1772"/>
        <item x="2709"/>
        <item x="1214"/>
        <item x="2503"/>
        <item x="1327"/>
        <item x="75"/>
        <item x="1388"/>
        <item x="852"/>
        <item x="998"/>
        <item x="1009"/>
        <item x="693"/>
        <item x="812"/>
        <item x="2812"/>
        <item x="1824"/>
        <item x="143"/>
        <item x="1501"/>
        <item x="2425"/>
        <item x="1619"/>
        <item x="112"/>
        <item x="2254"/>
        <item x="1431"/>
        <item x="240"/>
        <item x="1084"/>
        <item x="724"/>
        <item x="200"/>
        <item x="2491"/>
        <item x="2704"/>
        <item x="2685"/>
        <item x="2634"/>
        <item x="804"/>
        <item x="1357"/>
        <item x="335"/>
        <item x="516"/>
        <item x="645"/>
        <item x="327"/>
        <item x="2797"/>
        <item x="1467"/>
        <item x="2367"/>
        <item x="2619"/>
        <item x="2186"/>
        <item x="452"/>
        <item x="718"/>
        <item x="2022"/>
        <item x="2302"/>
        <item x="205"/>
        <item x="2757"/>
        <item x="1482"/>
        <item x="2583"/>
        <item x="1907"/>
        <item x="2439"/>
        <item x="410"/>
        <item x="2853"/>
        <item x="1923"/>
        <item x="710"/>
        <item x="153"/>
        <item x="1143"/>
        <item x="1402"/>
        <item x="761"/>
        <item x="731"/>
        <item x="1129"/>
        <item x="1036"/>
        <item x="770"/>
        <item x="505"/>
        <item x="79"/>
        <item x="180"/>
        <item x="786"/>
        <item x="2341"/>
        <item x="844"/>
        <item x="1469"/>
        <item x="2581"/>
        <item x="1152"/>
        <item x="1405"/>
        <item x="89"/>
        <item x="2351"/>
        <item x="2697"/>
        <item x="2831"/>
        <item x="2060"/>
        <item x="1213"/>
        <item x="1694"/>
        <item x="2707"/>
        <item x="1547"/>
        <item x="1994"/>
        <item x="2148"/>
        <item x="1316"/>
        <item x="2336"/>
        <item x="1376"/>
        <item x="339"/>
        <item x="1023"/>
        <item x="1140"/>
        <item x="2009"/>
        <item x="1882"/>
        <item x="2727"/>
        <item x="2037"/>
        <item x="2209"/>
        <item x="2588"/>
        <item x="639"/>
        <item x="2552"/>
        <item x="944"/>
        <item x="829"/>
        <item x="2742"/>
        <item x="1470"/>
        <item x="1531"/>
        <item x="2044"/>
        <item x="1928"/>
        <item x="1043"/>
        <item x="1759"/>
        <item x="1295"/>
        <item x="2782"/>
        <item x="1392"/>
        <item x="1073"/>
        <item x="253"/>
        <item x="2074"/>
        <item x="1636"/>
        <item x="2162"/>
        <item x="34"/>
        <item x="2027"/>
        <item x="1768"/>
        <item x="1896"/>
        <item x="2876"/>
        <item x="126"/>
        <item x="1945"/>
        <item x="2525"/>
        <item x="2878"/>
        <item x="1215"/>
        <item x="1415"/>
        <item x="2442"/>
        <item x="1509"/>
        <item x="2229"/>
        <item x="2413"/>
        <item x="1859"/>
        <item x="2441"/>
        <item x="678"/>
        <item x="294"/>
        <item x="819"/>
        <item x="1251"/>
        <item x="673"/>
        <item x="931"/>
        <item x="1596"/>
        <item x="1329"/>
        <item x="1085"/>
        <item x="1168"/>
        <item x="607"/>
        <item x="1875"/>
        <item x="1521"/>
        <item x="2449"/>
        <item x="356"/>
        <item x="2731"/>
        <item x="2217"/>
        <item x="2083"/>
        <item x="2392"/>
        <item x="486"/>
        <item x="2116"/>
        <item x="991"/>
        <item x="136"/>
        <item x="309"/>
        <item x="1282"/>
        <item x="507"/>
        <item x="909"/>
        <item x="299"/>
        <item x="1075"/>
        <item x="1609"/>
        <item x="985"/>
        <item x="62"/>
        <item x="2431"/>
        <item x="904"/>
        <item x="1378"/>
        <item x="2515"/>
        <item x="2692"/>
        <item x="911"/>
        <item x="174"/>
        <item x="922"/>
        <item x="2310"/>
        <item x="466"/>
        <item x="2191"/>
        <item x="661"/>
        <item x="2298"/>
        <item x="2684"/>
        <item x="1455"/>
        <item x="2614"/>
        <item x="1021"/>
        <item x="2833"/>
        <item x="2384"/>
        <item x="1082"/>
        <item x="53"/>
        <item x="45"/>
        <item x="504"/>
        <item x="2266"/>
        <item x="687"/>
        <item x="1791"/>
        <item x="2750"/>
        <item x="1430"/>
        <item x="1560"/>
        <item x="2416"/>
        <item x="228"/>
        <item x="2433"/>
        <item x="1066"/>
        <item x="1092"/>
        <item x="1445"/>
        <item x="1361"/>
        <item x="2517"/>
        <item x="458"/>
        <item x="1197"/>
        <item x="573"/>
        <item x="347"/>
        <item x="2339"/>
        <item x="1690"/>
        <item x="1607"/>
        <item x="773"/>
        <item x="2792"/>
        <item x="54"/>
        <item x="1083"/>
        <item x="2008"/>
        <item x="1069"/>
        <item x="217"/>
        <item x="2157"/>
        <item x="1148"/>
        <item x="2658"/>
        <item x="1065"/>
        <item x="946"/>
        <item x="178"/>
        <item x="2532"/>
        <item x="2132"/>
        <item x="2405"/>
        <item x="2765"/>
        <item x="874"/>
        <item x="491"/>
        <item x="2806"/>
        <item x="938"/>
        <item x="485"/>
        <item x="1056"/>
        <item x="566"/>
        <item x="2673"/>
        <item x="2571"/>
        <item x="431"/>
        <item x="1061"/>
        <item x="509"/>
        <item x="1041"/>
        <item x="32"/>
        <item x="2434"/>
        <item x="1709"/>
        <item x="1178"/>
        <item x="1464"/>
        <item x="1799"/>
        <item x="1286"/>
        <item x="1473"/>
        <item x="2862"/>
        <item x="783"/>
        <item x="90"/>
        <item x="681"/>
        <item x="1835"/>
        <item x="2547"/>
        <item x="2507"/>
        <item x="2176"/>
        <item x="2301"/>
        <item x="2859"/>
        <item x="1956"/>
        <item x="636"/>
        <item x="1456"/>
        <item x="235"/>
        <item x="594"/>
        <item x="772"/>
        <item x="1533"/>
        <item x="2430"/>
        <item x="2790"/>
        <item x="59"/>
        <item x="1321"/>
        <item x="1344"/>
        <item x="997"/>
        <item x="2096"/>
        <item x="2453"/>
        <item x="2146"/>
        <item x="1682"/>
        <item x="1425"/>
        <item x="125"/>
        <item x="100"/>
        <item x="2657"/>
        <item x="364"/>
        <item x="984"/>
        <item x="534"/>
        <item x="2061"/>
        <item x="2585"/>
        <item x="851"/>
        <item x="191"/>
        <item x="1508"/>
        <item x="890"/>
        <item x="333"/>
        <item x="380"/>
        <item x="1463"/>
        <item x="1735"/>
        <item x="971"/>
        <item x="1525"/>
        <item x="2440"/>
        <item x="1429"/>
        <item x="106"/>
        <item x="2679"/>
        <item x="2599"/>
        <item x="2518"/>
        <item x="31"/>
        <item x="1490"/>
        <item x="419"/>
        <item x="762"/>
        <item x="2375"/>
        <item x="1324"/>
        <item x="2682"/>
        <item x="304"/>
        <item x="712"/>
        <item x="1679"/>
        <item x="1394"/>
        <item x="453"/>
        <item x="1386"/>
        <item x="209"/>
        <item x="468"/>
        <item x="1692"/>
        <item x="2670"/>
        <item x="360"/>
        <item x="545"/>
        <item x="1423"/>
        <item x="187"/>
        <item x="2419"/>
        <item x="975"/>
        <item x="1872"/>
        <item x="2374"/>
        <item x="246"/>
        <item x="2204"/>
        <item x="2596"/>
        <item x="2053"/>
        <item x="1922"/>
        <item x="145"/>
        <item x="284"/>
        <item x="2001"/>
        <item x="886"/>
        <item x="692"/>
        <item x="2817"/>
        <item x="449"/>
        <item x="941"/>
        <item x="939"/>
        <item x="1342"/>
        <item x="2368"/>
        <item x="2406"/>
        <item x="1377"/>
        <item x="67"/>
        <item x="1477"/>
        <item x="296"/>
        <item x="1603"/>
        <item x="1571"/>
        <item x="271"/>
        <item x="2566"/>
        <item x="1241"/>
        <item x="103"/>
        <item x="430"/>
        <item x="2837"/>
        <item x="365"/>
        <item x="1958"/>
        <item x="1130"/>
        <item x="2779"/>
        <item x="696"/>
        <item x="2826"/>
        <item x="1700"/>
        <item x="1900"/>
        <item x="24"/>
        <item x="816"/>
        <item x="1131"/>
        <item x="2489"/>
        <item x="2732"/>
        <item x="995"/>
        <item x="448"/>
        <item x="2809"/>
        <item x="2029"/>
        <item x="2046"/>
        <item x="2424"/>
        <item x="2271"/>
        <item x="1305"/>
        <item x="797"/>
        <item x="1914"/>
        <item x="1642"/>
        <item x="1254"/>
        <item x="1551"/>
        <item x="2803"/>
        <item x="2857"/>
        <item x="2065"/>
        <item x="1232"/>
        <item x="2073"/>
        <item x="1397"/>
        <item x="2245"/>
        <item x="1103"/>
        <item x="1355"/>
        <item x="916"/>
        <item x="2716"/>
        <item x="1775"/>
        <item x="754"/>
        <item x="1905"/>
        <item x="2047"/>
        <item x="182"/>
        <item x="1541"/>
        <item x="1838"/>
        <item x="1765"/>
        <item x="2256"/>
        <item x="1653"/>
        <item x="1561"/>
        <item x="2572"/>
        <item x="2242"/>
        <item x="375"/>
        <item x="1364"/>
        <item x="288"/>
        <item x="412"/>
        <item x="1697"/>
        <item x="1220"/>
        <item x="297"/>
        <item x="1333"/>
        <item x="2398"/>
        <item x="1749"/>
        <item x="1475"/>
        <item x="1010"/>
        <item x="2815"/>
        <item x="1579"/>
        <item x="351"/>
        <item x="414"/>
        <item x="138"/>
        <item x="1077"/>
        <item x="520"/>
        <item x="918"/>
        <item x="792"/>
        <item x="1998"/>
        <item x="81"/>
        <item x="2813"/>
        <item x="1210"/>
        <item x="2043"/>
        <item x="2333"/>
        <item x="1332"/>
        <item x="2607"/>
        <item x="2199"/>
        <item x="1224"/>
        <item x="1474"/>
        <item x="2446"/>
        <item x="1797"/>
        <item x="1933"/>
        <item x="1633"/>
        <item x="1711"/>
        <item x="1139"/>
        <item x="1196"/>
        <item x="1903"/>
        <item x="440"/>
        <item x="2308"/>
        <item x="738"/>
        <item x="2158"/>
        <item x="1133"/>
        <item x="1699"/>
        <item x="381"/>
        <item x="1581"/>
        <item x="2048"/>
        <item x="1035"/>
        <item x="281"/>
        <item x="2530"/>
        <item x="1556"/>
        <item x="2861"/>
        <item x="703"/>
        <item x="2380"/>
        <item x="2842"/>
        <item x="2363"/>
        <item x="1662"/>
        <item x="1736"/>
        <item x="154"/>
        <item x="1886"/>
        <item x="2592"/>
        <item x="2498"/>
        <item x="2222"/>
        <item x="325"/>
        <item x="368"/>
        <item x="1330"/>
        <item x="2759"/>
        <item x="2457"/>
        <item x="276"/>
        <item x="2749"/>
        <item x="1012"/>
        <item x="2190"/>
        <item x="2602"/>
        <item x="2753"/>
        <item x="1351"/>
        <item x="1971"/>
        <item x="2067"/>
        <item x="2616"/>
        <item x="610"/>
        <item x="2739"/>
        <item x="1287"/>
        <item x="650"/>
        <item x="1820"/>
        <item x="1563"/>
        <item x="1253"/>
        <item x="1635"/>
        <item x="2171"/>
        <item x="2608"/>
        <item x="2437"/>
        <item x="2410"/>
        <item x="482"/>
        <item x="1391"/>
        <item x="1323"/>
        <item x="111"/>
        <item x="2232"/>
        <item x="2194"/>
        <item x="37"/>
        <item x="767"/>
        <item x="2477"/>
        <item x="1352"/>
        <item x="2479"/>
        <item x="726"/>
        <item x="2472"/>
        <item x="1086"/>
        <item x="1932"/>
        <item x="2312"/>
        <item x="2391"/>
        <item x="2629"/>
        <item x="1860"/>
        <item x="1762"/>
        <item x="2490"/>
        <item x="682"/>
        <item x="861"/>
        <item x="2720"/>
        <item x="2620"/>
        <item x="222"/>
        <item x="394"/>
        <item x="2228"/>
        <item x="2170"/>
        <item x="637"/>
        <item x="2728"/>
        <item x="1436"/>
        <item x="2335"/>
        <item x="2580"/>
        <item x="2783"/>
        <item x="2459"/>
        <item x="78"/>
        <item x="2279"/>
        <item x="2104"/>
        <item x="2542"/>
        <item x="2166"/>
        <item x="905"/>
        <item x="1269"/>
        <item x="1982"/>
        <item x="601"/>
        <item x="1565"/>
        <item x="1334"/>
        <item x="1058"/>
        <item x="2064"/>
        <item x="2007"/>
        <item x="955"/>
        <item x="307"/>
        <item x="2125"/>
        <item x="698"/>
        <item x="2248"/>
        <item x="1881"/>
        <item x="2393"/>
        <item x="2173"/>
        <item x="1666"/>
        <item x="2627"/>
        <item x="2468"/>
        <item x="2630"/>
        <item x="465"/>
        <item x="736"/>
        <item x="337"/>
        <item x="518"/>
        <item x="308"/>
        <item x="2805"/>
        <item x="198"/>
        <item x="1976"/>
        <item x="2235"/>
        <item x="484"/>
        <item x="2541"/>
        <item x="2523"/>
        <item x="2537"/>
        <item x="2383"/>
        <item x="2691"/>
        <item x="1205"/>
        <item x="336"/>
        <item x="2560"/>
        <item x="1503"/>
        <item x="1803"/>
        <item x="1947"/>
        <item x="2193"/>
        <item x="635"/>
        <item x="1491"/>
        <item x="1199"/>
        <item x="399"/>
        <item x="1132"/>
        <item x="2040"/>
        <item x="244"/>
        <item x="711"/>
        <item x="1187"/>
        <item x="999"/>
        <item x="1156"/>
        <item x="1315"/>
        <item x="1105"/>
        <item x="670"/>
        <item x="2068"/>
        <item x="385"/>
        <item x="2"/>
        <item x="2832"/>
        <item x="2705"/>
        <item x="589"/>
        <item x="2376"/>
        <item x="2091"/>
        <item x="1929"/>
        <item x="2708"/>
        <item x="2151"/>
        <item x="2412"/>
        <item x="701"/>
        <item x="428"/>
        <item x="575"/>
        <item x="1812"/>
        <item x="1024"/>
        <item x="1766"/>
        <item x="1126"/>
        <item x="1088"/>
        <item x="1960"/>
        <item x="1761"/>
        <item x="2354"/>
        <item x="1742"/>
        <item x="2360"/>
        <item x="277"/>
        <item x="519"/>
        <item x="976"/>
        <item x="2463"/>
        <item x="779"/>
        <item x="2487"/>
        <item x="2314"/>
        <item x="2160"/>
        <item x="2255"/>
        <item x="2555"/>
        <item x="561"/>
        <item x="2303"/>
        <item x="2791"/>
        <item x="2198"/>
        <item x="1989"/>
        <item x="1242"/>
        <item x="1667"/>
        <item x="1177"/>
        <item x="214"/>
        <item x="1003"/>
        <item x="2611"/>
        <item x="1176"/>
        <item x="1096"/>
        <item x="2772"/>
        <item x="974"/>
        <item x="2551"/>
        <item x="2414"/>
        <item x="1566"/>
        <item x="1389"/>
        <item x="133"/>
        <item x="363"/>
        <item x="2458"/>
        <item x="2105"/>
        <item x="2273"/>
        <item x="1806"/>
        <item x="987"/>
        <item x="1695"/>
        <item x="65"/>
        <item x="2810"/>
        <item x="444"/>
        <item x="426"/>
        <item x="2243"/>
        <item x="2659"/>
        <item x="1017"/>
        <item x="2612"/>
        <item x="1049"/>
        <item x="158"/>
        <item x="1732"/>
        <item x="2133"/>
        <item x="2865"/>
        <item x="785"/>
        <item x="1149"/>
        <item x="1639"/>
        <item x="1946"/>
        <item x="2265"/>
        <item x="1898"/>
        <item x="2462"/>
        <item x="2107"/>
        <item x="2760"/>
        <item x="479"/>
        <item x="2694"/>
        <item x="2609"/>
        <item x="2527"/>
        <item x="2823"/>
        <item x="2093"/>
        <item x="1614"/>
        <item x="2323"/>
        <item x="2868"/>
        <item x="1209"/>
        <item x="355"/>
        <item x="1613"/>
        <item x="2111"/>
        <item x="1788"/>
        <item x="1841"/>
        <item x="473"/>
        <item x="2386"/>
        <item x="1870"/>
        <item x="43"/>
        <item x="608"/>
        <item x="1955"/>
        <item x="149"/>
        <item x="1109"/>
        <item x="1681"/>
        <item x="732"/>
        <item x="899"/>
        <item x="340"/>
        <item x="609"/>
        <item x="1006"/>
        <item x="1972"/>
        <item x="1684"/>
        <item x="1426"/>
        <item x="1536"/>
        <item x="1219"/>
        <item x="2610"/>
        <item x="1748"/>
        <item x="522"/>
        <item x="1767"/>
        <item x="691"/>
        <item x="1422"/>
        <item x="1380"/>
        <item x="1406"/>
        <item x="193"/>
        <item x="2701"/>
        <item x="2077"/>
        <item x="858"/>
        <item x="232"/>
        <item x="1127"/>
        <item x="69"/>
        <item x="945"/>
        <item x="223"/>
        <item x="389"/>
        <item x="471"/>
        <item x="1303"/>
        <item x="830"/>
        <item x="1944"/>
        <item x="576"/>
        <item x="1387"/>
        <item x="1349"/>
        <item x="2664"/>
        <item x="1309"/>
        <item x="2095"/>
        <item x="1125"/>
        <item x="1189"/>
        <item x="51"/>
        <item x="2548"/>
        <item x="558"/>
        <item x="2114"/>
        <item x="1308"/>
        <item x="1372"/>
        <item x="2011"/>
        <item x="1554"/>
        <item x="2595"/>
        <item x="1032"/>
        <item x="2637"/>
        <item x="871"/>
        <item x="872"/>
        <item x="1545"/>
        <item x="2741"/>
        <item x="2169"/>
        <item x="1245"/>
        <item x="2139"/>
        <item x="826"/>
        <item x="2270"/>
        <item x="2820"/>
        <item x="374"/>
        <item x="55"/>
        <item x="1723"/>
        <item x="1407"/>
        <item x="411"/>
        <item x="1645"/>
        <item x="2345"/>
        <item x="965"/>
        <item x="1050"/>
        <item x="806"/>
        <item x="2126"/>
        <item x="2226"/>
        <item x="869"/>
        <item x="147"/>
        <item x="1310"/>
        <item x="2051"/>
        <item x="2654"/>
        <item x="2337"/>
        <item x="2366"/>
        <item x="503"/>
        <item x="1225"/>
        <item x="1869"/>
        <item x="1514"/>
        <item x="1186"/>
        <item x="2680"/>
        <item x="10"/>
        <item x="1169"/>
        <item x="2034"/>
        <item x="749"/>
        <item x="2769"/>
        <item x="406"/>
        <item x="2183"/>
        <item x="2807"/>
        <item x="144"/>
        <item x="2030"/>
        <item x="2725"/>
        <item x="925"/>
        <item x="2112"/>
        <item x="2079"/>
        <item x="2756"/>
        <item x="878"/>
        <item x="2050"/>
        <item x="1678"/>
        <item x="964"/>
        <item x="690"/>
        <item x="569"/>
        <item x="1094"/>
        <item x="2224"/>
        <item x="2025"/>
        <item x="1281"/>
        <item x="2164"/>
        <item x="1601"/>
        <item x="2296"/>
        <item x="2502"/>
        <item x="358"/>
        <item x="2866"/>
        <item x="417"/>
        <item x="2722"/>
        <item x="1518"/>
        <item x="1458"/>
        <item x="1451"/>
        <item x="524"/>
        <item x="2605"/>
        <item x="817"/>
        <item x="967"/>
        <item x="2635"/>
        <item x="82"/>
        <item x="2071"/>
        <item x="156"/>
        <item x="2703"/>
        <item x="2178"/>
        <item x="1577"/>
        <item x="533"/>
        <item x="2846"/>
        <item x="354"/>
        <item x="331"/>
        <item x="1044"/>
        <item x="1212"/>
        <item x="584"/>
        <item x="1997"/>
        <item x="2696"/>
        <item x="1985"/>
        <item x="743"/>
        <item x="2647"/>
        <item x="2371"/>
        <item x="2131"/>
        <item x="2521"/>
        <item x="46"/>
        <item x="2110"/>
        <item x="2839"/>
        <item x="868"/>
        <item x="994"/>
        <item x="766"/>
        <item x="809"/>
        <item x="1622"/>
        <item x="1826"/>
        <item x="1965"/>
        <item x="21"/>
        <item x="1902"/>
        <item x="2342"/>
        <item x="1733"/>
        <item x="2129"/>
        <item x="397"/>
        <item x="2294"/>
        <item x="2455"/>
        <item x="1621"/>
        <item x="2510"/>
        <item x="2249"/>
        <item x="283"/>
        <item x="1927"/>
        <item x="2177"/>
        <item x="793"/>
        <item x="686"/>
        <item x="72"/>
        <item x="162"/>
        <item x="1121"/>
        <item x="1484"/>
        <item x="83"/>
        <item x="1299"/>
        <item x="2218"/>
        <item x="1424"/>
        <item x="445"/>
        <item x="1336"/>
        <item x="2667"/>
        <item x="1704"/>
        <item x="2497"/>
        <item x="349"/>
        <item x="265"/>
        <item x="2681"/>
        <item x="1038"/>
        <item x="2461"/>
        <item x="2717"/>
        <item x="2689"/>
        <item x="2246"/>
        <item x="287"/>
        <item x="1159"/>
        <item x="2785"/>
        <item x="2483"/>
        <item x="2569"/>
        <item x="313"/>
        <item x="1216"/>
        <item x="822"/>
        <item x="1703"/>
        <item x="2353"/>
        <item x="224"/>
        <item x="940"/>
        <item x="1527"/>
        <item x="1808"/>
        <item x="2875"/>
        <item x="641"/>
        <item x="2715"/>
        <item x="2671"/>
        <item x="1285"/>
        <item x="2411"/>
        <item x="2397"/>
        <item x="1655"/>
        <item x="544"/>
        <item x="626"/>
        <item x="1013"/>
        <item x="553"/>
        <item x="2740"/>
        <item x="2767"/>
        <item x="2032"/>
        <item x="1362"/>
        <item x="2713"/>
        <item x="2378"/>
        <item x="854"/>
        <item x="1257"/>
        <item x="359"/>
        <item x="1528"/>
        <item x="1428"/>
        <item x="1020"/>
        <item x="2770"/>
        <item x="395"/>
        <item x="1118"/>
        <item x="629"/>
        <item x="282"/>
        <item x="1710"/>
        <item x="807"/>
        <item x="1444"/>
        <item x="853"/>
        <item x="624"/>
        <item x="1740"/>
        <item x="1706"/>
        <item x="2275"/>
        <item x="1153"/>
        <item x="582"/>
        <item x="267"/>
        <item x="642"/>
        <item x="301"/>
        <item x="1280"/>
        <item x="1260"/>
        <item x="1532"/>
        <item x="2615"/>
        <item x="2038"/>
        <item x="2057"/>
        <item x="245"/>
        <item x="92"/>
        <item x="1505"/>
        <item x="500"/>
        <item x="1302"/>
        <item x="2841"/>
        <item x="2631"/>
        <item x="2377"/>
        <item x="1853"/>
        <item x="2869"/>
        <item x="850"/>
        <item x="1796"/>
        <item x="616"/>
        <item x="986"/>
        <item x="630"/>
        <item x="8"/>
        <item x="2236"/>
        <item x="921"/>
        <item x="1089"/>
        <item x="2233"/>
        <item x="1047"/>
        <item x="2288"/>
        <item x="1434"/>
        <item x="68"/>
        <item x="2290"/>
        <item x="2539"/>
        <item x="653"/>
        <item x="1909"/>
        <item x="2768"/>
        <item x="135"/>
        <item x="2776"/>
        <item x="1181"/>
        <item x="48"/>
        <item x="85"/>
        <item x="1446"/>
        <item x="1539"/>
        <item x="881"/>
        <item x="846"/>
        <item x="2203"/>
        <item x="2808"/>
        <item x="1908"/>
        <item x="2622"/>
        <item x="127"/>
        <item x="2122"/>
        <item x="1512"/>
        <item x="1016"/>
        <item x="666"/>
        <item x="1675"/>
        <item x="627"/>
        <item x="1079"/>
        <item x="581"/>
        <item x="782"/>
        <item x="1979"/>
        <item x="1112"/>
        <item x="2744"/>
        <item x="2639"/>
        <item x="669"/>
        <item x="1999"/>
        <item x="1486"/>
        <item x="2101"/>
        <item x="2080"/>
        <item x="598"/>
        <item x="2395"/>
        <item x="1915"/>
        <item x="1059"/>
        <item x="122"/>
        <item x="1626"/>
        <item x="1625"/>
        <item x="306"/>
        <item x="2056"/>
        <item x="207"/>
        <item x="2780"/>
        <item x="1863"/>
        <item x="611"/>
        <item x="1657"/>
        <item x="2443"/>
        <item x="1275"/>
        <item x="1235"/>
        <item x="1276"/>
        <item x="1011"/>
        <item x="512"/>
        <item x="1807"/>
        <item x="1967"/>
        <item x="2880"/>
        <item x="1784"/>
        <item x="1815"/>
        <item x="1948"/>
        <item x="1849"/>
        <item x="1591"/>
        <item x="2005"/>
        <item x="513"/>
        <item x="11"/>
        <item x="1930"/>
        <item x="151"/>
        <item x="2154"/>
        <item x="2700"/>
        <item x="2557"/>
        <item x="2267"/>
        <item x="734"/>
        <item x="2522"/>
        <item x="1510"/>
        <item x="824"/>
        <item x="1488"/>
        <item x="1136"/>
        <item x="1348"/>
        <item x="2212"/>
        <item x="2028"/>
        <item x="562"/>
        <item x="454"/>
        <item x="2399"/>
        <item x="802"/>
        <item x="2638"/>
        <item x="1116"/>
        <item x="1277"/>
        <item x="648"/>
        <item x="556"/>
        <item x="1358"/>
        <item x="1354"/>
        <item x="376"/>
        <item x="409"/>
        <item x="1677"/>
        <item x="2436"/>
        <item x="2494"/>
        <item x="2711"/>
        <item x="1441"/>
        <item x="1865"/>
        <item x="324"/>
        <item x="1892"/>
        <item x="895"/>
        <item x="298"/>
        <item x="1589"/>
        <item x="2373"/>
        <item x="2653"/>
        <item x="823"/>
        <item x="1918"/>
        <item x="1672"/>
        <item x="2006"/>
        <item x="1419"/>
        <item x="184"/>
        <item x="2848"/>
        <item x="1913"/>
        <item x="216"/>
        <item x="674"/>
        <item x="1782"/>
        <item x="2117"/>
        <item x="860"/>
        <item x="2150"/>
        <item x="2211"/>
        <item x="2856"/>
        <item x="631"/>
        <item x="2764"/>
        <item x="1193"/>
        <item x="1271"/>
        <item x="2010"/>
        <item x="1632"/>
        <item x="2787"/>
        <item x="251"/>
        <item x="668"/>
        <item x="255"/>
        <item x="2138"/>
        <item x="1855"/>
        <item x="2721"/>
        <item x="2263"/>
        <item x="2210"/>
        <item x="568"/>
        <item x="903"/>
        <item x="1920"/>
        <item x="1190"/>
        <item x="1396"/>
        <item x="1071"/>
        <item x="2175"/>
        <item x="447"/>
        <item x="2066"/>
        <item x="443"/>
        <item x="538"/>
        <item x="1055"/>
        <item x="932"/>
        <item x="237"/>
        <item x="1341"/>
        <item x="2828"/>
        <item x="1018"/>
        <item x="1582"/>
        <item x="1638"/>
        <item x="1734"/>
        <item x="765"/>
        <item x="1265"/>
        <item x="2103"/>
        <item x="960"/>
        <item x="1211"/>
        <item x="1687"/>
        <item x="2182"/>
        <item x="99"/>
        <item x="2092"/>
        <item x="1833"/>
        <item x="155"/>
        <item x="730"/>
        <item x="591"/>
        <item x="1076"/>
        <item x="1519"/>
        <item x="330"/>
        <item x="367"/>
        <item x="2072"/>
        <item x="2330"/>
        <item x="977"/>
        <item x="1889"/>
        <item x="2016"/>
        <item x="688"/>
        <item x="2613"/>
        <item x="818"/>
        <item x="954"/>
        <item x="1435"/>
        <item x="346"/>
        <item x="1741"/>
        <item x="2734"/>
        <item x="2778"/>
        <item x="745"/>
        <item x="2464"/>
        <item x="353"/>
        <item x="1221"/>
        <item x="204"/>
        <item x="141"/>
        <item x="1052"/>
        <item x="800"/>
        <item x="38"/>
        <item x="708"/>
        <item x="778"/>
        <item x="1660"/>
        <item x="2471"/>
        <item x="2418"/>
        <item x="1511"/>
        <item x="459"/>
        <item x="1496"/>
        <item x="2493"/>
        <item x="456"/>
        <item x="1627"/>
        <item x="2830"/>
        <item x="1237"/>
        <item x="2356"/>
        <item x="1606"/>
        <item x="1439"/>
        <item x="751"/>
        <item x="2672"/>
        <item x="1729"/>
        <item x="1466"/>
        <item x="1207"/>
        <item x="1708"/>
        <item x="2863"/>
        <item x="2075"/>
        <item x="2099"/>
        <item x="196"/>
        <item x="2423"/>
        <item x="261"/>
        <item x="1223"/>
        <item x="2450"/>
        <item x="1500"/>
        <item x="2292"/>
        <item x="2568"/>
        <item x="2447"/>
        <item x="1993"/>
        <item x="2501"/>
        <item x="463"/>
        <item x="2347"/>
        <item x="1650"/>
        <item x="211"/>
        <item x="933"/>
        <item x="1996"/>
        <item x="1401"/>
        <item x="2589"/>
        <item x="2480"/>
        <item x="1712"/>
        <item x="1395"/>
        <item x="1313"/>
        <item x="1817"/>
        <item x="1943"/>
        <item x="1340"/>
        <item x="2712"/>
        <item x="2168"/>
        <item x="2036"/>
        <item x="1777"/>
        <item x="2864"/>
        <item x="2665"/>
        <item x="248"/>
        <item x="1569"/>
        <item x="2382"/>
        <item x="2582"/>
        <item x="254"/>
        <item x="1350"/>
        <item x="429"/>
        <item x="2456"/>
        <item x="396"/>
        <item x="1311"/>
        <item x="185"/>
        <item x="1188"/>
        <item x="2822"/>
        <item x="1294"/>
        <item x="2324"/>
        <item x="2465"/>
        <item x="2538"/>
        <item x="2052"/>
        <item x="532"/>
        <item x="208"/>
        <item x="1293"/>
        <item x="2141"/>
        <item x="646"/>
        <item x="2695"/>
        <item x="2562"/>
        <item x="369"/>
        <item x="2023"/>
        <item x="2012"/>
        <item x="2636"/>
        <item x="2649"/>
        <item x="2591"/>
        <item x="1268"/>
        <item x="2381"/>
        <item x="1790"/>
        <item x="2325"/>
        <item x="2777"/>
        <item x="7"/>
        <item x="2240"/>
        <item x="1217"/>
        <item x="2641"/>
        <item x="1296"/>
        <item x="1986"/>
        <item x="2239"/>
        <item x="912"/>
        <item x="1668"/>
        <item x="2264"/>
        <item x="662"/>
        <item x="1620"/>
        <item x="2144"/>
        <item x="1814"/>
        <item x="1481"/>
        <item x="2297"/>
        <item x="735"/>
        <item x="475"/>
        <item x="1449"/>
        <item x="574"/>
        <item x="1578"/>
        <item x="1479"/>
        <item x="117"/>
        <item x="1716"/>
        <item x="1262"/>
        <item x="1259"/>
        <item x="2219"/>
        <item x="1442"/>
        <item x="2603"/>
        <item x="1858"/>
        <item x="2669"/>
        <item x="427"/>
        <item x="1416"/>
        <item x="1848"/>
        <item t="default"/>
      </items>
    </pivotField>
    <pivotField showAll="0"/>
    <pivotField showAll="0"/>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Sales" fld="6" subtotal="count" baseField="2" baseItem="0"/>
  </dataFields>
  <chartFormats count="9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5" format="6">
      <pivotArea type="data" outline="0" fieldPosition="0">
        <references count="2">
          <reference field="4294967294" count="1" selected="0">
            <x v="0"/>
          </reference>
          <reference field="2" count="1" selected="0">
            <x v="5"/>
          </reference>
        </references>
      </pivotArea>
    </chartFormat>
    <chartFormat chart="5" format="7">
      <pivotArea type="data" outline="0" fieldPosition="0">
        <references count="2">
          <reference field="4294967294" count="1" selected="0">
            <x v="0"/>
          </reference>
          <reference field="2" count="1" selected="0">
            <x v="6"/>
          </reference>
        </references>
      </pivotArea>
    </chartFormat>
    <chartFormat chart="5" format="8">
      <pivotArea type="data" outline="0" fieldPosition="0">
        <references count="2">
          <reference field="4294967294" count="1" selected="0">
            <x v="0"/>
          </reference>
          <reference field="2" count="1" selected="0">
            <x v="7"/>
          </reference>
        </references>
      </pivotArea>
    </chartFormat>
    <chartFormat chart="5" format="9">
      <pivotArea type="data" outline="0" fieldPosition="0">
        <references count="2">
          <reference field="4294967294" count="1" selected="0">
            <x v="0"/>
          </reference>
          <reference field="2" count="1" selected="0">
            <x v="8"/>
          </reference>
        </references>
      </pivotArea>
    </chartFormat>
    <chartFormat chart="5" format="10">
      <pivotArea type="data" outline="0" fieldPosition="0">
        <references count="2">
          <reference field="4294967294" count="1" selected="0">
            <x v="0"/>
          </reference>
          <reference field="2" count="1" selected="0">
            <x v="9"/>
          </reference>
        </references>
      </pivotArea>
    </chartFormat>
    <chartFormat chart="5" format="11">
      <pivotArea type="data" outline="0" fieldPosition="0">
        <references count="2">
          <reference field="4294967294" count="1" selected="0">
            <x v="0"/>
          </reference>
          <reference field="2" count="1" selected="0">
            <x v="10"/>
          </reference>
        </references>
      </pivotArea>
    </chartFormat>
    <chartFormat chart="5" format="12">
      <pivotArea type="data" outline="0" fieldPosition="0">
        <references count="2">
          <reference field="4294967294" count="1" selected="0">
            <x v="0"/>
          </reference>
          <reference field="2" count="1" selected="0">
            <x v="11"/>
          </reference>
        </references>
      </pivotArea>
    </chartFormat>
    <chartFormat chart="5" format="13">
      <pivotArea type="data" outline="0" fieldPosition="0">
        <references count="2">
          <reference field="4294967294" count="1" selected="0">
            <x v="0"/>
          </reference>
          <reference field="2" count="1" selected="0">
            <x v="12"/>
          </reference>
        </references>
      </pivotArea>
    </chartFormat>
    <chartFormat chart="5" format="14">
      <pivotArea type="data" outline="0" fieldPosition="0">
        <references count="2">
          <reference field="4294967294" count="1" selected="0">
            <x v="0"/>
          </reference>
          <reference field="2" count="1" selected="0">
            <x v="13"/>
          </reference>
        </references>
      </pivotArea>
    </chartFormat>
    <chartFormat chart="5" format="15">
      <pivotArea type="data" outline="0" fieldPosition="0">
        <references count="2">
          <reference field="4294967294" count="1" selected="0">
            <x v="0"/>
          </reference>
          <reference field="2" count="1" selected="0">
            <x v="14"/>
          </reference>
        </references>
      </pivotArea>
    </chartFormat>
    <chartFormat chart="5" format="16">
      <pivotArea type="data" outline="0" fieldPosition="0">
        <references count="2">
          <reference field="4294967294" count="1" selected="0">
            <x v="0"/>
          </reference>
          <reference field="2" count="1" selected="0">
            <x v="15"/>
          </reference>
        </references>
      </pivotArea>
    </chartFormat>
    <chartFormat chart="5" format="17">
      <pivotArea type="data" outline="0" fieldPosition="0">
        <references count="2">
          <reference field="4294967294" count="1" selected="0">
            <x v="0"/>
          </reference>
          <reference field="2" count="1" selected="0">
            <x v="16"/>
          </reference>
        </references>
      </pivotArea>
    </chartFormat>
    <chartFormat chart="5" format="18">
      <pivotArea type="data" outline="0" fieldPosition="0">
        <references count="2">
          <reference field="4294967294" count="1" selected="0">
            <x v="0"/>
          </reference>
          <reference field="2" count="1" selected="0">
            <x v="17"/>
          </reference>
        </references>
      </pivotArea>
    </chartFormat>
    <chartFormat chart="5" format="19">
      <pivotArea type="data" outline="0" fieldPosition="0">
        <references count="2">
          <reference field="4294967294" count="1" selected="0">
            <x v="0"/>
          </reference>
          <reference field="2" count="1" selected="0">
            <x v="18"/>
          </reference>
        </references>
      </pivotArea>
    </chartFormat>
    <chartFormat chart="5" format="20">
      <pivotArea type="data" outline="0" fieldPosition="0">
        <references count="2">
          <reference field="4294967294" count="1" selected="0">
            <x v="0"/>
          </reference>
          <reference field="2" count="1" selected="0">
            <x v="19"/>
          </reference>
        </references>
      </pivotArea>
    </chartFormat>
    <chartFormat chart="5" format="21">
      <pivotArea type="data" outline="0" fieldPosition="0">
        <references count="2">
          <reference field="4294967294" count="1" selected="0">
            <x v="0"/>
          </reference>
          <reference field="2" count="1" selected="0">
            <x v="20"/>
          </reference>
        </references>
      </pivotArea>
    </chartFormat>
    <chartFormat chart="5" format="22">
      <pivotArea type="data" outline="0" fieldPosition="0">
        <references count="2">
          <reference field="4294967294" count="1" selected="0">
            <x v="0"/>
          </reference>
          <reference field="2" count="1" selected="0">
            <x v="21"/>
          </reference>
        </references>
      </pivotArea>
    </chartFormat>
    <chartFormat chart="5" format="23">
      <pivotArea type="data" outline="0" fieldPosition="0">
        <references count="2">
          <reference field="4294967294" count="1" selected="0">
            <x v="0"/>
          </reference>
          <reference field="2" count="1" selected="0">
            <x v="22"/>
          </reference>
        </references>
      </pivotArea>
    </chartFormat>
    <chartFormat chart="5" format="24">
      <pivotArea type="data" outline="0" fieldPosition="0">
        <references count="2">
          <reference field="4294967294" count="1" selected="0">
            <x v="0"/>
          </reference>
          <reference field="2" count="1" selected="0">
            <x v="23"/>
          </reference>
        </references>
      </pivotArea>
    </chartFormat>
    <chartFormat chart="5" format="25">
      <pivotArea type="data" outline="0" fieldPosition="0">
        <references count="2">
          <reference field="4294967294" count="1" selected="0">
            <x v="0"/>
          </reference>
          <reference field="2" count="1" selected="0">
            <x v="24"/>
          </reference>
        </references>
      </pivotArea>
    </chartFormat>
    <chartFormat chart="5" format="26">
      <pivotArea type="data" outline="0" fieldPosition="0">
        <references count="2">
          <reference field="4294967294" count="1" selected="0">
            <x v="0"/>
          </reference>
          <reference field="2" count="1" selected="0">
            <x v="25"/>
          </reference>
        </references>
      </pivotArea>
    </chartFormat>
    <chartFormat chart="5" format="27">
      <pivotArea type="data" outline="0" fieldPosition="0">
        <references count="2">
          <reference field="4294967294" count="1" selected="0">
            <x v="0"/>
          </reference>
          <reference field="2" count="1" selected="0">
            <x v="26"/>
          </reference>
        </references>
      </pivotArea>
    </chartFormat>
    <chartFormat chart="5" format="28">
      <pivotArea type="data" outline="0" fieldPosition="0">
        <references count="2">
          <reference field="4294967294" count="1" selected="0">
            <x v="0"/>
          </reference>
          <reference field="2" count="1" selected="0">
            <x v="27"/>
          </reference>
        </references>
      </pivotArea>
    </chartFormat>
    <chartFormat chart="5" format="29">
      <pivotArea type="data" outline="0" fieldPosition="0">
        <references count="2">
          <reference field="4294967294" count="1" selected="0">
            <x v="0"/>
          </reference>
          <reference field="2" count="1" selected="0">
            <x v="28"/>
          </reference>
        </references>
      </pivotArea>
    </chartFormat>
    <chartFormat chart="5" format="30">
      <pivotArea type="data" outline="0" fieldPosition="0">
        <references count="2">
          <reference field="4294967294" count="1" selected="0">
            <x v="0"/>
          </reference>
          <reference field="2" count="1" selected="0">
            <x v="29"/>
          </reference>
        </references>
      </pivotArea>
    </chartFormat>
    <chartFormat chart="5" format="31">
      <pivotArea type="data" outline="0" fieldPosition="0">
        <references count="2">
          <reference field="4294967294" count="1" selected="0">
            <x v="0"/>
          </reference>
          <reference field="2" count="1" selected="0">
            <x v="30"/>
          </reference>
        </references>
      </pivotArea>
    </chartFormat>
    <chartFormat chart="5" format="32">
      <pivotArea type="data" outline="0" fieldPosition="0">
        <references count="2">
          <reference field="4294967294" count="1" selected="0">
            <x v="0"/>
          </reference>
          <reference field="2" count="1" selected="0">
            <x v="31"/>
          </reference>
        </references>
      </pivotArea>
    </chartFormat>
    <chartFormat chart="5" format="33">
      <pivotArea type="data" outline="0" fieldPosition="0">
        <references count="2">
          <reference field="4294967294" count="1" selected="0">
            <x v="0"/>
          </reference>
          <reference field="2" count="1" selected="0">
            <x v="32"/>
          </reference>
        </references>
      </pivotArea>
    </chartFormat>
    <chartFormat chart="5" format="34">
      <pivotArea type="data" outline="0" fieldPosition="0">
        <references count="2">
          <reference field="4294967294" count="1" selected="0">
            <x v="0"/>
          </reference>
          <reference field="2" count="1" selected="0">
            <x v="33"/>
          </reference>
        </references>
      </pivotArea>
    </chartFormat>
    <chartFormat chart="5" format="35">
      <pivotArea type="data" outline="0" fieldPosition="0">
        <references count="2">
          <reference field="4294967294" count="1" selected="0">
            <x v="0"/>
          </reference>
          <reference field="2" count="1" selected="0">
            <x v="34"/>
          </reference>
        </references>
      </pivotArea>
    </chartFormat>
    <chartFormat chart="5" format="36">
      <pivotArea type="data" outline="0" fieldPosition="0">
        <references count="2">
          <reference field="4294967294" count="1" selected="0">
            <x v="0"/>
          </reference>
          <reference field="2" count="1" selected="0">
            <x v="35"/>
          </reference>
        </references>
      </pivotArea>
    </chartFormat>
    <chartFormat chart="5" format="37">
      <pivotArea type="data" outline="0" fieldPosition="0">
        <references count="2">
          <reference field="4294967294" count="1" selected="0">
            <x v="0"/>
          </reference>
          <reference field="2" count="1" selected="0">
            <x v="36"/>
          </reference>
        </references>
      </pivotArea>
    </chartFormat>
    <chartFormat chart="5" format="38">
      <pivotArea type="data" outline="0" fieldPosition="0">
        <references count="2">
          <reference field="4294967294" count="1" selected="0">
            <x v="0"/>
          </reference>
          <reference field="2" count="1" selected="0">
            <x v="37"/>
          </reference>
        </references>
      </pivotArea>
    </chartFormat>
    <chartFormat chart="5" format="39">
      <pivotArea type="data" outline="0" fieldPosition="0">
        <references count="2">
          <reference field="4294967294" count="1" selected="0">
            <x v="0"/>
          </reference>
          <reference field="2" count="1" selected="0">
            <x v="38"/>
          </reference>
        </references>
      </pivotArea>
    </chartFormat>
    <chartFormat chart="5" format="40">
      <pivotArea type="data" outline="0" fieldPosition="0">
        <references count="2">
          <reference field="4294967294" count="1" selected="0">
            <x v="0"/>
          </reference>
          <reference field="2" count="1" selected="0">
            <x v="39"/>
          </reference>
        </references>
      </pivotArea>
    </chartFormat>
    <chartFormat chart="5" format="41">
      <pivotArea type="data" outline="0" fieldPosition="0">
        <references count="2">
          <reference field="4294967294" count="1" selected="0">
            <x v="0"/>
          </reference>
          <reference field="2" count="1" selected="0">
            <x v="40"/>
          </reference>
        </references>
      </pivotArea>
    </chartFormat>
    <chartFormat chart="5" format="42">
      <pivotArea type="data" outline="0" fieldPosition="0">
        <references count="2">
          <reference field="4294967294" count="1" selected="0">
            <x v="0"/>
          </reference>
          <reference field="2" count="1" selected="0">
            <x v="41"/>
          </reference>
        </references>
      </pivotArea>
    </chartFormat>
    <chartFormat chart="5" format="43">
      <pivotArea type="data" outline="0" fieldPosition="0">
        <references count="2">
          <reference field="4294967294" count="1" selected="0">
            <x v="0"/>
          </reference>
          <reference field="2" count="1" selected="0">
            <x v="42"/>
          </reference>
        </references>
      </pivotArea>
    </chartFormat>
    <chartFormat chart="5" format="44">
      <pivotArea type="data" outline="0" fieldPosition="0">
        <references count="2">
          <reference field="4294967294" count="1" selected="0">
            <x v="0"/>
          </reference>
          <reference field="2" count="1" selected="0">
            <x v="43"/>
          </reference>
        </references>
      </pivotArea>
    </chartFormat>
    <chartFormat chart="5" format="45">
      <pivotArea type="data" outline="0" fieldPosition="0">
        <references count="2">
          <reference field="4294967294" count="1" selected="0">
            <x v="0"/>
          </reference>
          <reference field="2" count="1" selected="0">
            <x v="44"/>
          </reference>
        </references>
      </pivotArea>
    </chartFormat>
    <chartFormat chart="5" format="46">
      <pivotArea type="data" outline="0" fieldPosition="0">
        <references count="2">
          <reference field="4294967294" count="1" selected="0">
            <x v="0"/>
          </reference>
          <reference field="2" count="1" selected="0">
            <x v="45"/>
          </reference>
        </references>
      </pivotArea>
    </chartFormat>
    <chartFormat chart="5" format="47">
      <pivotArea type="data" outline="0" fieldPosition="0">
        <references count="2">
          <reference field="4294967294" count="1" selected="0">
            <x v="0"/>
          </reference>
          <reference field="2" count="1" selected="0">
            <x v="46"/>
          </reference>
        </references>
      </pivotArea>
    </chartFormat>
    <chartFormat chart="5" format="48">
      <pivotArea type="data" outline="0" fieldPosition="0">
        <references count="2">
          <reference field="4294967294" count="1" selected="0">
            <x v="0"/>
          </reference>
          <reference field="2" count="1" selected="0">
            <x v="47"/>
          </reference>
        </references>
      </pivotArea>
    </chartFormat>
    <chartFormat chart="8" format="98" series="1">
      <pivotArea type="data" outline="0" fieldPosition="0">
        <references count="1">
          <reference field="4294967294" count="1" selected="0">
            <x v="0"/>
          </reference>
        </references>
      </pivotArea>
    </chartFormat>
    <chartFormat chart="8" format="99">
      <pivotArea type="data" outline="0" fieldPosition="0">
        <references count="2">
          <reference field="4294967294" count="1" selected="0">
            <x v="0"/>
          </reference>
          <reference field="2" count="1" selected="0">
            <x v="0"/>
          </reference>
        </references>
      </pivotArea>
    </chartFormat>
    <chartFormat chart="8" format="100">
      <pivotArea type="data" outline="0" fieldPosition="0">
        <references count="2">
          <reference field="4294967294" count="1" selected="0">
            <x v="0"/>
          </reference>
          <reference field="2" count="1" selected="0">
            <x v="1"/>
          </reference>
        </references>
      </pivotArea>
    </chartFormat>
    <chartFormat chart="8" format="101">
      <pivotArea type="data" outline="0" fieldPosition="0">
        <references count="2">
          <reference field="4294967294" count="1" selected="0">
            <x v="0"/>
          </reference>
          <reference field="2" count="1" selected="0">
            <x v="2"/>
          </reference>
        </references>
      </pivotArea>
    </chartFormat>
    <chartFormat chart="8" format="102">
      <pivotArea type="data" outline="0" fieldPosition="0">
        <references count="2">
          <reference field="4294967294" count="1" selected="0">
            <x v="0"/>
          </reference>
          <reference field="2" count="1" selected="0">
            <x v="3"/>
          </reference>
        </references>
      </pivotArea>
    </chartFormat>
    <chartFormat chart="8" format="103">
      <pivotArea type="data" outline="0" fieldPosition="0">
        <references count="2">
          <reference field="4294967294" count="1" selected="0">
            <x v="0"/>
          </reference>
          <reference field="2" count="1" selected="0">
            <x v="4"/>
          </reference>
        </references>
      </pivotArea>
    </chartFormat>
    <chartFormat chart="8" format="104">
      <pivotArea type="data" outline="0" fieldPosition="0">
        <references count="2">
          <reference field="4294967294" count="1" selected="0">
            <x v="0"/>
          </reference>
          <reference field="2" count="1" selected="0">
            <x v="5"/>
          </reference>
        </references>
      </pivotArea>
    </chartFormat>
    <chartFormat chart="8" format="105">
      <pivotArea type="data" outline="0" fieldPosition="0">
        <references count="2">
          <reference field="4294967294" count="1" selected="0">
            <x v="0"/>
          </reference>
          <reference field="2" count="1" selected="0">
            <x v="6"/>
          </reference>
        </references>
      </pivotArea>
    </chartFormat>
    <chartFormat chart="8" format="106">
      <pivotArea type="data" outline="0" fieldPosition="0">
        <references count="2">
          <reference field="4294967294" count="1" selected="0">
            <x v="0"/>
          </reference>
          <reference field="2" count="1" selected="0">
            <x v="7"/>
          </reference>
        </references>
      </pivotArea>
    </chartFormat>
    <chartFormat chart="8" format="107">
      <pivotArea type="data" outline="0" fieldPosition="0">
        <references count="2">
          <reference field="4294967294" count="1" selected="0">
            <x v="0"/>
          </reference>
          <reference field="2" count="1" selected="0">
            <x v="8"/>
          </reference>
        </references>
      </pivotArea>
    </chartFormat>
    <chartFormat chart="8" format="108">
      <pivotArea type="data" outline="0" fieldPosition="0">
        <references count="2">
          <reference field="4294967294" count="1" selected="0">
            <x v="0"/>
          </reference>
          <reference field="2" count="1" selected="0">
            <x v="9"/>
          </reference>
        </references>
      </pivotArea>
    </chartFormat>
    <chartFormat chart="8" format="109">
      <pivotArea type="data" outline="0" fieldPosition="0">
        <references count="2">
          <reference field="4294967294" count="1" selected="0">
            <x v="0"/>
          </reference>
          <reference field="2" count="1" selected="0">
            <x v="10"/>
          </reference>
        </references>
      </pivotArea>
    </chartFormat>
    <chartFormat chart="8" format="110">
      <pivotArea type="data" outline="0" fieldPosition="0">
        <references count="2">
          <reference field="4294967294" count="1" selected="0">
            <x v="0"/>
          </reference>
          <reference field="2" count="1" selected="0">
            <x v="11"/>
          </reference>
        </references>
      </pivotArea>
    </chartFormat>
    <chartFormat chart="8" format="111">
      <pivotArea type="data" outline="0" fieldPosition="0">
        <references count="2">
          <reference field="4294967294" count="1" selected="0">
            <x v="0"/>
          </reference>
          <reference field="2" count="1" selected="0">
            <x v="12"/>
          </reference>
        </references>
      </pivotArea>
    </chartFormat>
    <chartFormat chart="8" format="112">
      <pivotArea type="data" outline="0" fieldPosition="0">
        <references count="2">
          <reference field="4294967294" count="1" selected="0">
            <x v="0"/>
          </reference>
          <reference field="2" count="1" selected="0">
            <x v="13"/>
          </reference>
        </references>
      </pivotArea>
    </chartFormat>
    <chartFormat chart="8" format="113">
      <pivotArea type="data" outline="0" fieldPosition="0">
        <references count="2">
          <reference field="4294967294" count="1" selected="0">
            <x v="0"/>
          </reference>
          <reference field="2" count="1" selected="0">
            <x v="14"/>
          </reference>
        </references>
      </pivotArea>
    </chartFormat>
    <chartFormat chart="8" format="114">
      <pivotArea type="data" outline="0" fieldPosition="0">
        <references count="2">
          <reference field="4294967294" count="1" selected="0">
            <x v="0"/>
          </reference>
          <reference field="2" count="1" selected="0">
            <x v="15"/>
          </reference>
        </references>
      </pivotArea>
    </chartFormat>
    <chartFormat chart="8" format="115">
      <pivotArea type="data" outline="0" fieldPosition="0">
        <references count="2">
          <reference field="4294967294" count="1" selected="0">
            <x v="0"/>
          </reference>
          <reference field="2" count="1" selected="0">
            <x v="16"/>
          </reference>
        </references>
      </pivotArea>
    </chartFormat>
    <chartFormat chart="8" format="116">
      <pivotArea type="data" outline="0" fieldPosition="0">
        <references count="2">
          <reference field="4294967294" count="1" selected="0">
            <x v="0"/>
          </reference>
          <reference field="2" count="1" selected="0">
            <x v="17"/>
          </reference>
        </references>
      </pivotArea>
    </chartFormat>
    <chartFormat chart="8" format="117">
      <pivotArea type="data" outline="0" fieldPosition="0">
        <references count="2">
          <reference field="4294967294" count="1" selected="0">
            <x v="0"/>
          </reference>
          <reference field="2" count="1" selected="0">
            <x v="18"/>
          </reference>
        </references>
      </pivotArea>
    </chartFormat>
    <chartFormat chart="8" format="118">
      <pivotArea type="data" outline="0" fieldPosition="0">
        <references count="2">
          <reference field="4294967294" count="1" selected="0">
            <x v="0"/>
          </reference>
          <reference field="2" count="1" selected="0">
            <x v="19"/>
          </reference>
        </references>
      </pivotArea>
    </chartFormat>
    <chartFormat chart="8" format="119">
      <pivotArea type="data" outline="0" fieldPosition="0">
        <references count="2">
          <reference field="4294967294" count="1" selected="0">
            <x v="0"/>
          </reference>
          <reference field="2" count="1" selected="0">
            <x v="20"/>
          </reference>
        </references>
      </pivotArea>
    </chartFormat>
    <chartFormat chart="8" format="120">
      <pivotArea type="data" outline="0" fieldPosition="0">
        <references count="2">
          <reference field="4294967294" count="1" selected="0">
            <x v="0"/>
          </reference>
          <reference field="2" count="1" selected="0">
            <x v="21"/>
          </reference>
        </references>
      </pivotArea>
    </chartFormat>
    <chartFormat chart="8" format="121">
      <pivotArea type="data" outline="0" fieldPosition="0">
        <references count="2">
          <reference field="4294967294" count="1" selected="0">
            <x v="0"/>
          </reference>
          <reference field="2" count="1" selected="0">
            <x v="22"/>
          </reference>
        </references>
      </pivotArea>
    </chartFormat>
    <chartFormat chart="8" format="122">
      <pivotArea type="data" outline="0" fieldPosition="0">
        <references count="2">
          <reference field="4294967294" count="1" selected="0">
            <x v="0"/>
          </reference>
          <reference field="2" count="1" selected="0">
            <x v="23"/>
          </reference>
        </references>
      </pivotArea>
    </chartFormat>
    <chartFormat chart="8" format="123">
      <pivotArea type="data" outline="0" fieldPosition="0">
        <references count="2">
          <reference field="4294967294" count="1" selected="0">
            <x v="0"/>
          </reference>
          <reference field="2" count="1" selected="0">
            <x v="24"/>
          </reference>
        </references>
      </pivotArea>
    </chartFormat>
    <chartFormat chart="8" format="124">
      <pivotArea type="data" outline="0" fieldPosition="0">
        <references count="2">
          <reference field="4294967294" count="1" selected="0">
            <x v="0"/>
          </reference>
          <reference field="2" count="1" selected="0">
            <x v="25"/>
          </reference>
        </references>
      </pivotArea>
    </chartFormat>
    <chartFormat chart="8" format="125">
      <pivotArea type="data" outline="0" fieldPosition="0">
        <references count="2">
          <reference field="4294967294" count="1" selected="0">
            <x v="0"/>
          </reference>
          <reference field="2" count="1" selected="0">
            <x v="26"/>
          </reference>
        </references>
      </pivotArea>
    </chartFormat>
    <chartFormat chart="8" format="126">
      <pivotArea type="data" outline="0" fieldPosition="0">
        <references count="2">
          <reference field="4294967294" count="1" selected="0">
            <x v="0"/>
          </reference>
          <reference field="2" count="1" selected="0">
            <x v="27"/>
          </reference>
        </references>
      </pivotArea>
    </chartFormat>
    <chartFormat chart="8" format="127">
      <pivotArea type="data" outline="0" fieldPosition="0">
        <references count="2">
          <reference field="4294967294" count="1" selected="0">
            <x v="0"/>
          </reference>
          <reference field="2" count="1" selected="0">
            <x v="28"/>
          </reference>
        </references>
      </pivotArea>
    </chartFormat>
    <chartFormat chart="8" format="128">
      <pivotArea type="data" outline="0" fieldPosition="0">
        <references count="2">
          <reference field="4294967294" count="1" selected="0">
            <x v="0"/>
          </reference>
          <reference field="2" count="1" selected="0">
            <x v="29"/>
          </reference>
        </references>
      </pivotArea>
    </chartFormat>
    <chartFormat chart="8" format="129">
      <pivotArea type="data" outline="0" fieldPosition="0">
        <references count="2">
          <reference field="4294967294" count="1" selected="0">
            <x v="0"/>
          </reference>
          <reference field="2" count="1" selected="0">
            <x v="30"/>
          </reference>
        </references>
      </pivotArea>
    </chartFormat>
    <chartFormat chart="8" format="130">
      <pivotArea type="data" outline="0" fieldPosition="0">
        <references count="2">
          <reference field="4294967294" count="1" selected="0">
            <x v="0"/>
          </reference>
          <reference field="2" count="1" selected="0">
            <x v="31"/>
          </reference>
        </references>
      </pivotArea>
    </chartFormat>
    <chartFormat chart="8" format="131">
      <pivotArea type="data" outline="0" fieldPosition="0">
        <references count="2">
          <reference field="4294967294" count="1" selected="0">
            <x v="0"/>
          </reference>
          <reference field="2" count="1" selected="0">
            <x v="32"/>
          </reference>
        </references>
      </pivotArea>
    </chartFormat>
    <chartFormat chart="8" format="132">
      <pivotArea type="data" outline="0" fieldPosition="0">
        <references count="2">
          <reference field="4294967294" count="1" selected="0">
            <x v="0"/>
          </reference>
          <reference field="2" count="1" selected="0">
            <x v="33"/>
          </reference>
        </references>
      </pivotArea>
    </chartFormat>
    <chartFormat chart="8" format="133">
      <pivotArea type="data" outline="0" fieldPosition="0">
        <references count="2">
          <reference field="4294967294" count="1" selected="0">
            <x v="0"/>
          </reference>
          <reference field="2" count="1" selected="0">
            <x v="34"/>
          </reference>
        </references>
      </pivotArea>
    </chartFormat>
    <chartFormat chart="8" format="134">
      <pivotArea type="data" outline="0" fieldPosition="0">
        <references count="2">
          <reference field="4294967294" count="1" selected="0">
            <x v="0"/>
          </reference>
          <reference field="2" count="1" selected="0">
            <x v="35"/>
          </reference>
        </references>
      </pivotArea>
    </chartFormat>
    <chartFormat chart="8" format="135">
      <pivotArea type="data" outline="0" fieldPosition="0">
        <references count="2">
          <reference field="4294967294" count="1" selected="0">
            <x v="0"/>
          </reference>
          <reference field="2" count="1" selected="0">
            <x v="36"/>
          </reference>
        </references>
      </pivotArea>
    </chartFormat>
    <chartFormat chart="8" format="136">
      <pivotArea type="data" outline="0" fieldPosition="0">
        <references count="2">
          <reference field="4294967294" count="1" selected="0">
            <x v="0"/>
          </reference>
          <reference field="2" count="1" selected="0">
            <x v="37"/>
          </reference>
        </references>
      </pivotArea>
    </chartFormat>
    <chartFormat chart="8" format="137">
      <pivotArea type="data" outline="0" fieldPosition="0">
        <references count="2">
          <reference field="4294967294" count="1" selected="0">
            <x v="0"/>
          </reference>
          <reference field="2" count="1" selected="0">
            <x v="38"/>
          </reference>
        </references>
      </pivotArea>
    </chartFormat>
    <chartFormat chart="8" format="138">
      <pivotArea type="data" outline="0" fieldPosition="0">
        <references count="2">
          <reference field="4294967294" count="1" selected="0">
            <x v="0"/>
          </reference>
          <reference field="2" count="1" selected="0">
            <x v="39"/>
          </reference>
        </references>
      </pivotArea>
    </chartFormat>
    <chartFormat chart="8" format="139">
      <pivotArea type="data" outline="0" fieldPosition="0">
        <references count="2">
          <reference field="4294967294" count="1" selected="0">
            <x v="0"/>
          </reference>
          <reference field="2" count="1" selected="0">
            <x v="40"/>
          </reference>
        </references>
      </pivotArea>
    </chartFormat>
    <chartFormat chart="8" format="140">
      <pivotArea type="data" outline="0" fieldPosition="0">
        <references count="2">
          <reference field="4294967294" count="1" selected="0">
            <x v="0"/>
          </reference>
          <reference field="2" count="1" selected="0">
            <x v="41"/>
          </reference>
        </references>
      </pivotArea>
    </chartFormat>
    <chartFormat chart="8" format="141">
      <pivotArea type="data" outline="0" fieldPosition="0">
        <references count="2">
          <reference field="4294967294" count="1" selected="0">
            <x v="0"/>
          </reference>
          <reference field="2" count="1" selected="0">
            <x v="42"/>
          </reference>
        </references>
      </pivotArea>
    </chartFormat>
    <chartFormat chart="8" format="142">
      <pivotArea type="data" outline="0" fieldPosition="0">
        <references count="2">
          <reference field="4294967294" count="1" selected="0">
            <x v="0"/>
          </reference>
          <reference field="2" count="1" selected="0">
            <x v="43"/>
          </reference>
        </references>
      </pivotArea>
    </chartFormat>
    <chartFormat chart="8" format="143">
      <pivotArea type="data" outline="0" fieldPosition="0">
        <references count="2">
          <reference field="4294967294" count="1" selected="0">
            <x v="0"/>
          </reference>
          <reference field="2" count="1" selected="0">
            <x v="44"/>
          </reference>
        </references>
      </pivotArea>
    </chartFormat>
    <chartFormat chart="8" format="144">
      <pivotArea type="data" outline="0" fieldPosition="0">
        <references count="2">
          <reference field="4294967294" count="1" selected="0">
            <x v="0"/>
          </reference>
          <reference field="2" count="1" selected="0">
            <x v="45"/>
          </reference>
        </references>
      </pivotArea>
    </chartFormat>
    <chartFormat chart="8" format="145">
      <pivotArea type="data" outline="0" fieldPosition="0">
        <references count="2">
          <reference field="4294967294" count="1" selected="0">
            <x v="0"/>
          </reference>
          <reference field="2" count="1" selected="0">
            <x v="46"/>
          </reference>
        </references>
      </pivotArea>
    </chartFormat>
    <chartFormat chart="8" format="146">
      <pivotArea type="data" outline="0" fieldPosition="0">
        <references count="2">
          <reference field="4294967294" count="1" selected="0">
            <x v="0"/>
          </reference>
          <reference field="2" count="1" selected="0">
            <x v="4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CEC92-2C84-4971-8CF0-FA31CB3164D2}"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2" firstHeaderRow="1" firstDataRow="1" firstDataCol="1"/>
  <pivotFields count="9">
    <pivotField numFmtId="14" showAll="0"/>
    <pivotField showAll="0">
      <items count="739">
        <item x="38"/>
        <item x="645"/>
        <item x="595"/>
        <item x="481"/>
        <item x="474"/>
        <item x="668"/>
        <item x="37"/>
        <item x="376"/>
        <item x="399"/>
        <item x="342"/>
        <item x="484"/>
        <item x="371"/>
        <item x="245"/>
        <item x="374"/>
        <item x="616"/>
        <item x="636"/>
        <item x="453"/>
        <item x="588"/>
        <item x="442"/>
        <item x="235"/>
        <item x="327"/>
        <item x="191"/>
        <item x="226"/>
        <item x="150"/>
        <item x="436"/>
        <item x="477"/>
        <item x="320"/>
        <item x="85"/>
        <item x="321"/>
        <item x="80"/>
        <item x="174"/>
        <item x="364"/>
        <item x="64"/>
        <item x="687"/>
        <item x="728"/>
        <item x="702"/>
        <item x="156"/>
        <item x="289"/>
        <item x="373"/>
        <item x="50"/>
        <item x="667"/>
        <item x="32"/>
        <item x="261"/>
        <item x="379"/>
        <item x="387"/>
        <item x="8"/>
        <item x="519"/>
        <item x="348"/>
        <item x="703"/>
        <item x="96"/>
        <item x="499"/>
        <item x="97"/>
        <item x="430"/>
        <item x="280"/>
        <item x="578"/>
        <item x="31"/>
        <item x="154"/>
        <item x="464"/>
        <item x="558"/>
        <item x="582"/>
        <item x="271"/>
        <item x="246"/>
        <item x="421"/>
        <item x="708"/>
        <item x="119"/>
        <item x="611"/>
        <item x="139"/>
        <item x="201"/>
        <item x="383"/>
        <item x="151"/>
        <item x="518"/>
        <item x="182"/>
        <item x="276"/>
        <item x="159"/>
        <item x="692"/>
        <item x="225"/>
        <item x="434"/>
        <item x="420"/>
        <item x="701"/>
        <item x="516"/>
        <item x="87"/>
        <item x="490"/>
        <item x="656"/>
        <item x="524"/>
        <item x="441"/>
        <item x="114"/>
        <item x="410"/>
        <item x="219"/>
        <item x="542"/>
        <item x="10"/>
        <item x="699"/>
        <item x="384"/>
        <item x="514"/>
        <item x="298"/>
        <item x="390"/>
        <item x="534"/>
        <item x="232"/>
        <item x="143"/>
        <item x="405"/>
        <item x="101"/>
        <item x="123"/>
        <item x="397"/>
        <item x="604"/>
        <item x="158"/>
        <item x="538"/>
        <item x="115"/>
        <item x="669"/>
        <item x="662"/>
        <item x="354"/>
        <item x="81"/>
        <item x="629"/>
        <item x="124"/>
        <item x="121"/>
        <item x="357"/>
        <item x="727"/>
        <item x="93"/>
        <item x="537"/>
        <item x="649"/>
        <item x="382"/>
        <item x="431"/>
        <item x="525"/>
        <item x="297"/>
        <item x="584"/>
        <item x="712"/>
        <item x="162"/>
        <item x="438"/>
        <item x="735"/>
        <item x="181"/>
        <item x="480"/>
        <item x="43"/>
        <item x="215"/>
        <item x="553"/>
        <item x="19"/>
        <item x="523"/>
        <item x="724"/>
        <item x="190"/>
        <item x="515"/>
        <item x="109"/>
        <item x="472"/>
        <item x="428"/>
        <item x="583"/>
        <item x="646"/>
        <item x="449"/>
        <item x="468"/>
        <item x="435"/>
        <item x="125"/>
        <item x="685"/>
        <item x="554"/>
        <item x="326"/>
        <item x="378"/>
        <item x="622"/>
        <item x="318"/>
        <item x="732"/>
        <item x="36"/>
        <item x="722"/>
        <item x="406"/>
        <item x="439"/>
        <item x="106"/>
        <item x="409"/>
        <item x="466"/>
        <item x="445"/>
        <item x="323"/>
        <item x="40"/>
        <item x="577"/>
        <item x="315"/>
        <item x="18"/>
        <item x="512"/>
        <item x="11"/>
        <item x="561"/>
        <item x="713"/>
        <item x="332"/>
        <item x="134"/>
        <item x="555"/>
        <item x="347"/>
        <item x="545"/>
        <item x="213"/>
        <item x="424"/>
        <item x="312"/>
        <item x="284"/>
        <item x="411"/>
        <item x="0"/>
        <item x="404"/>
        <item x="145"/>
        <item x="575"/>
        <item x="24"/>
        <item x="337"/>
        <item x="339"/>
        <item x="641"/>
        <item x="367"/>
        <item x="230"/>
        <item x="299"/>
        <item x="290"/>
        <item x="417"/>
        <item x="136"/>
        <item x="572"/>
        <item x="489"/>
        <item x="242"/>
        <item x="268"/>
        <item x="14"/>
        <item x="625"/>
        <item x="252"/>
        <item x="17"/>
        <item x="720"/>
        <item x="262"/>
        <item x="671"/>
        <item x="196"/>
        <item x="135"/>
        <item x="416"/>
        <item x="311"/>
        <item x="228"/>
        <item x="216"/>
        <item x="482"/>
        <item x="105"/>
        <item x="610"/>
        <item x="651"/>
        <item x="137"/>
        <item x="544"/>
        <item x="244"/>
        <item x="673"/>
        <item x="593"/>
        <item x="129"/>
        <item x="423"/>
        <item x="473"/>
        <item x="478"/>
        <item x="183"/>
        <item x="237"/>
        <item x="142"/>
        <item x="655"/>
        <item x="351"/>
        <item x="79"/>
        <item x="565"/>
        <item x="385"/>
        <item x="294"/>
        <item x="634"/>
        <item x="602"/>
        <item x="89"/>
        <item x="175"/>
        <item x="465"/>
        <item x="138"/>
        <item x="12"/>
        <item x="131"/>
        <item x="447"/>
        <item x="517"/>
        <item x="307"/>
        <item x="574"/>
        <item x="253"/>
        <item x="643"/>
        <item x="679"/>
        <item x="224"/>
        <item x="415"/>
        <item x="487"/>
        <item x="363"/>
        <item x="346"/>
        <item x="35"/>
        <item x="352"/>
        <item x="548"/>
        <item x="45"/>
        <item x="334"/>
        <item x="506"/>
        <item x="691"/>
        <item x="65"/>
        <item x="360"/>
        <item x="126"/>
        <item x="306"/>
        <item x="240"/>
        <item x="674"/>
        <item x="467"/>
        <item x="408"/>
        <item x="601"/>
        <item x="144"/>
        <item x="497"/>
        <item x="633"/>
        <item x="75"/>
        <item x="166"/>
        <item x="456"/>
        <item x="178"/>
        <item x="272"/>
        <item x="443"/>
        <item x="682"/>
        <item x="392"/>
        <item x="90"/>
        <item x="28"/>
        <item x="705"/>
        <item x="116"/>
        <item x="356"/>
        <item x="98"/>
        <item x="57"/>
        <item x="640"/>
        <item x="22"/>
        <item x="61"/>
        <item x="581"/>
        <item x="25"/>
        <item x="103"/>
        <item x="639"/>
        <item x="91"/>
        <item x="714"/>
        <item x="493"/>
        <item x="128"/>
        <item x="475"/>
        <item x="243"/>
        <item x="675"/>
        <item x="503"/>
        <item x="450"/>
        <item x="551"/>
        <item x="608"/>
        <item x="104"/>
        <item x="598"/>
        <item x="398"/>
        <item x="362"/>
        <item x="155"/>
        <item x="236"/>
        <item x="186"/>
        <item x="4"/>
        <item x="381"/>
        <item x="322"/>
        <item x="632"/>
        <item x="149"/>
        <item x="710"/>
        <item x="566"/>
        <item x="644"/>
        <item x="642"/>
        <item x="461"/>
        <item x="552"/>
        <item x="528"/>
        <item x="599"/>
        <item x="579"/>
        <item x="73"/>
        <item x="689"/>
        <item x="366"/>
        <item x="358"/>
        <item x="344"/>
        <item x="448"/>
        <item x="455"/>
        <item x="549"/>
        <item x="275"/>
        <item x="707"/>
        <item x="483"/>
        <item x="241"/>
        <item x="563"/>
        <item x="33"/>
        <item x="391"/>
        <item x="310"/>
        <item x="511"/>
        <item x="69"/>
        <item x="585"/>
        <item x="287"/>
        <item x="612"/>
        <item x="454"/>
        <item x="665"/>
        <item x="355"/>
        <item x="58"/>
        <item x="427"/>
        <item x="140"/>
        <item x="345"/>
        <item x="630"/>
        <item x="72"/>
        <item x="513"/>
        <item x="394"/>
        <item x="303"/>
        <item x="82"/>
        <item x="697"/>
        <item x="283"/>
        <item x="177"/>
        <item x="521"/>
        <item x="231"/>
        <item x="733"/>
        <item x="369"/>
        <item x="657"/>
        <item x="507"/>
        <item x="711"/>
        <item x="425"/>
        <item x="256"/>
        <item x="400"/>
        <item x="635"/>
        <item x="460"/>
        <item x="188"/>
        <item x="526"/>
        <item x="403"/>
        <item x="470"/>
        <item x="203"/>
        <item x="279"/>
        <item x="539"/>
        <item x="661"/>
        <item x="396"/>
        <item x="48"/>
        <item x="189"/>
        <item x="580"/>
        <item x="498"/>
        <item x="292"/>
        <item x="704"/>
        <item x="51"/>
        <item x="496"/>
        <item x="77"/>
        <item x="207"/>
        <item x="42"/>
        <item x="479"/>
        <item x="233"/>
        <item x="44"/>
        <item x="462"/>
        <item x="619"/>
        <item x="414"/>
        <item x="55"/>
        <item x="504"/>
        <item x="654"/>
        <item x="249"/>
        <item x="180"/>
        <item x="505"/>
        <item x="719"/>
        <item x="501"/>
        <item x="29"/>
        <item x="47"/>
        <item x="731"/>
        <item x="693"/>
        <item x="185"/>
        <item x="146"/>
        <item x="596"/>
        <item x="393"/>
        <item x="130"/>
        <item x="184"/>
        <item x="370"/>
        <item x="510"/>
        <item x="187"/>
        <item x="169"/>
        <item x="591"/>
        <item x="648"/>
        <item x="488"/>
        <item x="618"/>
        <item x="559"/>
        <item x="621"/>
        <item x="202"/>
        <item x="199"/>
        <item x="255"/>
        <item x="592"/>
        <item x="626"/>
        <item x="568"/>
        <item x="107"/>
        <item x="218"/>
        <item x="212"/>
        <item x="316"/>
        <item x="331"/>
        <item x="304"/>
        <item x="222"/>
        <item x="3"/>
        <item x="652"/>
        <item x="206"/>
        <item x="663"/>
        <item x="170"/>
        <item x="5"/>
        <item x="476"/>
        <item x="270"/>
        <item x="210"/>
        <item x="653"/>
        <item x="161"/>
        <item x="726"/>
        <item x="15"/>
        <item x="148"/>
        <item x="113"/>
        <item x="600"/>
        <item x="603"/>
        <item x="54"/>
        <item x="265"/>
        <item x="192"/>
        <item x="172"/>
        <item x="293"/>
        <item x="607"/>
        <item x="288"/>
        <item x="494"/>
        <item x="296"/>
        <item x="176"/>
        <item x="520"/>
        <item x="680"/>
        <item x="386"/>
        <item x="53"/>
        <item x="152"/>
        <item x="389"/>
        <item x="589"/>
        <item x="132"/>
        <item x="541"/>
        <item x="677"/>
        <item x="469"/>
        <item x="7"/>
        <item x="133"/>
        <item x="291"/>
        <item x="605"/>
        <item x="530"/>
        <item x="734"/>
        <item x="324"/>
        <item x="147"/>
        <item x="353"/>
        <item x="451"/>
        <item x="333"/>
        <item x="617"/>
        <item x="141"/>
        <item x="678"/>
        <item x="76"/>
        <item x="594"/>
        <item x="2"/>
        <item x="361"/>
        <item x="660"/>
        <item x="471"/>
        <item x="426"/>
        <item x="631"/>
        <item x="500"/>
        <item x="343"/>
        <item x="670"/>
        <item x="402"/>
        <item x="419"/>
        <item x="683"/>
        <item x="546"/>
        <item x="717"/>
        <item x="418"/>
        <item x="86"/>
        <item x="730"/>
        <item x="248"/>
        <item x="21"/>
        <item x="375"/>
        <item x="83"/>
        <item x="295"/>
        <item x="20"/>
        <item x="16"/>
        <item x="223"/>
        <item x="715"/>
        <item x="709"/>
        <item x="440"/>
        <item x="664"/>
        <item x="120"/>
        <item x="157"/>
        <item x="214"/>
        <item x="30"/>
        <item x="368"/>
        <item x="349"/>
        <item x="301"/>
        <item x="716"/>
        <item x="39"/>
        <item x="193"/>
        <item x="264"/>
        <item x="573"/>
        <item x="624"/>
        <item x="536"/>
        <item x="413"/>
        <item x="736"/>
        <item x="94"/>
        <item x="557"/>
        <item x="254"/>
        <item x="695"/>
        <item x="194"/>
        <item x="99"/>
        <item x="52"/>
        <item x="251"/>
        <item x="84"/>
        <item x="208"/>
        <item x="377"/>
        <item x="153"/>
        <item x="71"/>
        <item x="66"/>
        <item x="329"/>
        <item x="620"/>
        <item x="340"/>
        <item x="277"/>
        <item x="220"/>
        <item x="721"/>
        <item x="88"/>
        <item x="613"/>
        <item x="317"/>
        <item x="623"/>
        <item x="422"/>
        <item x="1"/>
        <item x="527"/>
        <item x="615"/>
        <item x="491"/>
        <item x="108"/>
        <item x="412"/>
        <item x="590"/>
        <item x="459"/>
        <item x="737"/>
        <item x="531"/>
        <item x="543"/>
        <item x="100"/>
        <item x="260"/>
        <item x="164"/>
        <item x="46"/>
        <item x="112"/>
        <item x="198"/>
        <item x="122"/>
        <item x="698"/>
        <item x="540"/>
        <item x="211"/>
        <item x="328"/>
        <item x="492"/>
        <item x="597"/>
        <item x="49"/>
        <item x="395"/>
        <item x="302"/>
        <item x="532"/>
        <item x="365"/>
        <item x="446"/>
        <item x="706"/>
        <item x="725"/>
        <item x="179"/>
        <item x="167"/>
        <item x="658"/>
        <item x="67"/>
        <item x="380"/>
        <item x="111"/>
        <item x="569"/>
        <item x="300"/>
        <item x="282"/>
        <item x="60"/>
        <item x="570"/>
        <item x="70"/>
        <item x="59"/>
        <item x="247"/>
        <item x="229"/>
        <item x="508"/>
        <item x="305"/>
        <item x="314"/>
        <item x="313"/>
        <item x="34"/>
        <item x="197"/>
        <item x="672"/>
        <item x="217"/>
        <item x="23"/>
        <item x="74"/>
        <item x="535"/>
        <item x="676"/>
        <item x="227"/>
        <item x="117"/>
        <item x="684"/>
        <item x="341"/>
        <item x="335"/>
        <item x="567"/>
        <item x="463"/>
        <item x="63"/>
        <item x="41"/>
        <item x="95"/>
        <item x="681"/>
        <item x="690"/>
        <item x="458"/>
        <item x="550"/>
        <item x="9"/>
        <item x="27"/>
        <item x="257"/>
        <item x="200"/>
        <item x="718"/>
        <item x="429"/>
        <item x="437"/>
        <item x="452"/>
        <item x="62"/>
        <item x="238"/>
        <item x="336"/>
        <item x="614"/>
        <item x="444"/>
        <item x="457"/>
        <item x="163"/>
        <item x="259"/>
        <item x="205"/>
        <item x="165"/>
        <item x="495"/>
        <item x="485"/>
        <item x="92"/>
        <item x="110"/>
        <item x="269"/>
        <item x="258"/>
        <item x="576"/>
        <item x="78"/>
        <item x="509"/>
        <item x="372"/>
        <item x="666"/>
        <item x="627"/>
        <item x="432"/>
        <item x="700"/>
        <item x="587"/>
        <item x="556"/>
        <item x="628"/>
        <item x="723"/>
        <item x="250"/>
        <item x="319"/>
        <item x="273"/>
        <item x="688"/>
        <item x="171"/>
        <item x="433"/>
        <item x="239"/>
        <item x="694"/>
        <item x="204"/>
        <item x="647"/>
        <item x="560"/>
        <item x="586"/>
        <item x="638"/>
        <item x="529"/>
        <item x="308"/>
        <item x="729"/>
        <item x="127"/>
        <item x="359"/>
        <item x="267"/>
        <item x="309"/>
        <item x="609"/>
        <item x="286"/>
        <item x="571"/>
        <item x="350"/>
        <item x="285"/>
        <item x="209"/>
        <item x="696"/>
        <item x="407"/>
        <item x="221"/>
        <item x="13"/>
        <item x="650"/>
        <item x="281"/>
        <item x="502"/>
        <item x="637"/>
        <item x="686"/>
        <item x="522"/>
        <item x="263"/>
        <item x="56"/>
        <item x="338"/>
        <item x="278"/>
        <item x="274"/>
        <item x="606"/>
        <item x="168"/>
        <item x="388"/>
        <item x="330"/>
        <item x="160"/>
        <item x="68"/>
        <item x="118"/>
        <item x="26"/>
        <item x="401"/>
        <item x="659"/>
        <item x="195"/>
        <item x="102"/>
        <item x="173"/>
        <item x="562"/>
        <item x="6"/>
        <item x="564"/>
        <item x="266"/>
        <item x="234"/>
        <item x="325"/>
        <item x="486"/>
        <item x="533"/>
        <item x="547"/>
        <item t="default"/>
      </items>
    </pivotField>
    <pivotField axis="axisRow" showAll="0">
      <items count="49">
        <item x="22"/>
        <item x="23"/>
        <item x="29"/>
        <item x="3"/>
        <item x="19"/>
        <item x="27"/>
        <item x="7"/>
        <item x="45"/>
        <item x="9"/>
        <item x="4"/>
        <item x="24"/>
        <item x="1"/>
        <item x="26"/>
        <item x="42"/>
        <item x="36"/>
        <item x="5"/>
        <item x="21"/>
        <item x="33"/>
        <item x="39"/>
        <item x="20"/>
        <item x="18"/>
        <item x="28"/>
        <item x="32"/>
        <item x="14"/>
        <item x="25"/>
        <item x="37"/>
        <item x="13"/>
        <item x="43"/>
        <item x="11"/>
        <item x="38"/>
        <item x="12"/>
        <item x="15"/>
        <item x="16"/>
        <item x="34"/>
        <item x="35"/>
        <item x="2"/>
        <item x="40"/>
        <item x="17"/>
        <item x="47"/>
        <item x="31"/>
        <item x="0"/>
        <item x="30"/>
        <item x="41"/>
        <item x="6"/>
        <item x="10"/>
        <item x="46"/>
        <item x="8"/>
        <item x="44"/>
        <item t="default"/>
      </items>
    </pivotField>
    <pivotField showAll="0">
      <items count="4">
        <item x="1"/>
        <item x="0"/>
        <item x="2"/>
        <item t="default"/>
      </items>
    </pivotField>
    <pivotField showAll="0"/>
    <pivotField showAll="0">
      <items count="1609">
        <item x="1509"/>
        <item x="233"/>
        <item x="481"/>
        <item x="953"/>
        <item x="1114"/>
        <item x="1354"/>
        <item x="1181"/>
        <item x="1573"/>
        <item x="603"/>
        <item x="1244"/>
        <item x="1459"/>
        <item x="791"/>
        <item x="65"/>
        <item x="694"/>
        <item x="1543"/>
        <item x="437"/>
        <item x="212"/>
        <item x="820"/>
        <item x="1327"/>
        <item x="393"/>
        <item x="1035"/>
        <item x="769"/>
        <item x="935"/>
        <item x="575"/>
        <item x="1240"/>
        <item x="288"/>
        <item x="31"/>
        <item x="949"/>
        <item x="1577"/>
        <item x="1541"/>
        <item x="215"/>
        <item x="1528"/>
        <item x="817"/>
        <item x="148"/>
        <item x="309"/>
        <item x="1527"/>
        <item x="511"/>
        <item x="506"/>
        <item x="718"/>
        <item x="532"/>
        <item x="15"/>
        <item x="874"/>
        <item x="406"/>
        <item x="1264"/>
        <item x="564"/>
        <item x="35"/>
        <item x="1390"/>
        <item x="1188"/>
        <item x="514"/>
        <item x="885"/>
        <item x="181"/>
        <item x="626"/>
        <item x="429"/>
        <item x="1388"/>
        <item x="368"/>
        <item x="838"/>
        <item x="367"/>
        <item x="347"/>
        <item x="708"/>
        <item x="370"/>
        <item x="546"/>
        <item x="818"/>
        <item x="741"/>
        <item x="316"/>
        <item x="404"/>
        <item x="196"/>
        <item x="71"/>
        <item x="1383"/>
        <item x="495"/>
        <item x="515"/>
        <item x="231"/>
        <item x="1239"/>
        <item x="1198"/>
        <item x="542"/>
        <item x="1451"/>
        <item x="959"/>
        <item x="584"/>
        <item x="710"/>
        <item x="172"/>
        <item x="1033"/>
        <item x="326"/>
        <item x="1455"/>
        <item x="457"/>
        <item x="207"/>
        <item x="1564"/>
        <item x="637"/>
        <item x="512"/>
        <item x="118"/>
        <item x="213"/>
        <item x="989"/>
        <item x="773"/>
        <item x="809"/>
        <item x="432"/>
        <item x="105"/>
        <item x="271"/>
        <item x="419"/>
        <item x="1245"/>
        <item x="682"/>
        <item x="345"/>
        <item x="790"/>
        <item x="1147"/>
        <item x="487"/>
        <item x="330"/>
        <item x="403"/>
        <item x="1022"/>
        <item x="970"/>
        <item x="12"/>
        <item x="430"/>
        <item x="217"/>
        <item x="713"/>
        <item x="986"/>
        <item x="969"/>
        <item x="1064"/>
        <item x="1116"/>
        <item x="516"/>
        <item x="1260"/>
        <item x="1434"/>
        <item x="440"/>
        <item x="880"/>
        <item x="397"/>
        <item x="882"/>
        <item x="666"/>
        <item x="1227"/>
        <item x="1068"/>
        <item x="1313"/>
        <item x="712"/>
        <item x="711"/>
        <item x="1219"/>
        <item x="1092"/>
        <item x="1473"/>
        <item x="1366"/>
        <item x="56"/>
        <item x="848"/>
        <item x="876"/>
        <item x="634"/>
        <item x="341"/>
        <item x="157"/>
        <item x="24"/>
        <item x="857"/>
        <item x="1588"/>
        <item x="32"/>
        <item x="1251"/>
        <item x="395"/>
        <item x="154"/>
        <item x="138"/>
        <item x="839"/>
        <item x="1073"/>
        <item x="578"/>
        <item x="934"/>
        <item x="688"/>
        <item x="1194"/>
        <item x="696"/>
        <item x="1146"/>
        <item x="1055"/>
        <item x="812"/>
        <item x="1378"/>
        <item x="1399"/>
        <item x="1100"/>
        <item x="894"/>
        <item x="503"/>
        <item x="957"/>
        <item x="1190"/>
        <item x="1212"/>
        <item x="1418"/>
        <item x="30"/>
        <item x="164"/>
        <item x="18"/>
        <item x="40"/>
        <item x="1477"/>
        <item x="1032"/>
        <item x="1179"/>
        <item x="1011"/>
        <item x="854"/>
        <item x="280"/>
        <item x="92"/>
        <item x="764"/>
        <item x="629"/>
        <item x="352"/>
        <item x="62"/>
        <item x="1139"/>
        <item x="1393"/>
        <item x="1409"/>
        <item x="507"/>
        <item x="840"/>
        <item x="369"/>
        <item x="1133"/>
        <item x="899"/>
        <item x="649"/>
        <item x="188"/>
        <item x="1"/>
        <item x="607"/>
        <item x="1287"/>
        <item x="468"/>
        <item x="222"/>
        <item x="289"/>
        <item x="1394"/>
        <item x="266"/>
        <item x="1365"/>
        <item x="104"/>
        <item x="470"/>
        <item x="1255"/>
        <item x="903"/>
        <item x="1401"/>
        <item x="204"/>
        <item x="1170"/>
        <item x="748"/>
        <item x="261"/>
        <item x="166"/>
        <item x="26"/>
        <item x="1220"/>
        <item x="1024"/>
        <item x="866"/>
        <item x="851"/>
        <item x="33"/>
        <item x="588"/>
        <item x="1286"/>
        <item x="965"/>
        <item x="1182"/>
        <item x="407"/>
        <item x="282"/>
        <item x="560"/>
        <item x="4"/>
        <item x="1009"/>
        <item x="1193"/>
        <item x="926"/>
        <item x="358"/>
        <item x="405"/>
        <item x="1501"/>
        <item x="107"/>
        <item x="1040"/>
        <item x="761"/>
        <item x="707"/>
        <item x="1491"/>
        <item x="401"/>
        <item x="1012"/>
        <item x="693"/>
        <item x="518"/>
        <item x="1515"/>
        <item x="135"/>
        <item x="541"/>
        <item x="559"/>
        <item x="937"/>
        <item x="1150"/>
        <item x="1337"/>
        <item x="182"/>
        <item x="1208"/>
        <item x="889"/>
        <item x="1014"/>
        <item x="955"/>
        <item x="661"/>
        <item x="162"/>
        <item x="1108"/>
        <item x="543"/>
        <item x="928"/>
        <item x="1400"/>
        <item x="1599"/>
        <item x="246"/>
        <item x="520"/>
        <item x="1098"/>
        <item x="1231"/>
        <item x="1329"/>
        <item x="1084"/>
        <item x="1483"/>
        <item x="1350"/>
        <item x="1431"/>
        <item x="850"/>
        <item x="1257"/>
        <item x="399"/>
        <item x="1080"/>
        <item x="192"/>
        <item x="145"/>
        <item x="254"/>
        <item x="587"/>
        <item x="66"/>
        <item x="1038"/>
        <item x="942"/>
        <item x="54"/>
        <item x="983"/>
        <item x="237"/>
        <item x="1306"/>
        <item x="205"/>
        <item x="1496"/>
        <item x="566"/>
        <item x="408"/>
        <item x="68"/>
        <item x="1602"/>
        <item x="142"/>
        <item x="982"/>
        <item x="1189"/>
        <item x="121"/>
        <item x="808"/>
        <item x="1476"/>
        <item x="333"/>
        <item x="618"/>
        <item x="421"/>
        <item x="1372"/>
        <item x="48"/>
        <item x="1044"/>
        <item x="364"/>
        <item x="1234"/>
        <item x="1432"/>
        <item x="990"/>
        <item x="595"/>
        <item x="458"/>
        <item x="251"/>
        <item x="1299"/>
        <item x="1224"/>
        <item x="1099"/>
        <item x="662"/>
        <item x="1519"/>
        <item x="842"/>
        <item x="705"/>
        <item x="893"/>
        <item x="570"/>
        <item x="211"/>
        <item x="134"/>
        <item x="331"/>
        <item x="1214"/>
        <item x="371"/>
        <item x="84"/>
        <item x="1335"/>
        <item x="313"/>
        <item x="1223"/>
        <item x="314"/>
        <item x="1178"/>
        <item x="931"/>
        <item x="886"/>
        <item x="643"/>
        <item x="936"/>
        <item x="163"/>
        <item x="1206"/>
        <item x="690"/>
        <item x="366"/>
        <item x="664"/>
        <item x="994"/>
        <item x="1063"/>
        <item x="1283"/>
        <item x="1512"/>
        <item x="921"/>
        <item x="1177"/>
        <item x="283"/>
        <item x="804"/>
        <item x="1120"/>
        <item x="1036"/>
        <item x="1290"/>
        <item x="1047"/>
        <item x="614"/>
        <item x="1183"/>
        <item x="1562"/>
        <item x="1277"/>
        <item x="273"/>
        <item x="523"/>
        <item x="698"/>
        <item x="968"/>
        <item x="736"/>
        <item x="636"/>
        <item x="1328"/>
        <item x="530"/>
        <item x="259"/>
        <item x="835"/>
        <item x="1312"/>
        <item x="61"/>
        <item x="998"/>
        <item x="719"/>
        <item x="1426"/>
        <item x="76"/>
        <item x="425"/>
        <item x="1349"/>
        <item x="497"/>
        <item x="1373"/>
        <item x="77"/>
        <item x="1316"/>
        <item x="1217"/>
        <item x="232"/>
        <item x="1511"/>
        <item x="128"/>
        <item x="247"/>
        <item x="752"/>
        <item x="1138"/>
        <item x="483"/>
        <item x="652"/>
        <item x="1176"/>
        <item x="1464"/>
        <item x="951"/>
        <item x="499"/>
        <item x="1141"/>
        <item x="1201"/>
        <item x="294"/>
        <item x="784"/>
        <item x="286"/>
        <item x="695"/>
        <item x="353"/>
        <item x="1554"/>
        <item x="574"/>
        <item x="925"/>
        <item x="496"/>
        <item x="1452"/>
        <item x="1104"/>
        <item x="1596"/>
        <item x="131"/>
        <item x="1115"/>
        <item x="1242"/>
        <item x="1604"/>
        <item x="1415"/>
        <item x="1558"/>
        <item x="466"/>
        <item x="669"/>
        <item x="798"/>
        <item x="226"/>
        <item x="451"/>
        <item x="625"/>
        <item x="1142"/>
        <item x="1416"/>
        <item x="909"/>
        <item x="1137"/>
        <item x="843"/>
        <item x="945"/>
        <item x="79"/>
        <item x="223"/>
        <item x="464"/>
        <item x="1236"/>
        <item x="1270"/>
        <item x="113"/>
        <item x="1410"/>
        <item x="1563"/>
        <item x="720"/>
        <item x="1059"/>
        <item x="444"/>
        <item x="342"/>
        <item x="1467"/>
        <item x="787"/>
        <item x="51"/>
        <item x="721"/>
        <item x="1186"/>
        <item x="782"/>
        <item x="1276"/>
        <item x="1516"/>
        <item x="488"/>
        <item x="1441"/>
        <item x="605"/>
        <item x="388"/>
        <item x="1148"/>
        <item x="1005"/>
        <item x="1518"/>
        <item x="20"/>
        <item x="168"/>
        <item x="581"/>
        <item x="1566"/>
        <item x="552"/>
        <item x="895"/>
        <item x="445"/>
        <item x="1175"/>
        <item x="200"/>
        <item x="697"/>
        <item x="898"/>
        <item x="1061"/>
        <item x="602"/>
        <item x="253"/>
        <item x="858"/>
        <item x="1346"/>
        <item x="1532"/>
        <item x="1406"/>
        <item x="777"/>
        <item x="760"/>
        <item x="255"/>
        <item x="6"/>
        <item x="400"/>
        <item x="485"/>
        <item x="193"/>
        <item x="1420"/>
        <item x="1576"/>
        <item x="722"/>
        <item x="522"/>
        <item x="1555"/>
        <item x="258"/>
        <item x="665"/>
        <item x="800"/>
        <item x="245"/>
        <item x="871"/>
        <item x="1570"/>
        <item x="177"/>
        <item x="112"/>
        <item x="1261"/>
        <item x="91"/>
        <item x="1397"/>
        <item x="385"/>
        <item x="1163"/>
        <item x="1134"/>
        <item x="555"/>
        <item x="1444"/>
        <item x="1481"/>
        <item x="1449"/>
        <item x="1292"/>
        <item x="1207"/>
        <item x="644"/>
        <item x="715"/>
        <item x="794"/>
        <item x="1166"/>
        <item x="1045"/>
        <item x="1083"/>
        <item x="811"/>
        <item x="343"/>
        <item x="709"/>
        <item x="1272"/>
        <item x="1263"/>
        <item x="558"/>
        <item x="242"/>
        <item x="1331"/>
        <item x="831"/>
        <item x="932"/>
        <item x="860"/>
        <item x="1557"/>
        <item x="646"/>
        <item x="359"/>
        <item x="1109"/>
        <item x="1241"/>
        <item x="492"/>
        <item x="175"/>
        <item x="684"/>
        <item x="1118"/>
        <item x="1345"/>
        <item x="170"/>
        <item x="64"/>
        <item x="153"/>
        <item x="85"/>
        <item x="749"/>
        <item x="1359"/>
        <item x="1174"/>
        <item x="1078"/>
        <item x="1319"/>
        <item x="656"/>
        <item x="21"/>
        <item x="102"/>
        <item x="381"/>
        <item x="420"/>
        <item x="1450"/>
        <item x="950"/>
        <item x="278"/>
        <item x="1443"/>
        <item x="324"/>
        <item x="1574"/>
        <item x="1228"/>
        <item x="1155"/>
        <item x="98"/>
        <item x="766"/>
        <item x="528"/>
        <item x="390"/>
        <item x="257"/>
        <item x="1342"/>
        <item x="972"/>
        <item x="1323"/>
        <item x="735"/>
        <item x="1408"/>
        <item x="1149"/>
        <item x="734"/>
        <item x="731"/>
        <item x="447"/>
        <item x="1482"/>
        <item x="900"/>
        <item x="332"/>
        <item x="52"/>
        <item x="1126"/>
        <item x="269"/>
        <item x="1486"/>
        <item x="1250"/>
        <item x="167"/>
        <item x="1302"/>
        <item x="975"/>
        <item x="1288"/>
        <item x="486"/>
        <item x="263"/>
        <item x="1067"/>
        <item x="44"/>
        <item x="1463"/>
        <item x="1352"/>
        <item x="1571"/>
        <item x="580"/>
        <item x="477"/>
        <item x="810"/>
        <item x="88"/>
        <item x="967"/>
        <item x="475"/>
        <item x="1425"/>
        <item x="691"/>
        <item x="187"/>
        <item x="772"/>
        <item x="339"/>
        <item x="120"/>
        <item x="617"/>
        <item x="1398"/>
        <item x="1371"/>
        <item x="1590"/>
        <item x="739"/>
        <item x="1375"/>
        <item x="1199"/>
        <item x="1421"/>
        <item x="594"/>
        <item x="303"/>
        <item x="228"/>
        <item x="856"/>
        <item x="210"/>
        <item x="645"/>
        <item x="453"/>
        <item x="1113"/>
        <item x="844"/>
        <item x="1405"/>
        <item x="382"/>
        <item x="1384"/>
        <item x="847"/>
        <item x="1572"/>
        <item x="1412"/>
        <item x="1273"/>
        <item x="391"/>
        <item x="747"/>
        <item x="151"/>
        <item x="913"/>
        <item x="877"/>
        <item x="165"/>
        <item x="946"/>
        <item x="991"/>
        <item x="1123"/>
        <item x="716"/>
        <item x="1381"/>
        <item x="414"/>
        <item x="27"/>
        <item x="469"/>
        <item x="813"/>
        <item x="3"/>
        <item x="785"/>
        <item x="29"/>
        <item x="216"/>
        <item x="1000"/>
        <item x="1202"/>
        <item x="700"/>
        <item x="1157"/>
        <item x="1103"/>
        <item x="1454"/>
        <item x="1324"/>
        <item x="384"/>
        <item x="1010"/>
        <item x="72"/>
        <item x="881"/>
        <item x="826"/>
        <item x="1048"/>
        <item x="10"/>
        <item x="577"/>
        <item x="867"/>
        <item x="297"/>
        <item x="590"/>
        <item x="573"/>
        <item x="82"/>
        <item x="1553"/>
        <item x="1144"/>
        <item x="568"/>
        <item x="944"/>
        <item x="757"/>
        <item x="1249"/>
        <item x="274"/>
        <item x="287"/>
        <item x="892"/>
        <item x="7"/>
        <item x="1296"/>
        <item x="1559"/>
        <item x="462"/>
        <item x="658"/>
        <item x="491"/>
        <item x="1495"/>
        <item x="841"/>
        <item x="1102"/>
        <item x="673"/>
        <item x="45"/>
        <item x="922"/>
        <item x="275"/>
        <item x="431"/>
        <item x="930"/>
        <item x="81"/>
        <item x="1462"/>
        <item x="745"/>
        <item x="1200"/>
        <item x="1016"/>
        <item x="1291"/>
        <item x="74"/>
        <item x="539"/>
        <item x="1131"/>
        <item x="427"/>
        <item x="1248"/>
        <item x="992"/>
        <item x="39"/>
        <item x="328"/>
        <item x="789"/>
        <item x="348"/>
        <item x="1356"/>
        <item x="268"/>
        <item x="904"/>
        <item x="1081"/>
        <item x="356"/>
        <item x="624"/>
        <item x="240"/>
        <item x="1158"/>
        <item x="442"/>
        <item x="1096"/>
        <item x="1488"/>
        <item x="671"/>
        <item x="958"/>
        <item x="1317"/>
        <item x="50"/>
        <item x="1603"/>
        <item x="1368"/>
        <item x="1135"/>
        <item x="902"/>
        <item x="1019"/>
        <item x="185"/>
        <item x="1446"/>
        <item x="1469"/>
        <item x="531"/>
        <item x="484"/>
        <item x="1079"/>
        <item x="927"/>
        <item x="1300"/>
        <item x="376"/>
        <item x="1367"/>
        <item x="171"/>
        <item x="743"/>
        <item x="416"/>
        <item x="864"/>
        <item x="1433"/>
        <item x="783"/>
        <item x="37"/>
        <item x="1506"/>
        <item x="1348"/>
        <item x="788"/>
        <item x="598"/>
        <item x="1497"/>
        <item x="1585"/>
        <item x="296"/>
        <item x="455"/>
        <item x="1143"/>
        <item x="1362"/>
        <item x="941"/>
        <item x="302"/>
        <item x="423"/>
        <item x="238"/>
        <item x="1549"/>
        <item x="563"/>
        <item x="334"/>
        <item x="1117"/>
        <item x="675"/>
        <item x="703"/>
        <item x="203"/>
        <item x="642"/>
        <item x="948"/>
        <item x="576"/>
        <item x="197"/>
        <item x="1050"/>
        <item x="517"/>
        <item x="1088"/>
        <item x="1298"/>
        <item x="208"/>
        <item x="728"/>
        <item x="306"/>
        <item x="1606"/>
        <item x="1440"/>
        <item x="1379"/>
        <item x="1542"/>
        <item x="686"/>
        <item x="1544"/>
        <item x="717"/>
        <item x="723"/>
        <item x="319"/>
        <item x="220"/>
        <item x="1376"/>
        <item x="276"/>
        <item x="19"/>
        <item x="796"/>
        <item x="505"/>
        <item x="819"/>
        <item x="14"/>
        <item x="875"/>
        <item x="1403"/>
        <item x="1060"/>
        <item x="906"/>
        <item x="1385"/>
        <item x="801"/>
        <item x="911"/>
        <item x="611"/>
        <item x="463"/>
        <item x="593"/>
        <item x="424"/>
        <item x="58"/>
        <item x="510"/>
        <item x="1537"/>
        <item x="620"/>
        <item x="1266"/>
        <item x="1594"/>
        <item x="8"/>
        <item x="355"/>
        <item x="25"/>
        <item x="1321"/>
        <item x="1281"/>
        <item x="827"/>
        <item x="746"/>
        <item x="123"/>
        <item x="1184"/>
        <item x="803"/>
        <item x="940"/>
        <item x="418"/>
        <item x="1456"/>
        <item x="763"/>
        <item x="1392"/>
        <item x="589"/>
        <item x="1274"/>
        <item x="604"/>
        <item x="915"/>
        <item x="1049"/>
        <item x="127"/>
        <item x="1520"/>
        <item x="473"/>
        <item x="795"/>
        <item x="1216"/>
        <item x="1447"/>
        <item x="1269"/>
        <item x="729"/>
        <item x="1196"/>
        <item x="387"/>
        <item x="480"/>
        <item x="1531"/>
        <item x="490"/>
        <item x="660"/>
        <item x="1581"/>
        <item x="556"/>
        <item x="1204"/>
        <item x="610"/>
        <item x="689"/>
        <item x="152"/>
        <item x="354"/>
        <item x="412"/>
        <item x="1008"/>
        <item x="859"/>
        <item x="1124"/>
        <item x="733"/>
        <item x="443"/>
        <item x="1395"/>
        <item x="411"/>
        <item x="1256"/>
        <item x="1507"/>
        <item x="1297"/>
        <item x="1112"/>
        <item x="670"/>
        <item x="884"/>
        <item x="1191"/>
        <item x="126"/>
        <item x="846"/>
        <item x="461"/>
        <item x="129"/>
        <item x="608"/>
        <item x="924"/>
        <item x="1424"/>
        <item x="248"/>
        <item x="727"/>
        <item x="124"/>
        <item x="1280"/>
        <item x="1605"/>
        <item x="908"/>
        <item x="1259"/>
        <item x="823"/>
        <item x="459"/>
        <item x="988"/>
        <item x="1282"/>
        <item x="1487"/>
        <item x="997"/>
        <item x="409"/>
        <item x="191"/>
        <item x="668"/>
        <item x="701"/>
        <item x="184"/>
        <item x="599"/>
        <item x="1538"/>
        <item x="601"/>
        <item x="262"/>
        <item x="201"/>
        <item x="329"/>
        <item x="1222"/>
        <item x="465"/>
        <item x="1391"/>
        <item x="869"/>
        <item x="1180"/>
        <item x="1545"/>
        <item x="1056"/>
        <item x="103"/>
        <item x="591"/>
        <item x="338"/>
        <item x="943"/>
        <item x="779"/>
        <item x="250"/>
        <item x="1057"/>
        <item x="1203"/>
        <item x="952"/>
        <item x="150"/>
        <item x="70"/>
        <item x="1315"/>
        <item x="146"/>
        <item x="109"/>
        <item x="380"/>
        <item x="413"/>
        <item x="383"/>
        <item x="1215"/>
        <item x="897"/>
        <item x="1051"/>
        <item x="1267"/>
        <item x="987"/>
        <item x="767"/>
        <item x="648"/>
        <item x="963"/>
        <item x="939"/>
        <item x="615"/>
        <item x="101"/>
        <item x="557"/>
        <item x="1414"/>
        <item x="1161"/>
        <item x="1289"/>
        <item x="1587"/>
        <item x="1284"/>
        <item x="1336"/>
        <item x="890"/>
        <item x="1159"/>
        <item x="116"/>
        <item x="125"/>
        <item x="504"/>
        <item x="596"/>
        <item x="1539"/>
        <item x="36"/>
        <item x="435"/>
        <item x="770"/>
        <item x="1041"/>
        <item x="325"/>
        <item x="1552"/>
        <item x="535"/>
        <item x="337"/>
        <item x="478"/>
        <item x="1568"/>
        <item x="34"/>
        <item x="1442"/>
        <item x="1503"/>
        <item x="1404"/>
        <item x="1494"/>
        <item x="1072"/>
        <item x="1031"/>
        <item x="933"/>
        <item x="415"/>
        <item x="1521"/>
        <item x="1453"/>
        <item x="538"/>
        <item x="311"/>
        <item x="17"/>
        <item x="1407"/>
        <item x="1160"/>
        <item x="155"/>
        <item x="678"/>
        <item x="1017"/>
        <item x="28"/>
        <item x="0"/>
        <item x="879"/>
        <item x="1069"/>
        <item x="1333"/>
        <item x="973"/>
        <item x="917"/>
        <item x="699"/>
        <item x="1526"/>
        <item x="1094"/>
        <item x="244"/>
        <item x="797"/>
        <item x="883"/>
        <item x="180"/>
        <item x="219"/>
        <item x="1517"/>
        <item x="97"/>
        <item x="1360"/>
        <item x="1070"/>
        <item x="1427"/>
        <item x="1565"/>
        <item x="1304"/>
        <item x="501"/>
        <item x="265"/>
        <item x="525"/>
        <item x="612"/>
        <item x="996"/>
        <item x="1293"/>
        <item x="674"/>
        <item x="1043"/>
        <item x="16"/>
        <item x="654"/>
        <item x="974"/>
        <item x="1229"/>
        <item x="1136"/>
        <item x="657"/>
        <item x="1364"/>
        <item x="106"/>
        <item x="623"/>
        <item x="439"/>
        <item x="115"/>
        <item x="243"/>
        <item x="1402"/>
        <item x="379"/>
        <item x="1479"/>
        <item x="1037"/>
        <item x="321"/>
        <item x="75"/>
        <item x="725"/>
        <item x="1295"/>
        <item x="806"/>
        <item x="183"/>
        <item x="1052"/>
        <item x="1330"/>
        <item x="1567"/>
        <item x="659"/>
        <item x="1361"/>
        <item x="1097"/>
        <item x="533"/>
        <item x="774"/>
        <item x="69"/>
        <item x="1448"/>
        <item x="1439"/>
        <item x="1435"/>
        <item x="1525"/>
        <item x="173"/>
        <item x="1457"/>
        <item x="293"/>
        <item x="78"/>
        <item x="1026"/>
        <item x="428"/>
        <item x="1209"/>
        <item x="704"/>
        <item x="1106"/>
        <item x="1243"/>
        <item x="821"/>
        <item x="793"/>
        <item x="47"/>
        <item x="805"/>
        <item x="438"/>
        <item x="976"/>
        <item x="349"/>
        <item x="1535"/>
        <item x="1077"/>
        <item x="1417"/>
        <item x="639"/>
        <item x="1279"/>
        <item x="471"/>
        <item x="865"/>
        <item x="918"/>
        <item x="954"/>
        <item x="592"/>
        <item x="80"/>
        <item x="1508"/>
        <item x="830"/>
        <item x="502"/>
        <item x="978"/>
        <item x="905"/>
        <item x="527"/>
        <item x="1307"/>
        <item x="534"/>
        <item x="169"/>
        <item x="1311"/>
        <item x="1305"/>
        <item x="828"/>
        <item x="1230"/>
        <item x="1470"/>
        <item x="1093"/>
        <item x="1504"/>
        <item x="650"/>
        <item x="350"/>
        <item x="1465"/>
        <item x="63"/>
        <item x="1353"/>
        <item x="852"/>
        <item x="1485"/>
        <item x="159"/>
        <item x="947"/>
        <item x="227"/>
        <item x="834"/>
        <item x="1314"/>
        <item x="732"/>
        <item x="802"/>
        <item x="738"/>
        <item x="1197"/>
        <item x="402"/>
        <item x="548"/>
        <item x="1569"/>
        <item x="687"/>
        <item x="740"/>
        <item x="1437"/>
        <item x="1411"/>
        <item x="1164"/>
        <item x="322"/>
        <item x="616"/>
        <item x="396"/>
        <item x="1340"/>
        <item x="1002"/>
        <item x="89"/>
        <item x="816"/>
        <item x="524"/>
        <item x="1607"/>
        <item x="441"/>
        <item x="1429"/>
        <item x="1082"/>
        <item x="855"/>
        <item x="1422"/>
        <item x="363"/>
        <item x="1499"/>
        <item x="281"/>
        <item x="1028"/>
        <item x="979"/>
        <item x="1533"/>
        <item x="1460"/>
        <item x="585"/>
        <item x="1089"/>
        <item x="1258"/>
        <item x="417"/>
        <item x="1536"/>
        <item x="472"/>
        <item x="1445"/>
        <item x="1355"/>
        <item x="394"/>
        <item x="335"/>
        <item x="1475"/>
        <item x="1076"/>
        <item x="829"/>
        <item x="1167"/>
        <item x="1232"/>
        <item x="498"/>
        <item x="1054"/>
        <item x="1474"/>
        <item x="49"/>
        <item x="638"/>
        <item x="985"/>
        <item x="509"/>
        <item x="1502"/>
        <item x="436"/>
        <item x="529"/>
        <item x="1015"/>
        <item x="1493"/>
        <item x="290"/>
        <item x="544"/>
        <item x="60"/>
        <item x="422"/>
        <item x="284"/>
        <item x="521"/>
        <item x="1105"/>
        <item x="1310"/>
        <item x="450"/>
        <item x="1254"/>
        <item x="1221"/>
        <item x="493"/>
        <item x="1213"/>
        <item x="93"/>
        <item x="1023"/>
        <item x="910"/>
        <item x="235"/>
        <item x="372"/>
        <item x="161"/>
        <item x="815"/>
        <item x="1162"/>
        <item x="156"/>
        <item x="1582"/>
        <item x="1480"/>
        <item x="1490"/>
        <item x="1514"/>
        <item x="136"/>
        <item x="724"/>
        <item x="938"/>
        <item x="1074"/>
        <item x="141"/>
        <item x="633"/>
        <item x="553"/>
        <item x="1247"/>
        <item x="613"/>
        <item x="1601"/>
        <item x="1042"/>
        <item x="158"/>
        <item x="53"/>
        <item x="224"/>
        <item x="1458"/>
        <item x="1529"/>
        <item x="1091"/>
        <item x="1075"/>
        <item x="960"/>
        <item x="1101"/>
        <item x="1062"/>
        <item x="1540"/>
        <item x="547"/>
        <item x="398"/>
        <item x="147"/>
        <item x="980"/>
        <item x="621"/>
        <item x="9"/>
        <item x="737"/>
        <item x="94"/>
        <item x="434"/>
        <item x="1338"/>
        <item x="234"/>
        <item x="609"/>
        <item x="962"/>
        <item x="42"/>
        <item x="702"/>
        <item x="1225"/>
        <item x="410"/>
        <item x="2"/>
        <item x="298"/>
        <item x="108"/>
        <item x="1580"/>
        <item x="961"/>
        <item x="1492"/>
        <item x="878"/>
        <item x="1597"/>
        <item x="653"/>
        <item x="1430"/>
        <item x="144"/>
        <item x="336"/>
        <item x="206"/>
        <item x="916"/>
        <item x="1237"/>
        <item x="323"/>
        <item x="692"/>
        <item x="1173"/>
        <item x="1522"/>
        <item x="551"/>
        <item x="567"/>
        <item x="1071"/>
        <item x="627"/>
        <item x="513"/>
        <item x="452"/>
        <item x="448"/>
        <item x="667"/>
        <item x="198"/>
        <item x="628"/>
        <item x="914"/>
        <item x="344"/>
        <item x="360"/>
        <item x="683"/>
        <item x="1510"/>
        <item x="218"/>
        <item x="1461"/>
        <item x="229"/>
        <item x="676"/>
        <item x="378"/>
        <item x="1153"/>
        <item x="742"/>
        <item x="845"/>
        <item x="46"/>
        <item x="1334"/>
        <item x="1387"/>
        <item x="540"/>
        <item x="1110"/>
        <item x="870"/>
        <item x="872"/>
        <item x="1347"/>
        <item x="1332"/>
        <item x="1344"/>
        <item x="1001"/>
        <item x="1165"/>
        <item x="550"/>
        <item x="221"/>
        <item x="1586"/>
        <item x="305"/>
        <item x="1593"/>
        <item x="299"/>
        <item x="67"/>
        <item x="1308"/>
        <item x="1500"/>
        <item x="891"/>
        <item x="225"/>
        <item x="1592"/>
        <item x="476"/>
        <item x="454"/>
        <item x="346"/>
        <item x="340"/>
        <item x="619"/>
        <item x="751"/>
        <item x="1363"/>
        <item x="239"/>
        <item x="780"/>
        <item x="312"/>
        <item x="775"/>
        <item x="467"/>
        <item x="426"/>
        <item x="1145"/>
        <item x="537"/>
        <item x="1534"/>
        <item x="1252"/>
        <item x="186"/>
        <item x="1211"/>
        <item x="1152"/>
        <item x="494"/>
        <item x="87"/>
        <item x="1192"/>
        <item x="13"/>
        <item x="194"/>
        <item x="500"/>
        <item x="264"/>
        <item x="1556"/>
        <item x="122"/>
        <item x="896"/>
        <item x="651"/>
        <item x="663"/>
        <item x="1004"/>
        <item x="1021"/>
        <item x="249"/>
        <item x="1471"/>
        <item x="1253"/>
        <item x="799"/>
        <item x="137"/>
        <item x="1389"/>
        <item x="1600"/>
        <item x="622"/>
        <item x="1278"/>
        <item x="119"/>
        <item x="55"/>
        <item x="202"/>
        <item x="317"/>
        <item x="252"/>
        <item x="750"/>
        <item x="179"/>
        <item x="22"/>
        <item x="1029"/>
        <item x="389"/>
        <item x="730"/>
        <item x="862"/>
        <item x="1132"/>
        <item x="456"/>
        <item x="460"/>
        <item x="86"/>
        <item x="176"/>
        <item x="1547"/>
        <item x="1119"/>
        <item x="190"/>
        <item x="1561"/>
        <item x="565"/>
        <item x="357"/>
        <item x="1130"/>
        <item x="23"/>
        <item x="1513"/>
        <item x="1226"/>
        <item x="386"/>
        <item x="1235"/>
        <item x="1151"/>
        <item x="519"/>
        <item x="130"/>
        <item x="377"/>
        <item x="1318"/>
        <item x="1343"/>
        <item x="966"/>
        <item x="1413"/>
        <item x="117"/>
        <item x="1294"/>
        <item x="919"/>
        <item x="1428"/>
        <item x="1598"/>
        <item x="923"/>
        <item x="837"/>
        <item x="786"/>
        <item x="83"/>
        <item x="1382"/>
        <item x="536"/>
        <item x="679"/>
        <item x="474"/>
        <item x="1489"/>
        <item x="1370"/>
        <item x="362"/>
        <item x="241"/>
        <item x="1095"/>
        <item x="1591"/>
        <item x="873"/>
        <item x="508"/>
        <item x="1478"/>
        <item x="792"/>
        <item x="143"/>
        <item x="1127"/>
        <item x="1548"/>
        <item x="1438"/>
        <item x="1154"/>
        <item x="1466"/>
        <item x="807"/>
        <item x="549"/>
        <item x="526"/>
        <item x="863"/>
        <item x="1169"/>
        <item x="1419"/>
        <item x="756"/>
        <item x="635"/>
        <item x="295"/>
        <item x="824"/>
        <item x="1339"/>
        <item x="907"/>
        <item x="1087"/>
        <item x="1007"/>
        <item x="1583"/>
        <item x="1233"/>
        <item x="600"/>
        <item x="677"/>
        <item x="1341"/>
        <item x="569"/>
        <item x="1524"/>
        <item x="43"/>
        <item x="301"/>
        <item x="1575"/>
        <item x="999"/>
        <item x="1086"/>
        <item x="361"/>
        <item x="270"/>
        <item x="714"/>
        <item x="825"/>
        <item x="754"/>
        <item x="1006"/>
        <item x="489"/>
        <item x="375"/>
        <item x="1027"/>
        <item x="482"/>
        <item x="1396"/>
        <item x="189"/>
        <item x="981"/>
        <item x="861"/>
        <item x="318"/>
        <item x="1065"/>
        <item x="964"/>
        <item x="195"/>
        <item x="956"/>
        <item x="310"/>
        <item x="814"/>
        <item x="230"/>
        <item x="1122"/>
        <item x="308"/>
        <item x="1377"/>
        <item x="778"/>
        <item x="272"/>
        <item x="374"/>
        <item x="836"/>
        <item x="214"/>
        <item x="449"/>
        <item x="1320"/>
        <item x="38"/>
        <item x="277"/>
        <item x="178"/>
        <item x="672"/>
        <item x="1530"/>
        <item x="41"/>
        <item x="260"/>
        <item x="1238"/>
        <item x="571"/>
        <item x="1550"/>
        <item x="1472"/>
        <item x="681"/>
        <item x="1265"/>
        <item x="582"/>
        <item x="765"/>
        <item x="1595"/>
        <item x="11"/>
        <item x="647"/>
        <item x="199"/>
        <item x="832"/>
        <item x="1357"/>
        <item x="292"/>
        <item x="583"/>
        <item x="1034"/>
        <item x="315"/>
        <item x="853"/>
        <item x="849"/>
        <item x="1309"/>
        <item x="1523"/>
        <item x="1386"/>
        <item x="1505"/>
        <item x="73"/>
        <item x="1301"/>
        <item x="572"/>
        <item x="929"/>
        <item x="279"/>
        <item x="822"/>
        <item x="744"/>
        <item x="99"/>
        <item x="1579"/>
        <item x="1262"/>
        <item x="753"/>
        <item x="1018"/>
        <item x="1380"/>
        <item x="833"/>
        <item x="1374"/>
        <item x="868"/>
        <item x="256"/>
        <item x="1168"/>
        <item x="1156"/>
        <item x="554"/>
        <item x="327"/>
        <item x="1128"/>
        <item x="1351"/>
        <item x="307"/>
        <item x="726"/>
        <item x="680"/>
        <item x="1205"/>
        <item x="1111"/>
        <item x="1326"/>
        <item x="1195"/>
        <item x="1436"/>
        <item x="762"/>
        <item x="1090"/>
        <item x="1046"/>
        <item x="640"/>
        <item x="1039"/>
        <item x="174"/>
        <item x="320"/>
        <item x="1003"/>
        <item x="1498"/>
        <item x="1107"/>
        <item x="133"/>
        <item x="1584"/>
        <item x="606"/>
        <item x="1066"/>
        <item x="236"/>
        <item x="139"/>
        <item x="920"/>
        <item x="100"/>
        <item x="1423"/>
        <item x="300"/>
        <item x="304"/>
        <item x="771"/>
        <item x="887"/>
        <item x="759"/>
        <item x="1218"/>
        <item x="1589"/>
        <item x="114"/>
        <item x="655"/>
        <item x="1246"/>
        <item x="888"/>
        <item x="758"/>
        <item x="776"/>
        <item x="631"/>
        <item x="1140"/>
        <item x="111"/>
        <item x="285"/>
        <item x="1578"/>
        <item x="479"/>
        <item x="1013"/>
        <item x="57"/>
        <item x="1268"/>
        <item x="586"/>
        <item x="1187"/>
        <item x="1271"/>
        <item x="1358"/>
        <item x="984"/>
        <item x="579"/>
        <item x="90"/>
        <item x="768"/>
        <item x="632"/>
        <item x="971"/>
        <item x="1551"/>
        <item x="561"/>
        <item x="96"/>
        <item x="1275"/>
        <item x="1560"/>
        <item x="1085"/>
        <item x="1129"/>
        <item x="267"/>
        <item x="1325"/>
        <item x="706"/>
        <item x="1484"/>
        <item x="1058"/>
        <item x="1020"/>
        <item x="291"/>
        <item x="392"/>
        <item x="1030"/>
        <item x="912"/>
        <item x="1468"/>
        <item x="755"/>
        <item x="209"/>
        <item x="1125"/>
        <item x="995"/>
        <item x="901"/>
        <item x="110"/>
        <item x="351"/>
        <item x="433"/>
        <item x="132"/>
        <item x="1053"/>
        <item x="160"/>
        <item x="597"/>
        <item x="373"/>
        <item x="1546"/>
        <item x="1025"/>
        <item x="993"/>
        <item x="1303"/>
        <item x="446"/>
        <item x="1369"/>
        <item x="781"/>
        <item x="149"/>
        <item x="5"/>
        <item x="140"/>
        <item x="1121"/>
        <item x="1185"/>
        <item x="365"/>
        <item x="1322"/>
        <item x="1171"/>
        <item x="630"/>
        <item x="562"/>
        <item x="1172"/>
        <item x="641"/>
        <item x="545"/>
        <item x="685"/>
        <item x="1210"/>
        <item x="1285"/>
        <item x="59"/>
        <item x="977"/>
        <item x="95"/>
        <item t="default"/>
      </items>
    </pivotField>
    <pivotField showAll="0">
      <items count="2885">
        <item x="2179"/>
        <item x="515"/>
        <item x="2633"/>
        <item x="2407"/>
        <item x="832"/>
        <item x="632"/>
        <item x="1144"/>
        <item x="2698"/>
        <item x="1629"/>
        <item x="1026"/>
        <item x="241"/>
        <item x="2879"/>
        <item x="1871"/>
        <item x="2578"/>
        <item x="599"/>
        <item x="1647"/>
        <item x="2570"/>
        <item x="2343"/>
        <item x="1462"/>
        <item x="2259"/>
        <item x="1356"/>
        <item x="495"/>
        <item x="1727"/>
        <item x="1184"/>
        <item x="1821"/>
        <item x="1014"/>
        <item x="760"/>
        <item x="1459"/>
        <item x="1557"/>
        <item x="1046"/>
        <item x="1383"/>
        <item x="1450"/>
        <item x="2277"/>
        <item x="1461"/>
        <item x="139"/>
        <item x="937"/>
        <item x="679"/>
        <item x="2187"/>
        <item x="1272"/>
        <item x="1004"/>
        <item x="811"/>
        <item x="326"/>
        <item x="1346"/>
        <item x="2852"/>
        <item x="1664"/>
        <item x="655"/>
        <item x="1546"/>
        <item x="1331"/>
        <item x="2506"/>
        <item x="2145"/>
        <item x="290"/>
        <item x="18"/>
        <item x="1822"/>
        <item x="413"/>
        <item x="780"/>
        <item x="586"/>
        <item x="383"/>
        <item x="1300"/>
        <item x="2328"/>
        <item x="1151"/>
        <item x="2533"/>
        <item x="1715"/>
        <item x="548"/>
        <item x="2793"/>
        <item x="1202"/>
        <item x="1786"/>
        <item x="1573"/>
        <item x="2871"/>
        <item x="1033"/>
        <item x="2651"/>
        <item x="2428"/>
        <item x="2262"/>
        <item x="2205"/>
        <item x="1001"/>
        <item x="628"/>
        <item x="827"/>
        <item x="58"/>
        <item x="1107"/>
        <item x="314"/>
        <item x="450"/>
        <item x="3"/>
        <item x="798"/>
        <item x="1919"/>
        <item x="1498"/>
        <item x="2130"/>
        <item x="1297"/>
        <item x="387"/>
        <item x="2082"/>
        <item x="1062"/>
        <item x="2364"/>
        <item x="959"/>
        <item x="2320"/>
        <item x="2422"/>
        <item x="425"/>
        <item x="2161"/>
        <item x="622"/>
        <item x="1751"/>
        <item x="1345"/>
        <item x="1544"/>
        <item x="438"/>
        <item x="1604"/>
        <item x="2668"/>
        <item x="1874"/>
        <item x="1693"/>
        <item x="2675"/>
        <item x="1899"/>
        <item x="1912"/>
        <item x="1368"/>
        <item x="2618"/>
        <item x="2678"/>
        <item x="492"/>
        <item x="1090"/>
        <item x="278"/>
        <item x="1231"/>
        <item x="2686"/>
        <item x="2253"/>
        <item x="942"/>
        <item x="371"/>
        <item x="1099"/>
        <item x="2534"/>
        <item x="2331"/>
        <item x="345"/>
        <item x="2369"/>
        <item x="706"/>
        <item x="831"/>
        <item x="1957"/>
        <item x="1284"/>
        <item x="478"/>
        <item x="2003"/>
        <item x="476"/>
        <item x="1624"/>
        <item x="1070"/>
        <item x="1623"/>
        <item x="2546"/>
        <item x="2512"/>
        <item x="1117"/>
        <item x="494"/>
        <item x="1203"/>
        <item x="2059"/>
        <item x="1244"/>
        <item x="837"/>
        <item x="992"/>
        <item x="268"/>
        <item x="2332"/>
        <item x="2159"/>
        <item x="1283"/>
        <item x="907"/>
        <item x="777"/>
        <item x="2648"/>
        <item x="2234"/>
        <item x="1878"/>
        <item x="2802"/>
        <item x="1843"/>
        <item x="2883"/>
        <item x="2137"/>
        <item x="108"/>
        <item x="9"/>
        <item x="382"/>
        <item x="295"/>
        <item x="270"/>
        <item x="2476"/>
        <item x="541"/>
        <item x="322"/>
        <item x="1671"/>
        <item x="923"/>
        <item x="570"/>
        <item x="179"/>
        <item x="788"/>
        <item x="847"/>
        <item x="2120"/>
        <item x="442"/>
        <item x="2316"/>
        <item x="605"/>
        <item x="47"/>
        <item x="684"/>
        <item x="2485"/>
        <item x="370"/>
        <item x="1564"/>
        <item x="1128"/>
        <item x="1102"/>
        <item x="1054"/>
        <item x="488"/>
        <item x="1030"/>
        <item x="97"/>
        <item x="1828"/>
        <item x="1988"/>
        <item x="2033"/>
        <item x="2388"/>
        <item x="1019"/>
        <item x="836"/>
        <item x="715"/>
        <item x="2135"/>
        <item x="1005"/>
        <item x="13"/>
        <item x="172"/>
        <item x="2466"/>
        <item x="990"/>
        <item x="1040"/>
        <item x="2597"/>
        <item x="2109"/>
        <item x="2284"/>
        <item x="1289"/>
        <item x="2206"/>
        <item x="572"/>
        <item x="2755"/>
        <item x="1714"/>
        <item x="2307"/>
        <item x="864"/>
        <item x="146"/>
        <item x="1977"/>
        <item x="1644"/>
        <item x="1499"/>
        <item x="750"/>
        <item x="1592"/>
        <item x="1230"/>
        <item x="814"/>
        <item x="2167"/>
        <item x="483"/>
        <item x="110"/>
        <item x="1228"/>
        <item x="980"/>
        <item x="1106"/>
        <item x="250"/>
        <item x="651"/>
        <item x="525"/>
        <item x="259"/>
        <item x="928"/>
        <item x="1605"/>
        <item x="1087"/>
        <item x="535"/>
        <item x="2674"/>
        <item x="1610"/>
        <item x="857"/>
        <item x="1813"/>
        <item x="527"/>
        <item x="1093"/>
        <item x="398"/>
        <item x="1654"/>
        <item x="305"/>
        <item x="1015"/>
        <item x="2313"/>
        <item x="643"/>
        <item x="2724"/>
        <item x="1432"/>
        <item x="564"/>
        <item x="654"/>
        <item x="1208"/>
        <item x="2149"/>
        <item x="2189"/>
        <item x="2743"/>
        <item x="866"/>
        <item x="93"/>
        <item x="256"/>
        <item x="1585"/>
        <item x="936"/>
        <item x="2231"/>
        <item x="667"/>
        <item x="1382"/>
        <item x="1306"/>
        <item x="1515"/>
        <item x="1630"/>
        <item x="87"/>
        <item x="906"/>
        <item x="2573"/>
        <item x="578"/>
        <item x="1108"/>
        <item x="1022"/>
        <item x="727"/>
        <item x="221"/>
        <item x="828"/>
        <item x="451"/>
        <item x="183"/>
        <item x="1597"/>
        <item x="834"/>
        <item x="2188"/>
        <item x="2688"/>
        <item x="1674"/>
        <item x="1891"/>
        <item x="1722"/>
        <item x="2645"/>
        <item x="1744"/>
        <item x="897"/>
        <item x="2540"/>
        <item x="2408"/>
        <item x="889"/>
        <item x="1520"/>
        <item x="1529"/>
        <item x="526"/>
        <item x="740"/>
        <item x="33"/>
        <item x="134"/>
        <item x="943"/>
        <item x="2773"/>
        <item x="502"/>
        <item x="2524"/>
        <item x="2274"/>
        <item x="2142"/>
        <item x="841"/>
        <item x="2452"/>
        <item x="2746"/>
        <item x="1952"/>
        <item x="741"/>
        <item x="1778"/>
        <item x="929"/>
        <item x="1897"/>
        <item x="2184"/>
        <item x="2084"/>
        <item x="16"/>
        <item x="372"/>
        <item x="972"/>
        <item x="2278"/>
        <item x="477"/>
        <item x="171"/>
        <item x="189"/>
        <item x="1115"/>
        <item x="787"/>
        <item x="2281"/>
        <item x="1769"/>
        <item x="1823"/>
        <item x="150"/>
        <item x="42"/>
        <item x="865"/>
        <item x="2590"/>
        <item x="2829"/>
        <item x="1468"/>
        <item x="2845"/>
        <item x="1091"/>
        <item x="2153"/>
        <item x="280"/>
        <item x="672"/>
        <item x="748"/>
        <item x="2543"/>
        <item x="1978"/>
        <item x="20"/>
        <item x="2640"/>
        <item x="1969"/>
        <item x="61"/>
        <item x="1060"/>
        <item x="1454"/>
        <item x="2761"/>
        <item x="803"/>
        <item x="2492"/>
        <item x="536"/>
        <item x="124"/>
        <item x="810"/>
        <item x="2798"/>
        <item x="1375"/>
        <item x="2346"/>
        <item x="148"/>
        <item x="769"/>
        <item x="2851"/>
        <item x="15"/>
        <item x="2729"/>
        <item x="88"/>
        <item x="1829"/>
        <item x="1250"/>
        <item x="2563"/>
        <item x="934"/>
        <item x="2078"/>
        <item x="1057"/>
        <item x="2819"/>
        <item x="725"/>
        <item x="1273"/>
        <item x="1301"/>
        <item x="705"/>
        <item x="2621"/>
        <item x="2745"/>
        <item x="2774"/>
        <item x="2730"/>
        <item x="165"/>
        <item x="1161"/>
        <item x="849"/>
        <item x="1593"/>
        <item x="647"/>
        <item x="617"/>
        <item x="1162"/>
        <item x="2287"/>
        <item x="1830"/>
        <item x="1818"/>
        <item x="988"/>
        <item x="104"/>
        <item x="968"/>
        <item x="2544"/>
        <item x="2128"/>
        <item x="815"/>
        <item x="1599"/>
        <item x="310"/>
        <item x="1831"/>
        <item x="1263"/>
        <item x="56"/>
        <item x="1916"/>
        <item x="2387"/>
        <item x="2683"/>
        <item x="719"/>
        <item x="2467"/>
        <item x="2357"/>
        <item x="1861"/>
        <item x="565"/>
        <item x="1243"/>
        <item x="1617"/>
        <item x="1773"/>
        <item x="1602"/>
        <item x="2481"/>
        <item x="870"/>
        <item x="927"/>
        <item x="1"/>
        <item x="1157"/>
        <item x="1258"/>
        <item x="1926"/>
        <item x="176"/>
        <item x="969"/>
        <item x="652"/>
        <item x="514"/>
        <item x="774"/>
        <item x="2781"/>
        <item x="169"/>
        <item x="1756"/>
        <item x="1328"/>
        <item x="1270"/>
        <item x="2213"/>
        <item x="2252"/>
        <item x="22"/>
        <item x="604"/>
        <item x="243"/>
        <item x="2340"/>
        <item x="739"/>
        <item x="1198"/>
        <item x="1921"/>
        <item x="1142"/>
        <item x="1553"/>
        <item x="2134"/>
        <item x="848"/>
        <item x="480"/>
        <item x="6"/>
        <item x="2625"/>
        <item x="873"/>
        <item x="623"/>
        <item x="2454"/>
        <item x="1942"/>
        <item x="113"/>
        <item x="2469"/>
        <item x="1457"/>
        <item x="2858"/>
        <item x="1555"/>
        <item x="2208"/>
        <item x="1366"/>
        <item x="2372"/>
        <item x="424"/>
        <item x="757"/>
        <item x="334"/>
        <item x="590"/>
        <item x="1540"/>
        <item x="1950"/>
        <item x="2843"/>
        <item x="26"/>
        <item x="2500"/>
        <item x="234"/>
        <item x="2070"/>
        <item x="2396"/>
        <item x="2058"/>
        <item x="2513"/>
        <item x="1204"/>
        <item x="1535"/>
        <item x="2882"/>
        <item x="2796"/>
        <item x="2553"/>
        <item x="2136"/>
        <item x="2429"/>
        <item x="901"/>
        <item x="2069"/>
        <item x="717"/>
        <item x="121"/>
        <item x="1290"/>
        <item x="233"/>
        <item x="239"/>
        <item x="1876"/>
        <item x="702"/>
        <item x="384"/>
        <item x="1987"/>
        <item x="2359"/>
        <item x="1795"/>
        <item x="1648"/>
        <item x="1809"/>
        <item x="293"/>
        <item x="289"/>
        <item x="1072"/>
        <item x="300"/>
        <item x="497"/>
        <item x="490"/>
        <item x="2021"/>
        <item x="36"/>
        <item x="919"/>
        <item x="275"/>
        <item x="875"/>
        <item x="1968"/>
        <item x="1951"/>
        <item x="1427"/>
        <item x="1027"/>
        <item x="2106"/>
        <item x="1940"/>
        <item x="1343"/>
        <item x="855"/>
        <item x="1802"/>
        <item x="528"/>
        <item x="41"/>
        <item x="2877"/>
        <item x="1941"/>
        <item x="437"/>
        <item x="825"/>
        <item x="30"/>
        <item x="1167"/>
        <item x="496"/>
        <item x="64"/>
        <item x="1825"/>
        <item x="1408"/>
        <item x="1910"/>
        <item x="469"/>
        <item x="1827"/>
        <item x="685"/>
        <item x="2185"/>
        <item x="1893"/>
        <item x="225"/>
        <item x="481"/>
        <item x="2435"/>
        <item x="978"/>
        <item x="1384"/>
        <item x="2049"/>
        <item x="70"/>
        <item x="231"/>
        <item x="2358"/>
        <item x="1412"/>
        <item x="274"/>
        <item x="1852"/>
        <item x="683"/>
        <item x="539"/>
        <item x="342"/>
        <item x="993"/>
        <item x="1774"/>
        <item x="98"/>
        <item x="2362"/>
        <item x="1440"/>
        <item x="226"/>
        <item x="348"/>
        <item x="796"/>
        <item x="510"/>
        <item x="2475"/>
        <item x="316"/>
        <item x="2390"/>
        <item x="181"/>
        <item x="1236"/>
        <item x="2801"/>
        <item x="2549"/>
        <item x="229"/>
        <item x="2237"/>
        <item x="1097"/>
        <item x="341"/>
        <item x="1877"/>
        <item x="332"/>
        <item x="0"/>
        <item x="677"/>
        <item x="2427"/>
        <item x="1760"/>
        <item x="2140"/>
        <item x="656"/>
        <item x="1719"/>
        <item x="1567"/>
        <item x="1634"/>
        <item x="1995"/>
        <item x="1680"/>
        <item x="441"/>
        <item x="1317"/>
        <item x="2276"/>
        <item x="2693"/>
        <item x="2230"/>
        <item x="1453"/>
        <item x="2318"/>
        <item x="2536"/>
        <item x="1516"/>
        <item x="95"/>
        <item x="2473"/>
        <item x="236"/>
        <item x="1264"/>
        <item x="29"/>
        <item x="2002"/>
        <item x="1267"/>
        <item x="1992"/>
        <item x="2247"/>
        <item x="39"/>
        <item x="49"/>
        <item x="756"/>
        <item x="2348"/>
        <item x="317"/>
        <item x="1906"/>
        <item x="2272"/>
        <item x="2545"/>
        <item x="2495"/>
        <item x="446"/>
        <item x="1523"/>
        <item x="77"/>
        <item x="262"/>
        <item x="157"/>
        <item x="2699"/>
        <item x="2035"/>
        <item x="893"/>
        <item x="2404"/>
        <item x="517"/>
        <item x="303"/>
        <item x="2365"/>
        <item x="935"/>
        <item x="23"/>
        <item x="2666"/>
        <item x="252"/>
        <item x="781"/>
        <item x="1298"/>
        <item x="73"/>
        <item x="1417"/>
        <item x="2478"/>
        <item x="2558"/>
        <item x="50"/>
        <item x="107"/>
        <item x="1552"/>
        <item x="2626"/>
        <item x="981"/>
        <item x="140"/>
        <item x="2090"/>
        <item x="2867"/>
        <item x="1587"/>
        <item x="1034"/>
        <item x="2315"/>
        <item x="555"/>
        <item x="1676"/>
        <item x="1689"/>
        <item x="5"/>
        <item x="60"/>
        <item x="279"/>
        <item x="4"/>
        <item x="1686"/>
        <item x="2789"/>
        <item x="321"/>
        <item x="2516"/>
        <item x="1226"/>
        <item x="420"/>
        <item x="390"/>
        <item x="266"/>
        <item x="2601"/>
        <item x="1673"/>
        <item x="1489"/>
        <item x="1135"/>
        <item x="1890"/>
        <item x="587"/>
        <item x="2652"/>
        <item x="1962"/>
        <item x="728"/>
        <item x="2564"/>
        <item x="422"/>
        <item x="2089"/>
        <item x="1991"/>
        <item x="1873"/>
        <item x="2598"/>
        <item x="80"/>
        <item x="1145"/>
        <item x="961"/>
        <item x="789"/>
        <item x="2221"/>
        <item x="366"/>
        <item x="338"/>
        <item x="1696"/>
        <item x="2260"/>
        <item x="1465"/>
        <item x="989"/>
        <item x="2529"/>
        <item x="323"/>
        <item x="392"/>
        <item x="2174"/>
        <item x="328"/>
        <item x="529"/>
        <item x="543"/>
        <item x="2155"/>
        <item x="1611"/>
        <item x="163"/>
        <item x="2818"/>
        <item x="634"/>
        <item x="462"/>
        <item x="2702"/>
        <item x="1880"/>
        <item x="273"/>
        <item x="416"/>
        <item x="1717"/>
        <item x="2041"/>
        <item x="583"/>
        <item x="920"/>
        <item x="1048"/>
        <item x="877"/>
        <item x="1618"/>
        <item x="2561"/>
        <item x="215"/>
        <item x="530"/>
        <item x="1954"/>
        <item x="315"/>
        <item x="194"/>
        <item x="1191"/>
        <item x="84"/>
        <item x="2836"/>
        <item x="549"/>
        <item x="1150"/>
        <item x="603"/>
        <item x="2593"/>
        <item x="1325"/>
        <item x="1755"/>
        <item x="2000"/>
        <item x="979"/>
        <item x="1731"/>
        <item x="2017"/>
        <item x="115"/>
        <item x="644"/>
        <item x="1379"/>
        <item x="1025"/>
        <item x="1400"/>
        <item x="260"/>
        <item x="1640"/>
        <item x="2280"/>
        <item x="2400"/>
        <item x="1530"/>
        <item x="2113"/>
        <item x="1702"/>
        <item x="2872"/>
        <item x="2800"/>
        <item x="506"/>
        <item x="1628"/>
        <item x="1239"/>
        <item x="1739"/>
        <item x="742"/>
        <item x="1665"/>
        <item x="892"/>
        <item x="388"/>
        <item x="2344"/>
        <item x="312"/>
        <item x="2642"/>
        <item x="2197"/>
        <item x="859"/>
        <item x="292"/>
        <item x="640"/>
        <item x="699"/>
        <item x="1718"/>
        <item x="1165"/>
        <item x="1721"/>
        <item x="2556"/>
        <item x="1763"/>
        <item x="1234"/>
        <item x="1381"/>
        <item x="2334"/>
        <item x="173"/>
        <item x="238"/>
        <item x="1137"/>
        <item x="1522"/>
        <item x="689"/>
        <item x="1410"/>
        <item x="2554"/>
        <item x="2646"/>
        <item x="1039"/>
        <item x="1318"/>
        <item x="2223"/>
        <item x="1583"/>
        <item x="660"/>
        <item x="2514"/>
        <item x="63"/>
        <item x="1007"/>
        <item x="1448"/>
        <item x="1658"/>
        <item x="2225"/>
        <item x="863"/>
        <item x="2738"/>
        <item x="2496"/>
        <item x="917"/>
        <item x="1390"/>
        <item x="212"/>
        <item x="567"/>
        <item x="2305"/>
        <item x="596"/>
        <item x="1320"/>
        <item x="161"/>
        <item x="1233"/>
        <item x="455"/>
        <item x="1266"/>
        <item x="2723"/>
        <item x="768"/>
        <item x="2269"/>
        <item x="1122"/>
        <item x="1559"/>
        <item x="2470"/>
        <item x="697"/>
        <item x="2293"/>
        <item x="119"/>
        <item x="101"/>
        <item x="902"/>
        <item x="1480"/>
        <item x="2124"/>
        <item x="2181"/>
        <item x="1160"/>
        <item x="1170"/>
        <item x="1939"/>
        <item x="2258"/>
        <item x="2827"/>
        <item x="1147"/>
        <item x="1229"/>
        <item x="1028"/>
        <item x="1885"/>
        <item x="1864"/>
        <item x="421"/>
        <item x="1558"/>
        <item x="1114"/>
        <item x="2329"/>
        <item x="167"/>
        <item x="2840"/>
        <item x="894"/>
        <item x="1937"/>
        <item x="1374"/>
        <item x="1879"/>
        <item x="2321"/>
        <item x="2643"/>
        <item x="1504"/>
        <item x="1588"/>
        <item x="714"/>
        <item x="1255"/>
        <item x="1661"/>
        <item x="2747"/>
        <item x="1472"/>
        <item x="1980"/>
        <item x="2690"/>
        <item x="1842"/>
        <item x="771"/>
        <item x="1307"/>
        <item x="1095"/>
        <item x="2795"/>
        <item x="2726"/>
        <item x="1173"/>
        <item x="1862"/>
        <item x="1146"/>
        <item x="926"/>
        <item x="116"/>
        <item x="1917"/>
        <item x="953"/>
        <item x="1279"/>
        <item x="499"/>
        <item x="805"/>
        <item x="2860"/>
        <item x="1218"/>
        <item x="1183"/>
        <item x="1724"/>
        <item x="94"/>
        <item x="2451"/>
        <item x="2261"/>
        <item x="1970"/>
        <item x="1064"/>
        <item x="2421"/>
        <item x="784"/>
        <item x="694"/>
        <item x="1008"/>
        <item x="2039"/>
        <item x="1524"/>
        <item x="1393"/>
        <item x="1494"/>
        <item x="606"/>
        <item x="2417"/>
        <item x="1485"/>
        <item x="1433"/>
        <item x="2504"/>
        <item x="1857"/>
        <item x="820"/>
        <item x="638"/>
        <item x="1651"/>
        <item x="1487"/>
        <item x="729"/>
        <item x="461"/>
        <item x="1403"/>
        <item x="1180"/>
        <item x="1801"/>
        <item x="835"/>
        <item x="1750"/>
        <item x="1844"/>
        <item x="1507"/>
        <item x="1138"/>
        <item x="378"/>
        <item x="12"/>
        <item x="2444"/>
        <item x="2754"/>
        <item x="2816"/>
        <item x="17"/>
        <item x="1081"/>
        <item x="1261"/>
        <item x="1493"/>
        <item x="546"/>
        <item x="1758"/>
        <item x="493"/>
        <item x="1437"/>
        <item x="523"/>
        <item x="1192"/>
        <item x="2014"/>
        <item x="400"/>
        <item x="1586"/>
        <item x="418"/>
        <item x="1164"/>
        <item x="838"/>
        <item x="752"/>
        <item x="2565"/>
        <item x="404"/>
        <item x="159"/>
        <item x="272"/>
        <item x="2268"/>
        <item x="1847"/>
        <item x="2165"/>
        <item x="1338"/>
        <item x="963"/>
        <item x="2379"/>
        <item x="91"/>
        <item x="434"/>
        <item x="1793"/>
        <item x="130"/>
        <item x="2850"/>
        <item x="2123"/>
        <item x="102"/>
        <item x="1513"/>
        <item x="813"/>
        <item x="2031"/>
        <item x="2855"/>
        <item x="2143"/>
        <item x="2019"/>
        <item x="128"/>
        <item x="2055"/>
        <item x="1851"/>
        <item x="2550"/>
        <item x="1353"/>
        <item x="2076"/>
        <item x="28"/>
        <item x="1850"/>
        <item x="1517"/>
        <item x="2283"/>
        <item x="1399"/>
        <item x="2771"/>
        <item x="723"/>
        <item x="2854"/>
        <item x="206"/>
        <item x="982"/>
        <item x="550"/>
        <item x="2736"/>
        <item x="704"/>
        <item x="888"/>
        <item x="2098"/>
        <item x="1492"/>
        <item x="707"/>
        <item x="2737"/>
        <item x="2628"/>
        <item x="1984"/>
        <item x="930"/>
        <item x="580"/>
        <item x="1526"/>
        <item x="1201"/>
        <item x="177"/>
        <item x="2733"/>
        <item x="1166"/>
        <item x="1029"/>
        <item x="1935"/>
        <item x="2115"/>
        <item x="311"/>
        <item x="2663"/>
        <item x="2062"/>
        <item x="203"/>
        <item x="1789"/>
        <item x="2244"/>
        <item x="1981"/>
        <item x="1934"/>
        <item x="951"/>
        <item x="658"/>
        <item x="1078"/>
        <item x="2352"/>
        <item x="57"/>
        <item x="1385"/>
        <item x="1447"/>
        <item x="1542"/>
        <item x="602"/>
        <item x="2257"/>
        <item x="695"/>
        <item x="915"/>
        <item x="1100"/>
        <item x="1314"/>
        <item x="2559"/>
        <item x="2847"/>
        <item x="1961"/>
        <item x="1713"/>
        <item x="887"/>
        <item x="1185"/>
        <item x="2762"/>
        <item x="264"/>
        <item x="1938"/>
        <item x="1816"/>
        <item x="2304"/>
        <item x="1990"/>
        <item x="168"/>
        <item x="2250"/>
        <item x="910"/>
        <item x="1854"/>
        <item x="2706"/>
        <item x="1904"/>
        <item x="361"/>
        <item x="2718"/>
        <item x="948"/>
        <item x="1141"/>
        <item x="2811"/>
        <item x="2870"/>
        <item x="983"/>
        <item x="1326"/>
        <item x="720"/>
        <item x="1811"/>
        <item x="1042"/>
        <item x="160"/>
        <item x="2426"/>
        <item x="621"/>
        <item x="1819"/>
        <item x="618"/>
        <item x="2327"/>
        <item x="753"/>
        <item x="1002"/>
        <item x="195"/>
        <item x="1726"/>
        <item x="1478"/>
        <item x="2355"/>
        <item x="2152"/>
        <item x="790"/>
        <item x="164"/>
        <item x="120"/>
        <item x="2215"/>
        <item x="2018"/>
        <item x="1837"/>
        <item x="474"/>
        <item x="2088"/>
        <item x="2013"/>
        <item x="600"/>
        <item x="883"/>
        <item x="791"/>
        <item x="373"/>
        <item x="1537"/>
        <item x="197"/>
        <item x="2227"/>
        <item x="1359"/>
        <item x="2660"/>
        <item x="885"/>
        <item x="1063"/>
        <item x="1656"/>
        <item x="2849"/>
        <item x="1575"/>
        <item x="1452"/>
        <item x="1840"/>
        <item x="1339"/>
        <item x="401"/>
        <item x="291"/>
        <item x="2415"/>
        <item x="1787"/>
        <item x="559"/>
        <item x="2241"/>
        <item x="1051"/>
        <item x="856"/>
        <item x="862"/>
        <item x="709"/>
        <item x="924"/>
        <item x="405"/>
        <item x="1222"/>
        <item x="2484"/>
        <item x="2192"/>
        <item x="763"/>
        <item x="1443"/>
        <item x="408"/>
        <item x="2317"/>
        <item x="2220"/>
        <item x="1206"/>
        <item x="2482"/>
        <item x="1800"/>
        <item x="531"/>
        <item x="2214"/>
        <item x="962"/>
        <item x="737"/>
        <item x="1894"/>
        <item x="2662"/>
        <item x="577"/>
        <item x="1895"/>
        <item x="192"/>
        <item x="595"/>
        <item x="2207"/>
        <item x="2309"/>
        <item x="1659"/>
        <item x="908"/>
        <item x="318"/>
        <item x="542"/>
        <item x="1252"/>
        <item x="1319"/>
        <item x="66"/>
        <item x="1360"/>
        <item x="1705"/>
        <item x="1683"/>
        <item x="123"/>
        <item x="1549"/>
        <item x="439"/>
        <item x="1322"/>
        <item x="2794"/>
        <item x="175"/>
        <item x="190"/>
        <item x="213"/>
        <item x="1550"/>
        <item x="2775"/>
        <item x="721"/>
        <item x="2575"/>
        <item x="671"/>
        <item x="2624"/>
        <item x="2528"/>
        <item x="1688"/>
        <item x="343"/>
        <item x="1068"/>
        <item x="1172"/>
        <item x="2172"/>
        <item x="2687"/>
        <item x="1104"/>
        <item x="1365"/>
        <item x="649"/>
        <item x="557"/>
        <item x="1728"/>
        <item x="1110"/>
        <item x="663"/>
        <item x="415"/>
        <item x="675"/>
        <item x="2460"/>
        <item x="166"/>
        <item x="202"/>
        <item x="511"/>
        <item x="1053"/>
        <item x="2714"/>
        <item x="2063"/>
        <item x="2799"/>
        <item x="1113"/>
        <item x="1404"/>
        <item x="588"/>
        <item x="537"/>
        <item x="210"/>
        <item x="2015"/>
        <item x="2509"/>
        <item x="867"/>
        <item x="379"/>
        <item x="840"/>
        <item x="1975"/>
        <item x="1534"/>
        <item x="1745"/>
        <item x="1000"/>
        <item x="956"/>
        <item x="76"/>
        <item x="2042"/>
        <item x="1590"/>
        <item x="913"/>
        <item x="249"/>
        <item x="563"/>
        <item x="1669"/>
        <item x="2201"/>
        <item x="302"/>
        <item x="900"/>
        <item x="2784"/>
        <item x="74"/>
        <item x="142"/>
        <item x="1963"/>
        <item x="432"/>
        <item x="2401"/>
        <item x="2825"/>
        <item x="839"/>
        <item x="2118"/>
        <item x="554"/>
        <item x="2617"/>
        <item x="1911"/>
        <item x="1155"/>
        <item x="433"/>
        <item x="1123"/>
        <item x="764"/>
        <item x="592"/>
        <item x="1598"/>
        <item x="1867"/>
        <item x="1924"/>
        <item x="1476"/>
        <item x="1195"/>
        <item x="44"/>
        <item x="19"/>
        <item x="1562"/>
        <item x="1543"/>
        <item x="2824"/>
        <item x="585"/>
        <item x="118"/>
        <item x="1249"/>
        <item x="2751"/>
        <item x="2661"/>
        <item x="1370"/>
        <item x="1080"/>
        <item x="1641"/>
        <item x="716"/>
        <item x="2676"/>
        <item x="882"/>
        <item x="560"/>
        <item x="1163"/>
        <item x="1363"/>
        <item x="620"/>
        <item x="1925"/>
        <item x="700"/>
        <item x="1158"/>
        <item x="950"/>
        <item x="362"/>
        <item x="2322"/>
        <item x="386"/>
        <item x="1701"/>
        <item x="1631"/>
        <item x="2499"/>
        <item x="2655"/>
        <item x="1574"/>
        <item x="1746"/>
        <item x="880"/>
        <item x="2286"/>
        <item x="1572"/>
        <item x="2804"/>
        <item x="1846"/>
        <item x="1595"/>
        <item x="1371"/>
        <item x="2026"/>
        <item x="1413"/>
        <item x="1983"/>
        <item x="799"/>
        <item x="1804"/>
        <item x="1288"/>
        <item x="114"/>
        <item x="2445"/>
        <item x="489"/>
        <item x="759"/>
        <item x="2238"/>
        <item x="952"/>
        <item x="1414"/>
        <item x="615"/>
        <item x="436"/>
        <item x="1031"/>
        <item x="230"/>
        <item x="2586"/>
        <item x="2786"/>
        <item x="472"/>
        <item x="1154"/>
        <item x="1792"/>
        <item x="170"/>
        <item x="407"/>
        <item x="393"/>
        <item x="1182"/>
        <item x="2584"/>
        <item x="1369"/>
        <item x="199"/>
        <item x="664"/>
        <item x="579"/>
        <item x="1780"/>
        <item x="137"/>
        <item x="1649"/>
        <item x="676"/>
        <item x="593"/>
        <item x="2409"/>
        <item x="402"/>
        <item x="2814"/>
        <item x="795"/>
        <item x="1398"/>
        <item x="2285"/>
        <item x="1805"/>
        <item x="71"/>
        <item x="2020"/>
        <item x="1856"/>
        <item x="219"/>
        <item x="891"/>
        <item x="2650"/>
        <item x="1615"/>
        <item x="1798"/>
        <item x="1973"/>
        <item x="2086"/>
        <item x="1670"/>
        <item x="2834"/>
        <item x="1868"/>
        <item x="1663"/>
        <item x="2081"/>
        <item x="2127"/>
        <item x="713"/>
        <item x="1754"/>
        <item x="460"/>
        <item x="808"/>
        <item x="680"/>
        <item x="1074"/>
        <item x="957"/>
        <item x="40"/>
        <item x="2147"/>
        <item x="2838"/>
        <item x="1608"/>
        <item x="1612"/>
        <item x="1966"/>
        <item x="1845"/>
        <item x="227"/>
        <item x="487"/>
        <item x="755"/>
        <item x="1291"/>
        <item x="2579"/>
        <item x="2087"/>
        <item x="1124"/>
        <item x="242"/>
        <item x="619"/>
        <item x="105"/>
        <item x="2748"/>
        <item x="1752"/>
        <item x="898"/>
        <item x="613"/>
        <item x="1771"/>
        <item x="1227"/>
        <item x="2102"/>
        <item x="350"/>
        <item x="319"/>
        <item x="625"/>
        <item x="2758"/>
        <item x="744"/>
        <item x="1411"/>
        <item x="521"/>
        <item x="2200"/>
        <item x="52"/>
        <item x="2710"/>
        <item x="1580"/>
        <item x="2873"/>
        <item x="2604"/>
        <item x="1497"/>
        <item x="286"/>
        <item x="1538"/>
        <item x="470"/>
        <item x="1753"/>
        <item x="1292"/>
        <item x="257"/>
        <item x="1616"/>
        <item x="947"/>
        <item x="1643"/>
        <item x="457"/>
        <item x="1067"/>
        <item x="403"/>
        <item x="1171"/>
        <item x="35"/>
        <item x="2531"/>
        <item x="2300"/>
        <item x="2097"/>
        <item x="218"/>
        <item x="132"/>
        <item x="2163"/>
        <item x="1737"/>
        <item x="2587"/>
        <item x="201"/>
        <item x="1175"/>
        <item x="2623"/>
        <item x="1247"/>
        <item x="96"/>
        <item x="1794"/>
        <item x="1256"/>
        <item x="879"/>
        <item x="1646"/>
        <item x="633"/>
        <item x="1964"/>
        <item x="2196"/>
        <item x="186"/>
        <item x="2788"/>
        <item x="1832"/>
        <item x="1101"/>
        <item x="659"/>
        <item x="1637"/>
        <item x="1883"/>
        <item x="1460"/>
        <item x="2361"/>
        <item x="247"/>
        <item x="1834"/>
        <item x="2289"/>
        <item x="966"/>
        <item x="547"/>
        <item x="285"/>
        <item x="1098"/>
        <item x="821"/>
        <item x="1471"/>
        <item x="2835"/>
        <item x="540"/>
        <item x="1367"/>
        <item x="1959"/>
        <item x="1839"/>
        <item x="1438"/>
        <item x="1409"/>
        <item x="467"/>
        <item x="1949"/>
        <item x="2448"/>
        <item x="2438"/>
        <item x="1119"/>
        <item x="258"/>
        <item x="2766"/>
        <item x="1337"/>
        <item x="391"/>
        <item x="2677"/>
        <item x="1698"/>
        <item x="131"/>
        <item x="914"/>
        <item x="973"/>
        <item x="1568"/>
        <item x="1502"/>
        <item x="1781"/>
        <item x="2567"/>
        <item x="1194"/>
        <item x="2420"/>
        <item x="2508"/>
        <item x="2195"/>
        <item x="842"/>
        <item x="1901"/>
        <item x="2024"/>
        <item x="1720"/>
        <item x="2350"/>
        <item x="949"/>
        <item x="1179"/>
        <item x="2180"/>
        <item x="2606"/>
        <item x="2511"/>
        <item x="220"/>
        <item x="2121"/>
        <item x="2881"/>
        <item x="1418"/>
        <item x="269"/>
        <item x="2474"/>
        <item x="970"/>
        <item x="597"/>
        <item x="2306"/>
        <item x="775"/>
        <item x="1278"/>
        <item x="1652"/>
        <item x="2402"/>
        <item x="1725"/>
        <item x="2600"/>
        <item x="1600"/>
        <item x="1884"/>
        <item x="352"/>
        <item x="2644"/>
        <item x="1238"/>
        <item x="14"/>
        <item x="896"/>
        <item x="1483"/>
        <item x="794"/>
        <item x="1174"/>
        <item x="1707"/>
        <item x="1037"/>
        <item x="2874"/>
        <item x="1783"/>
        <item x="1304"/>
        <item x="2045"/>
        <item x="320"/>
        <item x="958"/>
        <item x="2338"/>
        <item x="1134"/>
        <item x="2763"/>
        <item x="263"/>
        <item x="109"/>
        <item x="722"/>
        <item x="344"/>
        <item x="657"/>
        <item x="2432"/>
        <item x="2632"/>
        <item x="1274"/>
        <item x="1347"/>
        <item x="2389"/>
        <item x="2085"/>
        <item x="1045"/>
        <item x="2100"/>
        <item x="2094"/>
        <item x="2520"/>
        <item x="1421"/>
        <item x="2299"/>
        <item x="2577"/>
        <item x="1931"/>
        <item x="1691"/>
        <item x="2519"/>
        <item x="464"/>
        <item x="2054"/>
        <item x="1200"/>
        <item x="1810"/>
        <item x="845"/>
        <item x="1594"/>
        <item x="2821"/>
        <item x="2486"/>
        <item x="1506"/>
        <item x="1764"/>
        <item x="27"/>
        <item x="1887"/>
        <item x="1836"/>
        <item x="86"/>
        <item x="188"/>
        <item x="1974"/>
        <item x="2119"/>
        <item x="25"/>
        <item x="435"/>
        <item x="2656"/>
        <item x="423"/>
        <item x="1743"/>
        <item x="2326"/>
        <item x="2844"/>
        <item x="996"/>
        <item x="1730"/>
        <item x="2291"/>
        <item x="1240"/>
        <item x="1936"/>
        <item x="1373"/>
        <item x="876"/>
        <item x="2526"/>
        <item x="2108"/>
        <item x="1576"/>
        <item x="1779"/>
        <item x="377"/>
        <item x="747"/>
        <item x="1312"/>
        <item x="1111"/>
        <item x="1770"/>
        <item x="2156"/>
        <item x="1335"/>
        <item x="1548"/>
        <item x="2403"/>
        <item x="152"/>
        <item x="1757"/>
        <item x="2394"/>
        <item x="1747"/>
        <item x="758"/>
        <item x="2319"/>
        <item x="2295"/>
        <item x="2311"/>
        <item x="1888"/>
        <item x="843"/>
        <item x="2385"/>
        <item x="1495"/>
        <item x="2505"/>
        <item x="2004"/>
        <item x="884"/>
        <item x="508"/>
        <item x="552"/>
        <item x="2735"/>
        <item x="551"/>
        <item x="2349"/>
        <item x="1953"/>
        <item x="746"/>
        <item x="833"/>
        <item x="571"/>
        <item x="2282"/>
        <item x="1120"/>
        <item x="1420"/>
        <item x="2488"/>
        <item x="2574"/>
        <item x="776"/>
        <item x="2370"/>
        <item x="733"/>
        <item x="2202"/>
        <item x="1248"/>
        <item x="2576"/>
        <item x="501"/>
        <item x="129"/>
        <item x="2752"/>
        <item x="612"/>
        <item x="1246"/>
        <item x="329"/>
        <item x="1570"/>
        <item x="1866"/>
        <item x="1776"/>
        <item x="1584"/>
        <item x="2216"/>
        <item x="1738"/>
        <item x="614"/>
        <item x="2594"/>
        <item x="498"/>
        <item x="2251"/>
        <item x="1685"/>
        <item x="801"/>
        <item x="2535"/>
        <item x="1785"/>
        <item x="665"/>
        <item x="357"/>
        <item x="2719"/>
        <item x="1772"/>
        <item x="2709"/>
        <item x="1214"/>
        <item x="2503"/>
        <item x="1327"/>
        <item x="75"/>
        <item x="1388"/>
        <item x="852"/>
        <item x="998"/>
        <item x="1009"/>
        <item x="693"/>
        <item x="812"/>
        <item x="2812"/>
        <item x="1824"/>
        <item x="143"/>
        <item x="1501"/>
        <item x="2425"/>
        <item x="1619"/>
        <item x="112"/>
        <item x="2254"/>
        <item x="1431"/>
        <item x="240"/>
        <item x="1084"/>
        <item x="724"/>
        <item x="200"/>
        <item x="2491"/>
        <item x="2704"/>
        <item x="2685"/>
        <item x="2634"/>
        <item x="804"/>
        <item x="1357"/>
        <item x="335"/>
        <item x="516"/>
        <item x="645"/>
        <item x="327"/>
        <item x="2797"/>
        <item x="1467"/>
        <item x="2367"/>
        <item x="2619"/>
        <item x="2186"/>
        <item x="452"/>
        <item x="718"/>
        <item x="2022"/>
        <item x="2302"/>
        <item x="205"/>
        <item x="2757"/>
        <item x="1482"/>
        <item x="2583"/>
        <item x="1907"/>
        <item x="2439"/>
        <item x="410"/>
        <item x="2853"/>
        <item x="1923"/>
        <item x="710"/>
        <item x="153"/>
        <item x="1143"/>
        <item x="1402"/>
        <item x="761"/>
        <item x="731"/>
        <item x="1129"/>
        <item x="1036"/>
        <item x="770"/>
        <item x="505"/>
        <item x="79"/>
        <item x="180"/>
        <item x="786"/>
        <item x="2341"/>
        <item x="844"/>
        <item x="1469"/>
        <item x="2581"/>
        <item x="1152"/>
        <item x="1405"/>
        <item x="89"/>
        <item x="2351"/>
        <item x="2697"/>
        <item x="2831"/>
        <item x="2060"/>
        <item x="1213"/>
        <item x="1694"/>
        <item x="2707"/>
        <item x="1547"/>
        <item x="1994"/>
        <item x="2148"/>
        <item x="1316"/>
        <item x="2336"/>
        <item x="1376"/>
        <item x="339"/>
        <item x="1023"/>
        <item x="1140"/>
        <item x="2009"/>
        <item x="1882"/>
        <item x="2727"/>
        <item x="2037"/>
        <item x="2209"/>
        <item x="2588"/>
        <item x="639"/>
        <item x="2552"/>
        <item x="944"/>
        <item x="829"/>
        <item x="2742"/>
        <item x="1470"/>
        <item x="1531"/>
        <item x="2044"/>
        <item x="1928"/>
        <item x="1043"/>
        <item x="1759"/>
        <item x="1295"/>
        <item x="2782"/>
        <item x="1392"/>
        <item x="1073"/>
        <item x="253"/>
        <item x="2074"/>
        <item x="1636"/>
        <item x="2162"/>
        <item x="34"/>
        <item x="2027"/>
        <item x="1768"/>
        <item x="1896"/>
        <item x="2876"/>
        <item x="126"/>
        <item x="1945"/>
        <item x="2525"/>
        <item x="2878"/>
        <item x="1215"/>
        <item x="1415"/>
        <item x="2442"/>
        <item x="1509"/>
        <item x="2229"/>
        <item x="2413"/>
        <item x="1859"/>
        <item x="2441"/>
        <item x="678"/>
        <item x="294"/>
        <item x="819"/>
        <item x="1251"/>
        <item x="673"/>
        <item x="931"/>
        <item x="1596"/>
        <item x="1329"/>
        <item x="1085"/>
        <item x="1168"/>
        <item x="607"/>
        <item x="1875"/>
        <item x="1521"/>
        <item x="2449"/>
        <item x="356"/>
        <item x="2731"/>
        <item x="2217"/>
        <item x="2083"/>
        <item x="2392"/>
        <item x="486"/>
        <item x="2116"/>
        <item x="991"/>
        <item x="136"/>
        <item x="309"/>
        <item x="1282"/>
        <item x="507"/>
        <item x="909"/>
        <item x="299"/>
        <item x="1075"/>
        <item x="1609"/>
        <item x="985"/>
        <item x="62"/>
        <item x="2431"/>
        <item x="904"/>
        <item x="1378"/>
        <item x="2515"/>
        <item x="2692"/>
        <item x="911"/>
        <item x="174"/>
        <item x="922"/>
        <item x="2310"/>
        <item x="466"/>
        <item x="2191"/>
        <item x="661"/>
        <item x="2298"/>
        <item x="2684"/>
        <item x="1455"/>
        <item x="2614"/>
        <item x="1021"/>
        <item x="2833"/>
        <item x="2384"/>
        <item x="1082"/>
        <item x="53"/>
        <item x="45"/>
        <item x="504"/>
        <item x="2266"/>
        <item x="687"/>
        <item x="1791"/>
        <item x="2750"/>
        <item x="1430"/>
        <item x="1560"/>
        <item x="2416"/>
        <item x="228"/>
        <item x="2433"/>
        <item x="1066"/>
        <item x="1092"/>
        <item x="1445"/>
        <item x="1361"/>
        <item x="2517"/>
        <item x="458"/>
        <item x="1197"/>
        <item x="573"/>
        <item x="347"/>
        <item x="2339"/>
        <item x="1690"/>
        <item x="1607"/>
        <item x="773"/>
        <item x="2792"/>
        <item x="54"/>
        <item x="1083"/>
        <item x="2008"/>
        <item x="1069"/>
        <item x="217"/>
        <item x="2157"/>
        <item x="1148"/>
        <item x="2658"/>
        <item x="1065"/>
        <item x="946"/>
        <item x="178"/>
        <item x="2532"/>
        <item x="2132"/>
        <item x="2405"/>
        <item x="2765"/>
        <item x="874"/>
        <item x="491"/>
        <item x="2806"/>
        <item x="938"/>
        <item x="485"/>
        <item x="1056"/>
        <item x="566"/>
        <item x="2673"/>
        <item x="2571"/>
        <item x="431"/>
        <item x="1061"/>
        <item x="509"/>
        <item x="1041"/>
        <item x="32"/>
        <item x="2434"/>
        <item x="1709"/>
        <item x="1178"/>
        <item x="1464"/>
        <item x="1799"/>
        <item x="1286"/>
        <item x="1473"/>
        <item x="2862"/>
        <item x="783"/>
        <item x="90"/>
        <item x="681"/>
        <item x="1835"/>
        <item x="2547"/>
        <item x="2507"/>
        <item x="2176"/>
        <item x="2301"/>
        <item x="2859"/>
        <item x="1956"/>
        <item x="636"/>
        <item x="1456"/>
        <item x="235"/>
        <item x="594"/>
        <item x="772"/>
        <item x="1533"/>
        <item x="2430"/>
        <item x="2790"/>
        <item x="59"/>
        <item x="1321"/>
        <item x="1344"/>
        <item x="997"/>
        <item x="2096"/>
        <item x="2453"/>
        <item x="2146"/>
        <item x="1682"/>
        <item x="1425"/>
        <item x="125"/>
        <item x="100"/>
        <item x="2657"/>
        <item x="364"/>
        <item x="984"/>
        <item x="534"/>
        <item x="2061"/>
        <item x="2585"/>
        <item x="851"/>
        <item x="191"/>
        <item x="1508"/>
        <item x="890"/>
        <item x="333"/>
        <item x="380"/>
        <item x="1463"/>
        <item x="1735"/>
        <item x="971"/>
        <item x="1525"/>
        <item x="2440"/>
        <item x="1429"/>
        <item x="106"/>
        <item x="2679"/>
        <item x="2599"/>
        <item x="2518"/>
        <item x="31"/>
        <item x="1490"/>
        <item x="419"/>
        <item x="762"/>
        <item x="2375"/>
        <item x="1324"/>
        <item x="2682"/>
        <item x="304"/>
        <item x="712"/>
        <item x="1679"/>
        <item x="1394"/>
        <item x="453"/>
        <item x="1386"/>
        <item x="209"/>
        <item x="468"/>
        <item x="1692"/>
        <item x="2670"/>
        <item x="360"/>
        <item x="545"/>
        <item x="1423"/>
        <item x="187"/>
        <item x="2419"/>
        <item x="975"/>
        <item x="1872"/>
        <item x="2374"/>
        <item x="246"/>
        <item x="2204"/>
        <item x="2596"/>
        <item x="2053"/>
        <item x="1922"/>
        <item x="145"/>
        <item x="284"/>
        <item x="2001"/>
        <item x="886"/>
        <item x="692"/>
        <item x="2817"/>
        <item x="449"/>
        <item x="941"/>
        <item x="939"/>
        <item x="1342"/>
        <item x="2368"/>
        <item x="2406"/>
        <item x="1377"/>
        <item x="67"/>
        <item x="1477"/>
        <item x="296"/>
        <item x="1603"/>
        <item x="1571"/>
        <item x="271"/>
        <item x="2566"/>
        <item x="1241"/>
        <item x="103"/>
        <item x="430"/>
        <item x="2837"/>
        <item x="365"/>
        <item x="1958"/>
        <item x="1130"/>
        <item x="2779"/>
        <item x="696"/>
        <item x="2826"/>
        <item x="1700"/>
        <item x="1900"/>
        <item x="24"/>
        <item x="816"/>
        <item x="1131"/>
        <item x="2489"/>
        <item x="2732"/>
        <item x="995"/>
        <item x="448"/>
        <item x="2809"/>
        <item x="2029"/>
        <item x="2046"/>
        <item x="2424"/>
        <item x="2271"/>
        <item x="1305"/>
        <item x="797"/>
        <item x="1914"/>
        <item x="1642"/>
        <item x="1254"/>
        <item x="1551"/>
        <item x="2803"/>
        <item x="2857"/>
        <item x="2065"/>
        <item x="1232"/>
        <item x="2073"/>
        <item x="1397"/>
        <item x="2245"/>
        <item x="1103"/>
        <item x="1355"/>
        <item x="916"/>
        <item x="2716"/>
        <item x="1775"/>
        <item x="754"/>
        <item x="1905"/>
        <item x="2047"/>
        <item x="182"/>
        <item x="1541"/>
        <item x="1838"/>
        <item x="1765"/>
        <item x="2256"/>
        <item x="1653"/>
        <item x="1561"/>
        <item x="2572"/>
        <item x="2242"/>
        <item x="375"/>
        <item x="1364"/>
        <item x="288"/>
        <item x="412"/>
        <item x="1697"/>
        <item x="1220"/>
        <item x="297"/>
        <item x="1333"/>
        <item x="2398"/>
        <item x="1749"/>
        <item x="1475"/>
        <item x="1010"/>
        <item x="2815"/>
        <item x="1579"/>
        <item x="351"/>
        <item x="414"/>
        <item x="138"/>
        <item x="1077"/>
        <item x="520"/>
        <item x="918"/>
        <item x="792"/>
        <item x="1998"/>
        <item x="81"/>
        <item x="2813"/>
        <item x="1210"/>
        <item x="2043"/>
        <item x="2333"/>
        <item x="1332"/>
        <item x="2607"/>
        <item x="2199"/>
        <item x="1224"/>
        <item x="1474"/>
        <item x="2446"/>
        <item x="1797"/>
        <item x="1933"/>
        <item x="1633"/>
        <item x="1711"/>
        <item x="1139"/>
        <item x="1196"/>
        <item x="1903"/>
        <item x="440"/>
        <item x="2308"/>
        <item x="738"/>
        <item x="2158"/>
        <item x="1133"/>
        <item x="1699"/>
        <item x="381"/>
        <item x="1581"/>
        <item x="2048"/>
        <item x="1035"/>
        <item x="281"/>
        <item x="2530"/>
        <item x="1556"/>
        <item x="2861"/>
        <item x="703"/>
        <item x="2380"/>
        <item x="2842"/>
        <item x="2363"/>
        <item x="1662"/>
        <item x="1736"/>
        <item x="154"/>
        <item x="1886"/>
        <item x="2592"/>
        <item x="2498"/>
        <item x="2222"/>
        <item x="325"/>
        <item x="368"/>
        <item x="1330"/>
        <item x="2759"/>
        <item x="2457"/>
        <item x="276"/>
        <item x="2749"/>
        <item x="1012"/>
        <item x="2190"/>
        <item x="2602"/>
        <item x="2753"/>
        <item x="1351"/>
        <item x="1971"/>
        <item x="2067"/>
        <item x="2616"/>
        <item x="610"/>
        <item x="2739"/>
        <item x="1287"/>
        <item x="650"/>
        <item x="1820"/>
        <item x="1563"/>
        <item x="1253"/>
        <item x="1635"/>
        <item x="2171"/>
        <item x="2608"/>
        <item x="2437"/>
        <item x="2410"/>
        <item x="482"/>
        <item x="1391"/>
        <item x="1323"/>
        <item x="111"/>
        <item x="2232"/>
        <item x="2194"/>
        <item x="37"/>
        <item x="767"/>
        <item x="2477"/>
        <item x="1352"/>
        <item x="2479"/>
        <item x="726"/>
        <item x="2472"/>
        <item x="1086"/>
        <item x="1932"/>
        <item x="2312"/>
        <item x="2391"/>
        <item x="2629"/>
        <item x="1860"/>
        <item x="1762"/>
        <item x="2490"/>
        <item x="682"/>
        <item x="861"/>
        <item x="2720"/>
        <item x="2620"/>
        <item x="222"/>
        <item x="394"/>
        <item x="2228"/>
        <item x="2170"/>
        <item x="637"/>
        <item x="2728"/>
        <item x="1436"/>
        <item x="2335"/>
        <item x="2580"/>
        <item x="2783"/>
        <item x="2459"/>
        <item x="78"/>
        <item x="2279"/>
        <item x="2104"/>
        <item x="2542"/>
        <item x="2166"/>
        <item x="905"/>
        <item x="1269"/>
        <item x="1982"/>
        <item x="601"/>
        <item x="1565"/>
        <item x="1334"/>
        <item x="1058"/>
        <item x="2064"/>
        <item x="2007"/>
        <item x="955"/>
        <item x="307"/>
        <item x="2125"/>
        <item x="698"/>
        <item x="2248"/>
        <item x="1881"/>
        <item x="2393"/>
        <item x="2173"/>
        <item x="1666"/>
        <item x="2627"/>
        <item x="2468"/>
        <item x="2630"/>
        <item x="465"/>
        <item x="736"/>
        <item x="337"/>
        <item x="518"/>
        <item x="308"/>
        <item x="2805"/>
        <item x="198"/>
        <item x="1976"/>
        <item x="2235"/>
        <item x="484"/>
        <item x="2541"/>
        <item x="2523"/>
        <item x="2537"/>
        <item x="2383"/>
        <item x="2691"/>
        <item x="1205"/>
        <item x="336"/>
        <item x="2560"/>
        <item x="1503"/>
        <item x="1803"/>
        <item x="1947"/>
        <item x="2193"/>
        <item x="635"/>
        <item x="1491"/>
        <item x="1199"/>
        <item x="399"/>
        <item x="1132"/>
        <item x="2040"/>
        <item x="244"/>
        <item x="711"/>
        <item x="1187"/>
        <item x="999"/>
        <item x="1156"/>
        <item x="1315"/>
        <item x="1105"/>
        <item x="670"/>
        <item x="2068"/>
        <item x="385"/>
        <item x="2"/>
        <item x="2832"/>
        <item x="2705"/>
        <item x="589"/>
        <item x="2376"/>
        <item x="2091"/>
        <item x="1929"/>
        <item x="2708"/>
        <item x="2151"/>
        <item x="2412"/>
        <item x="701"/>
        <item x="428"/>
        <item x="575"/>
        <item x="1812"/>
        <item x="1024"/>
        <item x="1766"/>
        <item x="1126"/>
        <item x="1088"/>
        <item x="1960"/>
        <item x="1761"/>
        <item x="2354"/>
        <item x="1742"/>
        <item x="2360"/>
        <item x="277"/>
        <item x="519"/>
        <item x="976"/>
        <item x="2463"/>
        <item x="779"/>
        <item x="2487"/>
        <item x="2314"/>
        <item x="2160"/>
        <item x="2255"/>
        <item x="2555"/>
        <item x="561"/>
        <item x="2303"/>
        <item x="2791"/>
        <item x="2198"/>
        <item x="1989"/>
        <item x="1242"/>
        <item x="1667"/>
        <item x="1177"/>
        <item x="214"/>
        <item x="1003"/>
        <item x="2611"/>
        <item x="1176"/>
        <item x="1096"/>
        <item x="2772"/>
        <item x="974"/>
        <item x="2551"/>
        <item x="2414"/>
        <item x="1566"/>
        <item x="1389"/>
        <item x="133"/>
        <item x="363"/>
        <item x="2458"/>
        <item x="2105"/>
        <item x="2273"/>
        <item x="1806"/>
        <item x="987"/>
        <item x="1695"/>
        <item x="65"/>
        <item x="2810"/>
        <item x="444"/>
        <item x="426"/>
        <item x="2243"/>
        <item x="2659"/>
        <item x="1017"/>
        <item x="2612"/>
        <item x="1049"/>
        <item x="158"/>
        <item x="1732"/>
        <item x="2133"/>
        <item x="2865"/>
        <item x="785"/>
        <item x="1149"/>
        <item x="1639"/>
        <item x="1946"/>
        <item x="2265"/>
        <item x="1898"/>
        <item x="2462"/>
        <item x="2107"/>
        <item x="2760"/>
        <item x="479"/>
        <item x="2694"/>
        <item x="2609"/>
        <item x="2527"/>
        <item x="2823"/>
        <item x="2093"/>
        <item x="1614"/>
        <item x="2323"/>
        <item x="2868"/>
        <item x="1209"/>
        <item x="355"/>
        <item x="1613"/>
        <item x="2111"/>
        <item x="1788"/>
        <item x="1841"/>
        <item x="473"/>
        <item x="2386"/>
        <item x="1870"/>
        <item x="43"/>
        <item x="608"/>
        <item x="1955"/>
        <item x="149"/>
        <item x="1109"/>
        <item x="1681"/>
        <item x="732"/>
        <item x="899"/>
        <item x="340"/>
        <item x="609"/>
        <item x="1006"/>
        <item x="1972"/>
        <item x="1684"/>
        <item x="1426"/>
        <item x="1536"/>
        <item x="1219"/>
        <item x="2610"/>
        <item x="1748"/>
        <item x="522"/>
        <item x="1767"/>
        <item x="691"/>
        <item x="1422"/>
        <item x="1380"/>
        <item x="1406"/>
        <item x="193"/>
        <item x="2701"/>
        <item x="2077"/>
        <item x="858"/>
        <item x="232"/>
        <item x="1127"/>
        <item x="69"/>
        <item x="945"/>
        <item x="223"/>
        <item x="389"/>
        <item x="471"/>
        <item x="1303"/>
        <item x="830"/>
        <item x="1944"/>
        <item x="576"/>
        <item x="1387"/>
        <item x="1349"/>
        <item x="2664"/>
        <item x="1309"/>
        <item x="2095"/>
        <item x="1125"/>
        <item x="1189"/>
        <item x="51"/>
        <item x="2548"/>
        <item x="558"/>
        <item x="2114"/>
        <item x="1308"/>
        <item x="1372"/>
        <item x="2011"/>
        <item x="1554"/>
        <item x="2595"/>
        <item x="1032"/>
        <item x="2637"/>
        <item x="871"/>
        <item x="872"/>
        <item x="1545"/>
        <item x="2741"/>
        <item x="2169"/>
        <item x="1245"/>
        <item x="2139"/>
        <item x="826"/>
        <item x="2270"/>
        <item x="2820"/>
        <item x="374"/>
        <item x="55"/>
        <item x="1723"/>
        <item x="1407"/>
        <item x="411"/>
        <item x="1645"/>
        <item x="2345"/>
        <item x="965"/>
        <item x="1050"/>
        <item x="806"/>
        <item x="2126"/>
        <item x="2226"/>
        <item x="869"/>
        <item x="147"/>
        <item x="1310"/>
        <item x="2051"/>
        <item x="2654"/>
        <item x="2337"/>
        <item x="2366"/>
        <item x="503"/>
        <item x="1225"/>
        <item x="1869"/>
        <item x="1514"/>
        <item x="1186"/>
        <item x="2680"/>
        <item x="10"/>
        <item x="1169"/>
        <item x="2034"/>
        <item x="749"/>
        <item x="2769"/>
        <item x="406"/>
        <item x="2183"/>
        <item x="2807"/>
        <item x="144"/>
        <item x="2030"/>
        <item x="2725"/>
        <item x="925"/>
        <item x="2112"/>
        <item x="2079"/>
        <item x="2756"/>
        <item x="878"/>
        <item x="2050"/>
        <item x="1678"/>
        <item x="964"/>
        <item x="690"/>
        <item x="569"/>
        <item x="1094"/>
        <item x="2224"/>
        <item x="2025"/>
        <item x="1281"/>
        <item x="2164"/>
        <item x="1601"/>
        <item x="2296"/>
        <item x="2502"/>
        <item x="358"/>
        <item x="2866"/>
        <item x="417"/>
        <item x="2722"/>
        <item x="1518"/>
        <item x="1458"/>
        <item x="1451"/>
        <item x="524"/>
        <item x="2605"/>
        <item x="817"/>
        <item x="967"/>
        <item x="2635"/>
        <item x="82"/>
        <item x="2071"/>
        <item x="156"/>
        <item x="2703"/>
        <item x="2178"/>
        <item x="1577"/>
        <item x="533"/>
        <item x="2846"/>
        <item x="354"/>
        <item x="331"/>
        <item x="1044"/>
        <item x="1212"/>
        <item x="584"/>
        <item x="1997"/>
        <item x="2696"/>
        <item x="1985"/>
        <item x="743"/>
        <item x="2647"/>
        <item x="2371"/>
        <item x="2131"/>
        <item x="2521"/>
        <item x="46"/>
        <item x="2110"/>
        <item x="2839"/>
        <item x="868"/>
        <item x="994"/>
        <item x="766"/>
        <item x="809"/>
        <item x="1622"/>
        <item x="1826"/>
        <item x="1965"/>
        <item x="21"/>
        <item x="1902"/>
        <item x="2342"/>
        <item x="1733"/>
        <item x="2129"/>
        <item x="397"/>
        <item x="2294"/>
        <item x="2455"/>
        <item x="1621"/>
        <item x="2510"/>
        <item x="2249"/>
        <item x="283"/>
        <item x="1927"/>
        <item x="2177"/>
        <item x="793"/>
        <item x="686"/>
        <item x="72"/>
        <item x="162"/>
        <item x="1121"/>
        <item x="1484"/>
        <item x="83"/>
        <item x="1299"/>
        <item x="2218"/>
        <item x="1424"/>
        <item x="445"/>
        <item x="1336"/>
        <item x="2667"/>
        <item x="1704"/>
        <item x="2497"/>
        <item x="349"/>
        <item x="265"/>
        <item x="2681"/>
        <item x="1038"/>
        <item x="2461"/>
        <item x="2717"/>
        <item x="2689"/>
        <item x="2246"/>
        <item x="287"/>
        <item x="1159"/>
        <item x="2785"/>
        <item x="2483"/>
        <item x="2569"/>
        <item x="313"/>
        <item x="1216"/>
        <item x="822"/>
        <item x="1703"/>
        <item x="2353"/>
        <item x="224"/>
        <item x="940"/>
        <item x="1527"/>
        <item x="1808"/>
        <item x="2875"/>
        <item x="641"/>
        <item x="2715"/>
        <item x="2671"/>
        <item x="1285"/>
        <item x="2411"/>
        <item x="2397"/>
        <item x="1655"/>
        <item x="544"/>
        <item x="626"/>
        <item x="1013"/>
        <item x="553"/>
        <item x="2740"/>
        <item x="2767"/>
        <item x="2032"/>
        <item x="1362"/>
        <item x="2713"/>
        <item x="2378"/>
        <item x="854"/>
        <item x="1257"/>
        <item x="359"/>
        <item x="1528"/>
        <item x="1428"/>
        <item x="1020"/>
        <item x="2770"/>
        <item x="395"/>
        <item x="1118"/>
        <item x="629"/>
        <item x="282"/>
        <item x="1710"/>
        <item x="807"/>
        <item x="1444"/>
        <item x="853"/>
        <item x="624"/>
        <item x="1740"/>
        <item x="1706"/>
        <item x="2275"/>
        <item x="1153"/>
        <item x="582"/>
        <item x="267"/>
        <item x="642"/>
        <item x="301"/>
        <item x="1280"/>
        <item x="1260"/>
        <item x="1532"/>
        <item x="2615"/>
        <item x="2038"/>
        <item x="2057"/>
        <item x="245"/>
        <item x="92"/>
        <item x="1505"/>
        <item x="500"/>
        <item x="1302"/>
        <item x="2841"/>
        <item x="2631"/>
        <item x="2377"/>
        <item x="1853"/>
        <item x="2869"/>
        <item x="850"/>
        <item x="1796"/>
        <item x="616"/>
        <item x="986"/>
        <item x="630"/>
        <item x="8"/>
        <item x="2236"/>
        <item x="921"/>
        <item x="1089"/>
        <item x="2233"/>
        <item x="1047"/>
        <item x="2288"/>
        <item x="1434"/>
        <item x="68"/>
        <item x="2290"/>
        <item x="2539"/>
        <item x="653"/>
        <item x="1909"/>
        <item x="2768"/>
        <item x="135"/>
        <item x="2776"/>
        <item x="1181"/>
        <item x="48"/>
        <item x="85"/>
        <item x="1446"/>
        <item x="1539"/>
        <item x="881"/>
        <item x="846"/>
        <item x="2203"/>
        <item x="2808"/>
        <item x="1908"/>
        <item x="2622"/>
        <item x="127"/>
        <item x="2122"/>
        <item x="1512"/>
        <item x="1016"/>
        <item x="666"/>
        <item x="1675"/>
        <item x="627"/>
        <item x="1079"/>
        <item x="581"/>
        <item x="782"/>
        <item x="1979"/>
        <item x="1112"/>
        <item x="2744"/>
        <item x="2639"/>
        <item x="669"/>
        <item x="1999"/>
        <item x="1486"/>
        <item x="2101"/>
        <item x="2080"/>
        <item x="598"/>
        <item x="2395"/>
        <item x="1915"/>
        <item x="1059"/>
        <item x="122"/>
        <item x="1626"/>
        <item x="1625"/>
        <item x="306"/>
        <item x="2056"/>
        <item x="207"/>
        <item x="2780"/>
        <item x="1863"/>
        <item x="611"/>
        <item x="1657"/>
        <item x="2443"/>
        <item x="1275"/>
        <item x="1235"/>
        <item x="1276"/>
        <item x="1011"/>
        <item x="512"/>
        <item x="1807"/>
        <item x="1967"/>
        <item x="2880"/>
        <item x="1784"/>
        <item x="1815"/>
        <item x="1948"/>
        <item x="1849"/>
        <item x="1591"/>
        <item x="2005"/>
        <item x="513"/>
        <item x="11"/>
        <item x="1930"/>
        <item x="151"/>
        <item x="2154"/>
        <item x="2700"/>
        <item x="2557"/>
        <item x="2267"/>
        <item x="734"/>
        <item x="2522"/>
        <item x="1510"/>
        <item x="824"/>
        <item x="1488"/>
        <item x="1136"/>
        <item x="1348"/>
        <item x="2212"/>
        <item x="2028"/>
        <item x="562"/>
        <item x="454"/>
        <item x="2399"/>
        <item x="802"/>
        <item x="2638"/>
        <item x="1116"/>
        <item x="1277"/>
        <item x="648"/>
        <item x="556"/>
        <item x="1358"/>
        <item x="1354"/>
        <item x="376"/>
        <item x="409"/>
        <item x="1677"/>
        <item x="2436"/>
        <item x="2494"/>
        <item x="2711"/>
        <item x="1441"/>
        <item x="1865"/>
        <item x="324"/>
        <item x="1892"/>
        <item x="895"/>
        <item x="298"/>
        <item x="1589"/>
        <item x="2373"/>
        <item x="2653"/>
        <item x="823"/>
        <item x="1918"/>
        <item x="1672"/>
        <item x="2006"/>
        <item x="1419"/>
        <item x="184"/>
        <item x="2848"/>
        <item x="1913"/>
        <item x="216"/>
        <item x="674"/>
        <item x="1782"/>
        <item x="2117"/>
        <item x="860"/>
        <item x="2150"/>
        <item x="2211"/>
        <item x="2856"/>
        <item x="631"/>
        <item x="2764"/>
        <item x="1193"/>
        <item x="1271"/>
        <item x="2010"/>
        <item x="1632"/>
        <item x="2787"/>
        <item x="251"/>
        <item x="668"/>
        <item x="255"/>
        <item x="2138"/>
        <item x="1855"/>
        <item x="2721"/>
        <item x="2263"/>
        <item x="2210"/>
        <item x="568"/>
        <item x="903"/>
        <item x="1920"/>
        <item x="1190"/>
        <item x="1396"/>
        <item x="1071"/>
        <item x="2175"/>
        <item x="447"/>
        <item x="2066"/>
        <item x="443"/>
        <item x="538"/>
        <item x="1055"/>
        <item x="932"/>
        <item x="237"/>
        <item x="1341"/>
        <item x="2828"/>
        <item x="1018"/>
        <item x="1582"/>
        <item x="1638"/>
        <item x="1734"/>
        <item x="765"/>
        <item x="1265"/>
        <item x="2103"/>
        <item x="960"/>
        <item x="1211"/>
        <item x="1687"/>
        <item x="2182"/>
        <item x="99"/>
        <item x="2092"/>
        <item x="1833"/>
        <item x="155"/>
        <item x="730"/>
        <item x="591"/>
        <item x="1076"/>
        <item x="1519"/>
        <item x="330"/>
        <item x="367"/>
        <item x="2072"/>
        <item x="2330"/>
        <item x="977"/>
        <item x="1889"/>
        <item x="2016"/>
        <item x="688"/>
        <item x="2613"/>
        <item x="818"/>
        <item x="954"/>
        <item x="1435"/>
        <item x="346"/>
        <item x="1741"/>
        <item x="2734"/>
        <item x="2778"/>
        <item x="745"/>
        <item x="2464"/>
        <item x="353"/>
        <item x="1221"/>
        <item x="204"/>
        <item x="141"/>
        <item x="1052"/>
        <item x="800"/>
        <item x="38"/>
        <item x="708"/>
        <item x="778"/>
        <item x="1660"/>
        <item x="2471"/>
        <item x="2418"/>
        <item x="1511"/>
        <item x="459"/>
        <item x="1496"/>
        <item x="2493"/>
        <item x="456"/>
        <item x="1627"/>
        <item x="2830"/>
        <item x="1237"/>
        <item x="2356"/>
        <item x="1606"/>
        <item x="1439"/>
        <item x="751"/>
        <item x="2672"/>
        <item x="1729"/>
        <item x="1466"/>
        <item x="1207"/>
        <item x="1708"/>
        <item x="2863"/>
        <item x="2075"/>
        <item x="2099"/>
        <item x="196"/>
        <item x="2423"/>
        <item x="261"/>
        <item x="1223"/>
        <item x="2450"/>
        <item x="1500"/>
        <item x="2292"/>
        <item x="2568"/>
        <item x="2447"/>
        <item x="1993"/>
        <item x="2501"/>
        <item x="463"/>
        <item x="2347"/>
        <item x="1650"/>
        <item x="211"/>
        <item x="933"/>
        <item x="1996"/>
        <item x="1401"/>
        <item x="2589"/>
        <item x="2480"/>
        <item x="1712"/>
        <item x="1395"/>
        <item x="1313"/>
        <item x="1817"/>
        <item x="1943"/>
        <item x="1340"/>
        <item x="2712"/>
        <item x="2168"/>
        <item x="2036"/>
        <item x="1777"/>
        <item x="2864"/>
        <item x="2665"/>
        <item x="248"/>
        <item x="1569"/>
        <item x="2382"/>
        <item x="2582"/>
        <item x="254"/>
        <item x="1350"/>
        <item x="429"/>
        <item x="2456"/>
        <item x="396"/>
        <item x="1311"/>
        <item x="185"/>
        <item x="1188"/>
        <item x="2822"/>
        <item x="1294"/>
        <item x="2324"/>
        <item x="2465"/>
        <item x="2538"/>
        <item x="2052"/>
        <item x="532"/>
        <item x="208"/>
        <item x="1293"/>
        <item x="2141"/>
        <item x="646"/>
        <item x="2695"/>
        <item x="2562"/>
        <item x="369"/>
        <item x="2023"/>
        <item x="2012"/>
        <item x="2636"/>
        <item x="2649"/>
        <item x="2591"/>
        <item x="1268"/>
        <item x="2381"/>
        <item x="1790"/>
        <item x="2325"/>
        <item x="2777"/>
        <item x="7"/>
        <item x="2240"/>
        <item x="1217"/>
        <item x="2641"/>
        <item x="1296"/>
        <item x="1986"/>
        <item x="2239"/>
        <item x="912"/>
        <item x="1668"/>
        <item x="2264"/>
        <item x="662"/>
        <item x="1620"/>
        <item x="2144"/>
        <item x="1814"/>
        <item x="1481"/>
        <item x="2297"/>
        <item x="735"/>
        <item x="475"/>
        <item x="1449"/>
        <item x="574"/>
        <item x="1578"/>
        <item x="1479"/>
        <item x="117"/>
        <item x="1716"/>
        <item x="1262"/>
        <item x="1259"/>
        <item x="2219"/>
        <item x="1442"/>
        <item x="2603"/>
        <item x="1858"/>
        <item x="2669"/>
        <item x="427"/>
        <item x="1416"/>
        <item x="1848"/>
        <item t="default"/>
      </items>
    </pivotField>
    <pivotField showAll="0"/>
    <pivotField dataField="1" showAll="0">
      <items count="2779">
        <item x="2586"/>
        <item x="2727"/>
        <item x="1499"/>
        <item x="620"/>
        <item x="431"/>
        <item x="846"/>
        <item x="2481"/>
        <item x="2096"/>
        <item x="1292"/>
        <item x="1213"/>
        <item x="2506"/>
        <item x="728"/>
        <item x="1824"/>
        <item x="1427"/>
        <item x="2684"/>
        <item x="1717"/>
        <item x="460"/>
        <item x="2454"/>
        <item x="408"/>
        <item x="429"/>
        <item x="799"/>
        <item x="2687"/>
        <item x="68"/>
        <item x="2199"/>
        <item x="435"/>
        <item x="734"/>
        <item x="2541"/>
        <item x="2642"/>
        <item x="2108"/>
        <item x="2772"/>
        <item x="2114"/>
        <item x="916"/>
        <item x="2465"/>
        <item x="2509"/>
        <item x="1162"/>
        <item x="749"/>
        <item x="2694"/>
        <item x="2246"/>
        <item x="1574"/>
        <item x="2319"/>
        <item x="240"/>
        <item x="1160"/>
        <item x="1275"/>
        <item x="721"/>
        <item x="1656"/>
        <item x="1762"/>
        <item x="1768"/>
        <item x="564"/>
        <item x="1873"/>
        <item x="2714"/>
        <item x="1416"/>
        <item x="2356"/>
        <item x="1686"/>
        <item x="1862"/>
        <item x="630"/>
        <item x="2174"/>
        <item x="1347"/>
        <item x="726"/>
        <item x="2094"/>
        <item x="1881"/>
        <item x="1600"/>
        <item x="196"/>
        <item x="837"/>
        <item x="247"/>
        <item x="66"/>
        <item x="2021"/>
        <item x="1439"/>
        <item x="2589"/>
        <item x="896"/>
        <item x="1840"/>
        <item x="1001"/>
        <item x="2077"/>
        <item x="2569"/>
        <item x="930"/>
        <item x="2153"/>
        <item x="996"/>
        <item x="2151"/>
        <item x="208"/>
        <item x="49"/>
        <item x="686"/>
        <item x="2085"/>
        <item x="1743"/>
        <item x="1539"/>
        <item x="1488"/>
        <item x="325"/>
        <item x="1616"/>
        <item x="1879"/>
        <item x="1788"/>
        <item x="1985"/>
        <item x="1027"/>
        <item x="2216"/>
        <item x="1052"/>
        <item x="1708"/>
        <item x="2018"/>
        <item x="2056"/>
        <item x="2344"/>
        <item x="2639"/>
        <item x="1343"/>
        <item x="1520"/>
        <item x="2621"/>
        <item x="1983"/>
        <item x="2055"/>
        <item x="1085"/>
        <item x="1565"/>
        <item x="210"/>
        <item x="1425"/>
        <item x="767"/>
        <item x="1567"/>
        <item x="976"/>
        <item x="397"/>
        <item x="1577"/>
        <item x="688"/>
        <item x="1092"/>
        <item x="1619"/>
        <item x="2222"/>
        <item x="2429"/>
        <item x="829"/>
        <item x="1804"/>
        <item x="2271"/>
        <item x="1008"/>
        <item x="2328"/>
        <item x="2729"/>
        <item x="2204"/>
        <item x="659"/>
        <item x="1528"/>
        <item x="1338"/>
        <item x="550"/>
        <item x="2076"/>
        <item x="2422"/>
        <item x="2313"/>
        <item x="1145"/>
        <item x="2173"/>
        <item x="1501"/>
        <item x="1440"/>
        <item x="2427"/>
        <item x="1869"/>
        <item x="148"/>
        <item x="585"/>
        <item x="532"/>
        <item x="2402"/>
        <item x="791"/>
        <item x="939"/>
        <item x="2659"/>
        <item x="1719"/>
        <item x="1310"/>
        <item x="289"/>
        <item x="937"/>
        <item x="1217"/>
        <item x="204"/>
        <item x="1481"/>
        <item x="2570"/>
        <item x="817"/>
        <item x="1371"/>
        <item x="438"/>
        <item x="2132"/>
        <item x="1393"/>
        <item x="2260"/>
        <item x="2554"/>
        <item x="1705"/>
        <item x="1538"/>
        <item x="1281"/>
        <item x="982"/>
        <item x="2617"/>
        <item x="1259"/>
        <item x="1434"/>
        <item x="2286"/>
        <item x="516"/>
        <item x="1535"/>
        <item x="1150"/>
        <item x="484"/>
        <item x="207"/>
        <item x="833"/>
        <item x="2415"/>
        <item x="1833"/>
        <item x="2605"/>
        <item x="1687"/>
        <item x="2766"/>
        <item x="2489"/>
        <item x="524"/>
        <item x="2"/>
        <item x="577"/>
        <item x="556"/>
        <item x="2636"/>
        <item x="1755"/>
        <item x="1742"/>
        <item x="933"/>
        <item x="2526"/>
        <item x="2439"/>
        <item x="1308"/>
        <item x="432"/>
        <item x="2740"/>
        <item x="2223"/>
        <item x="635"/>
        <item x="1423"/>
        <item x="2483"/>
        <item x="2514"/>
        <item x="2666"/>
        <item x="1161"/>
        <item x="14"/>
        <item x="2248"/>
        <item x="710"/>
        <item x="2224"/>
        <item x="655"/>
        <item x="2613"/>
        <item x="2048"/>
        <item x="1218"/>
        <item x="566"/>
        <item x="2295"/>
        <item x="2462"/>
        <item x="2285"/>
        <item x="2545"/>
        <item x="2455"/>
        <item x="2658"/>
        <item x="1965"/>
        <item x="1191"/>
        <item x="472"/>
        <item x="1718"/>
        <item x="287"/>
        <item x="1916"/>
        <item x="2155"/>
        <item x="2661"/>
        <item x="2327"/>
        <item x="2697"/>
        <item x="681"/>
        <item x="2205"/>
        <item x="590"/>
        <item x="2409"/>
        <item x="235"/>
        <item x="278"/>
        <item x="1537"/>
        <item x="369"/>
        <item x="2597"/>
        <item x="752"/>
        <item x="56"/>
        <item x="924"/>
        <item x="2542"/>
        <item x="1808"/>
        <item x="230"/>
        <item x="2460"/>
        <item x="185"/>
        <item x="2081"/>
        <item x="241"/>
        <item x="986"/>
        <item x="2358"/>
        <item x="1517"/>
        <item x="2648"/>
        <item x="874"/>
        <item x="783"/>
        <item x="128"/>
        <item x="2637"/>
        <item x="126"/>
        <item x="1655"/>
        <item x="2572"/>
        <item x="279"/>
        <item x="53"/>
        <item x="1874"/>
        <item x="1781"/>
        <item x="2258"/>
        <item x="583"/>
        <item x="1654"/>
        <item x="2537"/>
        <item x="2686"/>
        <item x="1763"/>
        <item x="2543"/>
        <item x="2117"/>
        <item x="2592"/>
        <item x="1830"/>
        <item x="2650"/>
        <item x="1406"/>
        <item x="1516"/>
        <item x="2061"/>
        <item x="459"/>
        <item x="687"/>
        <item x="1039"/>
        <item x="884"/>
        <item x="2614"/>
        <item x="1961"/>
        <item x="775"/>
        <item x="2289"/>
        <item x="677"/>
        <item x="1189"/>
        <item x="1850"/>
        <item x="1279"/>
        <item x="1816"/>
        <item x="950"/>
        <item x="2440"/>
        <item x="2028"/>
        <item x="1239"/>
        <item x="1915"/>
        <item x="2188"/>
        <item x="2535"/>
        <item x="1219"/>
        <item x="2711"/>
        <item x="1891"/>
        <item x="2682"/>
        <item x="2450"/>
        <item x="1598"/>
        <item x="1566"/>
        <item x="1487"/>
        <item x="1637"/>
        <item x="770"/>
        <item x="925"/>
        <item x="2078"/>
        <item x="2507"/>
        <item x="1842"/>
        <item x="2106"/>
        <item x="2602"/>
        <item x="2635"/>
        <item x="1444"/>
        <item x="1068"/>
        <item x="2698"/>
        <item x="2375"/>
        <item x="1836"/>
        <item x="433"/>
        <item x="1739"/>
        <item x="661"/>
        <item x="1377"/>
        <item x="2693"/>
        <item x="46"/>
        <item x="1311"/>
        <item x="663"/>
        <item x="679"/>
        <item x="1822"/>
        <item x="2233"/>
        <item x="69"/>
        <item x="1582"/>
        <item x="417"/>
        <item x="2080"/>
        <item x="54"/>
        <item x="2386"/>
        <item x="1135"/>
        <item x="1456"/>
        <item x="2505"/>
        <item x="755"/>
        <item x="2083"/>
        <item x="2706"/>
        <item x="1949"/>
        <item x="2742"/>
        <item x="781"/>
        <item x="1067"/>
        <item x="246"/>
        <item x="2431"/>
        <item x="1564"/>
        <item x="2123"/>
        <item x="1882"/>
        <item x="1299"/>
        <item x="2619"/>
        <item x="1568"/>
        <item x="1704"/>
        <item x="1754"/>
        <item x="656"/>
        <item x="514"/>
        <item x="2167"/>
        <item x="492"/>
        <item x="2282"/>
        <item x="2221"/>
        <item x="2732"/>
        <item x="15"/>
        <item x="701"/>
        <item x="1407"/>
        <item x="160"/>
        <item x="2674"/>
        <item x="2488"/>
        <item x="546"/>
        <item x="1901"/>
        <item x="1960"/>
        <item x="2664"/>
        <item x="2320"/>
        <item x="2203"/>
        <item x="1706"/>
        <item x="1747"/>
        <item x="306"/>
        <item x="2278"/>
        <item x="1228"/>
        <item x="2194"/>
        <item x="961"/>
        <item x="1216"/>
        <item x="843"/>
        <item x="797"/>
        <item x="2510"/>
        <item x="2773"/>
        <item x="1878"/>
        <item x="901"/>
        <item x="85"/>
        <item x="2200"/>
        <item x="1137"/>
        <item x="2662"/>
        <item x="1834"/>
        <item x="2468"/>
        <item x="2408"/>
        <item x="2131"/>
        <item x="1720"/>
        <item x="1825"/>
        <item x="2243"/>
        <item x="2767"/>
        <item x="33"/>
        <item x="727"/>
        <item x="1069"/>
        <item x="313"/>
        <item x="405"/>
        <item x="810"/>
        <item x="1146"/>
        <item x="1989"/>
        <item x="1639"/>
        <item x="1867"/>
        <item x="684"/>
        <item x="2695"/>
        <item x="2065"/>
        <item x="2707"/>
        <item x="1448"/>
        <item x="1083"/>
        <item x="1170"/>
        <item x="849"/>
        <item x="448"/>
        <item x="2324"/>
        <item x="819"/>
        <item x="1603"/>
        <item x="504"/>
        <item x="2084"/>
        <item x="551"/>
        <item x="2374"/>
        <item x="1863"/>
        <item x="517"/>
        <item x="2185"/>
        <item x="1711"/>
        <item x="1646"/>
        <item x="2594"/>
        <item x="647"/>
        <item x="1059"/>
        <item x="1212"/>
        <item x="1951"/>
        <item x="1772"/>
        <item x="1710"/>
        <item x="2082"/>
        <item x="1436"/>
        <item x="2127"/>
        <item x="23"/>
        <item x="914"/>
        <item x="2774"/>
        <item x="1994"/>
        <item x="842"/>
        <item x="1778"/>
        <item x="2097"/>
        <item x="145"/>
        <item x="2032"/>
        <item x="1752"/>
        <item x="2459"/>
        <item x="400"/>
        <item x="1004"/>
        <item x="1374"/>
        <item x="2665"/>
        <item x="358"/>
        <item x="2251"/>
        <item x="2611"/>
        <item x="565"/>
        <item x="2321"/>
        <item x="1317"/>
        <item x="2710"/>
        <item x="67"/>
        <item x="2149"/>
        <item x="2752"/>
        <item x="1386"/>
        <item x="835"/>
        <item x="1909"/>
        <item x="2079"/>
        <item x="1006"/>
        <item x="875"/>
        <item x="2276"/>
        <item x="2020"/>
        <item x="680"/>
        <item x="904"/>
        <item x="2031"/>
        <item x="177"/>
        <item x="2765"/>
        <item x="1604"/>
        <item x="1341"/>
        <item x="881"/>
        <item x="584"/>
        <item x="2154"/>
        <item x="1157"/>
        <item x="1954"/>
        <item x="1953"/>
        <item x="2147"/>
        <item x="691"/>
        <item x="926"/>
        <item x="2756"/>
        <item x="2306"/>
        <item x="1685"/>
        <item x="2420"/>
        <item x="690"/>
        <item x="471"/>
        <item x="2689"/>
        <item x="634"/>
        <item x="1681"/>
        <item x="1643"/>
        <item x="1070"/>
        <item x="2577"/>
        <item x="364"/>
        <item x="2176"/>
        <item x="2644"/>
        <item x="1350"/>
        <item x="2212"/>
        <item x="1749"/>
        <item x="2745"/>
        <item x="1741"/>
        <item x="2215"/>
        <item x="1051"/>
        <item x="2410"/>
        <item x="1443"/>
        <item x="794"/>
        <item x="689"/>
        <item x="2245"/>
        <item x="1084"/>
        <item x="832"/>
        <item x="738"/>
        <item x="1934"/>
        <item x="648"/>
        <item x="283"/>
        <item x="2303"/>
        <item x="1063"/>
        <item x="1668"/>
        <item x="499"/>
        <item x="373"/>
        <item x="1345"/>
        <item x="428"/>
        <item x="1750"/>
        <item x="918"/>
        <item x="586"/>
        <item x="2515"/>
        <item x="2538"/>
        <item x="665"/>
        <item x="1437"/>
        <item x="1880"/>
        <item x="1368"/>
        <item x="2596"/>
        <item x="1065"/>
        <item x="1283"/>
        <item x="389"/>
        <item x="2172"/>
        <item x="938"/>
        <item x="2743"/>
        <item x="955"/>
        <item x="1876"/>
        <item x="2660"/>
        <item x="2361"/>
        <item x="2681"/>
        <item x="1203"/>
        <item x="3"/>
        <item x="989"/>
        <item x="795"/>
        <item x="1128"/>
        <item x="1549"/>
        <item x="1367"/>
        <item x="2473"/>
        <item x="1519"/>
        <item x="765"/>
        <item x="1002"/>
        <item x="1494"/>
        <item x="457"/>
        <item x="1066"/>
        <item x="416"/>
        <item x="1693"/>
        <item x="1642"/>
        <item x="981"/>
        <item x="1575"/>
        <item x="1134"/>
        <item x="1944"/>
        <item x="1617"/>
        <item x="698"/>
        <item x="1122"/>
        <item x="2280"/>
        <item x="2709"/>
        <item x="1838"/>
        <item x="2490"/>
        <item x="1866"/>
        <item x="2270"/>
        <item x="1498"/>
        <item x="2054"/>
        <item x="1257"/>
        <item x="1265"/>
        <item x="1086"/>
        <item x="1442"/>
        <item x="2299"/>
        <item x="1526"/>
        <item x="495"/>
        <item x="2771"/>
        <item x="1258"/>
        <item x="2685"/>
        <item x="2121"/>
        <item x="270"/>
        <item x="1533"/>
        <item x="490"/>
        <item x="2175"/>
        <item x="51"/>
        <item x="1206"/>
        <item x="2284"/>
        <item x="2268"/>
        <item x="1861"/>
        <item x="1945"/>
        <item x="1908"/>
        <item x="1550"/>
        <item x="481"/>
        <item x="1792"/>
        <item x="2467"/>
        <item x="834"/>
        <item x="1527"/>
        <item x="934"/>
        <item x="644"/>
        <item x="1174"/>
        <item x="2432"/>
        <item x="494"/>
        <item x="357"/>
        <item x="510"/>
        <item x="991"/>
        <item x="2593"/>
        <item x="2411"/>
        <item x="418"/>
        <item x="1578"/>
        <item x="1438"/>
        <item x="1839"/>
        <item x="1136"/>
        <item x="2116"/>
        <item x="1621"/>
        <item x="2257"/>
        <item x="545"/>
        <item x="700"/>
        <item x="2104"/>
        <item x="1101"/>
        <item x="1076"/>
        <item x="2764"/>
        <item x="2024"/>
        <item x="1759"/>
        <item x="957"/>
        <item x="2463"/>
        <item x="2595"/>
        <item x="947"/>
        <item x="2323"/>
        <item x="977"/>
        <item x="593"/>
        <item x="127"/>
        <item x="1003"/>
        <item x="1602"/>
        <item x="993"/>
        <item x="1933"/>
        <item x="1081"/>
        <item x="1521"/>
        <item x="980"/>
        <item x="2466"/>
        <item x="621"/>
        <item x="2210"/>
        <item x="814"/>
        <item x="798"/>
        <item x="2598"/>
        <item x="793"/>
        <item x="1544"/>
        <item x="563"/>
        <item x="515"/>
        <item x="2211"/>
        <item x="1435"/>
        <item x="2033"/>
        <item x="2122"/>
        <item x="744"/>
        <item x="1445"/>
        <item x="1156"/>
        <item x="792"/>
        <item x="707"/>
        <item x="1751"/>
        <item x="2441"/>
        <item x="384"/>
        <item x="372"/>
        <item x="244"/>
        <item x="1433"/>
        <item x="2342"/>
        <item x="1175"/>
        <item x="2263"/>
        <item x="818"/>
        <item x="2663"/>
        <item x="873"/>
        <item x="2425"/>
        <item x="483"/>
        <item x="52"/>
        <item x="1630"/>
        <item x="2330"/>
        <item x="261"/>
        <item x="1837"/>
        <item x="2562"/>
        <item x="1398"/>
        <item x="1223"/>
        <item x="1025"/>
        <item x="1676"/>
        <item x="1479"/>
        <item x="1082"/>
        <item x="326"/>
        <item x="1896"/>
        <item x="12"/>
        <item x="643"/>
        <item x="281"/>
        <item x="861"/>
        <item x="2198"/>
        <item x="2748"/>
        <item x="782"/>
        <item x="488"/>
        <item x="1344"/>
        <item x="1331"/>
        <item x="2580"/>
        <item x="1208"/>
        <item x="2436"/>
        <item x="1149"/>
        <item x="314"/>
        <item x="1114"/>
        <item x="887"/>
        <item x="258"/>
        <item x="2091"/>
        <item x="2430"/>
        <item x="344"/>
        <item x="2218"/>
        <item x="1701"/>
        <item x="2566"/>
        <item x="1843"/>
        <item x="1799"/>
        <item x="992"/>
        <item x="1414"/>
        <item x="2109"/>
        <item x="1764"/>
        <item x="915"/>
        <item x="1276"/>
        <item x="580"/>
        <item x="617"/>
        <item x="1638"/>
        <item x="142"/>
        <item x="965"/>
        <item x="1826"/>
        <item x="2133"/>
        <item x="491"/>
        <item x="2318"/>
        <item x="642"/>
        <item x="534"/>
        <item x="1793"/>
        <item x="1829"/>
        <item x="1715"/>
        <item x="1133"/>
        <item x="1023"/>
        <item x="1492"/>
        <item x="385"/>
        <item x="1273"/>
        <item x="848"/>
        <item x="59"/>
        <item x="2296"/>
        <item x="1009"/>
        <item x="1342"/>
        <item x="2249"/>
        <item x="16"/>
        <item x="561"/>
        <item x="2354"/>
        <item x="780"/>
        <item x="2177"/>
        <item x="1943"/>
        <item x="2725"/>
        <item x="886"/>
        <item x="2567"/>
        <item x="2267"/>
        <item x="1178"/>
        <item x="1872"/>
        <item x="1256"/>
        <item x="2504"/>
        <item x="1176"/>
        <item x="18"/>
        <item x="1930"/>
        <item x="292"/>
        <item x="654"/>
        <item x="662"/>
        <item x="2573"/>
        <item x="478"/>
        <item x="1653"/>
        <item x="9"/>
        <item x="1138"/>
        <item x="2704"/>
        <item x="612"/>
        <item x="761"/>
        <item x="1402"/>
        <item x="1095"/>
        <item x="751"/>
        <item x="1558"/>
        <item x="1105"/>
        <item x="2549"/>
        <item x="48"/>
        <item x="1396"/>
        <item x="343"/>
        <item x="2445"/>
        <item x="1798"/>
        <item x="813"/>
        <item x="1914"/>
        <item x="451"/>
        <item x="88"/>
        <item x="1546"/>
        <item x="493"/>
        <item x="772"/>
        <item x="2434"/>
        <item x="764"/>
        <item x="1181"/>
        <item x="1744"/>
        <item x="771"/>
        <item x="1926"/>
        <item x="2166"/>
        <item x="2269"/>
        <item x="171"/>
        <item x="673"/>
        <item x="2533"/>
        <item x="2446"/>
        <item x="175"/>
        <item x="502"/>
        <item x="321"/>
        <item x="163"/>
        <item x="252"/>
        <item x="2294"/>
        <item x="2253"/>
        <item x="402"/>
        <item x="347"/>
        <item x="631"/>
        <item x="131"/>
        <item x="1204"/>
        <item x="872"/>
        <item x="1091"/>
        <item x="94"/>
        <item x="2281"/>
        <item x="1077"/>
        <item x="2645"/>
        <item x="1073"/>
        <item x="2244"/>
        <item x="997"/>
        <item x="2777"/>
        <item x="272"/>
        <item x="638"/>
        <item x="754"/>
        <item x="296"/>
        <item x="1017"/>
        <item x="1164"/>
        <item x="110"/>
        <item x="470"/>
        <item x="87"/>
        <item x="2019"/>
        <item x="1689"/>
        <item x="1597"/>
        <item x="71"/>
        <item x="1323"/>
        <item x="108"/>
        <item x="2195"/>
        <item x="836"/>
        <item x="1849"/>
        <item x="796"/>
        <item x="1221"/>
        <item x="695"/>
        <item x="1508"/>
        <item x="951"/>
        <item x="2523"/>
        <item x="1205"/>
        <item x="146"/>
        <item x="530"/>
        <item x="186"/>
        <item x="1163"/>
        <item x="1731"/>
        <item x="2712"/>
        <item x="876"/>
        <item x="2776"/>
        <item x="45"/>
        <item x="2564"/>
        <item x="827"/>
        <item x="753"/>
        <item x="224"/>
        <item x="731"/>
        <item x="96"/>
        <item x="371"/>
        <item x="462"/>
        <item x="182"/>
        <item x="430"/>
        <item x="1534"/>
        <item x="137"/>
        <item x="1583"/>
        <item x="305"/>
        <item x="567"/>
        <item x="2406"/>
        <item x="170"/>
        <item x="559"/>
        <item x="2385"/>
        <item x="2568"/>
        <item x="844"/>
        <item x="702"/>
        <item x="1028"/>
        <item x="709"/>
        <item x="2610"/>
        <item x="2343"/>
        <item x="867"/>
        <item x="13"/>
        <item x="1859"/>
        <item x="963"/>
        <item x="850"/>
        <item x="97"/>
        <item x="20"/>
        <item x="1478"/>
        <item x="1043"/>
        <item x="2517"/>
        <item x="1661"/>
        <item x="920"/>
        <item x="1628"/>
        <item x="2360"/>
        <item x="2424"/>
        <item x="1484"/>
        <item x="1500"/>
        <item x="274"/>
        <item x="2156"/>
        <item x="2588"/>
        <item x="312"/>
        <item x="825"/>
        <item x="1543"/>
        <item x="152"/>
        <item x="569"/>
        <item x="2758"/>
        <item x="560"/>
        <item x="2649"/>
        <item x="61"/>
        <item x="463"/>
        <item x="1209"/>
        <item x="525"/>
        <item x="2470"/>
        <item x="2401"/>
        <item x="909"/>
        <item x="983"/>
        <item x="2775"/>
        <item x="1560"/>
        <item x="511"/>
        <item x="1430"/>
        <item x="419"/>
        <item x="594"/>
        <item x="1645"/>
        <item x="1786"/>
        <item x="485"/>
        <item x="1060"/>
        <item x="2069"/>
        <item x="1132"/>
        <item x="150"/>
        <item x="2741"/>
        <item x="1996"/>
        <item x="1493"/>
        <item x="897"/>
        <item x="2606"/>
        <item x="119"/>
        <item x="527"/>
        <item x="1452"/>
        <item x="1745"/>
        <item x="942"/>
        <item x="1382"/>
        <item x="310"/>
        <item x="1818"/>
        <item x="816"/>
        <item x="999"/>
        <item x="1702"/>
        <item x="2471"/>
        <item x="172"/>
        <item x="120"/>
        <item x="526"/>
        <item x="1572"/>
        <item x="1618"/>
        <item x="167"/>
        <item x="178"/>
        <item x="1927"/>
        <item x="1670"/>
        <item x="1108"/>
        <item x="1529"/>
        <item x="943"/>
        <item x="234"/>
        <item x="189"/>
        <item x="758"/>
        <item x="427"/>
        <item x="1000"/>
        <item x="1129"/>
        <item x="2398"/>
        <item x="2331"/>
        <item x="528"/>
        <item x="1188"/>
        <item x="442"/>
        <item x="381"/>
        <item x="2561"/>
        <item x="715"/>
        <item x="174"/>
        <item x="333"/>
        <item x="1"/>
        <item x="1724"/>
        <item x="607"/>
        <item x="26"/>
        <item x="406"/>
        <item x="720"/>
        <item x="2437"/>
        <item x="822"/>
        <item x="195"/>
        <item x="1318"/>
        <item x="766"/>
        <item x="864"/>
        <item x="2255"/>
        <item x="42"/>
        <item x="723"/>
        <item x="239"/>
        <item x="729"/>
        <item x="291"/>
        <item x="1301"/>
        <item x="722"/>
        <item x="2705"/>
        <item x="192"/>
        <item x="2209"/>
        <item x="123"/>
        <item x="62"/>
        <item x="740"/>
        <item x="487"/>
        <item x="480"/>
        <item x="2373"/>
        <item x="294"/>
        <item x="78"/>
        <item x="685"/>
        <item x="2015"/>
        <item x="264"/>
        <item x="242"/>
        <item x="1235"/>
        <item x="913"/>
        <item x="2142"/>
        <item x="2250"/>
        <item x="336"/>
        <item x="1667"/>
        <item x="1796"/>
        <item x="79"/>
        <item x="1809"/>
        <item x="4"/>
        <item x="489"/>
        <item x="65"/>
        <item x="900"/>
        <item x="1429"/>
        <item x="237"/>
        <item x="393"/>
        <item x="639"/>
        <item x="948"/>
        <item x="507"/>
        <item x="1650"/>
        <item x="1033"/>
        <item x="458"/>
        <item x="1806"/>
        <item x="1856"/>
        <item x="2769"/>
        <item x="966"/>
        <item x="1828"/>
        <item x="936"/>
        <item x="1814"/>
        <item x="537"/>
        <item x="2702"/>
        <item x="1580"/>
        <item x="1246"/>
        <item x="229"/>
        <item x="880"/>
        <item x="1540"/>
        <item x="553"/>
        <item x="713"/>
        <item x="6"/>
        <item x="841"/>
        <item x="2582"/>
        <item x="197"/>
        <item x="1871"/>
        <item x="1215"/>
        <item x="1679"/>
        <item x="57"/>
        <item x="179"/>
        <item x="282"/>
        <item x="885"/>
        <item x="74"/>
        <item x="2679"/>
        <item x="1694"/>
        <item x="374"/>
        <item x="366"/>
        <item x="2274"/>
        <item x="77"/>
        <item x="2370"/>
        <item x="2307"/>
        <item x="36"/>
        <item x="0"/>
        <item x="1266"/>
        <item x="104"/>
        <item x="1592"/>
        <item x="315"/>
        <item x="2275"/>
        <item x="944"/>
        <item x="1172"/>
        <item x="1975"/>
        <item x="50"/>
        <item x="969"/>
        <item x="2761"/>
        <item x="1428"/>
        <item x="1244"/>
        <item x="423"/>
        <item x="329"/>
        <item x="254"/>
        <item x="22"/>
        <item x="2087"/>
        <item x="596"/>
        <item x="1900"/>
        <item x="640"/>
        <item x="595"/>
        <item x="232"/>
        <item x="1389"/>
        <item x="316"/>
        <item x="2508"/>
        <item x="2512"/>
        <item x="1378"/>
        <item x="2583"/>
        <item x="1835"/>
        <item x="940"/>
        <item x="853"/>
        <item x="1531"/>
        <item x="1512"/>
        <item x="29"/>
        <item x="1113"/>
        <item x="2059"/>
        <item x="2050"/>
        <item x="1844"/>
        <item x="2671"/>
        <item x="260"/>
        <item x="1625"/>
        <item x="529"/>
        <item x="411"/>
        <item x="1297"/>
        <item x="2046"/>
        <item x="447"/>
        <item x="203"/>
        <item x="1897"/>
        <item x="2325"/>
        <item x="113"/>
        <item x="2612"/>
        <item x="303"/>
        <item x="2014"/>
        <item x="2193"/>
        <item x="1356"/>
        <item x="840"/>
        <item x="1010"/>
        <item x="2252"/>
        <item x="1936"/>
        <item x="1141"/>
        <item x="773"/>
        <item x="871"/>
        <item x="1622"/>
        <item x="1461"/>
        <item x="1509"/>
        <item x="159"/>
        <item x="1169"/>
        <item x="2478"/>
        <item x="1728"/>
        <item x="962"/>
        <item x="1658"/>
        <item x="2670"/>
        <item x="117"/>
        <item x="2494"/>
        <item x="236"/>
        <item x="1064"/>
        <item x="386"/>
        <item x="1620"/>
        <item x="622"/>
        <item x="1467"/>
        <item x="496"/>
        <item x="1106"/>
        <item x="434"/>
        <item x="2527"/>
        <item x="41"/>
        <item x="675"/>
        <item x="143"/>
        <item x="320"/>
        <item x="2669"/>
        <item x="1767"/>
        <item x="268"/>
        <item x="1232"/>
        <item x="1495"/>
        <item x="1584"/>
        <item x="1140"/>
        <item x="93"/>
        <item x="295"/>
        <item x="300"/>
        <item x="1255"/>
        <item x="1392"/>
        <item x="98"/>
        <item x="2451"/>
        <item x="1458"/>
        <item x="473"/>
        <item x="1657"/>
        <item x="30"/>
        <item x="1322"/>
        <item x="1404"/>
        <item x="2521"/>
        <item x="2480"/>
        <item x="202"/>
        <item x="2453"/>
        <item x="932"/>
        <item x="1263"/>
        <item x="1919"/>
        <item x="424"/>
        <item x="954"/>
        <item x="1486"/>
        <item x="1357"/>
        <item x="2053"/>
        <item x="1542"/>
        <item x="121"/>
        <item x="228"/>
        <item x="1457"/>
        <item x="1911"/>
        <item x="2362"/>
        <item x="115"/>
        <item x="464"/>
        <item x="1426"/>
        <item x="205"/>
        <item x="724"/>
        <item x="276"/>
        <item x="2531"/>
        <item x="503"/>
        <item x="1384"/>
        <item x="778"/>
        <item x="2119"/>
        <item x="1797"/>
        <item x="549"/>
        <item x="1732"/>
        <item x="629"/>
        <item x="2378"/>
        <item x="2334"/>
        <item x="2555"/>
        <item x="623"/>
        <item x="1935"/>
        <item x="184"/>
        <item x="627"/>
        <item x="1210"/>
        <item x="335"/>
        <item x="1601"/>
        <item x="2394"/>
        <item x="1609"/>
        <item x="394"/>
        <item x="1993"/>
        <item x="1285"/>
        <item x="1094"/>
        <item x="1938"/>
        <item x="39"/>
        <item x="739"/>
        <item x="578"/>
        <item x="1295"/>
        <item x="523"/>
        <item x="390"/>
        <item x="1151"/>
        <item x="945"/>
        <item x="1614"/>
        <item x="1449"/>
        <item x="116"/>
        <item x="1780"/>
        <item x="1154"/>
        <item x="407"/>
        <item x="1054"/>
        <item x="437"/>
        <item x="1185"/>
        <item x="2074"/>
        <item x="1118"/>
        <item x="55"/>
        <item x="2518"/>
        <item x="1503"/>
        <item x="1633"/>
        <item x="2340"/>
        <item x="1948"/>
        <item x="2068"/>
        <item x="1274"/>
        <item x="1729"/>
        <item x="1734"/>
        <item x="923"/>
        <item x="1288"/>
        <item x="2482"/>
        <item x="1972"/>
        <item x="581"/>
        <item x="1355"/>
        <item x="1200"/>
        <item x="725"/>
        <item x="1779"/>
        <item x="956"/>
        <item x="1387"/>
        <item x="392"/>
        <item x="1470"/>
        <item x="436"/>
        <item x="1298"/>
        <item x="598"/>
        <item x="107"/>
        <item x="218"/>
        <item x="323"/>
        <item x="1473"/>
        <item x="1854"/>
        <item x="2559"/>
        <item x="64"/>
        <item x="1563"/>
        <item x="2339"/>
        <item x="155"/>
        <item x="743"/>
        <item x="1973"/>
        <item x="111"/>
        <item x="2353"/>
        <item x="5"/>
        <item x="101"/>
        <item x="86"/>
        <item x="1573"/>
        <item x="2242"/>
        <item x="1648"/>
        <item x="1465"/>
        <item x="81"/>
        <item x="1813"/>
        <item x="1143"/>
        <item x="2022"/>
        <item x="2643"/>
        <item x="1805"/>
        <item x="711"/>
        <item x="367"/>
        <item x="732"/>
        <item x="540"/>
        <item x="2146"/>
        <item x="425"/>
        <item x="2265"/>
        <item x="1349"/>
        <item x="206"/>
        <item x="1309"/>
        <item x="1471"/>
        <item x="35"/>
        <item x="17"/>
        <item x="543"/>
        <item x="1877"/>
        <item x="340"/>
        <item x="1474"/>
        <item x="1005"/>
        <item x="169"/>
        <item x="1692"/>
        <item x="1561"/>
        <item x="1115"/>
        <item x="231"/>
        <item x="1887"/>
        <item x="1700"/>
        <item x="2384"/>
        <item x="1373"/>
        <item x="2102"/>
        <item x="1260"/>
        <item x="1986"/>
        <item x="857"/>
        <item x="927"/>
        <item x="318"/>
        <item x="1121"/>
        <item x="165"/>
        <item x="1502"/>
        <item x="1286"/>
        <item x="259"/>
        <item x="865"/>
        <item x="102"/>
        <item x="600"/>
        <item x="2180"/>
        <item x="2335"/>
        <item x="2563"/>
        <item x="866"/>
        <item x="1947"/>
        <item x="855"/>
        <item x="519"/>
        <item x="1277"/>
        <item x="1409"/>
        <item x="262"/>
        <item x="249"/>
        <item x="1013"/>
        <item x="2511"/>
        <item x="2558"/>
        <item x="84"/>
        <item x="1153"/>
        <item x="209"/>
        <item x="375"/>
        <item x="1018"/>
        <item x="2484"/>
        <item x="1379"/>
        <item x="380"/>
        <item x="2348"/>
        <item x="474"/>
        <item x="275"/>
        <item x="1691"/>
        <item x="1305"/>
        <item x="1346"/>
        <item x="1941"/>
        <item x="200"/>
        <item x="862"/>
        <item x="2312"/>
        <item x="1304"/>
        <item x="747"/>
        <item x="2170"/>
        <item x="1413"/>
        <item x="890"/>
        <item x="608"/>
        <item x="1576"/>
        <item x="2413"/>
        <item x="1725"/>
        <item x="1970"/>
        <item x="628"/>
        <item x="2207"/>
        <item x="2118"/>
        <item x="2287"/>
        <item x="1284"/>
        <item x="1940"/>
        <item x="500"/>
        <item x="2148"/>
        <item x="176"/>
        <item x="899"/>
        <item x="2214"/>
        <item x="2539"/>
        <item x="1548"/>
        <item x="1753"/>
        <item x="2377"/>
        <item x="1525"/>
        <item x="1894"/>
        <item x="1955"/>
        <item x="907"/>
        <item x="2158"/>
        <item x="1016"/>
        <item x="1967"/>
        <item x="1238"/>
        <item x="2350"/>
        <item x="2368"/>
        <item x="2656"/>
        <item x="1093"/>
        <item x="1019"/>
        <item x="682"/>
        <item x="1207"/>
        <item x="614"/>
        <item x="719"/>
        <item x="1293"/>
        <item x="2609"/>
        <item x="288"/>
        <item x="1703"/>
        <item x="1042"/>
        <item x="1417"/>
        <item x="317"/>
        <item x="403"/>
        <item x="1803"/>
        <item x="1756"/>
        <item x="1072"/>
        <item x="2392"/>
        <item x="2041"/>
        <item x="1087"/>
        <item x="1242"/>
        <item x="221"/>
        <item x="215"/>
        <item x="2749"/>
        <item x="1038"/>
        <item x="322"/>
        <item x="1523"/>
        <item x="651"/>
        <item x="2405"/>
        <item x="2101"/>
        <item x="1892"/>
        <item x="2738"/>
        <item x="1280"/>
        <item x="646"/>
        <item x="2247"/>
        <item x="1117"/>
        <item x="1303"/>
        <item x="1506"/>
        <item x="1677"/>
        <item x="455"/>
        <item x="439"/>
        <item x="345"/>
        <item x="461"/>
        <item x="133"/>
        <item x="1142"/>
        <item x="1790"/>
        <item x="978"/>
        <item x="476"/>
        <item x="2201"/>
        <item x="311"/>
        <item x="1011"/>
        <item x="574"/>
        <item x="1559"/>
        <item x="1131"/>
        <item x="905"/>
        <item x="2002"/>
        <item x="908"/>
        <item x="616"/>
        <item x="1848"/>
        <item x="2196"/>
        <item x="575"/>
        <item x="450"/>
        <item x="768"/>
        <item x="2520"/>
        <item x="984"/>
        <item x="1466"/>
        <item x="2753"/>
        <item x="774"/>
        <item x="2525"/>
        <item x="24"/>
        <item x="1841"/>
        <item x="2730"/>
        <item x="1182"/>
        <item x="693"/>
        <item x="1518"/>
        <item x="498"/>
        <item x="486"/>
        <item x="1660"/>
        <item x="1296"/>
        <item x="309"/>
        <item x="868"/>
        <item x="1784"/>
        <item x="597"/>
        <item x="1766"/>
        <item x="2060"/>
        <item x="1819"/>
        <item x="1419"/>
        <item x="1624"/>
        <item x="2708"/>
        <item x="2421"/>
        <item x="2419"/>
        <item x="293"/>
        <item x="2576"/>
        <item x="1116"/>
        <item x="91"/>
        <item x="1774"/>
        <item x="266"/>
        <item x="870"/>
        <item x="863"/>
        <item x="858"/>
        <item x="1504"/>
        <item x="1562"/>
        <item x="1823"/>
        <item x="2655"/>
        <item x="1698"/>
        <item x="1629"/>
        <item x="166"/>
        <item x="1802"/>
        <item x="2476"/>
        <item x="2587"/>
        <item x="1773"/>
        <item x="787"/>
        <item x="1388"/>
        <item x="415"/>
        <item x="95"/>
        <item x="1652"/>
        <item x="610"/>
        <item x="803"/>
        <item x="1468"/>
        <item x="191"/>
        <item x="2292"/>
        <item x="1040"/>
        <item x="626"/>
        <item x="555"/>
        <item x="2428"/>
        <item x="2638"/>
        <item x="760"/>
        <item x="1047"/>
        <item x="1760"/>
        <item x="40"/>
        <item x="1551"/>
        <item x="632"/>
        <item x="2008"/>
        <item x="1662"/>
        <item x="421"/>
        <item x="1775"/>
        <item x="2254"/>
        <item x="2733"/>
        <item x="72"/>
        <item x="1547"/>
        <item x="2458"/>
        <item x="1422"/>
        <item x="735"/>
        <item x="2217"/>
        <item x="535"/>
        <item x="161"/>
        <item x="658"/>
        <item x="2591"/>
        <item x="1513"/>
        <item x="132"/>
        <item x="388"/>
        <item x="2026"/>
        <item x="1201"/>
        <item x="1585"/>
        <item x="929"/>
        <item x="660"/>
        <item x="1857"/>
        <item x="1496"/>
        <item x="2072"/>
        <item x="383"/>
        <item x="1361"/>
        <item x="2264"/>
        <item x="1524"/>
        <item x="1586"/>
        <item x="284"/>
        <item x="2115"/>
        <item x="547"/>
        <item x="28"/>
        <item x="1096"/>
        <item x="2007"/>
        <item x="395"/>
        <item x="845"/>
        <item x="1090"/>
        <item x="2668"/>
        <item x="582"/>
        <item x="162"/>
        <item x="544"/>
        <item x="2100"/>
        <item x="790"/>
        <item x="1358"/>
        <item x="1261"/>
        <item x="1864"/>
        <item x="2544"/>
        <item x="2138"/>
        <item x="2474"/>
        <item x="1807"/>
        <item x="1196"/>
        <item x="1267"/>
        <item x="180"/>
        <item x="1328"/>
        <item x="928"/>
        <item x="625"/>
        <item x="75"/>
        <item x="1868"/>
        <item x="587"/>
        <item x="898"/>
        <item x="1920"/>
        <item x="1812"/>
        <item x="2240"/>
        <item x="2461"/>
        <item x="2139"/>
        <item x="706"/>
        <item x="2355"/>
        <item x="1917"/>
        <item x="2479"/>
        <item x="1939"/>
        <item x="2349"/>
        <item x="362"/>
        <item x="1071"/>
        <item x="879"/>
        <item x="2575"/>
        <item x="2550"/>
        <item x="1119"/>
        <item x="58"/>
        <item x="2290"/>
        <item x="2718"/>
        <item x="1675"/>
        <item x="1605"/>
        <item x="742"/>
        <item x="2578"/>
        <item x="1227"/>
        <item x="2241"/>
        <item x="1099"/>
        <item x="70"/>
        <item x="1846"/>
        <item x="2197"/>
        <item x="2491"/>
        <item x="2372"/>
        <item x="2220"/>
        <item x="1075"/>
        <item x="122"/>
        <item x="2717"/>
        <item x="2721"/>
        <item x="1391"/>
        <item x="891"/>
        <item x="611"/>
        <item x="558"/>
        <item x="1030"/>
        <item x="830"/>
        <item x="134"/>
        <item x="2230"/>
        <item x="1673"/>
        <item x="1477"/>
        <item x="2357"/>
        <item x="2160"/>
        <item x="1111"/>
        <item x="1777"/>
        <item x="1571"/>
        <item x="376"/>
        <item x="327"/>
        <item x="2676"/>
        <item x="579"/>
        <item x="568"/>
        <item x="1089"/>
        <item x="1334"/>
        <item x="173"/>
        <item x="521"/>
        <item x="2624"/>
        <item x="1007"/>
        <item x="198"/>
        <item x="2095"/>
        <item x="1682"/>
        <item x="2165"/>
        <item x="1264"/>
        <item x="1130"/>
        <item x="222"/>
        <item x="538"/>
        <item x="1627"/>
        <item x="1699"/>
        <item x="1902"/>
        <item x="2128"/>
        <item x="1053"/>
        <item x="1612"/>
        <item x="699"/>
        <item x="1462"/>
        <item x="401"/>
        <item x="1971"/>
        <item x="1037"/>
        <item x="2073"/>
        <item x="736"/>
        <item x="271"/>
        <item x="2070"/>
        <item x="968"/>
        <item x="1166"/>
        <item x="410"/>
        <item x="1124"/>
        <item x="1903"/>
        <item x="482"/>
        <item x="1014"/>
        <item x="2456"/>
        <item x="1832"/>
        <item x="2189"/>
        <item x="2492"/>
        <item x="1727"/>
        <item x="1995"/>
        <item x="2001"/>
        <item x="1312"/>
        <item x="1385"/>
        <item x="1335"/>
        <item x="1634"/>
        <item x="124"/>
        <item x="2206"/>
        <item x="2632"/>
        <item x="708"/>
        <item x="1581"/>
        <item x="1932"/>
        <item x="2498"/>
        <item x="645"/>
        <item x="2581"/>
        <item x="216"/>
        <item x="589"/>
        <item x="2571"/>
        <item x="1408"/>
        <item x="703"/>
        <item x="2369"/>
        <item x="168"/>
        <item x="233"/>
        <item x="506"/>
        <item x="831"/>
        <item x="342"/>
        <item x="2150"/>
        <item x="893"/>
        <item x="19"/>
        <item x="973"/>
        <item x="1332"/>
        <item x="2423"/>
        <item x="1079"/>
        <item x="605"/>
        <item x="1541"/>
        <item x="2653"/>
        <item x="2746"/>
        <item x="443"/>
        <item x="1359"/>
        <item x="1144"/>
        <item x="1770"/>
        <item x="468"/>
        <item x="193"/>
        <item x="636"/>
        <item x="2516"/>
        <item x="82"/>
        <item x="877"/>
        <item x="129"/>
        <item x="2192"/>
        <item x="888"/>
        <item x="223"/>
        <item x="1225"/>
        <item x="2235"/>
        <item x="1482"/>
        <item x="353"/>
        <item x="466"/>
        <item x="1721"/>
        <item x="539"/>
        <item x="2273"/>
        <item x="730"/>
        <item x="346"/>
        <item x="365"/>
        <item x="1080"/>
        <item x="2322"/>
        <item x="2750"/>
        <item x="105"/>
        <item x="245"/>
        <item x="812"/>
        <item x="1895"/>
        <item x="2037"/>
        <item x="1447"/>
        <item x="1757"/>
        <item x="363"/>
        <item x="351"/>
        <item x="2051"/>
        <item x="2234"/>
        <item x="823"/>
        <item x="1847"/>
        <item x="2469"/>
        <item x="2040"/>
        <item x="1475"/>
        <item x="1893"/>
        <item x="776"/>
        <item x="2757"/>
        <item x="1968"/>
        <item x="1125"/>
        <item x="302"/>
        <item x="2141"/>
        <item x="2715"/>
        <item x="2768"/>
        <item x="1455"/>
        <item x="2366"/>
        <item x="1735"/>
        <item x="2030"/>
        <item x="1665"/>
        <item x="1771"/>
        <item x="1765"/>
        <item x="1395"/>
        <item x="2161"/>
        <item x="741"/>
        <item x="409"/>
        <item x="666"/>
        <item x="135"/>
        <item x="109"/>
        <item x="1979"/>
        <item x="895"/>
        <item x="213"/>
        <item x="2359"/>
        <item x="548"/>
        <item x="570"/>
        <item x="2064"/>
        <item x="1199"/>
        <item x="748"/>
        <item x="860"/>
        <item x="820"/>
        <item x="441"/>
        <item x="154"/>
        <item x="44"/>
        <item x="1641"/>
        <item x="1907"/>
        <item x="2673"/>
        <item x="1885"/>
        <item x="1167"/>
        <item x="2157"/>
        <item x="1726"/>
        <item x="602"/>
        <item x="599"/>
        <item x="1937"/>
        <item x="1057"/>
        <item x="815"/>
        <item x="2029"/>
        <item x="2057"/>
        <item x="2382"/>
        <item x="1952"/>
        <item x="2726"/>
        <item x="2519"/>
        <item x="649"/>
        <item x="250"/>
        <item x="2259"/>
        <item x="1198"/>
        <item x="2379"/>
        <item x="2237"/>
        <item x="2347"/>
        <item x="2371"/>
        <item x="1890"/>
        <item x="2495"/>
        <item x="839"/>
        <item x="2444"/>
        <item x="328"/>
        <item x="114"/>
        <item x="2501"/>
        <item x="1214"/>
        <item x="1974"/>
        <item x="1569"/>
        <item x="1981"/>
        <item x="591"/>
        <item x="2528"/>
        <item x="1738"/>
        <item x="2006"/>
        <item x="779"/>
        <item x="2579"/>
        <item x="2475"/>
        <item x="2013"/>
        <item x="1155"/>
        <item x="25"/>
        <item x="2391"/>
        <item x="1048"/>
        <item x="2497"/>
        <item x="2731"/>
        <item x="2227"/>
        <item x="404"/>
        <item x="337"/>
        <item x="2552"/>
        <item x="824"/>
        <item x="1831"/>
        <item x="2086"/>
        <item x="140"/>
        <item x="1623"/>
        <item x="609"/>
        <item x="1555"/>
        <item x="2736"/>
        <item x="2036"/>
        <item x="1590"/>
        <item x="413"/>
        <item x="1716"/>
        <item x="974"/>
        <item x="652"/>
        <item x="705"/>
        <item x="1366"/>
        <item x="1226"/>
        <item x="1348"/>
        <item x="1587"/>
        <item x="1515"/>
        <item x="1321"/>
        <item x="308"/>
        <item x="1022"/>
        <item x="603"/>
        <item x="1924"/>
        <item x="2416"/>
        <item x="1740"/>
        <item x="27"/>
        <item x="1851"/>
        <item x="1041"/>
        <item x="1736"/>
        <item x="2770"/>
        <item x="1912"/>
        <item x="2098"/>
        <item x="319"/>
        <item x="2701"/>
        <item x="2364"/>
        <item x="2045"/>
        <item x="2219"/>
        <item x="1913"/>
        <item x="811"/>
        <item x="1289"/>
        <item x="664"/>
        <item x="1110"/>
        <item x="1758"/>
        <item x="2049"/>
        <item x="469"/>
        <item x="892"/>
        <item x="440"/>
        <item x="183"/>
        <item x="2337"/>
        <item x="1669"/>
        <item x="1695"/>
        <item x="2672"/>
        <item x="2599"/>
        <item x="1268"/>
        <item x="995"/>
        <item x="1591"/>
        <item x="1552"/>
        <item x="1713"/>
        <item x="1723"/>
        <item x="509"/>
        <item x="497"/>
        <item x="2678"/>
        <item x="2608"/>
        <item x="931"/>
        <item x="1714"/>
        <item x="1058"/>
        <item x="641"/>
        <item x="426"/>
        <item x="1353"/>
        <item x="1801"/>
        <item x="1463"/>
        <item x="2345"/>
        <item x="2052"/>
        <item x="379"/>
        <item x="2092"/>
        <item x="1505"/>
        <item x="2735"/>
        <item x="201"/>
        <item x="60"/>
        <item x="2159"/>
        <item x="2513"/>
        <item x="1126"/>
        <item x="1910"/>
        <item x="1921"/>
        <item x="971"/>
        <item x="1330"/>
        <item x="2532"/>
        <item x="2618"/>
        <item x="821"/>
        <item x="2625"/>
        <item x="1950"/>
        <item x="1020"/>
        <item x="1100"/>
        <item x="804"/>
        <item x="1672"/>
        <item x="2171"/>
        <item x="2126"/>
        <item x="1663"/>
        <item x="1220"/>
        <item x="1794"/>
        <item x="80"/>
        <item x="330"/>
        <item x="1626"/>
        <item x="243"/>
        <item x="1607"/>
        <item x="1976"/>
        <item x="1712"/>
        <item x="1530"/>
        <item x="1186"/>
        <item x="1012"/>
        <item x="2452"/>
        <item x="2486"/>
        <item x="1383"/>
        <item x="1251"/>
        <item x="985"/>
        <item x="255"/>
        <item x="1044"/>
        <item x="1821"/>
        <item x="1034"/>
        <item x="784"/>
        <item x="1536"/>
        <item x="1707"/>
        <item x="1354"/>
        <item x="854"/>
        <item x="2256"/>
        <item x="1596"/>
        <item x="501"/>
        <item x="334"/>
        <item x="759"/>
        <item x="2381"/>
        <item x="1158"/>
        <item x="1247"/>
        <item x="883"/>
        <item x="1171"/>
        <item x="2336"/>
        <item x="2667"/>
        <item x="1202"/>
        <item x="678"/>
        <item x="1683"/>
        <item x="2103"/>
        <item x="1962"/>
        <item x="910"/>
        <item x="1340"/>
        <item x="2272"/>
        <item x="979"/>
        <item x="265"/>
        <item x="1336"/>
        <item x="2584"/>
        <item x="349"/>
        <item x="2547"/>
        <item x="2043"/>
        <item x="2703"/>
        <item x="2404"/>
        <item x="1761"/>
        <item x="714"/>
        <item x="361"/>
        <item x="2407"/>
        <item x="1424"/>
        <item x="1195"/>
        <item x="2449"/>
        <item x="2162"/>
        <item x="2403"/>
        <item x="90"/>
        <item x="1364"/>
        <item x="2560"/>
        <item x="1664"/>
        <item x="852"/>
        <item x="158"/>
        <item x="2634"/>
        <item x="2607"/>
        <item x="1351"/>
        <item x="1632"/>
        <item x="1192"/>
        <item x="2099"/>
        <item x="1922"/>
        <item x="2762"/>
        <item x="1410"/>
        <item x="2393"/>
        <item x="1918"/>
        <item x="2651"/>
        <item x="2426"/>
        <item x="1412"/>
        <item x="2226"/>
        <item x="2062"/>
        <item x="2723"/>
        <item x="1327"/>
        <item x="1783"/>
        <item x="100"/>
        <item x="190"/>
        <item x="2105"/>
        <item x="1291"/>
        <item x="2734"/>
        <item x="588"/>
        <item x="975"/>
        <item x="1958"/>
        <item x="2627"/>
        <item x="1372"/>
        <item x="2719"/>
        <item x="63"/>
        <item x="1722"/>
        <item x="1231"/>
        <item x="757"/>
        <item x="1187"/>
        <item x="2677"/>
        <item x="1852"/>
        <item x="1319"/>
        <item x="2737"/>
        <item x="903"/>
        <item x="212"/>
        <item x="382"/>
        <item x="2111"/>
        <item x="1224"/>
        <item x="2298"/>
        <item x="998"/>
        <item x="1904"/>
        <item x="350"/>
        <item x="2300"/>
        <item x="151"/>
        <item x="2190"/>
        <item x="31"/>
        <item x="716"/>
        <item x="32"/>
        <item x="970"/>
        <item x="1906"/>
        <item x="2143"/>
        <item x="1314"/>
        <item x="1556"/>
        <item x="112"/>
        <item x="1229"/>
        <item x="301"/>
        <item x="1139"/>
        <item x="1252"/>
        <item x="2690"/>
        <item x="2647"/>
        <item x="2623"/>
        <item x="2352"/>
        <item x="2522"/>
        <item x="2628"/>
        <item x="2376"/>
        <item x="1446"/>
        <item x="1510"/>
        <item x="2744"/>
        <item x="2090"/>
        <item x="307"/>
        <item x="2691"/>
        <item x="1957"/>
        <item x="2496"/>
        <item x="1883"/>
        <item x="704"/>
        <item x="422"/>
        <item x="2397"/>
        <item x="919"/>
        <item x="2341"/>
        <item x="604"/>
        <item x="2716"/>
        <item x="746"/>
        <item x="2202"/>
        <item x="946"/>
        <item x="76"/>
        <item x="1666"/>
        <item x="592"/>
        <item x="103"/>
        <item x="2236"/>
        <item x="2448"/>
        <item x="1055"/>
        <item x="1254"/>
        <item x="1570"/>
        <item x="1593"/>
        <item x="1168"/>
        <item x="2129"/>
        <item x="2447"/>
        <item x="304"/>
        <item x="286"/>
        <item x="2169"/>
        <item x="847"/>
        <item x="1035"/>
        <item x="1451"/>
        <item x="694"/>
        <item x="562"/>
        <item x="2346"/>
        <item x="1963"/>
        <item x="1362"/>
        <item x="1306"/>
        <item x="1102"/>
        <item x="941"/>
        <item x="89"/>
        <item x="1184"/>
        <item x="1450"/>
        <item x="994"/>
        <item x="34"/>
        <item x="2310"/>
        <item x="1376"/>
        <item x="745"/>
        <item x="1123"/>
        <item x="141"/>
        <item x="1997"/>
        <item x="1884"/>
        <item x="1405"/>
        <item x="378"/>
        <item x="1432"/>
        <item x="1316"/>
        <item x="238"/>
        <item x="1104"/>
        <item x="2493"/>
        <item x="2652"/>
        <item x="786"/>
        <item x="756"/>
        <item x="2472"/>
        <item x="1991"/>
        <item x="47"/>
        <item x="1649"/>
        <item x="2005"/>
        <item x="1046"/>
        <item x="1956"/>
        <item x="1611"/>
        <item x="452"/>
        <item x="2039"/>
        <item x="935"/>
        <item x="1183"/>
        <item x="299"/>
        <item x="2633"/>
        <item x="2231"/>
        <item x="1684"/>
        <item x="1795"/>
        <item x="1271"/>
        <item x="802"/>
        <item x="1886"/>
        <item x="181"/>
        <item x="2124"/>
        <item x="1399"/>
        <item x="2279"/>
        <item x="341"/>
        <item x="43"/>
        <item x="2477"/>
        <item x="990"/>
        <item x="1522"/>
        <item x="1159"/>
        <item x="396"/>
        <item x="1245"/>
        <item x="2277"/>
        <item x="2288"/>
        <item x="505"/>
        <item x="83"/>
        <item x="917"/>
        <item x="2291"/>
        <item x="2317"/>
        <item x="2600"/>
        <item x="1982"/>
        <item x="533"/>
        <item x="1730"/>
        <item x="1929"/>
        <item x="1193"/>
        <item x="2603"/>
        <item x="2604"/>
        <item x="355"/>
        <item x="508"/>
        <item x="1865"/>
        <item x="618"/>
        <item x="2027"/>
        <item x="1608"/>
        <item x="125"/>
        <item x="921"/>
        <item x="952"/>
        <item x="2502"/>
        <item x="1858"/>
        <item x="391"/>
        <item x="297"/>
        <item x="2134"/>
        <item x="106"/>
        <item x="1147"/>
        <item x="2338"/>
        <item x="1782"/>
        <item x="522"/>
        <item x="1230"/>
        <item x="964"/>
        <item x="1553"/>
        <item x="1671"/>
        <item x="2390"/>
        <item x="2305"/>
        <item x="1112"/>
        <item x="606"/>
        <item x="139"/>
        <item x="960"/>
        <item x="2363"/>
        <item x="2724"/>
        <item x="2499"/>
        <item x="1056"/>
        <item x="1352"/>
        <item x="1696"/>
        <item x="449"/>
        <item x="1307"/>
        <item x="273"/>
        <item x="1928"/>
        <item x="1769"/>
        <item x="2754"/>
        <item x="670"/>
        <item x="2135"/>
        <item x="1148"/>
        <item x="1050"/>
        <item x="1827"/>
        <item x="1791"/>
        <item x="672"/>
        <item x="2238"/>
        <item x="1610"/>
        <item x="958"/>
        <item x="788"/>
        <item x="1680"/>
        <item x="1431"/>
        <item x="2464"/>
        <item x="668"/>
        <item x="1497"/>
        <item x="2536"/>
        <item x="2435"/>
        <item x="1776"/>
        <item x="2574"/>
        <item x="2113"/>
        <item x="2529"/>
        <item x="513"/>
        <item x="220"/>
        <item x="2365"/>
        <item x="576"/>
        <item x="2620"/>
        <item x="1222"/>
        <item x="225"/>
        <item x="1365"/>
        <item x="789"/>
        <item x="2720"/>
        <item x="280"/>
        <item x="2301"/>
        <item x="520"/>
        <item x="2696"/>
        <item x="2751"/>
        <item x="2058"/>
        <item x="368"/>
        <item x="1287"/>
        <item x="257"/>
        <item x="2722"/>
        <item x="290"/>
        <item x="1032"/>
        <item x="1036"/>
        <item x="737"/>
        <item x="902"/>
        <item x="2657"/>
        <item x="1262"/>
        <item x="2145"/>
        <item x="2168"/>
        <item x="696"/>
        <item x="2004"/>
        <item x="972"/>
        <item x="2225"/>
        <item x="1320"/>
        <item x="1697"/>
        <item x="1888"/>
        <item x="1472"/>
        <item x="1173"/>
        <item x="2191"/>
        <item x="269"/>
        <item x="512"/>
        <item x="1651"/>
        <item x="683"/>
        <item x="2213"/>
        <item x="248"/>
        <item x="1636"/>
        <item x="667"/>
        <item x="1647"/>
        <item x="1074"/>
        <item x="38"/>
        <item x="619"/>
        <item x="1588"/>
        <item x="1514"/>
        <item x="1889"/>
        <item x="1127"/>
        <item x="1300"/>
        <item x="467"/>
        <item x="1233"/>
        <item x="674"/>
        <item x="2066"/>
        <item x="1469"/>
        <item x="1875"/>
        <item x="194"/>
        <item x="2308"/>
        <item x="2012"/>
        <item x="2304"/>
        <item x="1302"/>
        <item x="2136"/>
        <item x="657"/>
        <item x="1400"/>
        <item x="2112"/>
        <item x="1103"/>
        <item x="2183"/>
        <item x="453"/>
        <item x="572"/>
        <item x="2699"/>
        <item x="2093"/>
        <item x="2442"/>
        <item x="2000"/>
        <item x="1737"/>
        <item x="697"/>
        <item x="2023"/>
        <item x="1511"/>
        <item x="149"/>
        <item x="809"/>
        <item x="542"/>
        <item x="763"/>
        <item x="1097"/>
        <item x="118"/>
        <item x="1615"/>
        <item x="1532"/>
        <item x="251"/>
        <item x="217"/>
        <item x="352"/>
        <item x="1984"/>
        <item x="2293"/>
        <item x="733"/>
        <item x="1282"/>
        <item x="2163"/>
        <item x="1441"/>
        <item x="256"/>
        <item x="2417"/>
        <item x="2329"/>
        <item x="1674"/>
        <item x="1453"/>
        <item x="2239"/>
        <item x="601"/>
        <item x="1557"/>
        <item x="2186"/>
        <item x="1454"/>
        <item x="2010"/>
        <item x="838"/>
        <item x="1026"/>
        <item x="2728"/>
        <item x="1785"/>
        <item x="777"/>
        <item x="164"/>
        <item x="444"/>
        <item x="253"/>
        <item x="1659"/>
        <item x="2557"/>
        <item x="446"/>
        <item x="156"/>
        <item x="356"/>
        <item x="2184"/>
        <item x="1746"/>
        <item x="922"/>
        <item x="2309"/>
        <item x="2316"/>
        <item x="1815"/>
        <item x="2326"/>
        <item x="1120"/>
        <item x="1360"/>
        <item x="1988"/>
        <item x="157"/>
        <item x="624"/>
        <item x="399"/>
        <item x="2546"/>
        <item x="717"/>
        <item x="800"/>
        <item x="1339"/>
        <item x="1109"/>
        <item x="1313"/>
        <item x="806"/>
        <item x="2182"/>
        <item x="377"/>
        <item x="387"/>
        <item x="2332"/>
        <item x="2034"/>
        <item x="1898"/>
        <item x="1899"/>
        <item x="1078"/>
        <item x="2125"/>
        <item x="1987"/>
        <item x="1817"/>
        <item x="37"/>
        <item x="1998"/>
        <item x="2396"/>
        <item x="988"/>
        <item x="339"/>
        <item x="1992"/>
        <item x="554"/>
        <item x="2438"/>
        <item x="889"/>
        <item x="1194"/>
        <item x="1177"/>
        <item x="869"/>
        <item x="2680"/>
        <item x="226"/>
        <item x="826"/>
        <item x="479"/>
        <item x="1644"/>
        <item x="2457"/>
        <item x="1107"/>
        <item x="2120"/>
        <item x="414"/>
        <item x="637"/>
        <item x="653"/>
        <item x="359"/>
        <item x="536"/>
        <item x="130"/>
        <item x="671"/>
        <item x="2063"/>
        <item x="1062"/>
        <item x="420"/>
        <item x="2646"/>
        <item x="1165"/>
        <item x="2626"/>
        <item x="2137"/>
        <item x="518"/>
        <item x="613"/>
        <item x="227"/>
        <item x="1613"/>
        <item x="10"/>
        <item x="856"/>
        <item x="2311"/>
        <item x="2181"/>
        <item x="1733"/>
        <item x="2540"/>
        <item x="2530"/>
        <item x="1237"/>
        <item x="2009"/>
        <item x="2759"/>
        <item x="1253"/>
        <item x="676"/>
        <item x="882"/>
        <item x="1845"/>
        <item x="1380"/>
        <item x="2590"/>
        <item x="2229"/>
        <item x="1370"/>
        <item x="750"/>
        <item x="445"/>
        <item x="1294"/>
        <item x="878"/>
        <item x="2071"/>
        <item x="2017"/>
        <item x="2760"/>
        <item x="338"/>
        <item x="1483"/>
        <item x="2641"/>
        <item x="1464"/>
        <item x="1269"/>
        <item x="199"/>
        <item x="1098"/>
        <item x="1180"/>
        <item x="712"/>
        <item x="1401"/>
        <item x="1411"/>
        <item x="2553"/>
        <item x="1363"/>
        <item x="2551"/>
        <item x="1589"/>
        <item x="1946"/>
        <item x="1421"/>
        <item x="573"/>
        <item x="2297"/>
        <item x="2654"/>
        <item x="2548"/>
        <item x="1325"/>
        <item x="136"/>
        <item x="1606"/>
        <item x="2414"/>
        <item x="2443"/>
        <item x="669"/>
        <item x="2395"/>
        <item x="1507"/>
        <item x="1980"/>
        <item x="718"/>
        <item x="1678"/>
        <item x="1024"/>
        <item x="1061"/>
        <item x="147"/>
        <item x="2140"/>
        <item x="2283"/>
        <item x="1337"/>
        <item x="1381"/>
        <item x="1234"/>
        <item x="2302"/>
        <item x="1250"/>
        <item x="2713"/>
        <item x="851"/>
        <item x="949"/>
        <item x="2622"/>
        <item x="769"/>
        <item x="1491"/>
        <item x="2107"/>
        <item x="1015"/>
        <item x="465"/>
        <item x="475"/>
        <item x="2615"/>
        <item x="1326"/>
        <item x="1959"/>
        <item x="1860"/>
        <item x="2683"/>
        <item x="2388"/>
        <item x="2433"/>
        <item x="2016"/>
        <item x="541"/>
        <item x="959"/>
        <item x="2631"/>
        <item x="2035"/>
        <item x="2739"/>
        <item x="1855"/>
        <item x="615"/>
        <item x="1403"/>
        <item x="1595"/>
        <item x="2038"/>
        <item x="277"/>
        <item x="138"/>
        <item x="92"/>
        <item x="785"/>
        <item x="2208"/>
        <item x="1088"/>
        <item x="2144"/>
        <item x="2692"/>
        <item x="912"/>
        <item x="805"/>
        <item x="1397"/>
        <item x="2601"/>
        <item x="1599"/>
        <item x="285"/>
        <item x="1415"/>
        <item x="1978"/>
        <item x="2025"/>
        <item x="73"/>
        <item x="1211"/>
        <item x="1249"/>
        <item x="906"/>
        <item x="1485"/>
        <item x="2067"/>
        <item x="1925"/>
        <item x="807"/>
        <item x="1923"/>
        <item x="987"/>
        <item x="2003"/>
        <item x="1631"/>
        <item x="2075"/>
        <item x="1329"/>
        <item x="2534"/>
        <item x="2418"/>
        <item x="11"/>
        <item x="2503"/>
        <item x="21"/>
        <item x="1278"/>
        <item x="1248"/>
        <item x="967"/>
        <item x="1197"/>
        <item x="2314"/>
        <item x="828"/>
        <item x="1021"/>
        <item x="454"/>
        <item x="412"/>
        <item x="298"/>
        <item x="1241"/>
        <item x="859"/>
        <item x="332"/>
        <item x="1420"/>
        <item x="557"/>
        <item x="1905"/>
        <item x="2387"/>
        <item x="2187"/>
        <item x="1931"/>
        <item x="2044"/>
        <item x="1969"/>
        <item x="808"/>
        <item x="1324"/>
        <item x="1394"/>
        <item x="1635"/>
        <item x="324"/>
        <item x="1594"/>
        <item x="2747"/>
        <item x="1870"/>
        <item x="219"/>
        <item x="456"/>
        <item x="2556"/>
        <item x="552"/>
        <item x="188"/>
        <item x="267"/>
        <item x="1942"/>
        <item x="187"/>
        <item x="2351"/>
        <item x="263"/>
        <item x="2367"/>
        <item x="531"/>
        <item x="1333"/>
        <item x="2675"/>
        <item x="2485"/>
        <item x="2763"/>
        <item x="153"/>
        <item x="762"/>
        <item x="1272"/>
        <item x="1031"/>
        <item x="8"/>
        <item x="360"/>
        <item x="2700"/>
        <item x="953"/>
        <item x="1688"/>
        <item x="1476"/>
        <item x="99"/>
        <item x="348"/>
        <item x="1964"/>
        <item x="2047"/>
        <item x="1152"/>
        <item x="1709"/>
        <item x="331"/>
        <item x="1800"/>
        <item x="2585"/>
        <item x="1748"/>
        <item x="2640"/>
        <item x="2011"/>
        <item x="1049"/>
        <item x="144"/>
        <item x="1545"/>
        <item x="2399"/>
        <item x="692"/>
        <item x="1811"/>
        <item x="1045"/>
        <item x="1489"/>
        <item x="1369"/>
        <item x="2629"/>
        <item x="2042"/>
        <item x="2164"/>
        <item x="2266"/>
        <item x="1459"/>
        <item x="1579"/>
        <item x="2616"/>
        <item x="2389"/>
        <item x="1490"/>
        <item x="1460"/>
        <item x="801"/>
        <item x="2383"/>
        <item x="1480"/>
        <item x="2333"/>
        <item x="911"/>
        <item x="1270"/>
        <item x="1375"/>
        <item x="2380"/>
        <item x="477"/>
        <item x="2152"/>
        <item x="2228"/>
        <item x="1853"/>
        <item x="354"/>
        <item x="2130"/>
        <item x="1315"/>
        <item x="1029"/>
        <item x="2110"/>
        <item x="2487"/>
        <item x="2630"/>
        <item x="214"/>
        <item x="2565"/>
        <item x="2261"/>
        <item x="1290"/>
        <item x="1190"/>
        <item x="211"/>
        <item x="1977"/>
        <item x="1999"/>
        <item x="1179"/>
        <item x="2179"/>
        <item x="2755"/>
        <item x="1787"/>
        <item x="370"/>
        <item x="1990"/>
        <item x="650"/>
        <item x="2089"/>
        <item x="2088"/>
        <item x="1966"/>
        <item x="2315"/>
        <item x="2688"/>
        <item x="7"/>
        <item x="1789"/>
        <item x="2412"/>
        <item x="633"/>
        <item x="2500"/>
        <item x="2262"/>
        <item x="2400"/>
        <item x="398"/>
        <item x="1640"/>
        <item x="1240"/>
        <item x="894"/>
        <item x="2232"/>
        <item x="1243"/>
        <item x="1554"/>
        <item x="2178"/>
        <item x="2524"/>
        <item x="1690"/>
        <item x="571"/>
        <item x="1236"/>
        <item x="1418"/>
        <item x="1820"/>
        <item x="1390"/>
        <item x="1810"/>
        <item t="default"/>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Profit"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03D01C-718E-448D-B064-B46817EAF26F}"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showAll="0"/>
    <pivotField showAll="0">
      <items count="740">
        <item x="38"/>
        <item x="645"/>
        <item x="595"/>
        <item x="481"/>
        <item x="474"/>
        <item x="668"/>
        <item x="37"/>
        <item x="376"/>
        <item x="399"/>
        <item x="342"/>
        <item x="484"/>
        <item x="371"/>
        <item x="245"/>
        <item x="374"/>
        <item x="616"/>
        <item x="636"/>
        <item x="453"/>
        <item x="588"/>
        <item x="442"/>
        <item x="235"/>
        <item x="327"/>
        <item x="191"/>
        <item x="226"/>
        <item x="150"/>
        <item x="436"/>
        <item x="477"/>
        <item x="320"/>
        <item x="85"/>
        <item x="321"/>
        <item x="80"/>
        <item x="174"/>
        <item x="364"/>
        <item x="64"/>
        <item x="687"/>
        <item x="728"/>
        <item x="702"/>
        <item x="156"/>
        <item x="289"/>
        <item x="373"/>
        <item x="50"/>
        <item x="667"/>
        <item x="32"/>
        <item x="261"/>
        <item x="379"/>
        <item x="387"/>
        <item x="8"/>
        <item x="519"/>
        <item x="348"/>
        <item x="703"/>
        <item x="96"/>
        <item x="499"/>
        <item x="97"/>
        <item x="430"/>
        <item x="280"/>
        <item x="578"/>
        <item x="31"/>
        <item x="154"/>
        <item x="464"/>
        <item x="558"/>
        <item x="582"/>
        <item x="271"/>
        <item x="246"/>
        <item x="421"/>
        <item x="708"/>
        <item x="119"/>
        <item x="611"/>
        <item x="139"/>
        <item x="201"/>
        <item x="383"/>
        <item x="151"/>
        <item x="518"/>
        <item x="182"/>
        <item x="276"/>
        <item x="159"/>
        <item x="692"/>
        <item x="225"/>
        <item x="434"/>
        <item x="420"/>
        <item x="701"/>
        <item x="516"/>
        <item x="87"/>
        <item x="490"/>
        <item x="656"/>
        <item x="524"/>
        <item x="441"/>
        <item x="114"/>
        <item x="410"/>
        <item x="219"/>
        <item x="542"/>
        <item x="10"/>
        <item x="699"/>
        <item x="384"/>
        <item x="514"/>
        <item x="298"/>
        <item x="390"/>
        <item x="534"/>
        <item x="232"/>
        <item x="143"/>
        <item x="405"/>
        <item x="101"/>
        <item x="123"/>
        <item x="397"/>
        <item x="604"/>
        <item x="158"/>
        <item x="538"/>
        <item x="115"/>
        <item x="669"/>
        <item x="662"/>
        <item x="354"/>
        <item x="81"/>
        <item x="629"/>
        <item x="124"/>
        <item x="121"/>
        <item x="357"/>
        <item x="727"/>
        <item x="93"/>
        <item x="537"/>
        <item x="649"/>
        <item x="382"/>
        <item x="431"/>
        <item x="525"/>
        <item x="297"/>
        <item x="584"/>
        <item x="712"/>
        <item x="162"/>
        <item x="438"/>
        <item x="735"/>
        <item x="181"/>
        <item x="480"/>
        <item x="43"/>
        <item x="215"/>
        <item x="553"/>
        <item x="19"/>
        <item x="523"/>
        <item x="724"/>
        <item x="190"/>
        <item x="515"/>
        <item x="109"/>
        <item x="472"/>
        <item x="428"/>
        <item x="583"/>
        <item x="646"/>
        <item x="449"/>
        <item x="468"/>
        <item x="435"/>
        <item x="125"/>
        <item x="685"/>
        <item x="554"/>
        <item x="326"/>
        <item x="378"/>
        <item x="622"/>
        <item x="318"/>
        <item x="732"/>
        <item x="36"/>
        <item x="722"/>
        <item x="406"/>
        <item x="439"/>
        <item x="106"/>
        <item x="409"/>
        <item x="466"/>
        <item x="445"/>
        <item x="323"/>
        <item x="40"/>
        <item x="577"/>
        <item x="315"/>
        <item x="18"/>
        <item x="512"/>
        <item x="11"/>
        <item x="561"/>
        <item x="713"/>
        <item x="332"/>
        <item x="134"/>
        <item x="555"/>
        <item x="347"/>
        <item x="545"/>
        <item x="213"/>
        <item x="424"/>
        <item x="312"/>
        <item x="284"/>
        <item x="411"/>
        <item x="0"/>
        <item x="404"/>
        <item x="145"/>
        <item x="575"/>
        <item x="24"/>
        <item x="337"/>
        <item x="339"/>
        <item x="641"/>
        <item x="367"/>
        <item x="230"/>
        <item x="299"/>
        <item x="290"/>
        <item x="417"/>
        <item x="136"/>
        <item x="572"/>
        <item x="489"/>
        <item x="242"/>
        <item x="268"/>
        <item x="14"/>
        <item x="625"/>
        <item x="252"/>
        <item x="17"/>
        <item x="720"/>
        <item x="262"/>
        <item x="671"/>
        <item x="196"/>
        <item x="135"/>
        <item x="416"/>
        <item x="311"/>
        <item x="228"/>
        <item x="216"/>
        <item x="482"/>
        <item x="105"/>
        <item x="610"/>
        <item x="651"/>
        <item x="137"/>
        <item x="544"/>
        <item x="244"/>
        <item x="673"/>
        <item x="593"/>
        <item x="129"/>
        <item x="423"/>
        <item x="473"/>
        <item x="478"/>
        <item x="183"/>
        <item x="237"/>
        <item x="142"/>
        <item x="655"/>
        <item x="351"/>
        <item x="79"/>
        <item x="565"/>
        <item x="385"/>
        <item x="294"/>
        <item x="634"/>
        <item x="602"/>
        <item x="89"/>
        <item x="175"/>
        <item x="465"/>
        <item x="138"/>
        <item x="12"/>
        <item x="131"/>
        <item x="447"/>
        <item x="517"/>
        <item x="307"/>
        <item x="574"/>
        <item x="253"/>
        <item x="643"/>
        <item x="679"/>
        <item x="224"/>
        <item x="415"/>
        <item x="487"/>
        <item x="363"/>
        <item x="346"/>
        <item x="35"/>
        <item x="352"/>
        <item x="548"/>
        <item x="45"/>
        <item x="334"/>
        <item x="506"/>
        <item x="691"/>
        <item x="65"/>
        <item x="360"/>
        <item x="126"/>
        <item x="306"/>
        <item x="240"/>
        <item x="674"/>
        <item x="467"/>
        <item x="408"/>
        <item x="601"/>
        <item x="144"/>
        <item x="497"/>
        <item x="633"/>
        <item x="75"/>
        <item x="166"/>
        <item x="456"/>
        <item x="178"/>
        <item x="272"/>
        <item x="443"/>
        <item x="682"/>
        <item x="392"/>
        <item x="90"/>
        <item x="28"/>
        <item x="705"/>
        <item x="116"/>
        <item x="356"/>
        <item x="98"/>
        <item x="57"/>
        <item x="640"/>
        <item x="22"/>
        <item x="61"/>
        <item x="581"/>
        <item x="25"/>
        <item x="103"/>
        <item x="639"/>
        <item x="91"/>
        <item x="714"/>
        <item x="493"/>
        <item x="128"/>
        <item x="475"/>
        <item x="243"/>
        <item x="675"/>
        <item x="503"/>
        <item x="450"/>
        <item x="551"/>
        <item x="608"/>
        <item x="104"/>
        <item x="598"/>
        <item x="398"/>
        <item x="362"/>
        <item x="155"/>
        <item x="236"/>
        <item x="186"/>
        <item x="4"/>
        <item x="381"/>
        <item x="322"/>
        <item x="632"/>
        <item x="149"/>
        <item x="710"/>
        <item x="566"/>
        <item x="644"/>
        <item x="642"/>
        <item x="461"/>
        <item x="552"/>
        <item x="528"/>
        <item x="599"/>
        <item x="579"/>
        <item x="73"/>
        <item x="689"/>
        <item x="366"/>
        <item x="358"/>
        <item x="344"/>
        <item x="448"/>
        <item x="455"/>
        <item x="549"/>
        <item x="275"/>
        <item x="707"/>
        <item x="483"/>
        <item x="241"/>
        <item x="563"/>
        <item x="33"/>
        <item x="391"/>
        <item x="310"/>
        <item x="511"/>
        <item x="69"/>
        <item x="585"/>
        <item x="287"/>
        <item x="612"/>
        <item x="454"/>
        <item x="665"/>
        <item x="355"/>
        <item x="58"/>
        <item x="427"/>
        <item x="140"/>
        <item x="345"/>
        <item x="630"/>
        <item x="72"/>
        <item x="513"/>
        <item x="394"/>
        <item x="303"/>
        <item x="82"/>
        <item x="697"/>
        <item x="283"/>
        <item x="177"/>
        <item x="521"/>
        <item x="231"/>
        <item x="733"/>
        <item x="369"/>
        <item x="657"/>
        <item x="507"/>
        <item x="711"/>
        <item x="425"/>
        <item x="256"/>
        <item x="400"/>
        <item x="635"/>
        <item x="460"/>
        <item x="188"/>
        <item x="526"/>
        <item x="403"/>
        <item x="470"/>
        <item x="203"/>
        <item x="279"/>
        <item x="539"/>
        <item x="661"/>
        <item x="396"/>
        <item x="48"/>
        <item x="189"/>
        <item x="580"/>
        <item x="498"/>
        <item x="292"/>
        <item x="704"/>
        <item x="51"/>
        <item x="496"/>
        <item x="77"/>
        <item x="207"/>
        <item x="42"/>
        <item x="479"/>
        <item x="233"/>
        <item x="44"/>
        <item x="462"/>
        <item x="619"/>
        <item x="414"/>
        <item x="55"/>
        <item x="504"/>
        <item x="654"/>
        <item x="249"/>
        <item x="180"/>
        <item x="505"/>
        <item x="719"/>
        <item x="501"/>
        <item x="29"/>
        <item x="47"/>
        <item x="731"/>
        <item x="693"/>
        <item x="185"/>
        <item x="146"/>
        <item x="596"/>
        <item x="393"/>
        <item x="130"/>
        <item x="184"/>
        <item x="370"/>
        <item x="510"/>
        <item x="187"/>
        <item x="169"/>
        <item x="591"/>
        <item x="648"/>
        <item x="488"/>
        <item x="618"/>
        <item x="559"/>
        <item x="621"/>
        <item x="202"/>
        <item x="199"/>
        <item x="255"/>
        <item x="592"/>
        <item x="626"/>
        <item x="568"/>
        <item x="107"/>
        <item x="218"/>
        <item x="212"/>
        <item x="316"/>
        <item x="331"/>
        <item x="304"/>
        <item x="222"/>
        <item x="3"/>
        <item x="652"/>
        <item x="206"/>
        <item x="663"/>
        <item x="170"/>
        <item x="5"/>
        <item x="476"/>
        <item x="270"/>
        <item x="210"/>
        <item x="653"/>
        <item x="161"/>
        <item x="726"/>
        <item x="15"/>
        <item x="148"/>
        <item x="113"/>
        <item x="600"/>
        <item x="603"/>
        <item x="54"/>
        <item x="265"/>
        <item x="192"/>
        <item x="172"/>
        <item x="293"/>
        <item x="607"/>
        <item x="288"/>
        <item x="494"/>
        <item x="296"/>
        <item x="176"/>
        <item x="520"/>
        <item x="680"/>
        <item x="386"/>
        <item x="53"/>
        <item x="152"/>
        <item x="389"/>
        <item x="589"/>
        <item x="132"/>
        <item x="541"/>
        <item x="677"/>
        <item x="469"/>
        <item x="7"/>
        <item x="133"/>
        <item x="291"/>
        <item x="605"/>
        <item x="530"/>
        <item x="734"/>
        <item x="324"/>
        <item x="147"/>
        <item x="353"/>
        <item x="451"/>
        <item x="333"/>
        <item x="617"/>
        <item x="141"/>
        <item x="678"/>
        <item x="76"/>
        <item x="594"/>
        <item x="2"/>
        <item x="361"/>
        <item x="660"/>
        <item x="471"/>
        <item x="426"/>
        <item x="631"/>
        <item x="500"/>
        <item x="343"/>
        <item x="670"/>
        <item x="402"/>
        <item x="419"/>
        <item x="683"/>
        <item x="546"/>
        <item x="717"/>
        <item x="418"/>
        <item x="86"/>
        <item x="730"/>
        <item x="248"/>
        <item x="21"/>
        <item x="375"/>
        <item x="83"/>
        <item x="295"/>
        <item x="20"/>
        <item x="16"/>
        <item x="223"/>
        <item x="715"/>
        <item x="709"/>
        <item x="440"/>
        <item x="664"/>
        <item x="120"/>
        <item x="157"/>
        <item x="214"/>
        <item x="30"/>
        <item x="368"/>
        <item x="349"/>
        <item x="301"/>
        <item x="716"/>
        <item x="39"/>
        <item x="193"/>
        <item x="264"/>
        <item x="573"/>
        <item x="624"/>
        <item x="536"/>
        <item x="413"/>
        <item x="736"/>
        <item x="94"/>
        <item x="557"/>
        <item x="254"/>
        <item x="695"/>
        <item x="194"/>
        <item x="99"/>
        <item x="52"/>
        <item x="251"/>
        <item x="84"/>
        <item x="208"/>
        <item x="377"/>
        <item x="153"/>
        <item x="71"/>
        <item x="66"/>
        <item x="329"/>
        <item x="620"/>
        <item x="340"/>
        <item x="277"/>
        <item x="220"/>
        <item x="721"/>
        <item x="88"/>
        <item x="613"/>
        <item x="317"/>
        <item x="623"/>
        <item x="422"/>
        <item x="1"/>
        <item x="527"/>
        <item x="615"/>
        <item x="491"/>
        <item x="108"/>
        <item x="412"/>
        <item x="590"/>
        <item x="459"/>
        <item x="737"/>
        <item x="531"/>
        <item x="543"/>
        <item x="100"/>
        <item x="260"/>
        <item x="164"/>
        <item x="46"/>
        <item x="112"/>
        <item x="198"/>
        <item x="122"/>
        <item x="698"/>
        <item x="540"/>
        <item x="211"/>
        <item x="328"/>
        <item x="492"/>
        <item x="597"/>
        <item x="49"/>
        <item x="395"/>
        <item x="302"/>
        <item x="532"/>
        <item x="365"/>
        <item x="446"/>
        <item x="706"/>
        <item x="725"/>
        <item x="179"/>
        <item x="167"/>
        <item x="658"/>
        <item x="67"/>
        <item x="380"/>
        <item x="111"/>
        <item x="569"/>
        <item x="300"/>
        <item x="282"/>
        <item x="60"/>
        <item x="570"/>
        <item x="70"/>
        <item x="59"/>
        <item x="247"/>
        <item x="229"/>
        <item x="508"/>
        <item x="305"/>
        <item x="314"/>
        <item x="313"/>
        <item x="34"/>
        <item x="197"/>
        <item x="672"/>
        <item x="217"/>
        <item x="23"/>
        <item x="74"/>
        <item x="535"/>
        <item x="676"/>
        <item x="227"/>
        <item x="117"/>
        <item x="684"/>
        <item x="341"/>
        <item x="335"/>
        <item x="567"/>
        <item x="463"/>
        <item x="63"/>
        <item x="41"/>
        <item x="95"/>
        <item x="681"/>
        <item x="690"/>
        <item x="458"/>
        <item x="550"/>
        <item x="9"/>
        <item x="27"/>
        <item x="257"/>
        <item x="200"/>
        <item x="718"/>
        <item x="429"/>
        <item x="437"/>
        <item x="452"/>
        <item x="62"/>
        <item x="238"/>
        <item x="336"/>
        <item x="614"/>
        <item x="444"/>
        <item x="457"/>
        <item x="163"/>
        <item x="259"/>
        <item x="205"/>
        <item x="165"/>
        <item x="495"/>
        <item x="485"/>
        <item x="92"/>
        <item x="110"/>
        <item x="269"/>
        <item x="258"/>
        <item x="576"/>
        <item x="78"/>
        <item x="509"/>
        <item x="372"/>
        <item x="666"/>
        <item x="627"/>
        <item x="432"/>
        <item x="700"/>
        <item x="587"/>
        <item x="556"/>
        <item x="628"/>
        <item x="723"/>
        <item x="250"/>
        <item x="319"/>
        <item x="273"/>
        <item x="688"/>
        <item x="171"/>
        <item x="433"/>
        <item x="239"/>
        <item x="694"/>
        <item x="204"/>
        <item x="647"/>
        <item x="560"/>
        <item x="586"/>
        <item x="638"/>
        <item x="529"/>
        <item x="308"/>
        <item x="729"/>
        <item x="127"/>
        <item x="359"/>
        <item x="267"/>
        <item x="309"/>
        <item x="609"/>
        <item x="286"/>
        <item x="571"/>
        <item x="350"/>
        <item x="285"/>
        <item x="209"/>
        <item x="696"/>
        <item x="407"/>
        <item x="221"/>
        <item x="13"/>
        <item x="650"/>
        <item x="281"/>
        <item x="502"/>
        <item x="637"/>
        <item x="686"/>
        <item x="522"/>
        <item x="263"/>
        <item x="56"/>
        <item x="338"/>
        <item x="278"/>
        <item x="274"/>
        <item x="606"/>
        <item x="168"/>
        <item x="388"/>
        <item x="330"/>
        <item x="160"/>
        <item x="68"/>
        <item x="118"/>
        <item x="26"/>
        <item x="401"/>
        <item x="659"/>
        <item x="195"/>
        <item x="102"/>
        <item x="173"/>
        <item x="562"/>
        <item x="6"/>
        <item x="564"/>
        <item x="266"/>
        <item x="234"/>
        <item x="325"/>
        <item x="486"/>
        <item x="533"/>
        <item x="547"/>
        <item x="738"/>
        <item t="default"/>
      </items>
    </pivotField>
    <pivotField showAll="0">
      <items count="50">
        <item x="22"/>
        <item x="23"/>
        <item x="29"/>
        <item x="3"/>
        <item x="19"/>
        <item x="27"/>
        <item x="7"/>
        <item x="45"/>
        <item x="9"/>
        <item x="4"/>
        <item x="24"/>
        <item x="1"/>
        <item x="26"/>
        <item x="42"/>
        <item x="36"/>
        <item x="5"/>
        <item x="21"/>
        <item x="33"/>
        <item x="39"/>
        <item x="20"/>
        <item x="18"/>
        <item x="28"/>
        <item x="32"/>
        <item x="14"/>
        <item x="25"/>
        <item x="37"/>
        <item x="13"/>
        <item x="43"/>
        <item x="11"/>
        <item x="38"/>
        <item x="12"/>
        <item x="15"/>
        <item x="16"/>
        <item x="34"/>
        <item x="35"/>
        <item x="2"/>
        <item x="40"/>
        <item x="17"/>
        <item x="47"/>
        <item x="31"/>
        <item x="0"/>
        <item x="30"/>
        <item x="41"/>
        <item x="6"/>
        <item x="10"/>
        <item x="46"/>
        <item x="8"/>
        <item x="44"/>
        <item x="48"/>
        <item t="default"/>
      </items>
    </pivotField>
    <pivotField axis="axisRow" showAll="0">
      <items count="5">
        <item x="1"/>
        <item x="0"/>
        <item x="2"/>
        <item x="3"/>
        <item t="default"/>
      </items>
    </pivotField>
    <pivotField showAll="0">
      <items count="19">
        <item x="9"/>
        <item x="13"/>
        <item x="4"/>
        <item x="3"/>
        <item x="12"/>
        <item x="5"/>
        <item x="15"/>
        <item x="11"/>
        <item x="7"/>
        <item x="8"/>
        <item x="1"/>
        <item x="16"/>
        <item x="0"/>
        <item x="6"/>
        <item x="2"/>
        <item x="14"/>
        <item x="10"/>
        <item x="17"/>
        <item t="default"/>
      </items>
    </pivotField>
    <pivotField showAll="0">
      <items count="1610">
        <item x="1509"/>
        <item x="233"/>
        <item x="481"/>
        <item x="953"/>
        <item x="1114"/>
        <item x="1354"/>
        <item x="1181"/>
        <item x="1573"/>
        <item x="603"/>
        <item x="1244"/>
        <item x="1459"/>
        <item x="791"/>
        <item x="65"/>
        <item x="694"/>
        <item x="1543"/>
        <item x="437"/>
        <item x="212"/>
        <item x="820"/>
        <item x="1327"/>
        <item x="393"/>
        <item x="1035"/>
        <item x="769"/>
        <item x="935"/>
        <item x="575"/>
        <item x="1240"/>
        <item x="288"/>
        <item x="31"/>
        <item x="949"/>
        <item x="1577"/>
        <item x="1541"/>
        <item x="215"/>
        <item x="1528"/>
        <item x="817"/>
        <item x="148"/>
        <item x="309"/>
        <item x="1527"/>
        <item x="511"/>
        <item x="506"/>
        <item x="718"/>
        <item x="532"/>
        <item x="15"/>
        <item x="874"/>
        <item x="406"/>
        <item x="1264"/>
        <item x="564"/>
        <item x="35"/>
        <item x="1390"/>
        <item x="1188"/>
        <item x="514"/>
        <item x="885"/>
        <item x="181"/>
        <item x="626"/>
        <item x="429"/>
        <item x="1388"/>
        <item x="368"/>
        <item x="838"/>
        <item x="367"/>
        <item x="347"/>
        <item x="708"/>
        <item x="370"/>
        <item x="546"/>
        <item x="818"/>
        <item x="741"/>
        <item x="316"/>
        <item x="404"/>
        <item x="196"/>
        <item x="71"/>
        <item x="1383"/>
        <item x="495"/>
        <item x="515"/>
        <item x="231"/>
        <item x="1239"/>
        <item x="1198"/>
        <item x="542"/>
        <item x="1451"/>
        <item x="959"/>
        <item x="584"/>
        <item x="710"/>
        <item x="172"/>
        <item x="1033"/>
        <item x="326"/>
        <item x="1455"/>
        <item x="457"/>
        <item x="207"/>
        <item x="1564"/>
        <item x="637"/>
        <item x="512"/>
        <item x="118"/>
        <item x="213"/>
        <item x="989"/>
        <item x="773"/>
        <item x="809"/>
        <item x="432"/>
        <item x="105"/>
        <item x="271"/>
        <item x="419"/>
        <item x="1245"/>
        <item x="682"/>
        <item x="345"/>
        <item x="790"/>
        <item x="1147"/>
        <item x="487"/>
        <item x="330"/>
        <item x="403"/>
        <item x="1022"/>
        <item x="970"/>
        <item x="12"/>
        <item x="430"/>
        <item x="217"/>
        <item x="713"/>
        <item x="986"/>
        <item x="969"/>
        <item x="1064"/>
        <item x="1116"/>
        <item x="516"/>
        <item x="1260"/>
        <item x="1434"/>
        <item x="440"/>
        <item x="880"/>
        <item x="397"/>
        <item x="882"/>
        <item x="666"/>
        <item x="1227"/>
        <item x="1068"/>
        <item x="1313"/>
        <item x="712"/>
        <item x="711"/>
        <item x="1219"/>
        <item x="1092"/>
        <item x="1473"/>
        <item x="1366"/>
        <item x="56"/>
        <item x="848"/>
        <item x="876"/>
        <item x="634"/>
        <item x="341"/>
        <item x="157"/>
        <item x="24"/>
        <item x="857"/>
        <item x="1588"/>
        <item x="32"/>
        <item x="1251"/>
        <item x="395"/>
        <item x="154"/>
        <item x="138"/>
        <item x="839"/>
        <item x="1073"/>
        <item x="578"/>
        <item x="934"/>
        <item x="688"/>
        <item x="1194"/>
        <item x="696"/>
        <item x="1146"/>
        <item x="1055"/>
        <item x="812"/>
        <item x="1378"/>
        <item x="1399"/>
        <item x="1100"/>
        <item x="894"/>
        <item x="503"/>
        <item x="957"/>
        <item x="1190"/>
        <item x="1212"/>
        <item x="1418"/>
        <item x="30"/>
        <item x="164"/>
        <item x="18"/>
        <item x="40"/>
        <item x="1477"/>
        <item x="1032"/>
        <item x="1179"/>
        <item x="1011"/>
        <item x="854"/>
        <item x="280"/>
        <item x="92"/>
        <item x="764"/>
        <item x="629"/>
        <item x="352"/>
        <item x="62"/>
        <item x="1139"/>
        <item x="1393"/>
        <item x="1409"/>
        <item x="507"/>
        <item x="840"/>
        <item x="369"/>
        <item x="1133"/>
        <item x="899"/>
        <item x="649"/>
        <item x="188"/>
        <item x="1"/>
        <item x="607"/>
        <item x="1287"/>
        <item x="468"/>
        <item x="222"/>
        <item x="289"/>
        <item x="1394"/>
        <item x="266"/>
        <item x="1365"/>
        <item x="104"/>
        <item x="470"/>
        <item x="1255"/>
        <item x="903"/>
        <item x="1401"/>
        <item x="204"/>
        <item x="1170"/>
        <item x="748"/>
        <item x="261"/>
        <item x="166"/>
        <item x="26"/>
        <item x="1220"/>
        <item x="1024"/>
        <item x="866"/>
        <item x="851"/>
        <item x="33"/>
        <item x="588"/>
        <item x="1286"/>
        <item x="965"/>
        <item x="1182"/>
        <item x="407"/>
        <item x="282"/>
        <item x="560"/>
        <item x="4"/>
        <item x="1009"/>
        <item x="1193"/>
        <item x="926"/>
        <item x="358"/>
        <item x="405"/>
        <item x="1501"/>
        <item x="107"/>
        <item x="1040"/>
        <item x="761"/>
        <item x="707"/>
        <item x="1491"/>
        <item x="401"/>
        <item x="1012"/>
        <item x="693"/>
        <item x="518"/>
        <item x="1515"/>
        <item x="135"/>
        <item x="541"/>
        <item x="559"/>
        <item x="937"/>
        <item x="1150"/>
        <item x="1337"/>
        <item x="182"/>
        <item x="1208"/>
        <item x="889"/>
        <item x="1014"/>
        <item x="955"/>
        <item x="661"/>
        <item x="162"/>
        <item x="1108"/>
        <item x="543"/>
        <item x="928"/>
        <item x="1400"/>
        <item x="1599"/>
        <item x="246"/>
        <item x="520"/>
        <item x="1098"/>
        <item x="1231"/>
        <item x="1329"/>
        <item x="1084"/>
        <item x="1483"/>
        <item x="1350"/>
        <item x="1431"/>
        <item x="850"/>
        <item x="1257"/>
        <item x="399"/>
        <item x="1080"/>
        <item x="192"/>
        <item x="145"/>
        <item x="254"/>
        <item x="587"/>
        <item x="66"/>
        <item x="1038"/>
        <item x="942"/>
        <item x="54"/>
        <item x="983"/>
        <item x="237"/>
        <item x="1306"/>
        <item x="205"/>
        <item x="1496"/>
        <item x="566"/>
        <item x="408"/>
        <item x="68"/>
        <item x="1602"/>
        <item x="142"/>
        <item x="982"/>
        <item x="1189"/>
        <item x="121"/>
        <item x="808"/>
        <item x="1476"/>
        <item x="333"/>
        <item x="618"/>
        <item x="421"/>
        <item x="1372"/>
        <item x="48"/>
        <item x="1044"/>
        <item x="364"/>
        <item x="1234"/>
        <item x="1432"/>
        <item x="990"/>
        <item x="595"/>
        <item x="458"/>
        <item x="251"/>
        <item x="1299"/>
        <item x="1224"/>
        <item x="1099"/>
        <item x="662"/>
        <item x="1519"/>
        <item x="842"/>
        <item x="705"/>
        <item x="893"/>
        <item x="570"/>
        <item x="211"/>
        <item x="134"/>
        <item x="331"/>
        <item x="1214"/>
        <item x="371"/>
        <item x="84"/>
        <item x="1335"/>
        <item x="313"/>
        <item x="1223"/>
        <item x="314"/>
        <item x="1178"/>
        <item x="931"/>
        <item x="886"/>
        <item x="643"/>
        <item x="936"/>
        <item x="163"/>
        <item x="1206"/>
        <item x="690"/>
        <item x="366"/>
        <item x="664"/>
        <item x="994"/>
        <item x="1063"/>
        <item x="1283"/>
        <item x="1512"/>
        <item x="921"/>
        <item x="1177"/>
        <item x="283"/>
        <item x="804"/>
        <item x="1120"/>
        <item x="1036"/>
        <item x="1290"/>
        <item x="1047"/>
        <item x="614"/>
        <item x="1183"/>
        <item x="1562"/>
        <item x="1277"/>
        <item x="273"/>
        <item x="523"/>
        <item x="698"/>
        <item x="968"/>
        <item x="736"/>
        <item x="636"/>
        <item x="1328"/>
        <item x="530"/>
        <item x="259"/>
        <item x="835"/>
        <item x="1312"/>
        <item x="61"/>
        <item x="998"/>
        <item x="719"/>
        <item x="1426"/>
        <item x="76"/>
        <item x="425"/>
        <item x="1349"/>
        <item x="497"/>
        <item x="1373"/>
        <item x="77"/>
        <item x="1316"/>
        <item x="1217"/>
        <item x="232"/>
        <item x="1511"/>
        <item x="128"/>
        <item x="247"/>
        <item x="752"/>
        <item x="1138"/>
        <item x="483"/>
        <item x="652"/>
        <item x="1176"/>
        <item x="1464"/>
        <item x="951"/>
        <item x="499"/>
        <item x="1141"/>
        <item x="1201"/>
        <item x="294"/>
        <item x="784"/>
        <item x="286"/>
        <item x="695"/>
        <item x="353"/>
        <item x="1554"/>
        <item x="574"/>
        <item x="925"/>
        <item x="496"/>
        <item x="1452"/>
        <item x="1104"/>
        <item x="1596"/>
        <item x="131"/>
        <item x="1115"/>
        <item x="1242"/>
        <item x="1604"/>
        <item x="1415"/>
        <item x="1558"/>
        <item x="466"/>
        <item x="669"/>
        <item x="798"/>
        <item x="226"/>
        <item x="451"/>
        <item x="625"/>
        <item x="1142"/>
        <item x="1416"/>
        <item x="909"/>
        <item x="1137"/>
        <item x="843"/>
        <item x="945"/>
        <item x="79"/>
        <item x="223"/>
        <item x="464"/>
        <item x="1236"/>
        <item x="1270"/>
        <item x="113"/>
        <item x="1410"/>
        <item x="1563"/>
        <item x="720"/>
        <item x="1059"/>
        <item x="444"/>
        <item x="342"/>
        <item x="1467"/>
        <item x="787"/>
        <item x="51"/>
        <item x="721"/>
        <item x="1186"/>
        <item x="782"/>
        <item x="1276"/>
        <item x="1516"/>
        <item x="488"/>
        <item x="1441"/>
        <item x="605"/>
        <item x="388"/>
        <item x="1148"/>
        <item x="1005"/>
        <item x="1518"/>
        <item x="20"/>
        <item x="168"/>
        <item x="581"/>
        <item x="1566"/>
        <item x="552"/>
        <item x="895"/>
        <item x="445"/>
        <item x="1175"/>
        <item x="200"/>
        <item x="697"/>
        <item x="898"/>
        <item x="1061"/>
        <item x="602"/>
        <item x="253"/>
        <item x="858"/>
        <item x="1346"/>
        <item x="1532"/>
        <item x="1406"/>
        <item x="777"/>
        <item x="760"/>
        <item x="255"/>
        <item x="6"/>
        <item x="400"/>
        <item x="485"/>
        <item x="193"/>
        <item x="1420"/>
        <item x="1576"/>
        <item x="722"/>
        <item x="522"/>
        <item x="1555"/>
        <item x="258"/>
        <item x="665"/>
        <item x="800"/>
        <item x="245"/>
        <item x="871"/>
        <item x="1570"/>
        <item x="177"/>
        <item x="112"/>
        <item x="1261"/>
        <item x="91"/>
        <item x="1397"/>
        <item x="385"/>
        <item x="1163"/>
        <item x="1134"/>
        <item x="555"/>
        <item x="1444"/>
        <item x="1481"/>
        <item x="1449"/>
        <item x="1292"/>
        <item x="1207"/>
        <item x="644"/>
        <item x="715"/>
        <item x="794"/>
        <item x="1166"/>
        <item x="1045"/>
        <item x="1083"/>
        <item x="811"/>
        <item x="343"/>
        <item x="709"/>
        <item x="1272"/>
        <item x="1263"/>
        <item x="558"/>
        <item x="242"/>
        <item x="1331"/>
        <item x="831"/>
        <item x="932"/>
        <item x="860"/>
        <item x="1557"/>
        <item x="646"/>
        <item x="359"/>
        <item x="1109"/>
        <item x="1241"/>
        <item x="492"/>
        <item x="175"/>
        <item x="684"/>
        <item x="1118"/>
        <item x="1345"/>
        <item x="170"/>
        <item x="64"/>
        <item x="153"/>
        <item x="85"/>
        <item x="749"/>
        <item x="1359"/>
        <item x="1174"/>
        <item x="1078"/>
        <item x="1319"/>
        <item x="656"/>
        <item x="21"/>
        <item x="102"/>
        <item x="381"/>
        <item x="420"/>
        <item x="1450"/>
        <item x="950"/>
        <item x="278"/>
        <item x="1443"/>
        <item x="324"/>
        <item x="1574"/>
        <item x="1228"/>
        <item x="1155"/>
        <item x="98"/>
        <item x="766"/>
        <item x="528"/>
        <item x="390"/>
        <item x="257"/>
        <item x="1342"/>
        <item x="972"/>
        <item x="1323"/>
        <item x="735"/>
        <item x="1408"/>
        <item x="1149"/>
        <item x="734"/>
        <item x="731"/>
        <item x="447"/>
        <item x="1482"/>
        <item x="900"/>
        <item x="332"/>
        <item x="52"/>
        <item x="1126"/>
        <item x="269"/>
        <item x="1486"/>
        <item x="1250"/>
        <item x="167"/>
        <item x="1302"/>
        <item x="975"/>
        <item x="1288"/>
        <item x="486"/>
        <item x="263"/>
        <item x="1067"/>
        <item x="44"/>
        <item x="1463"/>
        <item x="1352"/>
        <item x="1571"/>
        <item x="580"/>
        <item x="477"/>
        <item x="810"/>
        <item x="88"/>
        <item x="967"/>
        <item x="475"/>
        <item x="1425"/>
        <item x="691"/>
        <item x="187"/>
        <item x="772"/>
        <item x="339"/>
        <item x="120"/>
        <item x="617"/>
        <item x="1398"/>
        <item x="1371"/>
        <item x="1590"/>
        <item x="739"/>
        <item x="1375"/>
        <item x="1199"/>
        <item x="1421"/>
        <item x="594"/>
        <item x="303"/>
        <item x="228"/>
        <item x="856"/>
        <item x="210"/>
        <item x="645"/>
        <item x="453"/>
        <item x="1113"/>
        <item x="844"/>
        <item x="1405"/>
        <item x="382"/>
        <item x="1384"/>
        <item x="847"/>
        <item x="1572"/>
        <item x="1412"/>
        <item x="1273"/>
        <item x="391"/>
        <item x="747"/>
        <item x="151"/>
        <item x="913"/>
        <item x="877"/>
        <item x="165"/>
        <item x="946"/>
        <item x="991"/>
        <item x="1123"/>
        <item x="716"/>
        <item x="1381"/>
        <item x="414"/>
        <item x="27"/>
        <item x="469"/>
        <item x="813"/>
        <item x="3"/>
        <item x="785"/>
        <item x="29"/>
        <item x="216"/>
        <item x="1000"/>
        <item x="1202"/>
        <item x="700"/>
        <item x="1157"/>
        <item x="1103"/>
        <item x="1454"/>
        <item x="1324"/>
        <item x="384"/>
        <item x="1010"/>
        <item x="72"/>
        <item x="881"/>
        <item x="826"/>
        <item x="1048"/>
        <item x="10"/>
        <item x="577"/>
        <item x="867"/>
        <item x="297"/>
        <item x="590"/>
        <item x="573"/>
        <item x="82"/>
        <item x="1553"/>
        <item x="1144"/>
        <item x="568"/>
        <item x="944"/>
        <item x="757"/>
        <item x="1249"/>
        <item x="274"/>
        <item x="287"/>
        <item x="892"/>
        <item x="7"/>
        <item x="1296"/>
        <item x="1559"/>
        <item x="462"/>
        <item x="658"/>
        <item x="491"/>
        <item x="1495"/>
        <item x="841"/>
        <item x="1102"/>
        <item x="673"/>
        <item x="45"/>
        <item x="922"/>
        <item x="275"/>
        <item x="431"/>
        <item x="930"/>
        <item x="81"/>
        <item x="1462"/>
        <item x="745"/>
        <item x="1200"/>
        <item x="1016"/>
        <item x="1291"/>
        <item x="74"/>
        <item x="539"/>
        <item x="1131"/>
        <item x="427"/>
        <item x="1248"/>
        <item x="992"/>
        <item x="39"/>
        <item x="328"/>
        <item x="789"/>
        <item x="348"/>
        <item x="1356"/>
        <item x="268"/>
        <item x="904"/>
        <item x="1081"/>
        <item x="356"/>
        <item x="624"/>
        <item x="240"/>
        <item x="1158"/>
        <item x="442"/>
        <item x="1096"/>
        <item x="1488"/>
        <item x="671"/>
        <item x="958"/>
        <item x="1317"/>
        <item x="50"/>
        <item x="1603"/>
        <item x="1368"/>
        <item x="1135"/>
        <item x="902"/>
        <item x="1019"/>
        <item x="185"/>
        <item x="1446"/>
        <item x="1469"/>
        <item x="531"/>
        <item x="484"/>
        <item x="1079"/>
        <item x="927"/>
        <item x="1300"/>
        <item x="376"/>
        <item x="1367"/>
        <item x="171"/>
        <item x="743"/>
        <item x="416"/>
        <item x="864"/>
        <item x="1433"/>
        <item x="783"/>
        <item x="37"/>
        <item x="1506"/>
        <item x="1348"/>
        <item x="788"/>
        <item x="598"/>
        <item x="1497"/>
        <item x="1585"/>
        <item x="296"/>
        <item x="455"/>
        <item x="1143"/>
        <item x="1362"/>
        <item x="941"/>
        <item x="302"/>
        <item x="423"/>
        <item x="238"/>
        <item x="1549"/>
        <item x="563"/>
        <item x="334"/>
        <item x="1117"/>
        <item x="675"/>
        <item x="703"/>
        <item x="203"/>
        <item x="642"/>
        <item x="948"/>
        <item x="576"/>
        <item x="197"/>
        <item x="1050"/>
        <item x="517"/>
        <item x="1088"/>
        <item x="1298"/>
        <item x="208"/>
        <item x="728"/>
        <item x="306"/>
        <item x="1606"/>
        <item x="1440"/>
        <item x="1379"/>
        <item x="1542"/>
        <item x="686"/>
        <item x="1544"/>
        <item x="717"/>
        <item x="723"/>
        <item x="319"/>
        <item x="220"/>
        <item x="1376"/>
        <item x="276"/>
        <item x="19"/>
        <item x="796"/>
        <item x="505"/>
        <item x="819"/>
        <item x="14"/>
        <item x="875"/>
        <item x="1403"/>
        <item x="1060"/>
        <item x="906"/>
        <item x="1385"/>
        <item x="801"/>
        <item x="911"/>
        <item x="611"/>
        <item x="463"/>
        <item x="593"/>
        <item x="424"/>
        <item x="58"/>
        <item x="510"/>
        <item x="1537"/>
        <item x="620"/>
        <item x="1266"/>
        <item x="1594"/>
        <item x="8"/>
        <item x="355"/>
        <item x="25"/>
        <item x="1321"/>
        <item x="1281"/>
        <item x="827"/>
        <item x="746"/>
        <item x="123"/>
        <item x="1184"/>
        <item x="803"/>
        <item x="940"/>
        <item x="418"/>
        <item x="1456"/>
        <item x="763"/>
        <item x="1392"/>
        <item x="589"/>
        <item x="1274"/>
        <item x="604"/>
        <item x="915"/>
        <item x="1049"/>
        <item x="127"/>
        <item x="1520"/>
        <item x="473"/>
        <item x="795"/>
        <item x="1216"/>
        <item x="1447"/>
        <item x="1269"/>
        <item x="729"/>
        <item x="1196"/>
        <item x="387"/>
        <item x="480"/>
        <item x="1531"/>
        <item x="490"/>
        <item x="660"/>
        <item x="1581"/>
        <item x="556"/>
        <item x="1204"/>
        <item x="610"/>
        <item x="689"/>
        <item x="152"/>
        <item x="354"/>
        <item x="412"/>
        <item x="1008"/>
        <item x="859"/>
        <item x="1124"/>
        <item x="733"/>
        <item x="443"/>
        <item x="1395"/>
        <item x="411"/>
        <item x="1256"/>
        <item x="1507"/>
        <item x="1297"/>
        <item x="1112"/>
        <item x="670"/>
        <item x="884"/>
        <item x="1191"/>
        <item x="126"/>
        <item x="846"/>
        <item x="461"/>
        <item x="129"/>
        <item x="608"/>
        <item x="924"/>
        <item x="1424"/>
        <item x="248"/>
        <item x="727"/>
        <item x="124"/>
        <item x="1280"/>
        <item x="1605"/>
        <item x="908"/>
        <item x="1259"/>
        <item x="823"/>
        <item x="459"/>
        <item x="988"/>
        <item x="1282"/>
        <item x="1487"/>
        <item x="997"/>
        <item x="409"/>
        <item x="191"/>
        <item x="668"/>
        <item x="701"/>
        <item x="184"/>
        <item x="599"/>
        <item x="1538"/>
        <item x="601"/>
        <item x="262"/>
        <item x="201"/>
        <item x="329"/>
        <item x="1222"/>
        <item x="465"/>
        <item x="1391"/>
        <item x="869"/>
        <item x="1180"/>
        <item x="1545"/>
        <item x="1056"/>
        <item x="103"/>
        <item x="591"/>
        <item x="338"/>
        <item x="943"/>
        <item x="779"/>
        <item x="250"/>
        <item x="1057"/>
        <item x="1203"/>
        <item x="952"/>
        <item x="150"/>
        <item x="70"/>
        <item x="1315"/>
        <item x="146"/>
        <item x="109"/>
        <item x="380"/>
        <item x="413"/>
        <item x="383"/>
        <item x="1215"/>
        <item x="897"/>
        <item x="1051"/>
        <item x="1267"/>
        <item x="987"/>
        <item x="767"/>
        <item x="648"/>
        <item x="963"/>
        <item x="939"/>
        <item x="615"/>
        <item x="101"/>
        <item x="557"/>
        <item x="1414"/>
        <item x="1161"/>
        <item x="1289"/>
        <item x="1587"/>
        <item x="1284"/>
        <item x="1336"/>
        <item x="890"/>
        <item x="1159"/>
        <item x="116"/>
        <item x="125"/>
        <item x="504"/>
        <item x="596"/>
        <item x="1539"/>
        <item x="36"/>
        <item x="435"/>
        <item x="770"/>
        <item x="1041"/>
        <item x="325"/>
        <item x="1552"/>
        <item x="535"/>
        <item x="337"/>
        <item x="478"/>
        <item x="1568"/>
        <item x="34"/>
        <item x="1442"/>
        <item x="1503"/>
        <item x="1404"/>
        <item x="1494"/>
        <item x="1072"/>
        <item x="1031"/>
        <item x="933"/>
        <item x="415"/>
        <item x="1521"/>
        <item x="1453"/>
        <item x="538"/>
        <item x="311"/>
        <item x="17"/>
        <item x="1407"/>
        <item x="1160"/>
        <item x="155"/>
        <item x="678"/>
        <item x="1017"/>
        <item x="28"/>
        <item x="0"/>
        <item x="879"/>
        <item x="1069"/>
        <item x="1333"/>
        <item x="973"/>
        <item x="917"/>
        <item x="699"/>
        <item x="1526"/>
        <item x="1094"/>
        <item x="244"/>
        <item x="797"/>
        <item x="883"/>
        <item x="180"/>
        <item x="219"/>
        <item x="1517"/>
        <item x="97"/>
        <item x="1360"/>
        <item x="1070"/>
        <item x="1427"/>
        <item x="1565"/>
        <item x="1304"/>
        <item x="501"/>
        <item x="265"/>
        <item x="525"/>
        <item x="612"/>
        <item x="996"/>
        <item x="1293"/>
        <item x="674"/>
        <item x="1043"/>
        <item x="16"/>
        <item x="654"/>
        <item x="974"/>
        <item x="1229"/>
        <item x="1136"/>
        <item x="657"/>
        <item x="1364"/>
        <item x="106"/>
        <item x="623"/>
        <item x="439"/>
        <item x="115"/>
        <item x="243"/>
        <item x="1402"/>
        <item x="379"/>
        <item x="1479"/>
        <item x="1037"/>
        <item x="321"/>
        <item x="75"/>
        <item x="725"/>
        <item x="1295"/>
        <item x="806"/>
        <item x="183"/>
        <item x="1052"/>
        <item x="1330"/>
        <item x="1567"/>
        <item x="659"/>
        <item x="1361"/>
        <item x="1097"/>
        <item x="533"/>
        <item x="774"/>
        <item x="69"/>
        <item x="1448"/>
        <item x="1439"/>
        <item x="1435"/>
        <item x="1525"/>
        <item x="173"/>
        <item x="1457"/>
        <item x="293"/>
        <item x="78"/>
        <item x="1026"/>
        <item x="428"/>
        <item x="1209"/>
        <item x="704"/>
        <item x="1106"/>
        <item x="1243"/>
        <item x="821"/>
        <item x="793"/>
        <item x="47"/>
        <item x="805"/>
        <item x="438"/>
        <item x="976"/>
        <item x="349"/>
        <item x="1535"/>
        <item x="1077"/>
        <item x="1417"/>
        <item x="639"/>
        <item x="1279"/>
        <item x="471"/>
        <item x="865"/>
        <item x="918"/>
        <item x="954"/>
        <item x="592"/>
        <item x="80"/>
        <item x="1508"/>
        <item x="830"/>
        <item x="502"/>
        <item x="978"/>
        <item x="905"/>
        <item x="527"/>
        <item x="1307"/>
        <item x="534"/>
        <item x="169"/>
        <item x="1311"/>
        <item x="1305"/>
        <item x="828"/>
        <item x="1230"/>
        <item x="1470"/>
        <item x="1093"/>
        <item x="1504"/>
        <item x="650"/>
        <item x="350"/>
        <item x="1465"/>
        <item x="63"/>
        <item x="1353"/>
        <item x="852"/>
        <item x="1485"/>
        <item x="159"/>
        <item x="947"/>
        <item x="227"/>
        <item x="834"/>
        <item x="1314"/>
        <item x="732"/>
        <item x="802"/>
        <item x="738"/>
        <item x="1197"/>
        <item x="402"/>
        <item x="548"/>
        <item x="1569"/>
        <item x="687"/>
        <item x="740"/>
        <item x="1437"/>
        <item x="1411"/>
        <item x="1164"/>
        <item x="322"/>
        <item x="616"/>
        <item x="396"/>
        <item x="1340"/>
        <item x="1002"/>
        <item x="89"/>
        <item x="816"/>
        <item x="524"/>
        <item x="1607"/>
        <item x="441"/>
        <item x="1429"/>
        <item x="1082"/>
        <item x="855"/>
        <item x="1422"/>
        <item x="363"/>
        <item x="1499"/>
        <item x="281"/>
        <item x="1028"/>
        <item x="979"/>
        <item x="1533"/>
        <item x="1460"/>
        <item x="585"/>
        <item x="1089"/>
        <item x="1258"/>
        <item x="417"/>
        <item x="1536"/>
        <item x="472"/>
        <item x="1445"/>
        <item x="1355"/>
        <item x="394"/>
        <item x="335"/>
        <item x="1475"/>
        <item x="1076"/>
        <item x="829"/>
        <item x="1167"/>
        <item x="1232"/>
        <item x="498"/>
        <item x="1054"/>
        <item x="1474"/>
        <item x="49"/>
        <item x="638"/>
        <item x="985"/>
        <item x="509"/>
        <item x="1502"/>
        <item x="436"/>
        <item x="529"/>
        <item x="1015"/>
        <item x="1493"/>
        <item x="290"/>
        <item x="544"/>
        <item x="60"/>
        <item x="422"/>
        <item x="284"/>
        <item x="521"/>
        <item x="1105"/>
        <item x="1310"/>
        <item x="450"/>
        <item x="1254"/>
        <item x="1221"/>
        <item x="493"/>
        <item x="1213"/>
        <item x="93"/>
        <item x="1023"/>
        <item x="910"/>
        <item x="235"/>
        <item x="372"/>
        <item x="161"/>
        <item x="815"/>
        <item x="1162"/>
        <item x="156"/>
        <item x="1582"/>
        <item x="1480"/>
        <item x="1490"/>
        <item x="1514"/>
        <item x="136"/>
        <item x="724"/>
        <item x="938"/>
        <item x="1074"/>
        <item x="141"/>
        <item x="633"/>
        <item x="553"/>
        <item x="1247"/>
        <item x="613"/>
        <item x="1601"/>
        <item x="1042"/>
        <item x="158"/>
        <item x="53"/>
        <item x="224"/>
        <item x="1458"/>
        <item x="1529"/>
        <item x="1091"/>
        <item x="1075"/>
        <item x="960"/>
        <item x="1101"/>
        <item x="1062"/>
        <item x="1540"/>
        <item x="547"/>
        <item x="398"/>
        <item x="147"/>
        <item x="980"/>
        <item x="621"/>
        <item x="9"/>
        <item x="737"/>
        <item x="94"/>
        <item x="434"/>
        <item x="1338"/>
        <item x="234"/>
        <item x="609"/>
        <item x="962"/>
        <item x="42"/>
        <item x="702"/>
        <item x="1225"/>
        <item x="410"/>
        <item x="2"/>
        <item x="298"/>
        <item x="108"/>
        <item x="1580"/>
        <item x="961"/>
        <item x="1492"/>
        <item x="878"/>
        <item x="1597"/>
        <item x="653"/>
        <item x="1430"/>
        <item x="144"/>
        <item x="336"/>
        <item x="206"/>
        <item x="916"/>
        <item x="1237"/>
        <item x="323"/>
        <item x="692"/>
        <item x="1173"/>
        <item x="1522"/>
        <item x="551"/>
        <item x="567"/>
        <item x="1071"/>
        <item x="627"/>
        <item x="513"/>
        <item x="452"/>
        <item x="448"/>
        <item x="667"/>
        <item x="198"/>
        <item x="628"/>
        <item x="914"/>
        <item x="344"/>
        <item x="360"/>
        <item x="683"/>
        <item x="1510"/>
        <item x="218"/>
        <item x="1461"/>
        <item x="229"/>
        <item x="676"/>
        <item x="378"/>
        <item x="1153"/>
        <item x="742"/>
        <item x="845"/>
        <item x="46"/>
        <item x="1334"/>
        <item x="1387"/>
        <item x="540"/>
        <item x="1110"/>
        <item x="870"/>
        <item x="872"/>
        <item x="1347"/>
        <item x="1332"/>
        <item x="1344"/>
        <item x="1001"/>
        <item x="1165"/>
        <item x="550"/>
        <item x="221"/>
        <item x="1586"/>
        <item x="305"/>
        <item x="1593"/>
        <item x="299"/>
        <item x="67"/>
        <item x="1308"/>
        <item x="1500"/>
        <item x="891"/>
        <item x="225"/>
        <item x="1592"/>
        <item x="476"/>
        <item x="454"/>
        <item x="346"/>
        <item x="340"/>
        <item x="619"/>
        <item x="751"/>
        <item x="1363"/>
        <item x="239"/>
        <item x="780"/>
        <item x="312"/>
        <item x="775"/>
        <item x="467"/>
        <item x="426"/>
        <item x="1145"/>
        <item x="537"/>
        <item x="1534"/>
        <item x="1252"/>
        <item x="186"/>
        <item x="1211"/>
        <item x="1152"/>
        <item x="494"/>
        <item x="87"/>
        <item x="1192"/>
        <item x="13"/>
        <item x="194"/>
        <item x="500"/>
        <item x="264"/>
        <item x="1556"/>
        <item x="122"/>
        <item x="896"/>
        <item x="651"/>
        <item x="663"/>
        <item x="1004"/>
        <item x="1021"/>
        <item x="249"/>
        <item x="1471"/>
        <item x="1253"/>
        <item x="799"/>
        <item x="137"/>
        <item x="1389"/>
        <item x="1600"/>
        <item x="622"/>
        <item x="1278"/>
        <item x="119"/>
        <item x="55"/>
        <item x="202"/>
        <item x="317"/>
        <item x="252"/>
        <item x="750"/>
        <item x="179"/>
        <item x="22"/>
        <item x="1029"/>
        <item x="389"/>
        <item x="730"/>
        <item x="862"/>
        <item x="1132"/>
        <item x="456"/>
        <item x="460"/>
        <item x="86"/>
        <item x="176"/>
        <item x="1547"/>
        <item x="1119"/>
        <item x="190"/>
        <item x="1561"/>
        <item x="565"/>
        <item x="357"/>
        <item x="1130"/>
        <item x="23"/>
        <item x="1513"/>
        <item x="1226"/>
        <item x="386"/>
        <item x="1235"/>
        <item x="1151"/>
        <item x="519"/>
        <item x="130"/>
        <item x="377"/>
        <item x="1318"/>
        <item x="1343"/>
        <item x="966"/>
        <item x="1413"/>
        <item x="117"/>
        <item x="1294"/>
        <item x="919"/>
        <item x="1428"/>
        <item x="1598"/>
        <item x="923"/>
        <item x="837"/>
        <item x="786"/>
        <item x="83"/>
        <item x="1382"/>
        <item x="536"/>
        <item x="679"/>
        <item x="474"/>
        <item x="1489"/>
        <item x="1370"/>
        <item x="362"/>
        <item x="241"/>
        <item x="1095"/>
        <item x="1591"/>
        <item x="873"/>
        <item x="508"/>
        <item x="1478"/>
        <item x="792"/>
        <item x="143"/>
        <item x="1127"/>
        <item x="1548"/>
        <item x="1438"/>
        <item x="1154"/>
        <item x="1466"/>
        <item x="807"/>
        <item x="549"/>
        <item x="526"/>
        <item x="863"/>
        <item x="1169"/>
        <item x="1419"/>
        <item x="756"/>
        <item x="635"/>
        <item x="295"/>
        <item x="824"/>
        <item x="1339"/>
        <item x="907"/>
        <item x="1087"/>
        <item x="1007"/>
        <item x="1583"/>
        <item x="1233"/>
        <item x="600"/>
        <item x="677"/>
        <item x="1341"/>
        <item x="569"/>
        <item x="1524"/>
        <item x="43"/>
        <item x="301"/>
        <item x="1575"/>
        <item x="999"/>
        <item x="1086"/>
        <item x="361"/>
        <item x="270"/>
        <item x="714"/>
        <item x="825"/>
        <item x="754"/>
        <item x="1006"/>
        <item x="489"/>
        <item x="375"/>
        <item x="1027"/>
        <item x="482"/>
        <item x="1396"/>
        <item x="189"/>
        <item x="981"/>
        <item x="861"/>
        <item x="318"/>
        <item x="1065"/>
        <item x="964"/>
        <item x="195"/>
        <item x="956"/>
        <item x="310"/>
        <item x="814"/>
        <item x="230"/>
        <item x="1122"/>
        <item x="308"/>
        <item x="1377"/>
        <item x="778"/>
        <item x="272"/>
        <item x="374"/>
        <item x="836"/>
        <item x="214"/>
        <item x="449"/>
        <item x="1320"/>
        <item x="38"/>
        <item x="277"/>
        <item x="178"/>
        <item x="672"/>
        <item x="1530"/>
        <item x="41"/>
        <item x="260"/>
        <item x="1238"/>
        <item x="571"/>
        <item x="1550"/>
        <item x="1472"/>
        <item x="681"/>
        <item x="1265"/>
        <item x="582"/>
        <item x="765"/>
        <item x="1595"/>
        <item x="11"/>
        <item x="647"/>
        <item x="199"/>
        <item x="832"/>
        <item x="1357"/>
        <item x="292"/>
        <item x="583"/>
        <item x="1034"/>
        <item x="315"/>
        <item x="853"/>
        <item x="849"/>
        <item x="1309"/>
        <item x="1523"/>
        <item x="1386"/>
        <item x="1505"/>
        <item x="73"/>
        <item x="1301"/>
        <item x="572"/>
        <item x="929"/>
        <item x="279"/>
        <item x="822"/>
        <item x="744"/>
        <item x="99"/>
        <item x="1579"/>
        <item x="1262"/>
        <item x="753"/>
        <item x="1018"/>
        <item x="1380"/>
        <item x="833"/>
        <item x="1374"/>
        <item x="868"/>
        <item x="256"/>
        <item x="1168"/>
        <item x="1156"/>
        <item x="554"/>
        <item x="327"/>
        <item x="1128"/>
        <item x="1351"/>
        <item x="307"/>
        <item x="726"/>
        <item x="680"/>
        <item x="1205"/>
        <item x="1111"/>
        <item x="1326"/>
        <item x="1195"/>
        <item x="1436"/>
        <item x="762"/>
        <item x="1090"/>
        <item x="1046"/>
        <item x="640"/>
        <item x="1039"/>
        <item x="174"/>
        <item x="320"/>
        <item x="1003"/>
        <item x="1498"/>
        <item x="1107"/>
        <item x="133"/>
        <item x="1584"/>
        <item x="606"/>
        <item x="1066"/>
        <item x="236"/>
        <item x="139"/>
        <item x="920"/>
        <item x="100"/>
        <item x="1423"/>
        <item x="300"/>
        <item x="304"/>
        <item x="771"/>
        <item x="887"/>
        <item x="759"/>
        <item x="1218"/>
        <item x="1589"/>
        <item x="114"/>
        <item x="655"/>
        <item x="1246"/>
        <item x="888"/>
        <item x="758"/>
        <item x="776"/>
        <item x="631"/>
        <item x="1140"/>
        <item x="111"/>
        <item x="285"/>
        <item x="1578"/>
        <item x="479"/>
        <item x="1013"/>
        <item x="57"/>
        <item x="1268"/>
        <item x="586"/>
        <item x="1187"/>
        <item x="1271"/>
        <item x="1358"/>
        <item x="984"/>
        <item x="579"/>
        <item x="90"/>
        <item x="768"/>
        <item x="632"/>
        <item x="971"/>
        <item x="1551"/>
        <item x="561"/>
        <item x="96"/>
        <item x="1275"/>
        <item x="1560"/>
        <item x="1085"/>
        <item x="1129"/>
        <item x="267"/>
        <item x="1325"/>
        <item x="706"/>
        <item x="1484"/>
        <item x="1058"/>
        <item x="1020"/>
        <item x="291"/>
        <item x="392"/>
        <item x="1030"/>
        <item x="912"/>
        <item x="1468"/>
        <item x="755"/>
        <item x="209"/>
        <item x="1125"/>
        <item x="995"/>
        <item x="901"/>
        <item x="110"/>
        <item x="351"/>
        <item x="433"/>
        <item x="132"/>
        <item x="1053"/>
        <item x="160"/>
        <item x="597"/>
        <item x="373"/>
        <item x="1546"/>
        <item x="1025"/>
        <item x="993"/>
        <item x="1303"/>
        <item x="446"/>
        <item x="1369"/>
        <item x="781"/>
        <item x="149"/>
        <item x="5"/>
        <item x="140"/>
        <item x="1121"/>
        <item x="1185"/>
        <item x="365"/>
        <item x="1322"/>
        <item x="1171"/>
        <item x="630"/>
        <item x="562"/>
        <item x="1172"/>
        <item x="641"/>
        <item x="545"/>
        <item x="685"/>
        <item x="1210"/>
        <item x="1285"/>
        <item x="59"/>
        <item x="977"/>
        <item x="95"/>
        <item x="1608"/>
        <item t="default"/>
      </items>
    </pivotField>
    <pivotField dataField="1" showAll="0"/>
    <pivotField showAll="0"/>
    <pivotField showAll="0"/>
  </pivotFields>
  <rowFields count="1">
    <field x="3"/>
  </rowFields>
  <rowItems count="5">
    <i>
      <x/>
    </i>
    <i>
      <x v="1"/>
    </i>
    <i>
      <x v="2"/>
    </i>
    <i>
      <x v="3"/>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9C7A0A-1508-4188-B02E-EE2AD93EC29A}"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9">
    <pivotField numFmtId="14" showAll="0"/>
    <pivotField showAll="0"/>
    <pivotField showAll="0">
      <items count="49">
        <item x="22"/>
        <item x="23"/>
        <item x="29"/>
        <item x="3"/>
        <item x="19"/>
        <item x="27"/>
        <item x="7"/>
        <item x="45"/>
        <item x="9"/>
        <item x="4"/>
        <item x="24"/>
        <item x="1"/>
        <item x="26"/>
        <item x="42"/>
        <item x="36"/>
        <item x="5"/>
        <item x="21"/>
        <item x="33"/>
        <item x="39"/>
        <item x="20"/>
        <item x="18"/>
        <item x="28"/>
        <item x="32"/>
        <item x="14"/>
        <item x="25"/>
        <item x="37"/>
        <item x="13"/>
        <item x="43"/>
        <item x="11"/>
        <item x="38"/>
        <item x="12"/>
        <item x="15"/>
        <item x="16"/>
        <item x="34"/>
        <item x="35"/>
        <item x="2"/>
        <item x="40"/>
        <item x="17"/>
        <item x="47"/>
        <item x="31"/>
        <item x="0"/>
        <item x="30"/>
        <item x="41"/>
        <item x="6"/>
        <item x="10"/>
        <item x="46"/>
        <item x="8"/>
        <item x="44"/>
        <item t="default"/>
      </items>
    </pivotField>
    <pivotField showAll="0">
      <items count="4">
        <item x="1"/>
        <item x="0"/>
        <item x="2"/>
        <item t="default"/>
      </items>
    </pivotField>
    <pivotField axis="axisRow" showAll="0">
      <items count="18">
        <item x="9"/>
        <item x="13"/>
        <item x="4"/>
        <item x="3"/>
        <item x="12"/>
        <item x="5"/>
        <item x="15"/>
        <item x="11"/>
        <item x="7"/>
        <item x="8"/>
        <item x="1"/>
        <item x="16"/>
        <item x="0"/>
        <item x="6"/>
        <item x="2"/>
        <item x="14"/>
        <item x="10"/>
        <item t="default"/>
      </items>
    </pivotField>
    <pivotField showAll="0">
      <items count="1609">
        <item x="1509"/>
        <item x="233"/>
        <item x="481"/>
        <item x="953"/>
        <item x="1114"/>
        <item x="1354"/>
        <item x="1181"/>
        <item x="1573"/>
        <item x="603"/>
        <item x="1244"/>
        <item x="1459"/>
        <item x="791"/>
        <item x="65"/>
        <item x="694"/>
        <item x="1543"/>
        <item x="437"/>
        <item x="212"/>
        <item x="820"/>
        <item x="1327"/>
        <item x="393"/>
        <item x="1035"/>
        <item x="769"/>
        <item x="935"/>
        <item x="575"/>
        <item x="1240"/>
        <item x="288"/>
        <item x="31"/>
        <item x="949"/>
        <item x="1577"/>
        <item x="1541"/>
        <item x="215"/>
        <item x="1528"/>
        <item x="817"/>
        <item x="148"/>
        <item x="309"/>
        <item x="1527"/>
        <item x="511"/>
        <item x="506"/>
        <item x="718"/>
        <item x="532"/>
        <item x="15"/>
        <item x="874"/>
        <item x="406"/>
        <item x="1264"/>
        <item x="564"/>
        <item x="35"/>
        <item x="1390"/>
        <item x="1188"/>
        <item x="514"/>
        <item x="885"/>
        <item x="181"/>
        <item x="626"/>
        <item x="429"/>
        <item x="1388"/>
        <item x="368"/>
        <item x="838"/>
        <item x="367"/>
        <item x="347"/>
        <item x="708"/>
        <item x="370"/>
        <item x="546"/>
        <item x="818"/>
        <item x="741"/>
        <item x="316"/>
        <item x="404"/>
        <item x="196"/>
        <item x="71"/>
        <item x="1383"/>
        <item x="495"/>
        <item x="515"/>
        <item x="231"/>
        <item x="1239"/>
        <item x="1198"/>
        <item x="542"/>
        <item x="1451"/>
        <item x="959"/>
        <item x="584"/>
        <item x="710"/>
        <item x="172"/>
        <item x="1033"/>
        <item x="326"/>
        <item x="1455"/>
        <item x="457"/>
        <item x="207"/>
        <item x="1564"/>
        <item x="637"/>
        <item x="512"/>
        <item x="118"/>
        <item x="213"/>
        <item x="989"/>
        <item x="773"/>
        <item x="809"/>
        <item x="432"/>
        <item x="105"/>
        <item x="271"/>
        <item x="419"/>
        <item x="1245"/>
        <item x="682"/>
        <item x="345"/>
        <item x="790"/>
        <item x="1147"/>
        <item x="487"/>
        <item x="330"/>
        <item x="403"/>
        <item x="1022"/>
        <item x="970"/>
        <item x="12"/>
        <item x="430"/>
        <item x="217"/>
        <item x="713"/>
        <item x="986"/>
        <item x="969"/>
        <item x="1064"/>
        <item x="1116"/>
        <item x="516"/>
        <item x="1260"/>
        <item x="1434"/>
        <item x="440"/>
        <item x="880"/>
        <item x="397"/>
        <item x="882"/>
        <item x="666"/>
        <item x="1227"/>
        <item x="1068"/>
        <item x="1313"/>
        <item x="712"/>
        <item x="711"/>
        <item x="1219"/>
        <item x="1092"/>
        <item x="1473"/>
        <item x="1366"/>
        <item x="56"/>
        <item x="848"/>
        <item x="876"/>
        <item x="634"/>
        <item x="341"/>
        <item x="157"/>
        <item x="24"/>
        <item x="857"/>
        <item x="1588"/>
        <item x="32"/>
        <item x="1251"/>
        <item x="395"/>
        <item x="154"/>
        <item x="138"/>
        <item x="839"/>
        <item x="1073"/>
        <item x="578"/>
        <item x="934"/>
        <item x="688"/>
        <item x="1194"/>
        <item x="696"/>
        <item x="1146"/>
        <item x="1055"/>
        <item x="812"/>
        <item x="1378"/>
        <item x="1399"/>
        <item x="1100"/>
        <item x="894"/>
        <item x="503"/>
        <item x="957"/>
        <item x="1190"/>
        <item x="1212"/>
        <item x="1418"/>
        <item x="30"/>
        <item x="164"/>
        <item x="18"/>
        <item x="40"/>
        <item x="1477"/>
        <item x="1032"/>
        <item x="1179"/>
        <item x="1011"/>
        <item x="854"/>
        <item x="280"/>
        <item x="92"/>
        <item x="764"/>
        <item x="629"/>
        <item x="352"/>
        <item x="62"/>
        <item x="1139"/>
        <item x="1393"/>
        <item x="1409"/>
        <item x="507"/>
        <item x="840"/>
        <item x="369"/>
        <item x="1133"/>
        <item x="899"/>
        <item x="649"/>
        <item x="188"/>
        <item x="1"/>
        <item x="607"/>
        <item x="1287"/>
        <item x="468"/>
        <item x="222"/>
        <item x="289"/>
        <item x="1394"/>
        <item x="266"/>
        <item x="1365"/>
        <item x="104"/>
        <item x="470"/>
        <item x="1255"/>
        <item x="903"/>
        <item x="1401"/>
        <item x="204"/>
        <item x="1170"/>
        <item x="748"/>
        <item x="261"/>
        <item x="166"/>
        <item x="26"/>
        <item x="1220"/>
        <item x="1024"/>
        <item x="866"/>
        <item x="851"/>
        <item x="33"/>
        <item x="588"/>
        <item x="1286"/>
        <item x="965"/>
        <item x="1182"/>
        <item x="407"/>
        <item x="282"/>
        <item x="560"/>
        <item x="4"/>
        <item x="1009"/>
        <item x="1193"/>
        <item x="926"/>
        <item x="358"/>
        <item x="405"/>
        <item x="1501"/>
        <item x="107"/>
        <item x="1040"/>
        <item x="761"/>
        <item x="707"/>
        <item x="1491"/>
        <item x="401"/>
        <item x="1012"/>
        <item x="693"/>
        <item x="518"/>
        <item x="1515"/>
        <item x="135"/>
        <item x="541"/>
        <item x="559"/>
        <item x="937"/>
        <item x="1150"/>
        <item x="1337"/>
        <item x="182"/>
        <item x="1208"/>
        <item x="889"/>
        <item x="1014"/>
        <item x="955"/>
        <item x="661"/>
        <item x="162"/>
        <item x="1108"/>
        <item x="543"/>
        <item x="928"/>
        <item x="1400"/>
        <item x="1599"/>
        <item x="246"/>
        <item x="520"/>
        <item x="1098"/>
        <item x="1231"/>
        <item x="1329"/>
        <item x="1084"/>
        <item x="1483"/>
        <item x="1350"/>
        <item x="1431"/>
        <item x="850"/>
        <item x="1257"/>
        <item x="399"/>
        <item x="1080"/>
        <item x="192"/>
        <item x="145"/>
        <item x="254"/>
        <item x="587"/>
        <item x="66"/>
        <item x="1038"/>
        <item x="942"/>
        <item x="54"/>
        <item x="983"/>
        <item x="237"/>
        <item x="1306"/>
        <item x="205"/>
        <item x="1496"/>
        <item x="566"/>
        <item x="408"/>
        <item x="68"/>
        <item x="1602"/>
        <item x="142"/>
        <item x="982"/>
        <item x="1189"/>
        <item x="121"/>
        <item x="808"/>
        <item x="1476"/>
        <item x="333"/>
        <item x="618"/>
        <item x="421"/>
        <item x="1372"/>
        <item x="48"/>
        <item x="1044"/>
        <item x="364"/>
        <item x="1234"/>
        <item x="1432"/>
        <item x="990"/>
        <item x="595"/>
        <item x="458"/>
        <item x="251"/>
        <item x="1299"/>
        <item x="1224"/>
        <item x="1099"/>
        <item x="662"/>
        <item x="1519"/>
        <item x="842"/>
        <item x="705"/>
        <item x="893"/>
        <item x="570"/>
        <item x="211"/>
        <item x="134"/>
        <item x="331"/>
        <item x="1214"/>
        <item x="371"/>
        <item x="84"/>
        <item x="1335"/>
        <item x="313"/>
        <item x="1223"/>
        <item x="314"/>
        <item x="1178"/>
        <item x="931"/>
        <item x="886"/>
        <item x="643"/>
        <item x="936"/>
        <item x="163"/>
        <item x="1206"/>
        <item x="690"/>
        <item x="366"/>
        <item x="664"/>
        <item x="994"/>
        <item x="1063"/>
        <item x="1283"/>
        <item x="1512"/>
        <item x="921"/>
        <item x="1177"/>
        <item x="283"/>
        <item x="804"/>
        <item x="1120"/>
        <item x="1036"/>
        <item x="1290"/>
        <item x="1047"/>
        <item x="614"/>
        <item x="1183"/>
        <item x="1562"/>
        <item x="1277"/>
        <item x="273"/>
        <item x="523"/>
        <item x="698"/>
        <item x="968"/>
        <item x="736"/>
        <item x="636"/>
        <item x="1328"/>
        <item x="530"/>
        <item x="259"/>
        <item x="835"/>
        <item x="1312"/>
        <item x="61"/>
        <item x="998"/>
        <item x="719"/>
        <item x="1426"/>
        <item x="76"/>
        <item x="425"/>
        <item x="1349"/>
        <item x="497"/>
        <item x="1373"/>
        <item x="77"/>
        <item x="1316"/>
        <item x="1217"/>
        <item x="232"/>
        <item x="1511"/>
        <item x="128"/>
        <item x="247"/>
        <item x="752"/>
        <item x="1138"/>
        <item x="483"/>
        <item x="652"/>
        <item x="1176"/>
        <item x="1464"/>
        <item x="951"/>
        <item x="499"/>
        <item x="1141"/>
        <item x="1201"/>
        <item x="294"/>
        <item x="784"/>
        <item x="286"/>
        <item x="695"/>
        <item x="353"/>
        <item x="1554"/>
        <item x="574"/>
        <item x="925"/>
        <item x="496"/>
        <item x="1452"/>
        <item x="1104"/>
        <item x="1596"/>
        <item x="131"/>
        <item x="1115"/>
        <item x="1242"/>
        <item x="1604"/>
        <item x="1415"/>
        <item x="1558"/>
        <item x="466"/>
        <item x="669"/>
        <item x="798"/>
        <item x="226"/>
        <item x="451"/>
        <item x="625"/>
        <item x="1142"/>
        <item x="1416"/>
        <item x="909"/>
        <item x="1137"/>
        <item x="843"/>
        <item x="945"/>
        <item x="79"/>
        <item x="223"/>
        <item x="464"/>
        <item x="1236"/>
        <item x="1270"/>
        <item x="113"/>
        <item x="1410"/>
        <item x="1563"/>
        <item x="720"/>
        <item x="1059"/>
        <item x="444"/>
        <item x="342"/>
        <item x="1467"/>
        <item x="787"/>
        <item x="51"/>
        <item x="721"/>
        <item x="1186"/>
        <item x="782"/>
        <item x="1276"/>
        <item x="1516"/>
        <item x="488"/>
        <item x="1441"/>
        <item x="605"/>
        <item x="388"/>
        <item x="1148"/>
        <item x="1005"/>
        <item x="1518"/>
        <item x="20"/>
        <item x="168"/>
        <item x="581"/>
        <item x="1566"/>
        <item x="552"/>
        <item x="895"/>
        <item x="445"/>
        <item x="1175"/>
        <item x="200"/>
        <item x="697"/>
        <item x="898"/>
        <item x="1061"/>
        <item x="602"/>
        <item x="253"/>
        <item x="858"/>
        <item x="1346"/>
        <item x="1532"/>
        <item x="1406"/>
        <item x="777"/>
        <item x="760"/>
        <item x="255"/>
        <item x="6"/>
        <item x="400"/>
        <item x="485"/>
        <item x="193"/>
        <item x="1420"/>
        <item x="1576"/>
        <item x="722"/>
        <item x="522"/>
        <item x="1555"/>
        <item x="258"/>
        <item x="665"/>
        <item x="800"/>
        <item x="245"/>
        <item x="871"/>
        <item x="1570"/>
        <item x="177"/>
        <item x="112"/>
        <item x="1261"/>
        <item x="91"/>
        <item x="1397"/>
        <item x="385"/>
        <item x="1163"/>
        <item x="1134"/>
        <item x="555"/>
        <item x="1444"/>
        <item x="1481"/>
        <item x="1449"/>
        <item x="1292"/>
        <item x="1207"/>
        <item x="644"/>
        <item x="715"/>
        <item x="794"/>
        <item x="1166"/>
        <item x="1045"/>
        <item x="1083"/>
        <item x="811"/>
        <item x="343"/>
        <item x="709"/>
        <item x="1272"/>
        <item x="1263"/>
        <item x="558"/>
        <item x="242"/>
        <item x="1331"/>
        <item x="831"/>
        <item x="932"/>
        <item x="860"/>
        <item x="1557"/>
        <item x="646"/>
        <item x="359"/>
        <item x="1109"/>
        <item x="1241"/>
        <item x="492"/>
        <item x="175"/>
        <item x="684"/>
        <item x="1118"/>
        <item x="1345"/>
        <item x="170"/>
        <item x="64"/>
        <item x="153"/>
        <item x="85"/>
        <item x="749"/>
        <item x="1359"/>
        <item x="1174"/>
        <item x="1078"/>
        <item x="1319"/>
        <item x="656"/>
        <item x="21"/>
        <item x="102"/>
        <item x="381"/>
        <item x="420"/>
        <item x="1450"/>
        <item x="950"/>
        <item x="278"/>
        <item x="1443"/>
        <item x="324"/>
        <item x="1574"/>
        <item x="1228"/>
        <item x="1155"/>
        <item x="98"/>
        <item x="766"/>
        <item x="528"/>
        <item x="390"/>
        <item x="257"/>
        <item x="1342"/>
        <item x="972"/>
        <item x="1323"/>
        <item x="735"/>
        <item x="1408"/>
        <item x="1149"/>
        <item x="734"/>
        <item x="731"/>
        <item x="447"/>
        <item x="1482"/>
        <item x="900"/>
        <item x="332"/>
        <item x="52"/>
        <item x="1126"/>
        <item x="269"/>
        <item x="1486"/>
        <item x="1250"/>
        <item x="167"/>
        <item x="1302"/>
        <item x="975"/>
        <item x="1288"/>
        <item x="486"/>
        <item x="263"/>
        <item x="1067"/>
        <item x="44"/>
        <item x="1463"/>
        <item x="1352"/>
        <item x="1571"/>
        <item x="580"/>
        <item x="477"/>
        <item x="810"/>
        <item x="88"/>
        <item x="967"/>
        <item x="475"/>
        <item x="1425"/>
        <item x="691"/>
        <item x="187"/>
        <item x="772"/>
        <item x="339"/>
        <item x="120"/>
        <item x="617"/>
        <item x="1398"/>
        <item x="1371"/>
        <item x="1590"/>
        <item x="739"/>
        <item x="1375"/>
        <item x="1199"/>
        <item x="1421"/>
        <item x="594"/>
        <item x="303"/>
        <item x="228"/>
        <item x="856"/>
        <item x="210"/>
        <item x="645"/>
        <item x="453"/>
        <item x="1113"/>
        <item x="844"/>
        <item x="1405"/>
        <item x="382"/>
        <item x="1384"/>
        <item x="847"/>
        <item x="1572"/>
        <item x="1412"/>
        <item x="1273"/>
        <item x="391"/>
        <item x="747"/>
        <item x="151"/>
        <item x="913"/>
        <item x="877"/>
        <item x="165"/>
        <item x="946"/>
        <item x="991"/>
        <item x="1123"/>
        <item x="716"/>
        <item x="1381"/>
        <item x="414"/>
        <item x="27"/>
        <item x="469"/>
        <item x="813"/>
        <item x="3"/>
        <item x="785"/>
        <item x="29"/>
        <item x="216"/>
        <item x="1000"/>
        <item x="1202"/>
        <item x="700"/>
        <item x="1157"/>
        <item x="1103"/>
        <item x="1454"/>
        <item x="1324"/>
        <item x="384"/>
        <item x="1010"/>
        <item x="72"/>
        <item x="881"/>
        <item x="826"/>
        <item x="1048"/>
        <item x="10"/>
        <item x="577"/>
        <item x="867"/>
        <item x="297"/>
        <item x="590"/>
        <item x="573"/>
        <item x="82"/>
        <item x="1553"/>
        <item x="1144"/>
        <item x="568"/>
        <item x="944"/>
        <item x="757"/>
        <item x="1249"/>
        <item x="274"/>
        <item x="287"/>
        <item x="892"/>
        <item x="7"/>
        <item x="1296"/>
        <item x="1559"/>
        <item x="462"/>
        <item x="658"/>
        <item x="491"/>
        <item x="1495"/>
        <item x="841"/>
        <item x="1102"/>
        <item x="673"/>
        <item x="45"/>
        <item x="922"/>
        <item x="275"/>
        <item x="431"/>
        <item x="930"/>
        <item x="81"/>
        <item x="1462"/>
        <item x="745"/>
        <item x="1200"/>
        <item x="1016"/>
        <item x="1291"/>
        <item x="74"/>
        <item x="539"/>
        <item x="1131"/>
        <item x="427"/>
        <item x="1248"/>
        <item x="992"/>
        <item x="39"/>
        <item x="328"/>
        <item x="789"/>
        <item x="348"/>
        <item x="1356"/>
        <item x="268"/>
        <item x="904"/>
        <item x="1081"/>
        <item x="356"/>
        <item x="624"/>
        <item x="240"/>
        <item x="1158"/>
        <item x="442"/>
        <item x="1096"/>
        <item x="1488"/>
        <item x="671"/>
        <item x="958"/>
        <item x="1317"/>
        <item x="50"/>
        <item x="1603"/>
        <item x="1368"/>
        <item x="1135"/>
        <item x="902"/>
        <item x="1019"/>
        <item x="185"/>
        <item x="1446"/>
        <item x="1469"/>
        <item x="531"/>
        <item x="484"/>
        <item x="1079"/>
        <item x="927"/>
        <item x="1300"/>
        <item x="376"/>
        <item x="1367"/>
        <item x="171"/>
        <item x="743"/>
        <item x="416"/>
        <item x="864"/>
        <item x="1433"/>
        <item x="783"/>
        <item x="37"/>
        <item x="1506"/>
        <item x="1348"/>
        <item x="788"/>
        <item x="598"/>
        <item x="1497"/>
        <item x="1585"/>
        <item x="296"/>
        <item x="455"/>
        <item x="1143"/>
        <item x="1362"/>
        <item x="941"/>
        <item x="302"/>
        <item x="423"/>
        <item x="238"/>
        <item x="1549"/>
        <item x="563"/>
        <item x="334"/>
        <item x="1117"/>
        <item x="675"/>
        <item x="703"/>
        <item x="203"/>
        <item x="642"/>
        <item x="948"/>
        <item x="576"/>
        <item x="197"/>
        <item x="1050"/>
        <item x="517"/>
        <item x="1088"/>
        <item x="1298"/>
        <item x="208"/>
        <item x="728"/>
        <item x="306"/>
        <item x="1606"/>
        <item x="1440"/>
        <item x="1379"/>
        <item x="1542"/>
        <item x="686"/>
        <item x="1544"/>
        <item x="717"/>
        <item x="723"/>
        <item x="319"/>
        <item x="220"/>
        <item x="1376"/>
        <item x="276"/>
        <item x="19"/>
        <item x="796"/>
        <item x="505"/>
        <item x="819"/>
        <item x="14"/>
        <item x="875"/>
        <item x="1403"/>
        <item x="1060"/>
        <item x="906"/>
        <item x="1385"/>
        <item x="801"/>
        <item x="911"/>
        <item x="611"/>
        <item x="463"/>
        <item x="593"/>
        <item x="424"/>
        <item x="58"/>
        <item x="510"/>
        <item x="1537"/>
        <item x="620"/>
        <item x="1266"/>
        <item x="1594"/>
        <item x="8"/>
        <item x="355"/>
        <item x="25"/>
        <item x="1321"/>
        <item x="1281"/>
        <item x="827"/>
        <item x="746"/>
        <item x="123"/>
        <item x="1184"/>
        <item x="803"/>
        <item x="940"/>
        <item x="418"/>
        <item x="1456"/>
        <item x="763"/>
        <item x="1392"/>
        <item x="589"/>
        <item x="1274"/>
        <item x="604"/>
        <item x="915"/>
        <item x="1049"/>
        <item x="127"/>
        <item x="1520"/>
        <item x="473"/>
        <item x="795"/>
        <item x="1216"/>
        <item x="1447"/>
        <item x="1269"/>
        <item x="729"/>
        <item x="1196"/>
        <item x="387"/>
        <item x="480"/>
        <item x="1531"/>
        <item x="490"/>
        <item x="660"/>
        <item x="1581"/>
        <item x="556"/>
        <item x="1204"/>
        <item x="610"/>
        <item x="689"/>
        <item x="152"/>
        <item x="354"/>
        <item x="412"/>
        <item x="1008"/>
        <item x="859"/>
        <item x="1124"/>
        <item x="733"/>
        <item x="443"/>
        <item x="1395"/>
        <item x="411"/>
        <item x="1256"/>
        <item x="1507"/>
        <item x="1297"/>
        <item x="1112"/>
        <item x="670"/>
        <item x="884"/>
        <item x="1191"/>
        <item x="126"/>
        <item x="846"/>
        <item x="461"/>
        <item x="129"/>
        <item x="608"/>
        <item x="924"/>
        <item x="1424"/>
        <item x="248"/>
        <item x="727"/>
        <item x="124"/>
        <item x="1280"/>
        <item x="1605"/>
        <item x="908"/>
        <item x="1259"/>
        <item x="823"/>
        <item x="459"/>
        <item x="988"/>
        <item x="1282"/>
        <item x="1487"/>
        <item x="997"/>
        <item x="409"/>
        <item x="191"/>
        <item x="668"/>
        <item x="701"/>
        <item x="184"/>
        <item x="599"/>
        <item x="1538"/>
        <item x="601"/>
        <item x="262"/>
        <item x="201"/>
        <item x="329"/>
        <item x="1222"/>
        <item x="465"/>
        <item x="1391"/>
        <item x="869"/>
        <item x="1180"/>
        <item x="1545"/>
        <item x="1056"/>
        <item x="103"/>
        <item x="591"/>
        <item x="338"/>
        <item x="943"/>
        <item x="779"/>
        <item x="250"/>
        <item x="1057"/>
        <item x="1203"/>
        <item x="952"/>
        <item x="150"/>
        <item x="70"/>
        <item x="1315"/>
        <item x="146"/>
        <item x="109"/>
        <item x="380"/>
        <item x="413"/>
        <item x="383"/>
        <item x="1215"/>
        <item x="897"/>
        <item x="1051"/>
        <item x="1267"/>
        <item x="987"/>
        <item x="767"/>
        <item x="648"/>
        <item x="963"/>
        <item x="939"/>
        <item x="615"/>
        <item x="101"/>
        <item x="557"/>
        <item x="1414"/>
        <item x="1161"/>
        <item x="1289"/>
        <item x="1587"/>
        <item x="1284"/>
        <item x="1336"/>
        <item x="890"/>
        <item x="1159"/>
        <item x="116"/>
        <item x="125"/>
        <item x="504"/>
        <item x="596"/>
        <item x="1539"/>
        <item x="36"/>
        <item x="435"/>
        <item x="770"/>
        <item x="1041"/>
        <item x="325"/>
        <item x="1552"/>
        <item x="535"/>
        <item x="337"/>
        <item x="478"/>
        <item x="1568"/>
        <item x="34"/>
        <item x="1442"/>
        <item x="1503"/>
        <item x="1404"/>
        <item x="1494"/>
        <item x="1072"/>
        <item x="1031"/>
        <item x="933"/>
        <item x="415"/>
        <item x="1521"/>
        <item x="1453"/>
        <item x="538"/>
        <item x="311"/>
        <item x="17"/>
        <item x="1407"/>
        <item x="1160"/>
        <item x="155"/>
        <item x="678"/>
        <item x="1017"/>
        <item x="28"/>
        <item x="0"/>
        <item x="879"/>
        <item x="1069"/>
        <item x="1333"/>
        <item x="973"/>
        <item x="917"/>
        <item x="699"/>
        <item x="1526"/>
        <item x="1094"/>
        <item x="244"/>
        <item x="797"/>
        <item x="883"/>
        <item x="180"/>
        <item x="219"/>
        <item x="1517"/>
        <item x="97"/>
        <item x="1360"/>
        <item x="1070"/>
        <item x="1427"/>
        <item x="1565"/>
        <item x="1304"/>
        <item x="501"/>
        <item x="265"/>
        <item x="525"/>
        <item x="612"/>
        <item x="996"/>
        <item x="1293"/>
        <item x="674"/>
        <item x="1043"/>
        <item x="16"/>
        <item x="654"/>
        <item x="974"/>
        <item x="1229"/>
        <item x="1136"/>
        <item x="657"/>
        <item x="1364"/>
        <item x="106"/>
        <item x="623"/>
        <item x="439"/>
        <item x="115"/>
        <item x="243"/>
        <item x="1402"/>
        <item x="379"/>
        <item x="1479"/>
        <item x="1037"/>
        <item x="321"/>
        <item x="75"/>
        <item x="725"/>
        <item x="1295"/>
        <item x="806"/>
        <item x="183"/>
        <item x="1052"/>
        <item x="1330"/>
        <item x="1567"/>
        <item x="659"/>
        <item x="1361"/>
        <item x="1097"/>
        <item x="533"/>
        <item x="774"/>
        <item x="69"/>
        <item x="1448"/>
        <item x="1439"/>
        <item x="1435"/>
        <item x="1525"/>
        <item x="173"/>
        <item x="1457"/>
        <item x="293"/>
        <item x="78"/>
        <item x="1026"/>
        <item x="428"/>
        <item x="1209"/>
        <item x="704"/>
        <item x="1106"/>
        <item x="1243"/>
        <item x="821"/>
        <item x="793"/>
        <item x="47"/>
        <item x="805"/>
        <item x="438"/>
        <item x="976"/>
        <item x="349"/>
        <item x="1535"/>
        <item x="1077"/>
        <item x="1417"/>
        <item x="639"/>
        <item x="1279"/>
        <item x="471"/>
        <item x="865"/>
        <item x="918"/>
        <item x="954"/>
        <item x="592"/>
        <item x="80"/>
        <item x="1508"/>
        <item x="830"/>
        <item x="502"/>
        <item x="978"/>
        <item x="905"/>
        <item x="527"/>
        <item x="1307"/>
        <item x="534"/>
        <item x="169"/>
        <item x="1311"/>
        <item x="1305"/>
        <item x="828"/>
        <item x="1230"/>
        <item x="1470"/>
        <item x="1093"/>
        <item x="1504"/>
        <item x="650"/>
        <item x="350"/>
        <item x="1465"/>
        <item x="63"/>
        <item x="1353"/>
        <item x="852"/>
        <item x="1485"/>
        <item x="159"/>
        <item x="947"/>
        <item x="227"/>
        <item x="834"/>
        <item x="1314"/>
        <item x="732"/>
        <item x="802"/>
        <item x="738"/>
        <item x="1197"/>
        <item x="402"/>
        <item x="548"/>
        <item x="1569"/>
        <item x="687"/>
        <item x="740"/>
        <item x="1437"/>
        <item x="1411"/>
        <item x="1164"/>
        <item x="322"/>
        <item x="616"/>
        <item x="396"/>
        <item x="1340"/>
        <item x="1002"/>
        <item x="89"/>
        <item x="816"/>
        <item x="524"/>
        <item x="1607"/>
        <item x="441"/>
        <item x="1429"/>
        <item x="1082"/>
        <item x="855"/>
        <item x="1422"/>
        <item x="363"/>
        <item x="1499"/>
        <item x="281"/>
        <item x="1028"/>
        <item x="979"/>
        <item x="1533"/>
        <item x="1460"/>
        <item x="585"/>
        <item x="1089"/>
        <item x="1258"/>
        <item x="417"/>
        <item x="1536"/>
        <item x="472"/>
        <item x="1445"/>
        <item x="1355"/>
        <item x="394"/>
        <item x="335"/>
        <item x="1475"/>
        <item x="1076"/>
        <item x="829"/>
        <item x="1167"/>
        <item x="1232"/>
        <item x="498"/>
        <item x="1054"/>
        <item x="1474"/>
        <item x="49"/>
        <item x="638"/>
        <item x="985"/>
        <item x="509"/>
        <item x="1502"/>
        <item x="436"/>
        <item x="529"/>
        <item x="1015"/>
        <item x="1493"/>
        <item x="290"/>
        <item x="544"/>
        <item x="60"/>
        <item x="422"/>
        <item x="284"/>
        <item x="521"/>
        <item x="1105"/>
        <item x="1310"/>
        <item x="450"/>
        <item x="1254"/>
        <item x="1221"/>
        <item x="493"/>
        <item x="1213"/>
        <item x="93"/>
        <item x="1023"/>
        <item x="910"/>
        <item x="235"/>
        <item x="372"/>
        <item x="161"/>
        <item x="815"/>
        <item x="1162"/>
        <item x="156"/>
        <item x="1582"/>
        <item x="1480"/>
        <item x="1490"/>
        <item x="1514"/>
        <item x="136"/>
        <item x="724"/>
        <item x="938"/>
        <item x="1074"/>
        <item x="141"/>
        <item x="633"/>
        <item x="553"/>
        <item x="1247"/>
        <item x="613"/>
        <item x="1601"/>
        <item x="1042"/>
        <item x="158"/>
        <item x="53"/>
        <item x="224"/>
        <item x="1458"/>
        <item x="1529"/>
        <item x="1091"/>
        <item x="1075"/>
        <item x="960"/>
        <item x="1101"/>
        <item x="1062"/>
        <item x="1540"/>
        <item x="547"/>
        <item x="398"/>
        <item x="147"/>
        <item x="980"/>
        <item x="621"/>
        <item x="9"/>
        <item x="737"/>
        <item x="94"/>
        <item x="434"/>
        <item x="1338"/>
        <item x="234"/>
        <item x="609"/>
        <item x="962"/>
        <item x="42"/>
        <item x="702"/>
        <item x="1225"/>
        <item x="410"/>
        <item x="2"/>
        <item x="298"/>
        <item x="108"/>
        <item x="1580"/>
        <item x="961"/>
        <item x="1492"/>
        <item x="878"/>
        <item x="1597"/>
        <item x="653"/>
        <item x="1430"/>
        <item x="144"/>
        <item x="336"/>
        <item x="206"/>
        <item x="916"/>
        <item x="1237"/>
        <item x="323"/>
        <item x="692"/>
        <item x="1173"/>
        <item x="1522"/>
        <item x="551"/>
        <item x="567"/>
        <item x="1071"/>
        <item x="627"/>
        <item x="513"/>
        <item x="452"/>
        <item x="448"/>
        <item x="667"/>
        <item x="198"/>
        <item x="628"/>
        <item x="914"/>
        <item x="344"/>
        <item x="360"/>
        <item x="683"/>
        <item x="1510"/>
        <item x="218"/>
        <item x="1461"/>
        <item x="229"/>
        <item x="676"/>
        <item x="378"/>
        <item x="1153"/>
        <item x="742"/>
        <item x="845"/>
        <item x="46"/>
        <item x="1334"/>
        <item x="1387"/>
        <item x="540"/>
        <item x="1110"/>
        <item x="870"/>
        <item x="872"/>
        <item x="1347"/>
        <item x="1332"/>
        <item x="1344"/>
        <item x="1001"/>
        <item x="1165"/>
        <item x="550"/>
        <item x="221"/>
        <item x="1586"/>
        <item x="305"/>
        <item x="1593"/>
        <item x="299"/>
        <item x="67"/>
        <item x="1308"/>
        <item x="1500"/>
        <item x="891"/>
        <item x="225"/>
        <item x="1592"/>
        <item x="476"/>
        <item x="454"/>
        <item x="346"/>
        <item x="340"/>
        <item x="619"/>
        <item x="751"/>
        <item x="1363"/>
        <item x="239"/>
        <item x="780"/>
        <item x="312"/>
        <item x="775"/>
        <item x="467"/>
        <item x="426"/>
        <item x="1145"/>
        <item x="537"/>
        <item x="1534"/>
        <item x="1252"/>
        <item x="186"/>
        <item x="1211"/>
        <item x="1152"/>
        <item x="494"/>
        <item x="87"/>
        <item x="1192"/>
        <item x="13"/>
        <item x="194"/>
        <item x="500"/>
        <item x="264"/>
        <item x="1556"/>
        <item x="122"/>
        <item x="896"/>
        <item x="651"/>
        <item x="663"/>
        <item x="1004"/>
        <item x="1021"/>
        <item x="249"/>
        <item x="1471"/>
        <item x="1253"/>
        <item x="799"/>
        <item x="137"/>
        <item x="1389"/>
        <item x="1600"/>
        <item x="622"/>
        <item x="1278"/>
        <item x="119"/>
        <item x="55"/>
        <item x="202"/>
        <item x="317"/>
        <item x="252"/>
        <item x="750"/>
        <item x="179"/>
        <item x="22"/>
        <item x="1029"/>
        <item x="389"/>
        <item x="730"/>
        <item x="862"/>
        <item x="1132"/>
        <item x="456"/>
        <item x="460"/>
        <item x="86"/>
        <item x="176"/>
        <item x="1547"/>
        <item x="1119"/>
        <item x="190"/>
        <item x="1561"/>
        <item x="565"/>
        <item x="357"/>
        <item x="1130"/>
        <item x="23"/>
        <item x="1513"/>
        <item x="1226"/>
        <item x="386"/>
        <item x="1235"/>
        <item x="1151"/>
        <item x="519"/>
        <item x="130"/>
        <item x="377"/>
        <item x="1318"/>
        <item x="1343"/>
        <item x="966"/>
        <item x="1413"/>
        <item x="117"/>
        <item x="1294"/>
        <item x="919"/>
        <item x="1428"/>
        <item x="1598"/>
        <item x="923"/>
        <item x="837"/>
        <item x="786"/>
        <item x="83"/>
        <item x="1382"/>
        <item x="536"/>
        <item x="679"/>
        <item x="474"/>
        <item x="1489"/>
        <item x="1370"/>
        <item x="362"/>
        <item x="241"/>
        <item x="1095"/>
        <item x="1591"/>
        <item x="873"/>
        <item x="508"/>
        <item x="1478"/>
        <item x="792"/>
        <item x="143"/>
        <item x="1127"/>
        <item x="1548"/>
        <item x="1438"/>
        <item x="1154"/>
        <item x="1466"/>
        <item x="807"/>
        <item x="549"/>
        <item x="526"/>
        <item x="863"/>
        <item x="1169"/>
        <item x="1419"/>
        <item x="756"/>
        <item x="635"/>
        <item x="295"/>
        <item x="824"/>
        <item x="1339"/>
        <item x="907"/>
        <item x="1087"/>
        <item x="1007"/>
        <item x="1583"/>
        <item x="1233"/>
        <item x="600"/>
        <item x="677"/>
        <item x="1341"/>
        <item x="569"/>
        <item x="1524"/>
        <item x="43"/>
        <item x="301"/>
        <item x="1575"/>
        <item x="999"/>
        <item x="1086"/>
        <item x="361"/>
        <item x="270"/>
        <item x="714"/>
        <item x="825"/>
        <item x="754"/>
        <item x="1006"/>
        <item x="489"/>
        <item x="375"/>
        <item x="1027"/>
        <item x="482"/>
        <item x="1396"/>
        <item x="189"/>
        <item x="981"/>
        <item x="861"/>
        <item x="318"/>
        <item x="1065"/>
        <item x="964"/>
        <item x="195"/>
        <item x="956"/>
        <item x="310"/>
        <item x="814"/>
        <item x="230"/>
        <item x="1122"/>
        <item x="308"/>
        <item x="1377"/>
        <item x="778"/>
        <item x="272"/>
        <item x="374"/>
        <item x="836"/>
        <item x="214"/>
        <item x="449"/>
        <item x="1320"/>
        <item x="38"/>
        <item x="277"/>
        <item x="178"/>
        <item x="672"/>
        <item x="1530"/>
        <item x="41"/>
        <item x="260"/>
        <item x="1238"/>
        <item x="571"/>
        <item x="1550"/>
        <item x="1472"/>
        <item x="681"/>
        <item x="1265"/>
        <item x="582"/>
        <item x="765"/>
        <item x="1595"/>
        <item x="11"/>
        <item x="647"/>
        <item x="199"/>
        <item x="832"/>
        <item x="1357"/>
        <item x="292"/>
        <item x="583"/>
        <item x="1034"/>
        <item x="315"/>
        <item x="853"/>
        <item x="849"/>
        <item x="1309"/>
        <item x="1523"/>
        <item x="1386"/>
        <item x="1505"/>
        <item x="73"/>
        <item x="1301"/>
        <item x="572"/>
        <item x="929"/>
        <item x="279"/>
        <item x="822"/>
        <item x="744"/>
        <item x="99"/>
        <item x="1579"/>
        <item x="1262"/>
        <item x="753"/>
        <item x="1018"/>
        <item x="1380"/>
        <item x="833"/>
        <item x="1374"/>
        <item x="868"/>
        <item x="256"/>
        <item x="1168"/>
        <item x="1156"/>
        <item x="554"/>
        <item x="327"/>
        <item x="1128"/>
        <item x="1351"/>
        <item x="307"/>
        <item x="726"/>
        <item x="680"/>
        <item x="1205"/>
        <item x="1111"/>
        <item x="1326"/>
        <item x="1195"/>
        <item x="1436"/>
        <item x="762"/>
        <item x="1090"/>
        <item x="1046"/>
        <item x="640"/>
        <item x="1039"/>
        <item x="174"/>
        <item x="320"/>
        <item x="1003"/>
        <item x="1498"/>
        <item x="1107"/>
        <item x="133"/>
        <item x="1584"/>
        <item x="606"/>
        <item x="1066"/>
        <item x="236"/>
        <item x="139"/>
        <item x="920"/>
        <item x="100"/>
        <item x="1423"/>
        <item x="300"/>
        <item x="304"/>
        <item x="771"/>
        <item x="887"/>
        <item x="759"/>
        <item x="1218"/>
        <item x="1589"/>
        <item x="114"/>
        <item x="655"/>
        <item x="1246"/>
        <item x="888"/>
        <item x="758"/>
        <item x="776"/>
        <item x="631"/>
        <item x="1140"/>
        <item x="111"/>
        <item x="285"/>
        <item x="1578"/>
        <item x="479"/>
        <item x="1013"/>
        <item x="57"/>
        <item x="1268"/>
        <item x="586"/>
        <item x="1187"/>
        <item x="1271"/>
        <item x="1358"/>
        <item x="984"/>
        <item x="579"/>
        <item x="90"/>
        <item x="768"/>
        <item x="632"/>
        <item x="971"/>
        <item x="1551"/>
        <item x="561"/>
        <item x="96"/>
        <item x="1275"/>
        <item x="1560"/>
        <item x="1085"/>
        <item x="1129"/>
        <item x="267"/>
        <item x="1325"/>
        <item x="706"/>
        <item x="1484"/>
        <item x="1058"/>
        <item x="1020"/>
        <item x="291"/>
        <item x="392"/>
        <item x="1030"/>
        <item x="912"/>
        <item x="1468"/>
        <item x="755"/>
        <item x="209"/>
        <item x="1125"/>
        <item x="995"/>
        <item x="901"/>
        <item x="110"/>
        <item x="351"/>
        <item x="433"/>
        <item x="132"/>
        <item x="1053"/>
        <item x="160"/>
        <item x="597"/>
        <item x="373"/>
        <item x="1546"/>
        <item x="1025"/>
        <item x="993"/>
        <item x="1303"/>
        <item x="446"/>
        <item x="1369"/>
        <item x="781"/>
        <item x="149"/>
        <item x="5"/>
        <item x="140"/>
        <item x="1121"/>
        <item x="1185"/>
        <item x="365"/>
        <item x="1322"/>
        <item x="1171"/>
        <item x="630"/>
        <item x="562"/>
        <item x="1172"/>
        <item x="641"/>
        <item x="545"/>
        <item x="685"/>
        <item x="1210"/>
        <item x="1285"/>
        <item x="59"/>
        <item x="977"/>
        <item x="95"/>
        <item t="default"/>
      </items>
    </pivotField>
    <pivotField showAll="0"/>
    <pivotField dataField="1" showAll="0"/>
    <pivotField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Count of Quantit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9CAED9-AA30-43FF-A9D8-BC68FFEE149F}" sourceName="Category">
  <pivotTables>
    <pivotTable tabId="7" name="PivotTable5"/>
    <pivotTable tabId="4" name="PivotTable2"/>
    <pivotTable tabId="10" name="PivotTable5"/>
    <pivotTable tabId="5" name="PivotTable3"/>
  </pivotTables>
  <data>
    <tabular pivotCacheId="189089918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3A1EFE5-85AC-4F09-835B-42C3C72CEB11}" sourceName="State">
  <pivotTables>
    <pivotTable tabId="4" name="PivotTable2"/>
    <pivotTable tabId="7" name="PivotTable5"/>
    <pivotTable tabId="10" name="PivotTable5"/>
    <pivotTable tabId="5" name="PivotTable3"/>
  </pivotTables>
  <data>
    <tabular pivotCacheId="1890899184">
      <items count="48">
        <i x="22" s="1"/>
        <i x="23" s="1"/>
        <i x="29" s="1"/>
        <i x="3" s="1"/>
        <i x="19" s="1"/>
        <i x="27" s="1"/>
        <i x="7" s="1"/>
        <i x="45" s="1"/>
        <i x="9" s="1"/>
        <i x="4" s="1"/>
        <i x="24" s="1"/>
        <i x="1" s="1"/>
        <i x="26" s="1"/>
        <i x="42" s="1"/>
        <i x="36" s="1"/>
        <i x="5" s="1"/>
        <i x="21" s="1"/>
        <i x="33" s="1"/>
        <i x="39" s="1"/>
        <i x="20" s="1"/>
        <i x="18" s="1"/>
        <i x="28" s="1"/>
        <i x="32" s="1"/>
        <i x="14" s="1"/>
        <i x="25" s="1"/>
        <i x="37" s="1"/>
        <i x="13" s="1"/>
        <i x="43" s="1"/>
        <i x="11" s="1"/>
        <i x="38" s="1"/>
        <i x="12" s="1"/>
        <i x="15" s="1"/>
        <i x="16" s="1"/>
        <i x="34" s="1"/>
        <i x="35" s="1"/>
        <i x="2" s="1"/>
        <i x="40" s="1"/>
        <i x="17" s="1"/>
        <i x="47" s="1"/>
        <i x="31" s="1"/>
        <i x="0" s="1"/>
        <i x="30" s="1"/>
        <i x="41" s="1"/>
        <i x="6" s="1"/>
        <i x="10" s="1"/>
        <i x="46" s="1"/>
        <i x="8"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048324E-3900-4DE2-903C-8ECD6D4570A1}"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E55D858-5EE2-4712-A334-A6DD0D3D09B1}"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7709392-AF32-44D2-A9CB-369D44C6F917}" cache="Slicer_Category" caption="Category" rowHeight="234950"/>
  <slicer name="State 1" xr10:uid="{89E7E818-E117-4ECD-9918-DE5114653B54}"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C1190B-891F-4892-BC23-A07D9699B07B}" name="Table1" displayName="Table1" ref="A1:I4043" totalsRowShown="0" tableBorderDxfId="9">
  <autoFilter ref="A1:I4043" xr:uid="{2CC1190B-891F-4892-BC23-A07D9699B07B}"/>
  <tableColumns count="9">
    <tableColumn id="1" xr3:uid="{EFBCF16E-95C5-4D70-85EC-86DB97F8FCA6}" name="Order Date" dataDxfId="8"/>
    <tableColumn id="2" xr3:uid="{1672424A-6C20-433C-984C-F9E76E6374D1}" name="Customer Name" dataDxfId="7"/>
    <tableColumn id="3" xr3:uid="{6CD18BEE-A6D8-4A66-81E6-D81AC3E3A43E}" name="State" dataDxfId="6"/>
    <tableColumn id="4" xr3:uid="{EA1F4C51-8588-4B2A-B3E7-E36CC048CAED}" name="Category" dataDxfId="5"/>
    <tableColumn id="5" xr3:uid="{F0EEAD09-BF35-4D72-A390-83D7CFCE3D00}" name="Sub Category" dataDxfId="4"/>
    <tableColumn id="6" xr3:uid="{68D7D86D-C65E-4AA5-9C40-ED6CC9D7BE87}" name="Product Name" dataDxfId="3"/>
    <tableColumn id="7" xr3:uid="{5BDCC19A-17A8-4175-8C65-AA4F72A4B89B}" name="Sales" dataDxfId="2"/>
    <tableColumn id="8" xr3:uid="{43BDC9F3-B99B-4004-A5D4-90732E2046B9}" name="Quantity" dataDxfId="1"/>
    <tableColumn id="9" xr3:uid="{A9B9C8C3-6918-4587-8624-F3CA7CDE9A50}" name="Profi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E9389-F286-41C3-BF44-3F3F2C7B495A}">
  <dimension ref="A3:C10"/>
  <sheetViews>
    <sheetView workbookViewId="0">
      <selection activeCell="B3" sqref="B3"/>
    </sheetView>
  </sheetViews>
  <sheetFormatPr defaultRowHeight="14.4" x14ac:dyDescent="0.3"/>
  <cols>
    <col min="1" max="1" width="11.6640625" bestFit="1" customWidth="1"/>
    <col min="2" max="2" width="14.88671875" bestFit="1" customWidth="1"/>
    <col min="3" max="4" width="12.109375" bestFit="1" customWidth="1"/>
  </cols>
  <sheetData>
    <row r="3" spans="1:3" x14ac:dyDescent="0.3">
      <c r="A3" t="s">
        <v>2426</v>
      </c>
      <c r="B3" t="s">
        <v>2427</v>
      </c>
      <c r="C3" t="s">
        <v>2428</v>
      </c>
    </row>
    <row r="4" spans="1:3" x14ac:dyDescent="0.3">
      <c r="A4">
        <v>887917.19999999786</v>
      </c>
      <c r="B4">
        <v>15236</v>
      </c>
      <c r="C4" s="12">
        <v>108803.67000000025</v>
      </c>
    </row>
    <row r="7" spans="1:3" x14ac:dyDescent="0.3">
      <c r="A7" t="s">
        <v>2429</v>
      </c>
      <c r="B7">
        <f>GETPIVOTDATA("Sum of Sales",$A$3)</f>
        <v>887917.19999999786</v>
      </c>
    </row>
    <row r="8" spans="1:3" x14ac:dyDescent="0.3">
      <c r="A8" t="s">
        <v>2430</v>
      </c>
      <c r="B8">
        <f>GETPIVOTDATA("Sum of Quantity",$A$3)</f>
        <v>15236</v>
      </c>
    </row>
    <row r="9" spans="1:3" x14ac:dyDescent="0.3">
      <c r="A9" t="s">
        <v>2431</v>
      </c>
      <c r="B9">
        <f>GETPIVOTDATA("Sum of Profit",$A$3)</f>
        <v>108803.67000000025</v>
      </c>
    </row>
    <row r="10" spans="1:3" x14ac:dyDescent="0.3">
      <c r="A10" t="s">
        <v>2432</v>
      </c>
      <c r="B10" s="13">
        <f>B9/B7</f>
        <v>0.12253808125352286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0485-A63D-45B7-A737-AE59321834E9}">
  <dimension ref="A3:B7"/>
  <sheetViews>
    <sheetView workbookViewId="0">
      <selection activeCell="H17" sqref="H17"/>
    </sheetView>
  </sheetViews>
  <sheetFormatPr defaultRowHeight="14.4" x14ac:dyDescent="0.3"/>
  <cols>
    <col min="1" max="1" width="13.109375" bestFit="1" customWidth="1"/>
    <col min="2" max="2" width="11.6640625" bestFit="1" customWidth="1"/>
  </cols>
  <sheetData>
    <row r="3" spans="1:2" x14ac:dyDescent="0.3">
      <c r="A3" s="10" t="s">
        <v>2423</v>
      </c>
      <c r="B3" t="s">
        <v>2426</v>
      </c>
    </row>
    <row r="4" spans="1:2" x14ac:dyDescent="0.3">
      <c r="A4" s="11" t="s">
        <v>25</v>
      </c>
      <c r="B4" s="14">
        <v>289736.25000000041</v>
      </c>
    </row>
    <row r="5" spans="1:2" x14ac:dyDescent="0.3">
      <c r="A5" s="11" t="s">
        <v>2</v>
      </c>
      <c r="B5" s="14">
        <v>259573.56</v>
      </c>
    </row>
    <row r="6" spans="1:2" x14ac:dyDescent="0.3">
      <c r="A6" s="11" t="s">
        <v>30</v>
      </c>
      <c r="B6" s="14">
        <v>338607.39</v>
      </c>
    </row>
    <row r="7" spans="1:2" x14ac:dyDescent="0.3">
      <c r="A7" s="11" t="s">
        <v>2425</v>
      </c>
      <c r="B7" s="14">
        <v>887917.20000000042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DC81A-3B04-4A01-B51B-947E78B72E06}">
  <dimension ref="A3:D52"/>
  <sheetViews>
    <sheetView topLeftCell="A9" workbookViewId="0">
      <selection activeCell="N38" sqref="N38"/>
    </sheetView>
  </sheetViews>
  <sheetFormatPr defaultRowHeight="14.4" x14ac:dyDescent="0.3"/>
  <cols>
    <col min="1" max="1" width="17.33203125" bestFit="1" customWidth="1"/>
    <col min="2" max="2" width="13.109375" bestFit="1" customWidth="1"/>
  </cols>
  <sheetData>
    <row r="3" spans="1:4" x14ac:dyDescent="0.3">
      <c r="A3" s="10" t="s">
        <v>2423</v>
      </c>
      <c r="B3" t="s">
        <v>2434</v>
      </c>
    </row>
    <row r="4" spans="1:4" x14ac:dyDescent="0.3">
      <c r="A4" s="11" t="s">
        <v>244</v>
      </c>
      <c r="B4" s="14">
        <v>11</v>
      </c>
      <c r="C4" t="str">
        <f>A4</f>
        <v>Alabama</v>
      </c>
      <c r="D4">
        <f>B4</f>
        <v>11</v>
      </c>
    </row>
    <row r="5" spans="1:4" x14ac:dyDescent="0.3">
      <c r="A5" s="11" t="s">
        <v>253</v>
      </c>
      <c r="B5" s="14">
        <v>78</v>
      </c>
      <c r="C5" t="str">
        <f t="shared" ref="C5:C51" si="0">A5</f>
        <v>Arizona</v>
      </c>
      <c r="D5">
        <f t="shared" ref="D5:D51" si="1">B5</f>
        <v>78</v>
      </c>
    </row>
    <row r="6" spans="1:4" x14ac:dyDescent="0.3">
      <c r="A6" s="11" t="s">
        <v>368</v>
      </c>
      <c r="B6" s="14">
        <v>25</v>
      </c>
      <c r="C6" t="str">
        <f t="shared" si="0"/>
        <v>Arkansas</v>
      </c>
      <c r="D6">
        <f t="shared" si="1"/>
        <v>25</v>
      </c>
    </row>
    <row r="7" spans="1:4" x14ac:dyDescent="0.3">
      <c r="A7" s="11" t="s">
        <v>18</v>
      </c>
      <c r="B7" s="14">
        <v>787</v>
      </c>
      <c r="C7" t="str">
        <f t="shared" si="0"/>
        <v>California</v>
      </c>
      <c r="D7">
        <f t="shared" si="1"/>
        <v>787</v>
      </c>
    </row>
    <row r="8" spans="1:4" x14ac:dyDescent="0.3">
      <c r="A8" s="11" t="s">
        <v>163</v>
      </c>
      <c r="B8" s="14">
        <v>78</v>
      </c>
      <c r="C8" t="str">
        <f t="shared" si="0"/>
        <v>Colorado</v>
      </c>
      <c r="D8">
        <f t="shared" si="1"/>
        <v>78</v>
      </c>
    </row>
    <row r="9" spans="1:4" x14ac:dyDescent="0.3">
      <c r="A9" s="11" t="s">
        <v>300</v>
      </c>
      <c r="B9" s="14">
        <v>28</v>
      </c>
      <c r="C9" t="str">
        <f t="shared" si="0"/>
        <v>Connecticut</v>
      </c>
      <c r="D9">
        <f t="shared" si="1"/>
        <v>28</v>
      </c>
    </row>
    <row r="10" spans="1:4" x14ac:dyDescent="0.3">
      <c r="A10" s="11" t="s">
        <v>50</v>
      </c>
      <c r="B10" s="14">
        <v>44</v>
      </c>
      <c r="C10" t="str">
        <f t="shared" si="0"/>
        <v>Delaware</v>
      </c>
      <c r="D10">
        <f t="shared" si="1"/>
        <v>44</v>
      </c>
    </row>
    <row r="11" spans="1:4" x14ac:dyDescent="0.3">
      <c r="A11" s="11" t="s">
        <v>2057</v>
      </c>
      <c r="B11" s="14">
        <v>3</v>
      </c>
      <c r="C11" t="str">
        <f t="shared" si="0"/>
        <v>District of Columbia</v>
      </c>
      <c r="D11">
        <f t="shared" si="1"/>
        <v>3</v>
      </c>
    </row>
    <row r="12" spans="1:4" x14ac:dyDescent="0.3">
      <c r="A12" s="11" t="s">
        <v>58</v>
      </c>
      <c r="B12" s="14">
        <v>165</v>
      </c>
      <c r="C12" t="str">
        <f t="shared" si="0"/>
        <v>Florida</v>
      </c>
      <c r="D12">
        <f t="shared" si="1"/>
        <v>165</v>
      </c>
    </row>
    <row r="13" spans="1:4" x14ac:dyDescent="0.3">
      <c r="A13" s="11" t="s">
        <v>21</v>
      </c>
      <c r="B13" s="14">
        <v>63</v>
      </c>
      <c r="C13" t="str">
        <f t="shared" si="0"/>
        <v>Georgia</v>
      </c>
      <c r="D13">
        <f t="shared" si="1"/>
        <v>63</v>
      </c>
    </row>
    <row r="14" spans="1:4" x14ac:dyDescent="0.3">
      <c r="A14" s="11" t="s">
        <v>268</v>
      </c>
      <c r="B14" s="14">
        <v>10</v>
      </c>
      <c r="C14" t="str">
        <f t="shared" si="0"/>
        <v>Idaho</v>
      </c>
      <c r="D14">
        <f t="shared" si="1"/>
        <v>10</v>
      </c>
    </row>
    <row r="15" spans="1:4" x14ac:dyDescent="0.3">
      <c r="A15" s="11" t="s">
        <v>6</v>
      </c>
      <c r="B15" s="14">
        <v>176</v>
      </c>
      <c r="C15" t="str">
        <f t="shared" si="0"/>
        <v>Illinois</v>
      </c>
      <c r="D15">
        <f t="shared" si="1"/>
        <v>176</v>
      </c>
    </row>
    <row r="16" spans="1:4" x14ac:dyDescent="0.3">
      <c r="A16" s="11" t="s">
        <v>283</v>
      </c>
      <c r="B16" s="14">
        <v>63</v>
      </c>
      <c r="C16" t="str">
        <f t="shared" si="0"/>
        <v>Indiana</v>
      </c>
      <c r="D16">
        <f t="shared" si="1"/>
        <v>63</v>
      </c>
    </row>
    <row r="17" spans="1:4" x14ac:dyDescent="0.3">
      <c r="A17" s="11" t="s">
        <v>1516</v>
      </c>
      <c r="B17" s="14">
        <v>11</v>
      </c>
      <c r="C17" t="str">
        <f t="shared" si="0"/>
        <v>Iowa</v>
      </c>
      <c r="D17">
        <f t="shared" si="1"/>
        <v>11</v>
      </c>
    </row>
    <row r="18" spans="1:4" x14ac:dyDescent="0.3">
      <c r="A18" s="11" t="s">
        <v>729</v>
      </c>
      <c r="B18" s="14">
        <v>11</v>
      </c>
      <c r="C18" t="str">
        <f t="shared" si="0"/>
        <v>Kansas</v>
      </c>
      <c r="D18">
        <f t="shared" si="1"/>
        <v>11</v>
      </c>
    </row>
    <row r="19" spans="1:4" x14ac:dyDescent="0.3">
      <c r="A19" s="11" t="s">
        <v>24</v>
      </c>
      <c r="B19" s="14">
        <v>66</v>
      </c>
      <c r="C19" t="str">
        <f t="shared" si="0"/>
        <v>Kentucky</v>
      </c>
      <c r="D19">
        <f t="shared" si="1"/>
        <v>66</v>
      </c>
    </row>
    <row r="20" spans="1:4" x14ac:dyDescent="0.3">
      <c r="A20" s="11" t="s">
        <v>203</v>
      </c>
      <c r="B20" s="14">
        <v>15</v>
      </c>
      <c r="C20" t="str">
        <f t="shared" si="0"/>
        <v>Louisiana</v>
      </c>
      <c r="D20">
        <f t="shared" si="1"/>
        <v>15</v>
      </c>
    </row>
    <row r="21" spans="1:4" x14ac:dyDescent="0.3">
      <c r="A21" s="11" t="s">
        <v>538</v>
      </c>
      <c r="B21" s="14">
        <v>3</v>
      </c>
      <c r="C21" t="str">
        <f t="shared" si="0"/>
        <v>Maine</v>
      </c>
      <c r="D21">
        <f t="shared" si="1"/>
        <v>3</v>
      </c>
    </row>
    <row r="22" spans="1:4" x14ac:dyDescent="0.3">
      <c r="A22" s="11" t="s">
        <v>958</v>
      </c>
      <c r="B22" s="14">
        <v>48</v>
      </c>
      <c r="C22" t="str">
        <f t="shared" si="0"/>
        <v>Maryland</v>
      </c>
      <c r="D22">
        <f t="shared" si="1"/>
        <v>48</v>
      </c>
    </row>
    <row r="23" spans="1:4" x14ac:dyDescent="0.3">
      <c r="A23" s="11" t="s">
        <v>181</v>
      </c>
      <c r="B23" s="14">
        <v>61</v>
      </c>
      <c r="C23" t="str">
        <f t="shared" si="0"/>
        <v>Massachusetts</v>
      </c>
      <c r="D23">
        <f t="shared" si="1"/>
        <v>61</v>
      </c>
    </row>
    <row r="24" spans="1:4" x14ac:dyDescent="0.3">
      <c r="A24" s="11" t="s">
        <v>160</v>
      </c>
      <c r="B24" s="14">
        <v>120</v>
      </c>
      <c r="C24" t="str">
        <f t="shared" si="0"/>
        <v>Michigan</v>
      </c>
      <c r="D24">
        <f t="shared" si="1"/>
        <v>120</v>
      </c>
    </row>
    <row r="25" spans="1:4" x14ac:dyDescent="0.3">
      <c r="A25" s="11" t="s">
        <v>359</v>
      </c>
      <c r="B25" s="14">
        <v>42</v>
      </c>
      <c r="C25" t="str">
        <f t="shared" si="0"/>
        <v>Minnesota</v>
      </c>
      <c r="D25">
        <f t="shared" si="1"/>
        <v>42</v>
      </c>
    </row>
    <row r="26" spans="1:4" x14ac:dyDescent="0.3">
      <c r="A26" s="11" t="s">
        <v>450</v>
      </c>
      <c r="B26" s="14">
        <v>13</v>
      </c>
      <c r="C26" t="str">
        <f t="shared" si="0"/>
        <v>Mississippi</v>
      </c>
      <c r="D26">
        <f t="shared" si="1"/>
        <v>13</v>
      </c>
    </row>
    <row r="27" spans="1:4" x14ac:dyDescent="0.3">
      <c r="A27" s="11" t="s">
        <v>90</v>
      </c>
      <c r="B27" s="14">
        <v>38</v>
      </c>
      <c r="C27" t="str">
        <f t="shared" si="0"/>
        <v>Missouri</v>
      </c>
      <c r="D27">
        <f t="shared" si="1"/>
        <v>38</v>
      </c>
    </row>
    <row r="28" spans="1:4" x14ac:dyDescent="0.3">
      <c r="A28" s="11" t="s">
        <v>273</v>
      </c>
      <c r="B28" s="14">
        <v>3</v>
      </c>
      <c r="C28" t="str">
        <f t="shared" si="0"/>
        <v>Montana</v>
      </c>
      <c r="D28">
        <f t="shared" si="1"/>
        <v>3</v>
      </c>
    </row>
    <row r="29" spans="1:4" x14ac:dyDescent="0.3">
      <c r="A29" s="11" t="s">
        <v>767</v>
      </c>
      <c r="B29" s="14">
        <v>11</v>
      </c>
      <c r="C29" t="str">
        <f t="shared" si="0"/>
        <v>Nebraska</v>
      </c>
      <c r="D29">
        <f t="shared" si="1"/>
        <v>11</v>
      </c>
    </row>
    <row r="30" spans="1:4" x14ac:dyDescent="0.3">
      <c r="A30" s="11" t="s">
        <v>83</v>
      </c>
      <c r="B30" s="14">
        <v>13</v>
      </c>
      <c r="C30" t="str">
        <f t="shared" si="0"/>
        <v>Nevada</v>
      </c>
      <c r="D30">
        <f t="shared" si="1"/>
        <v>13</v>
      </c>
    </row>
    <row r="31" spans="1:4" x14ac:dyDescent="0.3">
      <c r="A31" s="11" t="s">
        <v>1558</v>
      </c>
      <c r="B31" s="14">
        <v>7</v>
      </c>
      <c r="C31" t="str">
        <f t="shared" si="0"/>
        <v>New Hampshire</v>
      </c>
      <c r="D31">
        <f t="shared" si="1"/>
        <v>7</v>
      </c>
    </row>
    <row r="32" spans="1:4" x14ac:dyDescent="0.3">
      <c r="A32" s="11" t="s">
        <v>77</v>
      </c>
      <c r="B32" s="14">
        <v>50</v>
      </c>
      <c r="C32" t="str">
        <f t="shared" si="0"/>
        <v>New Jersey</v>
      </c>
      <c r="D32">
        <f t="shared" si="1"/>
        <v>50</v>
      </c>
    </row>
    <row r="33" spans="1:4" x14ac:dyDescent="0.3">
      <c r="A33" s="11" t="s">
        <v>784</v>
      </c>
      <c r="B33" s="14">
        <v>6</v>
      </c>
      <c r="C33" t="str">
        <f t="shared" si="0"/>
        <v>New Mexico</v>
      </c>
      <c r="D33">
        <f t="shared" si="1"/>
        <v>6</v>
      </c>
    </row>
    <row r="34" spans="1:4" x14ac:dyDescent="0.3">
      <c r="A34" s="11" t="s">
        <v>80</v>
      </c>
      <c r="B34" s="14">
        <v>480</v>
      </c>
      <c r="C34" t="str">
        <f t="shared" si="0"/>
        <v>New York</v>
      </c>
      <c r="D34">
        <f t="shared" si="1"/>
        <v>480</v>
      </c>
    </row>
    <row r="35" spans="1:4" x14ac:dyDescent="0.3">
      <c r="A35" s="11" t="s">
        <v>121</v>
      </c>
      <c r="B35" s="14">
        <v>122</v>
      </c>
      <c r="C35" t="str">
        <f t="shared" si="0"/>
        <v>North Carolina</v>
      </c>
      <c r="D35">
        <f t="shared" si="1"/>
        <v>122</v>
      </c>
    </row>
    <row r="36" spans="1:4" x14ac:dyDescent="0.3">
      <c r="A36" s="11" t="s">
        <v>127</v>
      </c>
      <c r="B36" s="14">
        <v>177</v>
      </c>
      <c r="C36" t="str">
        <f t="shared" si="0"/>
        <v>Ohio</v>
      </c>
      <c r="D36">
        <f t="shared" si="1"/>
        <v>177</v>
      </c>
    </row>
    <row r="37" spans="1:4" x14ac:dyDescent="0.3">
      <c r="A37" s="11" t="s">
        <v>640</v>
      </c>
      <c r="B37" s="14">
        <v>24</v>
      </c>
      <c r="C37" t="str">
        <f t="shared" si="0"/>
        <v>Oklahoma</v>
      </c>
      <c r="D37">
        <f t="shared" si="1"/>
        <v>24</v>
      </c>
    </row>
    <row r="38" spans="1:4" x14ac:dyDescent="0.3">
      <c r="A38" s="11" t="s">
        <v>713</v>
      </c>
      <c r="B38" s="14">
        <v>48</v>
      </c>
      <c r="C38" t="str">
        <f t="shared" si="0"/>
        <v>Oregon</v>
      </c>
      <c r="D38">
        <f t="shared" si="1"/>
        <v>48</v>
      </c>
    </row>
    <row r="39" spans="1:4" x14ac:dyDescent="0.3">
      <c r="A39" s="11" t="s">
        <v>14</v>
      </c>
      <c r="B39" s="14">
        <v>237</v>
      </c>
      <c r="C39" t="str">
        <f t="shared" si="0"/>
        <v>Pennsylvania</v>
      </c>
      <c r="D39">
        <f t="shared" si="1"/>
        <v>237</v>
      </c>
    </row>
    <row r="40" spans="1:4" x14ac:dyDescent="0.3">
      <c r="A40" s="11" t="s">
        <v>1300</v>
      </c>
      <c r="B40" s="14">
        <v>20</v>
      </c>
      <c r="C40" t="str">
        <f t="shared" si="0"/>
        <v>Rhode Island</v>
      </c>
      <c r="D40">
        <f t="shared" si="1"/>
        <v>20</v>
      </c>
    </row>
    <row r="41" spans="1:4" x14ac:dyDescent="0.3">
      <c r="A41" s="11" t="s">
        <v>138</v>
      </c>
      <c r="B41" s="14">
        <v>11</v>
      </c>
      <c r="C41" t="str">
        <f t="shared" si="0"/>
        <v>South Carolina</v>
      </c>
      <c r="D41">
        <f t="shared" si="1"/>
        <v>11</v>
      </c>
    </row>
    <row r="42" spans="1:4" x14ac:dyDescent="0.3">
      <c r="A42" s="11" t="s">
        <v>2372</v>
      </c>
      <c r="B42" s="14">
        <v>1</v>
      </c>
      <c r="C42" t="str">
        <f t="shared" si="0"/>
        <v>South Dakota</v>
      </c>
      <c r="D42">
        <f t="shared" si="1"/>
        <v>1</v>
      </c>
    </row>
    <row r="43" spans="1:4" x14ac:dyDescent="0.3">
      <c r="A43" s="11" t="s">
        <v>411</v>
      </c>
      <c r="B43" s="14">
        <v>57</v>
      </c>
      <c r="C43" t="str">
        <f t="shared" si="0"/>
        <v>Tennessee</v>
      </c>
      <c r="D43">
        <f t="shared" si="1"/>
        <v>57</v>
      </c>
    </row>
    <row r="44" spans="1:4" x14ac:dyDescent="0.3">
      <c r="A44" s="11" t="s">
        <v>1</v>
      </c>
      <c r="B44" s="14">
        <v>430</v>
      </c>
      <c r="C44" t="str">
        <f t="shared" si="0"/>
        <v>Texas</v>
      </c>
      <c r="D44">
        <f t="shared" si="1"/>
        <v>430</v>
      </c>
    </row>
    <row r="45" spans="1:4" x14ac:dyDescent="0.3">
      <c r="A45" s="11" t="s">
        <v>375</v>
      </c>
      <c r="B45" s="14">
        <v>19</v>
      </c>
      <c r="C45" t="str">
        <f t="shared" si="0"/>
        <v>Utah</v>
      </c>
      <c r="D45">
        <f t="shared" si="1"/>
        <v>19</v>
      </c>
    </row>
    <row r="46" spans="1:4" x14ac:dyDescent="0.3">
      <c r="A46" s="11" t="s">
        <v>1498</v>
      </c>
      <c r="B46" s="14">
        <v>4</v>
      </c>
      <c r="C46" t="str">
        <f t="shared" si="0"/>
        <v>Vermont</v>
      </c>
      <c r="D46">
        <f t="shared" si="1"/>
        <v>4</v>
      </c>
    </row>
    <row r="47" spans="1:4" x14ac:dyDescent="0.3">
      <c r="A47" s="11" t="s">
        <v>46</v>
      </c>
      <c r="B47" s="14">
        <v>96</v>
      </c>
      <c r="C47" t="str">
        <f t="shared" si="0"/>
        <v>Virginia</v>
      </c>
      <c r="D47">
        <f t="shared" si="1"/>
        <v>96</v>
      </c>
    </row>
    <row r="48" spans="1:4" x14ac:dyDescent="0.3">
      <c r="A48" s="11" t="s">
        <v>62</v>
      </c>
      <c r="B48" s="14">
        <v>226</v>
      </c>
      <c r="C48" t="str">
        <f t="shared" si="0"/>
        <v>Washington</v>
      </c>
      <c r="D48">
        <f t="shared" si="1"/>
        <v>226</v>
      </c>
    </row>
    <row r="49" spans="1:4" x14ac:dyDescent="0.3">
      <c r="A49" s="11" t="s">
        <v>2338</v>
      </c>
      <c r="B49" s="14">
        <v>1</v>
      </c>
      <c r="C49" t="str">
        <f t="shared" si="0"/>
        <v>West Virginia</v>
      </c>
      <c r="D49">
        <f t="shared" si="1"/>
        <v>1</v>
      </c>
    </row>
    <row r="50" spans="1:4" x14ac:dyDescent="0.3">
      <c r="A50" s="11" t="s">
        <v>53</v>
      </c>
      <c r="B50" s="14">
        <v>39</v>
      </c>
      <c r="C50" t="str">
        <f t="shared" si="0"/>
        <v>Wisconsin</v>
      </c>
      <c r="D50">
        <f t="shared" si="1"/>
        <v>39</v>
      </c>
    </row>
    <row r="51" spans="1:4" x14ac:dyDescent="0.3">
      <c r="A51" s="11" t="s">
        <v>2007</v>
      </c>
      <c r="B51" s="14">
        <v>1</v>
      </c>
      <c r="C51" t="str">
        <f t="shared" si="0"/>
        <v>Wyoming</v>
      </c>
      <c r="D51">
        <f t="shared" si="1"/>
        <v>1</v>
      </c>
    </row>
    <row r="52" spans="1:4" x14ac:dyDescent="0.3">
      <c r="A52" s="11" t="s">
        <v>2425</v>
      </c>
      <c r="B52" s="14">
        <v>4042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518F2-9657-4468-8EE0-86A4BD4475DA}">
  <dimension ref="A3:D52"/>
  <sheetViews>
    <sheetView workbookViewId="0">
      <selection activeCell="J23" sqref="J23"/>
    </sheetView>
  </sheetViews>
  <sheetFormatPr defaultRowHeight="14.4" x14ac:dyDescent="0.3"/>
  <cols>
    <col min="1" max="1" width="17.33203125" bestFit="1" customWidth="1"/>
    <col min="2" max="2" width="13.5546875" bestFit="1" customWidth="1"/>
    <col min="3" max="3" width="11.6640625" bestFit="1" customWidth="1"/>
  </cols>
  <sheetData>
    <row r="3" spans="1:4" x14ac:dyDescent="0.3">
      <c r="A3" s="10" t="s">
        <v>2423</v>
      </c>
      <c r="B3" t="s">
        <v>2433</v>
      </c>
    </row>
    <row r="4" spans="1:4" x14ac:dyDescent="0.3">
      <c r="A4" s="11" t="s">
        <v>244</v>
      </c>
      <c r="B4" s="14">
        <v>11</v>
      </c>
      <c r="C4" t="str">
        <f>A4</f>
        <v>Alabama</v>
      </c>
      <c r="D4">
        <f>B4</f>
        <v>11</v>
      </c>
    </row>
    <row r="5" spans="1:4" x14ac:dyDescent="0.3">
      <c r="A5" s="11" t="s">
        <v>253</v>
      </c>
      <c r="B5" s="14">
        <v>78</v>
      </c>
      <c r="C5" t="str">
        <f t="shared" ref="C5:C51" si="0">A5</f>
        <v>Arizona</v>
      </c>
      <c r="D5">
        <f t="shared" ref="D5:D51" si="1">B5</f>
        <v>78</v>
      </c>
    </row>
    <row r="6" spans="1:4" x14ac:dyDescent="0.3">
      <c r="A6" s="11" t="s">
        <v>368</v>
      </c>
      <c r="B6" s="14">
        <v>25</v>
      </c>
      <c r="C6" t="str">
        <f t="shared" si="0"/>
        <v>Arkansas</v>
      </c>
      <c r="D6">
        <f t="shared" si="1"/>
        <v>25</v>
      </c>
    </row>
    <row r="7" spans="1:4" x14ac:dyDescent="0.3">
      <c r="A7" s="11" t="s">
        <v>18</v>
      </c>
      <c r="B7" s="14">
        <v>787</v>
      </c>
      <c r="C7" t="str">
        <f t="shared" si="0"/>
        <v>California</v>
      </c>
      <c r="D7">
        <f t="shared" si="1"/>
        <v>787</v>
      </c>
    </row>
    <row r="8" spans="1:4" x14ac:dyDescent="0.3">
      <c r="A8" s="11" t="s">
        <v>163</v>
      </c>
      <c r="B8" s="14">
        <v>78</v>
      </c>
      <c r="C8" t="str">
        <f t="shared" si="0"/>
        <v>Colorado</v>
      </c>
      <c r="D8">
        <f t="shared" si="1"/>
        <v>78</v>
      </c>
    </row>
    <row r="9" spans="1:4" x14ac:dyDescent="0.3">
      <c r="A9" s="11" t="s">
        <v>300</v>
      </c>
      <c r="B9" s="14">
        <v>28</v>
      </c>
      <c r="C9" t="str">
        <f t="shared" si="0"/>
        <v>Connecticut</v>
      </c>
      <c r="D9">
        <f t="shared" si="1"/>
        <v>28</v>
      </c>
    </row>
    <row r="10" spans="1:4" x14ac:dyDescent="0.3">
      <c r="A10" s="11" t="s">
        <v>50</v>
      </c>
      <c r="B10" s="14">
        <v>44</v>
      </c>
      <c r="C10" t="str">
        <f t="shared" si="0"/>
        <v>Delaware</v>
      </c>
      <c r="D10">
        <f t="shared" si="1"/>
        <v>44</v>
      </c>
    </row>
    <row r="11" spans="1:4" x14ac:dyDescent="0.3">
      <c r="A11" s="11" t="s">
        <v>2057</v>
      </c>
      <c r="B11" s="14">
        <v>3</v>
      </c>
      <c r="C11" t="str">
        <f t="shared" si="0"/>
        <v>District of Columbia</v>
      </c>
      <c r="D11">
        <f t="shared" si="1"/>
        <v>3</v>
      </c>
    </row>
    <row r="12" spans="1:4" x14ac:dyDescent="0.3">
      <c r="A12" s="11" t="s">
        <v>58</v>
      </c>
      <c r="B12" s="14">
        <v>165</v>
      </c>
      <c r="C12" t="str">
        <f t="shared" si="0"/>
        <v>Florida</v>
      </c>
      <c r="D12">
        <f t="shared" si="1"/>
        <v>165</v>
      </c>
    </row>
    <row r="13" spans="1:4" x14ac:dyDescent="0.3">
      <c r="A13" s="11" t="s">
        <v>21</v>
      </c>
      <c r="B13" s="14">
        <v>63</v>
      </c>
      <c r="C13" t="str">
        <f t="shared" si="0"/>
        <v>Georgia</v>
      </c>
      <c r="D13">
        <f t="shared" si="1"/>
        <v>63</v>
      </c>
    </row>
    <row r="14" spans="1:4" x14ac:dyDescent="0.3">
      <c r="A14" s="11" t="s">
        <v>268</v>
      </c>
      <c r="B14" s="14">
        <v>10</v>
      </c>
      <c r="C14" t="str">
        <f t="shared" si="0"/>
        <v>Idaho</v>
      </c>
      <c r="D14">
        <f t="shared" si="1"/>
        <v>10</v>
      </c>
    </row>
    <row r="15" spans="1:4" x14ac:dyDescent="0.3">
      <c r="A15" s="11" t="s">
        <v>6</v>
      </c>
      <c r="B15" s="14">
        <v>176</v>
      </c>
      <c r="C15" t="str">
        <f t="shared" si="0"/>
        <v>Illinois</v>
      </c>
      <c r="D15">
        <f t="shared" si="1"/>
        <v>176</v>
      </c>
    </row>
    <row r="16" spans="1:4" x14ac:dyDescent="0.3">
      <c r="A16" s="11" t="s">
        <v>283</v>
      </c>
      <c r="B16" s="14">
        <v>63</v>
      </c>
      <c r="C16" t="str">
        <f t="shared" si="0"/>
        <v>Indiana</v>
      </c>
      <c r="D16">
        <f t="shared" si="1"/>
        <v>63</v>
      </c>
    </row>
    <row r="17" spans="1:4" x14ac:dyDescent="0.3">
      <c r="A17" s="11" t="s">
        <v>1516</v>
      </c>
      <c r="B17" s="14">
        <v>11</v>
      </c>
      <c r="C17" t="str">
        <f t="shared" si="0"/>
        <v>Iowa</v>
      </c>
      <c r="D17">
        <f t="shared" si="1"/>
        <v>11</v>
      </c>
    </row>
    <row r="18" spans="1:4" x14ac:dyDescent="0.3">
      <c r="A18" s="11" t="s">
        <v>729</v>
      </c>
      <c r="B18" s="14">
        <v>11</v>
      </c>
      <c r="C18" t="str">
        <f t="shared" si="0"/>
        <v>Kansas</v>
      </c>
      <c r="D18">
        <f t="shared" si="1"/>
        <v>11</v>
      </c>
    </row>
    <row r="19" spans="1:4" x14ac:dyDescent="0.3">
      <c r="A19" s="11" t="s">
        <v>24</v>
      </c>
      <c r="B19" s="14">
        <v>66</v>
      </c>
      <c r="C19" t="str">
        <f t="shared" si="0"/>
        <v>Kentucky</v>
      </c>
      <c r="D19">
        <f t="shared" si="1"/>
        <v>66</v>
      </c>
    </row>
    <row r="20" spans="1:4" x14ac:dyDescent="0.3">
      <c r="A20" s="11" t="s">
        <v>203</v>
      </c>
      <c r="B20" s="14">
        <v>15</v>
      </c>
      <c r="C20" t="str">
        <f t="shared" si="0"/>
        <v>Louisiana</v>
      </c>
      <c r="D20">
        <f t="shared" si="1"/>
        <v>15</v>
      </c>
    </row>
    <row r="21" spans="1:4" x14ac:dyDescent="0.3">
      <c r="A21" s="11" t="s">
        <v>538</v>
      </c>
      <c r="B21" s="14">
        <v>3</v>
      </c>
      <c r="C21" t="str">
        <f t="shared" si="0"/>
        <v>Maine</v>
      </c>
      <c r="D21">
        <f t="shared" si="1"/>
        <v>3</v>
      </c>
    </row>
    <row r="22" spans="1:4" x14ac:dyDescent="0.3">
      <c r="A22" s="11" t="s">
        <v>958</v>
      </c>
      <c r="B22" s="14">
        <v>48</v>
      </c>
      <c r="C22" t="str">
        <f t="shared" si="0"/>
        <v>Maryland</v>
      </c>
      <c r="D22">
        <f t="shared" si="1"/>
        <v>48</v>
      </c>
    </row>
    <row r="23" spans="1:4" x14ac:dyDescent="0.3">
      <c r="A23" s="11" t="s">
        <v>181</v>
      </c>
      <c r="B23" s="14">
        <v>61</v>
      </c>
      <c r="C23" t="str">
        <f t="shared" si="0"/>
        <v>Massachusetts</v>
      </c>
      <c r="D23">
        <f t="shared" si="1"/>
        <v>61</v>
      </c>
    </row>
    <row r="24" spans="1:4" x14ac:dyDescent="0.3">
      <c r="A24" s="11" t="s">
        <v>160</v>
      </c>
      <c r="B24" s="14">
        <v>120</v>
      </c>
      <c r="C24" t="str">
        <f t="shared" si="0"/>
        <v>Michigan</v>
      </c>
      <c r="D24">
        <f t="shared" si="1"/>
        <v>120</v>
      </c>
    </row>
    <row r="25" spans="1:4" x14ac:dyDescent="0.3">
      <c r="A25" s="11" t="s">
        <v>359</v>
      </c>
      <c r="B25" s="14">
        <v>42</v>
      </c>
      <c r="C25" t="str">
        <f t="shared" si="0"/>
        <v>Minnesota</v>
      </c>
      <c r="D25">
        <f t="shared" si="1"/>
        <v>42</v>
      </c>
    </row>
    <row r="26" spans="1:4" x14ac:dyDescent="0.3">
      <c r="A26" s="11" t="s">
        <v>450</v>
      </c>
      <c r="B26" s="14">
        <v>13</v>
      </c>
      <c r="C26" t="str">
        <f t="shared" si="0"/>
        <v>Mississippi</v>
      </c>
      <c r="D26">
        <f t="shared" si="1"/>
        <v>13</v>
      </c>
    </row>
    <row r="27" spans="1:4" x14ac:dyDescent="0.3">
      <c r="A27" s="11" t="s">
        <v>90</v>
      </c>
      <c r="B27" s="14">
        <v>38</v>
      </c>
      <c r="C27" t="str">
        <f t="shared" si="0"/>
        <v>Missouri</v>
      </c>
      <c r="D27">
        <f t="shared" si="1"/>
        <v>38</v>
      </c>
    </row>
    <row r="28" spans="1:4" x14ac:dyDescent="0.3">
      <c r="A28" s="11" t="s">
        <v>273</v>
      </c>
      <c r="B28" s="14">
        <v>3</v>
      </c>
      <c r="C28" t="str">
        <f t="shared" si="0"/>
        <v>Montana</v>
      </c>
      <c r="D28">
        <f t="shared" si="1"/>
        <v>3</v>
      </c>
    </row>
    <row r="29" spans="1:4" x14ac:dyDescent="0.3">
      <c r="A29" s="11" t="s">
        <v>767</v>
      </c>
      <c r="B29" s="14">
        <v>11</v>
      </c>
      <c r="C29" t="str">
        <f t="shared" si="0"/>
        <v>Nebraska</v>
      </c>
      <c r="D29">
        <f t="shared" si="1"/>
        <v>11</v>
      </c>
    </row>
    <row r="30" spans="1:4" x14ac:dyDescent="0.3">
      <c r="A30" s="11" t="s">
        <v>83</v>
      </c>
      <c r="B30" s="14">
        <v>13</v>
      </c>
      <c r="C30" t="str">
        <f t="shared" si="0"/>
        <v>Nevada</v>
      </c>
      <c r="D30">
        <f t="shared" si="1"/>
        <v>13</v>
      </c>
    </row>
    <row r="31" spans="1:4" x14ac:dyDescent="0.3">
      <c r="A31" s="11" t="s">
        <v>1558</v>
      </c>
      <c r="B31" s="14">
        <v>7</v>
      </c>
      <c r="C31" t="str">
        <f t="shared" si="0"/>
        <v>New Hampshire</v>
      </c>
      <c r="D31">
        <f t="shared" si="1"/>
        <v>7</v>
      </c>
    </row>
    <row r="32" spans="1:4" x14ac:dyDescent="0.3">
      <c r="A32" s="11" t="s">
        <v>77</v>
      </c>
      <c r="B32" s="14">
        <v>50</v>
      </c>
      <c r="C32" t="str">
        <f t="shared" si="0"/>
        <v>New Jersey</v>
      </c>
      <c r="D32">
        <f t="shared" si="1"/>
        <v>50</v>
      </c>
    </row>
    <row r="33" spans="1:4" x14ac:dyDescent="0.3">
      <c r="A33" s="11" t="s">
        <v>784</v>
      </c>
      <c r="B33" s="14">
        <v>6</v>
      </c>
      <c r="C33" t="str">
        <f t="shared" si="0"/>
        <v>New Mexico</v>
      </c>
      <c r="D33">
        <f t="shared" si="1"/>
        <v>6</v>
      </c>
    </row>
    <row r="34" spans="1:4" x14ac:dyDescent="0.3">
      <c r="A34" s="11" t="s">
        <v>80</v>
      </c>
      <c r="B34" s="14">
        <v>480</v>
      </c>
      <c r="C34" t="str">
        <f t="shared" si="0"/>
        <v>New York</v>
      </c>
      <c r="D34">
        <f t="shared" si="1"/>
        <v>480</v>
      </c>
    </row>
    <row r="35" spans="1:4" x14ac:dyDescent="0.3">
      <c r="A35" s="11" t="s">
        <v>121</v>
      </c>
      <c r="B35" s="14">
        <v>122</v>
      </c>
      <c r="C35" t="str">
        <f t="shared" si="0"/>
        <v>North Carolina</v>
      </c>
      <c r="D35">
        <f t="shared" si="1"/>
        <v>122</v>
      </c>
    </row>
    <row r="36" spans="1:4" x14ac:dyDescent="0.3">
      <c r="A36" s="11" t="s">
        <v>127</v>
      </c>
      <c r="B36" s="14">
        <v>177</v>
      </c>
      <c r="C36" t="str">
        <f t="shared" si="0"/>
        <v>Ohio</v>
      </c>
      <c r="D36">
        <f t="shared" si="1"/>
        <v>177</v>
      </c>
    </row>
    <row r="37" spans="1:4" x14ac:dyDescent="0.3">
      <c r="A37" s="11" t="s">
        <v>640</v>
      </c>
      <c r="B37" s="14">
        <v>24</v>
      </c>
      <c r="C37" t="str">
        <f t="shared" si="0"/>
        <v>Oklahoma</v>
      </c>
      <c r="D37">
        <f t="shared" si="1"/>
        <v>24</v>
      </c>
    </row>
    <row r="38" spans="1:4" x14ac:dyDescent="0.3">
      <c r="A38" s="11" t="s">
        <v>713</v>
      </c>
      <c r="B38" s="14">
        <v>48</v>
      </c>
      <c r="C38" t="str">
        <f t="shared" si="0"/>
        <v>Oregon</v>
      </c>
      <c r="D38">
        <f t="shared" si="1"/>
        <v>48</v>
      </c>
    </row>
    <row r="39" spans="1:4" x14ac:dyDescent="0.3">
      <c r="A39" s="11" t="s">
        <v>14</v>
      </c>
      <c r="B39" s="14">
        <v>237</v>
      </c>
      <c r="C39" t="str">
        <f t="shared" si="0"/>
        <v>Pennsylvania</v>
      </c>
      <c r="D39">
        <f t="shared" si="1"/>
        <v>237</v>
      </c>
    </row>
    <row r="40" spans="1:4" x14ac:dyDescent="0.3">
      <c r="A40" s="11" t="s">
        <v>1300</v>
      </c>
      <c r="B40" s="14">
        <v>20</v>
      </c>
      <c r="C40" t="str">
        <f t="shared" si="0"/>
        <v>Rhode Island</v>
      </c>
      <c r="D40">
        <f t="shared" si="1"/>
        <v>20</v>
      </c>
    </row>
    <row r="41" spans="1:4" x14ac:dyDescent="0.3">
      <c r="A41" s="11" t="s">
        <v>138</v>
      </c>
      <c r="B41" s="14">
        <v>11</v>
      </c>
      <c r="C41" t="str">
        <f t="shared" si="0"/>
        <v>South Carolina</v>
      </c>
      <c r="D41">
        <f t="shared" si="1"/>
        <v>11</v>
      </c>
    </row>
    <row r="42" spans="1:4" x14ac:dyDescent="0.3">
      <c r="A42" s="11" t="s">
        <v>2372</v>
      </c>
      <c r="B42" s="14">
        <v>1</v>
      </c>
      <c r="C42" t="str">
        <f t="shared" si="0"/>
        <v>South Dakota</v>
      </c>
      <c r="D42">
        <f t="shared" si="1"/>
        <v>1</v>
      </c>
    </row>
    <row r="43" spans="1:4" x14ac:dyDescent="0.3">
      <c r="A43" s="11" t="s">
        <v>411</v>
      </c>
      <c r="B43" s="14">
        <v>57</v>
      </c>
      <c r="C43" t="str">
        <f t="shared" si="0"/>
        <v>Tennessee</v>
      </c>
      <c r="D43">
        <f t="shared" si="1"/>
        <v>57</v>
      </c>
    </row>
    <row r="44" spans="1:4" x14ac:dyDescent="0.3">
      <c r="A44" s="11" t="s">
        <v>1</v>
      </c>
      <c r="B44" s="14">
        <v>430</v>
      </c>
      <c r="C44" t="str">
        <f t="shared" si="0"/>
        <v>Texas</v>
      </c>
      <c r="D44">
        <f t="shared" si="1"/>
        <v>430</v>
      </c>
    </row>
    <row r="45" spans="1:4" x14ac:dyDescent="0.3">
      <c r="A45" s="11" t="s">
        <v>375</v>
      </c>
      <c r="B45" s="14">
        <v>19</v>
      </c>
      <c r="C45" t="str">
        <f t="shared" si="0"/>
        <v>Utah</v>
      </c>
      <c r="D45">
        <f t="shared" si="1"/>
        <v>19</v>
      </c>
    </row>
    <row r="46" spans="1:4" x14ac:dyDescent="0.3">
      <c r="A46" s="11" t="s">
        <v>1498</v>
      </c>
      <c r="B46" s="14">
        <v>4</v>
      </c>
      <c r="C46" t="str">
        <f t="shared" si="0"/>
        <v>Vermont</v>
      </c>
      <c r="D46">
        <f t="shared" si="1"/>
        <v>4</v>
      </c>
    </row>
    <row r="47" spans="1:4" x14ac:dyDescent="0.3">
      <c r="A47" s="11" t="s">
        <v>46</v>
      </c>
      <c r="B47" s="14">
        <v>96</v>
      </c>
      <c r="C47" t="str">
        <f t="shared" si="0"/>
        <v>Virginia</v>
      </c>
      <c r="D47">
        <f t="shared" si="1"/>
        <v>96</v>
      </c>
    </row>
    <row r="48" spans="1:4" x14ac:dyDescent="0.3">
      <c r="A48" s="11" t="s">
        <v>62</v>
      </c>
      <c r="B48" s="14">
        <v>226</v>
      </c>
      <c r="C48" t="str">
        <f t="shared" si="0"/>
        <v>Washington</v>
      </c>
      <c r="D48">
        <f t="shared" si="1"/>
        <v>226</v>
      </c>
    </row>
    <row r="49" spans="1:4" x14ac:dyDescent="0.3">
      <c r="A49" s="11" t="s">
        <v>2338</v>
      </c>
      <c r="B49" s="14">
        <v>1</v>
      </c>
      <c r="C49" t="str">
        <f t="shared" si="0"/>
        <v>West Virginia</v>
      </c>
      <c r="D49">
        <f t="shared" si="1"/>
        <v>1</v>
      </c>
    </row>
    <row r="50" spans="1:4" x14ac:dyDescent="0.3">
      <c r="A50" s="11" t="s">
        <v>53</v>
      </c>
      <c r="B50" s="14">
        <v>39</v>
      </c>
      <c r="C50" t="str">
        <f t="shared" si="0"/>
        <v>Wisconsin</v>
      </c>
      <c r="D50">
        <f t="shared" si="1"/>
        <v>39</v>
      </c>
    </row>
    <row r="51" spans="1:4" x14ac:dyDescent="0.3">
      <c r="A51" s="11" t="s">
        <v>2007</v>
      </c>
      <c r="B51" s="14">
        <v>1</v>
      </c>
      <c r="C51" t="str">
        <f t="shared" si="0"/>
        <v>Wyoming</v>
      </c>
      <c r="D51">
        <f t="shared" si="1"/>
        <v>1</v>
      </c>
    </row>
    <row r="52" spans="1:4" x14ac:dyDescent="0.3">
      <c r="A52" s="11" t="s">
        <v>2425</v>
      </c>
      <c r="B52" s="14">
        <v>4042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FF894-028F-49F5-89AF-58B042B44EDB}">
  <dimension ref="A3:B8"/>
  <sheetViews>
    <sheetView workbookViewId="0">
      <selection activeCell="J19" sqref="J19"/>
    </sheetView>
  </sheetViews>
  <sheetFormatPr defaultRowHeight="14.4" x14ac:dyDescent="0.3"/>
  <cols>
    <col min="1" max="1" width="13.109375" bestFit="1" customWidth="1"/>
    <col min="2" max="3" width="11.6640625" bestFit="1" customWidth="1"/>
  </cols>
  <sheetData>
    <row r="3" spans="1:2" x14ac:dyDescent="0.3">
      <c r="A3" s="10" t="s">
        <v>2423</v>
      </c>
      <c r="B3" t="s">
        <v>2426</v>
      </c>
    </row>
    <row r="4" spans="1:2" x14ac:dyDescent="0.3">
      <c r="A4" s="11" t="s">
        <v>25</v>
      </c>
      <c r="B4">
        <v>289736.25000000041</v>
      </c>
    </row>
    <row r="5" spans="1:2" x14ac:dyDescent="0.3">
      <c r="A5" s="11" t="s">
        <v>2</v>
      </c>
      <c r="B5">
        <v>259573.56</v>
      </c>
    </row>
    <row r="6" spans="1:2" x14ac:dyDescent="0.3">
      <c r="A6" s="11" t="s">
        <v>30</v>
      </c>
      <c r="B6">
        <v>338607.39</v>
      </c>
    </row>
    <row r="7" spans="1:2" x14ac:dyDescent="0.3">
      <c r="A7" s="11" t="s">
        <v>2424</v>
      </c>
    </row>
    <row r="8" spans="1:2" x14ac:dyDescent="0.3">
      <c r="A8" s="11" t="s">
        <v>2425</v>
      </c>
      <c r="B8">
        <v>887917.20000000042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D661-41E1-46EB-838D-4E90BD29E7CC}">
  <dimension ref="A3:E21"/>
  <sheetViews>
    <sheetView workbookViewId="0">
      <selection activeCell="P21" sqref="P21"/>
    </sheetView>
  </sheetViews>
  <sheetFormatPr defaultRowHeight="14.4" x14ac:dyDescent="0.3"/>
  <cols>
    <col min="1" max="1" width="12.5546875" bestFit="1" customWidth="1"/>
    <col min="2" max="2" width="16.21875" bestFit="1" customWidth="1"/>
  </cols>
  <sheetData>
    <row r="3" spans="1:5" x14ac:dyDescent="0.3">
      <c r="A3" s="10" t="s">
        <v>2423</v>
      </c>
      <c r="B3" t="s">
        <v>2435</v>
      </c>
    </row>
    <row r="4" spans="1:5" x14ac:dyDescent="0.3">
      <c r="A4" s="11" t="s">
        <v>43</v>
      </c>
      <c r="B4" s="14">
        <v>336</v>
      </c>
      <c r="D4" t="str">
        <f>A4</f>
        <v>Accessories</v>
      </c>
      <c r="E4">
        <f>B4</f>
        <v>336</v>
      </c>
    </row>
    <row r="5" spans="1:5" x14ac:dyDescent="0.3">
      <c r="A5" s="11" t="s">
        <v>133</v>
      </c>
      <c r="B5" s="14">
        <v>190</v>
      </c>
      <c r="D5" t="str">
        <f t="shared" ref="D5:D20" si="0">A5</f>
        <v>Appliances</v>
      </c>
      <c r="E5">
        <f t="shared" ref="E5:E20" si="1">B5</f>
        <v>190</v>
      </c>
    </row>
    <row r="6" spans="1:5" x14ac:dyDescent="0.3">
      <c r="A6" s="11" t="s">
        <v>15</v>
      </c>
      <c r="B6" s="14">
        <v>324</v>
      </c>
      <c r="D6" t="str">
        <f t="shared" si="0"/>
        <v>Art</v>
      </c>
      <c r="E6">
        <f t="shared" si="1"/>
        <v>324</v>
      </c>
    </row>
    <row r="7" spans="1:5" x14ac:dyDescent="0.3">
      <c r="A7" s="11" t="s">
        <v>11</v>
      </c>
      <c r="B7" s="14">
        <v>614</v>
      </c>
      <c r="D7" t="str">
        <f t="shared" si="0"/>
        <v>Binders</v>
      </c>
      <c r="E7">
        <f t="shared" si="1"/>
        <v>614</v>
      </c>
    </row>
    <row r="8" spans="1:5" x14ac:dyDescent="0.3">
      <c r="A8" s="11" t="s">
        <v>129</v>
      </c>
      <c r="B8" s="14">
        <v>81</v>
      </c>
      <c r="D8" t="str">
        <f t="shared" si="0"/>
        <v>Bookcases</v>
      </c>
      <c r="E8">
        <f t="shared" si="1"/>
        <v>81</v>
      </c>
    </row>
    <row r="9" spans="1:5" x14ac:dyDescent="0.3">
      <c r="A9" s="11" t="s">
        <v>26</v>
      </c>
      <c r="B9" s="14">
        <v>236</v>
      </c>
      <c r="D9" t="str">
        <f t="shared" si="0"/>
        <v>Chairs</v>
      </c>
      <c r="E9">
        <f t="shared" si="1"/>
        <v>236</v>
      </c>
    </row>
    <row r="10" spans="1:5" x14ac:dyDescent="0.3">
      <c r="A10" s="11" t="s">
        <v>290</v>
      </c>
      <c r="B10" s="14">
        <v>33</v>
      </c>
      <c r="D10" t="str">
        <f t="shared" si="0"/>
        <v>Copiers</v>
      </c>
      <c r="E10">
        <f t="shared" si="1"/>
        <v>33</v>
      </c>
    </row>
    <row r="11" spans="1:5" x14ac:dyDescent="0.3">
      <c r="A11" s="11" t="s">
        <v>114</v>
      </c>
      <c r="B11" s="14">
        <v>97</v>
      </c>
      <c r="D11" t="str">
        <f t="shared" si="0"/>
        <v>Envelopes</v>
      </c>
      <c r="E11">
        <f t="shared" si="1"/>
        <v>97</v>
      </c>
    </row>
    <row r="12" spans="1:5" x14ac:dyDescent="0.3">
      <c r="A12" s="11" t="s">
        <v>34</v>
      </c>
      <c r="B12" s="14">
        <v>88</v>
      </c>
      <c r="D12" t="str">
        <f t="shared" si="0"/>
        <v>Fasteners</v>
      </c>
      <c r="E12">
        <f t="shared" si="1"/>
        <v>88</v>
      </c>
    </row>
    <row r="13" spans="1:5" x14ac:dyDescent="0.3">
      <c r="A13" s="11" t="s">
        <v>38</v>
      </c>
      <c r="B13" s="14">
        <v>387</v>
      </c>
      <c r="D13" t="str">
        <f t="shared" si="0"/>
        <v>Furnishings</v>
      </c>
      <c r="E13">
        <f t="shared" si="1"/>
        <v>387</v>
      </c>
    </row>
    <row r="14" spans="1:5" x14ac:dyDescent="0.3">
      <c r="A14" s="11" t="s">
        <v>7</v>
      </c>
      <c r="B14" s="14">
        <v>155</v>
      </c>
      <c r="D14" t="str">
        <f t="shared" si="0"/>
        <v>Labels</v>
      </c>
      <c r="E14">
        <f t="shared" si="1"/>
        <v>155</v>
      </c>
    </row>
    <row r="15" spans="1:5" x14ac:dyDescent="0.3">
      <c r="A15" s="11" t="s">
        <v>625</v>
      </c>
      <c r="B15" s="14">
        <v>47</v>
      </c>
      <c r="D15" t="str">
        <f t="shared" si="0"/>
        <v>Machines</v>
      </c>
      <c r="E15">
        <f t="shared" si="1"/>
        <v>47</v>
      </c>
    </row>
    <row r="16" spans="1:5" x14ac:dyDescent="0.3">
      <c r="A16" s="11" t="s">
        <v>3</v>
      </c>
      <c r="B16" s="14">
        <v>559</v>
      </c>
      <c r="D16" t="str">
        <f t="shared" si="0"/>
        <v>Paper</v>
      </c>
      <c r="E16">
        <f t="shared" si="1"/>
        <v>559</v>
      </c>
    </row>
    <row r="17" spans="1:5" x14ac:dyDescent="0.3">
      <c r="A17" s="11" t="s">
        <v>31</v>
      </c>
      <c r="B17" s="14">
        <v>358</v>
      </c>
      <c r="D17" t="str">
        <f t="shared" si="0"/>
        <v>Phones</v>
      </c>
      <c r="E17">
        <f t="shared" si="1"/>
        <v>358</v>
      </c>
    </row>
    <row r="18" spans="1:5" x14ac:dyDescent="0.3">
      <c r="A18" s="11" t="s">
        <v>9</v>
      </c>
      <c r="B18" s="14">
        <v>341</v>
      </c>
      <c r="D18" t="str">
        <f t="shared" si="0"/>
        <v>Storage</v>
      </c>
      <c r="E18">
        <f t="shared" si="1"/>
        <v>341</v>
      </c>
    </row>
    <row r="19" spans="1:5" x14ac:dyDescent="0.3">
      <c r="A19" s="11" t="s">
        <v>144</v>
      </c>
      <c r="B19" s="14">
        <v>62</v>
      </c>
      <c r="D19" t="str">
        <f t="shared" si="0"/>
        <v>Supplies</v>
      </c>
      <c r="E19">
        <f t="shared" si="1"/>
        <v>62</v>
      </c>
    </row>
    <row r="20" spans="1:5" x14ac:dyDescent="0.3">
      <c r="A20" s="11" t="s">
        <v>86</v>
      </c>
      <c r="B20" s="14">
        <v>134</v>
      </c>
      <c r="D20" t="str">
        <f t="shared" si="0"/>
        <v>Tables</v>
      </c>
      <c r="E20">
        <f t="shared" si="1"/>
        <v>134</v>
      </c>
    </row>
    <row r="21" spans="1:5" x14ac:dyDescent="0.3">
      <c r="A21" s="11" t="s">
        <v>2425</v>
      </c>
      <c r="B21" s="14">
        <v>4042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43ED-98D2-42CE-9424-1855FC9E943C}">
  <dimension ref="A1:I4043"/>
  <sheetViews>
    <sheetView topLeftCell="A2" workbookViewId="0">
      <selection activeCell="B6" sqref="B6"/>
    </sheetView>
  </sheetViews>
  <sheetFormatPr defaultRowHeight="14.4" x14ac:dyDescent="0.3"/>
  <cols>
    <col min="1" max="1" width="11.88671875" customWidth="1"/>
    <col min="2" max="2" width="16.109375" customWidth="1"/>
    <col min="4" max="4" width="10.21875" customWidth="1"/>
    <col min="5" max="5" width="13.5546875" customWidth="1"/>
    <col min="6" max="6" width="15.88671875" customWidth="1"/>
    <col min="8" max="8" width="9.88671875" customWidth="1"/>
  </cols>
  <sheetData>
    <row r="1" spans="1:9" x14ac:dyDescent="0.3">
      <c r="A1" t="s">
        <v>2414</v>
      </c>
      <c r="B1" t="s">
        <v>2415</v>
      </c>
      <c r="C1" t="s">
        <v>2416</v>
      </c>
      <c r="D1" t="s">
        <v>2417</v>
      </c>
      <c r="E1" t="s">
        <v>2422</v>
      </c>
      <c r="F1" t="s">
        <v>2418</v>
      </c>
      <c r="G1" t="s">
        <v>2419</v>
      </c>
      <c r="H1" t="s">
        <v>2420</v>
      </c>
      <c r="I1" t="s">
        <v>2421</v>
      </c>
    </row>
    <row r="2" spans="1:9" x14ac:dyDescent="0.3">
      <c r="A2" s="1">
        <v>41699</v>
      </c>
      <c r="B2" s="2" t="s">
        <v>0</v>
      </c>
      <c r="C2" s="2" t="s">
        <v>1</v>
      </c>
      <c r="D2" s="2" t="s">
        <v>2</v>
      </c>
      <c r="E2" s="2" t="s">
        <v>3</v>
      </c>
      <c r="F2" s="2" t="s">
        <v>4</v>
      </c>
      <c r="G2" s="2">
        <v>16.45</v>
      </c>
      <c r="H2" s="2">
        <v>2</v>
      </c>
      <c r="I2" s="3">
        <v>5.55</v>
      </c>
    </row>
    <row r="3" spans="1:9" x14ac:dyDescent="0.3">
      <c r="A3" s="4">
        <v>41730</v>
      </c>
      <c r="B3" s="5" t="s">
        <v>5</v>
      </c>
      <c r="C3" s="5" t="s">
        <v>6</v>
      </c>
      <c r="D3" s="5" t="s">
        <v>2</v>
      </c>
      <c r="E3" s="5" t="s">
        <v>7</v>
      </c>
      <c r="F3" s="5" t="s">
        <v>8</v>
      </c>
      <c r="G3" s="5">
        <v>11.78</v>
      </c>
      <c r="H3" s="5">
        <v>3</v>
      </c>
      <c r="I3" s="6">
        <v>4.2699999999999996</v>
      </c>
    </row>
    <row r="4" spans="1:9" x14ac:dyDescent="0.3">
      <c r="A4" s="1">
        <v>41730</v>
      </c>
      <c r="B4" s="2" t="s">
        <v>5</v>
      </c>
      <c r="C4" s="2" t="s">
        <v>6</v>
      </c>
      <c r="D4" s="2" t="s">
        <v>2</v>
      </c>
      <c r="E4" s="2" t="s">
        <v>9</v>
      </c>
      <c r="F4" s="2" t="s">
        <v>10</v>
      </c>
      <c r="G4" s="2">
        <v>272.74</v>
      </c>
      <c r="H4" s="2">
        <v>3</v>
      </c>
      <c r="I4" s="3">
        <v>-64.77</v>
      </c>
    </row>
    <row r="5" spans="1:9" x14ac:dyDescent="0.3">
      <c r="A5" s="4">
        <v>41730</v>
      </c>
      <c r="B5" s="5" t="s">
        <v>5</v>
      </c>
      <c r="C5" s="5" t="s">
        <v>6</v>
      </c>
      <c r="D5" s="5" t="s">
        <v>2</v>
      </c>
      <c r="E5" s="5" t="s">
        <v>11</v>
      </c>
      <c r="F5" s="5" t="s">
        <v>12</v>
      </c>
      <c r="G5" s="5">
        <v>3.54</v>
      </c>
      <c r="H5" s="5">
        <v>2</v>
      </c>
      <c r="I5" s="6">
        <v>-5.49</v>
      </c>
    </row>
    <row r="6" spans="1:9" x14ac:dyDescent="0.3">
      <c r="A6" s="1">
        <v>41760</v>
      </c>
      <c r="B6" s="2" t="s">
        <v>13</v>
      </c>
      <c r="C6" s="2" t="s">
        <v>14</v>
      </c>
      <c r="D6" s="2" t="s">
        <v>2</v>
      </c>
      <c r="E6" s="2" t="s">
        <v>15</v>
      </c>
      <c r="F6" s="2" t="s">
        <v>16</v>
      </c>
      <c r="G6" s="2">
        <v>19.54</v>
      </c>
      <c r="H6" s="2">
        <v>3</v>
      </c>
      <c r="I6" s="3">
        <v>4.88</v>
      </c>
    </row>
    <row r="7" spans="1:9" x14ac:dyDescent="0.3">
      <c r="A7" s="4">
        <v>41791</v>
      </c>
      <c r="B7" s="5" t="s">
        <v>17</v>
      </c>
      <c r="C7" s="5" t="s">
        <v>18</v>
      </c>
      <c r="D7" s="5" t="s">
        <v>2</v>
      </c>
      <c r="E7" s="5" t="s">
        <v>3</v>
      </c>
      <c r="F7" s="5" t="s">
        <v>19</v>
      </c>
      <c r="G7" s="5">
        <v>19.440000000000001</v>
      </c>
      <c r="H7" s="5">
        <v>3</v>
      </c>
      <c r="I7" s="6">
        <v>9.33</v>
      </c>
    </row>
    <row r="8" spans="1:9" x14ac:dyDescent="0.3">
      <c r="A8" s="1">
        <v>41791</v>
      </c>
      <c r="B8" s="2" t="s">
        <v>20</v>
      </c>
      <c r="C8" s="2" t="s">
        <v>21</v>
      </c>
      <c r="D8" s="2" t="s">
        <v>2</v>
      </c>
      <c r="E8" s="2" t="s">
        <v>15</v>
      </c>
      <c r="F8" s="2" t="s">
        <v>22</v>
      </c>
      <c r="G8" s="2">
        <v>12.78</v>
      </c>
      <c r="H8" s="2">
        <v>3</v>
      </c>
      <c r="I8" s="3">
        <v>5.24</v>
      </c>
    </row>
    <row r="9" spans="1:9" x14ac:dyDescent="0.3">
      <c r="A9" s="4">
        <v>41791</v>
      </c>
      <c r="B9" s="5" t="s">
        <v>23</v>
      </c>
      <c r="C9" s="5" t="s">
        <v>24</v>
      </c>
      <c r="D9" s="5" t="s">
        <v>25</v>
      </c>
      <c r="E9" s="5" t="s">
        <v>26</v>
      </c>
      <c r="F9" s="5" t="s">
        <v>27</v>
      </c>
      <c r="G9" s="5">
        <v>2573.8200000000002</v>
      </c>
      <c r="H9" s="5">
        <v>9</v>
      </c>
      <c r="I9" s="6">
        <v>746.41</v>
      </c>
    </row>
    <row r="10" spans="1:9" x14ac:dyDescent="0.3">
      <c r="A10" s="1">
        <v>41791</v>
      </c>
      <c r="B10" s="2" t="s">
        <v>23</v>
      </c>
      <c r="C10" s="2" t="s">
        <v>24</v>
      </c>
      <c r="D10" s="2" t="s">
        <v>2</v>
      </c>
      <c r="E10" s="2" t="s">
        <v>11</v>
      </c>
      <c r="F10" s="2" t="s">
        <v>28</v>
      </c>
      <c r="G10" s="2">
        <v>609.98</v>
      </c>
      <c r="H10" s="2">
        <v>2</v>
      </c>
      <c r="I10" s="3">
        <v>274.49</v>
      </c>
    </row>
    <row r="11" spans="1:9" x14ac:dyDescent="0.3">
      <c r="A11" s="4">
        <v>41791</v>
      </c>
      <c r="B11" s="5" t="s">
        <v>23</v>
      </c>
      <c r="C11" s="5" t="s">
        <v>24</v>
      </c>
      <c r="D11" s="5" t="s">
        <v>2</v>
      </c>
      <c r="E11" s="5" t="s">
        <v>15</v>
      </c>
      <c r="F11" s="5" t="s">
        <v>29</v>
      </c>
      <c r="G11" s="5">
        <v>5.48</v>
      </c>
      <c r="H11" s="5">
        <v>2</v>
      </c>
      <c r="I11" s="6">
        <v>1.48</v>
      </c>
    </row>
    <row r="12" spans="1:9" x14ac:dyDescent="0.3">
      <c r="A12" s="1">
        <v>41791</v>
      </c>
      <c r="B12" s="2" t="s">
        <v>23</v>
      </c>
      <c r="C12" s="2" t="s">
        <v>24</v>
      </c>
      <c r="D12" s="2" t="s">
        <v>30</v>
      </c>
      <c r="E12" s="2" t="s">
        <v>31</v>
      </c>
      <c r="F12" s="2" t="s">
        <v>32</v>
      </c>
      <c r="G12" s="2">
        <v>391.98</v>
      </c>
      <c r="H12" s="2">
        <v>2</v>
      </c>
      <c r="I12" s="3">
        <v>113.67</v>
      </c>
    </row>
    <row r="13" spans="1:9" x14ac:dyDescent="0.3">
      <c r="A13" s="4">
        <v>41791</v>
      </c>
      <c r="B13" s="5" t="s">
        <v>23</v>
      </c>
      <c r="C13" s="5" t="s">
        <v>24</v>
      </c>
      <c r="D13" s="5" t="s">
        <v>30</v>
      </c>
      <c r="E13" s="5" t="s">
        <v>31</v>
      </c>
      <c r="F13" s="5" t="s">
        <v>33</v>
      </c>
      <c r="G13" s="5">
        <v>755.96</v>
      </c>
      <c r="H13" s="5">
        <v>4</v>
      </c>
      <c r="I13" s="6">
        <v>204.11</v>
      </c>
    </row>
    <row r="14" spans="1:9" x14ac:dyDescent="0.3">
      <c r="A14" s="1">
        <v>41791</v>
      </c>
      <c r="B14" s="2" t="s">
        <v>23</v>
      </c>
      <c r="C14" s="2" t="s">
        <v>24</v>
      </c>
      <c r="D14" s="2" t="s">
        <v>2</v>
      </c>
      <c r="E14" s="2" t="s">
        <v>34</v>
      </c>
      <c r="F14" s="2" t="s">
        <v>35</v>
      </c>
      <c r="G14" s="2">
        <v>31.12</v>
      </c>
      <c r="H14" s="2">
        <v>4</v>
      </c>
      <c r="I14" s="3">
        <v>0.31</v>
      </c>
    </row>
    <row r="15" spans="1:9" x14ac:dyDescent="0.3">
      <c r="A15" s="4">
        <v>41791</v>
      </c>
      <c r="B15" s="5" t="s">
        <v>23</v>
      </c>
      <c r="C15" s="5" t="s">
        <v>24</v>
      </c>
      <c r="D15" s="5" t="s">
        <v>2</v>
      </c>
      <c r="E15" s="5" t="s">
        <v>3</v>
      </c>
      <c r="F15" s="5" t="s">
        <v>36</v>
      </c>
      <c r="G15" s="5">
        <v>6.54</v>
      </c>
      <c r="H15" s="5">
        <v>1</v>
      </c>
      <c r="I15" s="6">
        <v>3.01</v>
      </c>
    </row>
    <row r="16" spans="1:9" x14ac:dyDescent="0.3">
      <c r="A16" s="1">
        <v>41821</v>
      </c>
      <c r="B16" s="2" t="s">
        <v>37</v>
      </c>
      <c r="C16" s="2" t="s">
        <v>1</v>
      </c>
      <c r="D16" s="2" t="s">
        <v>25</v>
      </c>
      <c r="E16" s="2" t="s">
        <v>38</v>
      </c>
      <c r="F16" s="2" t="s">
        <v>39</v>
      </c>
      <c r="G16" s="2">
        <v>76.73</v>
      </c>
      <c r="H16" s="2">
        <v>3</v>
      </c>
      <c r="I16" s="3">
        <v>-53.71</v>
      </c>
    </row>
    <row r="17" spans="1:9" x14ac:dyDescent="0.3">
      <c r="A17" s="4">
        <v>41821</v>
      </c>
      <c r="B17" s="5" t="s">
        <v>37</v>
      </c>
      <c r="C17" s="5" t="s">
        <v>1</v>
      </c>
      <c r="D17" s="5" t="s">
        <v>2</v>
      </c>
      <c r="E17" s="5" t="s">
        <v>11</v>
      </c>
      <c r="F17" s="5" t="s">
        <v>40</v>
      </c>
      <c r="G17" s="5">
        <v>10.43</v>
      </c>
      <c r="H17" s="5">
        <v>7</v>
      </c>
      <c r="I17" s="6">
        <v>-18.25</v>
      </c>
    </row>
    <row r="18" spans="1:9" x14ac:dyDescent="0.3">
      <c r="A18" s="1">
        <v>41883</v>
      </c>
      <c r="B18" s="2" t="s">
        <v>41</v>
      </c>
      <c r="C18" s="2" t="s">
        <v>1</v>
      </c>
      <c r="D18" s="2" t="s">
        <v>2</v>
      </c>
      <c r="E18" s="2" t="s">
        <v>15</v>
      </c>
      <c r="F18" s="2" t="s">
        <v>42</v>
      </c>
      <c r="G18" s="2">
        <v>9.34</v>
      </c>
      <c r="H18" s="2">
        <v>2</v>
      </c>
      <c r="I18" s="3">
        <v>1.17</v>
      </c>
    </row>
    <row r="19" spans="1:9" x14ac:dyDescent="0.3">
      <c r="A19" s="4">
        <v>41883</v>
      </c>
      <c r="B19" s="5" t="s">
        <v>41</v>
      </c>
      <c r="C19" s="5" t="s">
        <v>1</v>
      </c>
      <c r="D19" s="5" t="s">
        <v>30</v>
      </c>
      <c r="E19" s="5" t="s">
        <v>43</v>
      </c>
      <c r="F19" s="5" t="s">
        <v>44</v>
      </c>
      <c r="G19" s="5">
        <v>31.2</v>
      </c>
      <c r="H19" s="5">
        <v>3</v>
      </c>
      <c r="I19" s="6">
        <v>9.75</v>
      </c>
    </row>
    <row r="20" spans="1:9" x14ac:dyDescent="0.3">
      <c r="A20" s="1">
        <v>41913</v>
      </c>
      <c r="B20" s="2" t="s">
        <v>45</v>
      </c>
      <c r="C20" s="2" t="s">
        <v>46</v>
      </c>
      <c r="D20" s="2" t="s">
        <v>2</v>
      </c>
      <c r="E20" s="2" t="s">
        <v>7</v>
      </c>
      <c r="F20" s="2" t="s">
        <v>47</v>
      </c>
      <c r="G20" s="2">
        <v>2.89</v>
      </c>
      <c r="H20" s="2">
        <v>1</v>
      </c>
      <c r="I20" s="3">
        <v>1.36</v>
      </c>
    </row>
    <row r="21" spans="1:9" x14ac:dyDescent="0.3">
      <c r="A21" s="4">
        <v>41913</v>
      </c>
      <c r="B21" s="5" t="s">
        <v>45</v>
      </c>
      <c r="C21" s="5" t="s">
        <v>46</v>
      </c>
      <c r="D21" s="5" t="s">
        <v>25</v>
      </c>
      <c r="E21" s="5" t="s">
        <v>38</v>
      </c>
      <c r="F21" s="5" t="s">
        <v>48</v>
      </c>
      <c r="G21" s="5">
        <v>51.94</v>
      </c>
      <c r="H21" s="5">
        <v>1</v>
      </c>
      <c r="I21" s="6">
        <v>21.3</v>
      </c>
    </row>
    <row r="22" spans="1:9" x14ac:dyDescent="0.3">
      <c r="A22" s="1">
        <v>41944</v>
      </c>
      <c r="B22" s="2" t="s">
        <v>49</v>
      </c>
      <c r="C22" s="2" t="s">
        <v>50</v>
      </c>
      <c r="D22" s="2" t="s">
        <v>25</v>
      </c>
      <c r="E22" s="2" t="s">
        <v>38</v>
      </c>
      <c r="F22" s="2" t="s">
        <v>51</v>
      </c>
      <c r="G22" s="2">
        <v>9.94</v>
      </c>
      <c r="H22" s="2">
        <v>2</v>
      </c>
      <c r="I22" s="3">
        <v>3.08</v>
      </c>
    </row>
    <row r="23" spans="1:9" x14ac:dyDescent="0.3">
      <c r="A23" s="4">
        <v>41641</v>
      </c>
      <c r="B23" s="5" t="s">
        <v>52</v>
      </c>
      <c r="C23" s="5" t="s">
        <v>53</v>
      </c>
      <c r="D23" s="5" t="s">
        <v>30</v>
      </c>
      <c r="E23" s="5" t="s">
        <v>43</v>
      </c>
      <c r="F23" s="5" t="s">
        <v>54</v>
      </c>
      <c r="G23" s="5">
        <v>468.9</v>
      </c>
      <c r="H23" s="5">
        <v>6</v>
      </c>
      <c r="I23" s="6">
        <v>206.32</v>
      </c>
    </row>
    <row r="24" spans="1:9" x14ac:dyDescent="0.3">
      <c r="A24" s="1">
        <v>41672</v>
      </c>
      <c r="B24" s="2" t="s">
        <v>55</v>
      </c>
      <c r="C24" s="2" t="s">
        <v>18</v>
      </c>
      <c r="D24" s="2" t="s">
        <v>2</v>
      </c>
      <c r="E24" s="2" t="s">
        <v>34</v>
      </c>
      <c r="F24" s="2" t="s">
        <v>56</v>
      </c>
      <c r="G24" s="2">
        <v>12.35</v>
      </c>
      <c r="H24" s="2">
        <v>5</v>
      </c>
      <c r="I24" s="3">
        <v>5.8</v>
      </c>
    </row>
    <row r="25" spans="1:9" x14ac:dyDescent="0.3">
      <c r="A25" s="4">
        <v>41672</v>
      </c>
      <c r="B25" s="5" t="s">
        <v>57</v>
      </c>
      <c r="C25" s="5" t="s">
        <v>58</v>
      </c>
      <c r="D25" s="5" t="s">
        <v>2</v>
      </c>
      <c r="E25" s="5" t="s">
        <v>11</v>
      </c>
      <c r="F25" s="5" t="s">
        <v>59</v>
      </c>
      <c r="G25" s="5">
        <v>18.34</v>
      </c>
      <c r="H25" s="5">
        <v>2</v>
      </c>
      <c r="I25" s="6">
        <v>-12.22</v>
      </c>
    </row>
    <row r="26" spans="1:9" x14ac:dyDescent="0.3">
      <c r="A26" s="1">
        <v>41672</v>
      </c>
      <c r="B26" s="2" t="s">
        <v>57</v>
      </c>
      <c r="C26" s="2" t="s">
        <v>58</v>
      </c>
      <c r="D26" s="2" t="s">
        <v>30</v>
      </c>
      <c r="E26" s="2" t="s">
        <v>31</v>
      </c>
      <c r="F26" s="2" t="s">
        <v>60</v>
      </c>
      <c r="G26" s="2">
        <v>180.96</v>
      </c>
      <c r="H26" s="2">
        <v>5</v>
      </c>
      <c r="I26" s="3">
        <v>13.57</v>
      </c>
    </row>
    <row r="27" spans="1:9" x14ac:dyDescent="0.3">
      <c r="A27" s="4">
        <v>41700</v>
      </c>
      <c r="B27" s="5" t="s">
        <v>61</v>
      </c>
      <c r="C27" s="5" t="s">
        <v>62</v>
      </c>
      <c r="D27" s="5" t="s">
        <v>2</v>
      </c>
      <c r="E27" s="5" t="s">
        <v>11</v>
      </c>
      <c r="F27" s="5" t="s">
        <v>63</v>
      </c>
      <c r="G27" s="5">
        <v>83.84</v>
      </c>
      <c r="H27" s="5">
        <v>2</v>
      </c>
      <c r="I27" s="6">
        <v>27.25</v>
      </c>
    </row>
    <row r="28" spans="1:9" x14ac:dyDescent="0.3">
      <c r="A28" s="1">
        <v>41700</v>
      </c>
      <c r="B28" s="2" t="s">
        <v>61</v>
      </c>
      <c r="C28" s="2" t="s">
        <v>62</v>
      </c>
      <c r="D28" s="2" t="s">
        <v>2</v>
      </c>
      <c r="E28" s="2" t="s">
        <v>11</v>
      </c>
      <c r="F28" s="2" t="s">
        <v>64</v>
      </c>
      <c r="G28" s="2">
        <v>13.27</v>
      </c>
      <c r="H28" s="2">
        <v>3</v>
      </c>
      <c r="I28" s="3">
        <v>4.3099999999999996</v>
      </c>
    </row>
    <row r="29" spans="1:9" x14ac:dyDescent="0.3">
      <c r="A29" s="4">
        <v>41731</v>
      </c>
      <c r="B29" s="5" t="s">
        <v>65</v>
      </c>
      <c r="C29" s="5" t="s">
        <v>18</v>
      </c>
      <c r="D29" s="5" t="s">
        <v>2</v>
      </c>
      <c r="E29" s="5" t="s">
        <v>11</v>
      </c>
      <c r="F29" s="5" t="s">
        <v>66</v>
      </c>
      <c r="G29" s="5">
        <v>82.9</v>
      </c>
      <c r="H29" s="5">
        <v>3</v>
      </c>
      <c r="I29" s="6">
        <v>29.01</v>
      </c>
    </row>
    <row r="30" spans="1:9" x14ac:dyDescent="0.3">
      <c r="A30" s="1">
        <v>41731</v>
      </c>
      <c r="B30" s="2" t="s">
        <v>65</v>
      </c>
      <c r="C30" s="2" t="s">
        <v>18</v>
      </c>
      <c r="D30" s="2" t="s">
        <v>2</v>
      </c>
      <c r="E30" s="2" t="s">
        <v>3</v>
      </c>
      <c r="F30" s="2" t="s">
        <v>67</v>
      </c>
      <c r="G30" s="2">
        <v>34.24</v>
      </c>
      <c r="H30" s="2">
        <v>4</v>
      </c>
      <c r="I30" s="3">
        <v>16.09</v>
      </c>
    </row>
    <row r="31" spans="1:9" x14ac:dyDescent="0.3">
      <c r="A31" s="4">
        <v>41731</v>
      </c>
      <c r="B31" s="5" t="s">
        <v>68</v>
      </c>
      <c r="C31" s="5" t="s">
        <v>18</v>
      </c>
      <c r="D31" s="5" t="s">
        <v>2</v>
      </c>
      <c r="E31" s="5" t="s">
        <v>11</v>
      </c>
      <c r="F31" s="5" t="s">
        <v>69</v>
      </c>
      <c r="G31" s="5">
        <v>17.25</v>
      </c>
      <c r="H31" s="5">
        <v>2</v>
      </c>
      <c r="I31" s="6">
        <v>6.04</v>
      </c>
    </row>
    <row r="32" spans="1:9" x14ac:dyDescent="0.3">
      <c r="A32" s="1">
        <v>41792</v>
      </c>
      <c r="B32" s="2" t="s">
        <v>70</v>
      </c>
      <c r="C32" s="2" t="s">
        <v>46</v>
      </c>
      <c r="D32" s="2" t="s">
        <v>2</v>
      </c>
      <c r="E32" s="2" t="s">
        <v>7</v>
      </c>
      <c r="F32" s="2" t="s">
        <v>71</v>
      </c>
      <c r="G32" s="2">
        <v>15</v>
      </c>
      <c r="H32" s="2">
        <v>4</v>
      </c>
      <c r="I32" s="3">
        <v>7.2</v>
      </c>
    </row>
    <row r="33" spans="1:9" x14ac:dyDescent="0.3">
      <c r="A33" s="4">
        <v>41792</v>
      </c>
      <c r="B33" s="5" t="s">
        <v>70</v>
      </c>
      <c r="C33" s="5" t="s">
        <v>46</v>
      </c>
      <c r="D33" s="5" t="s">
        <v>30</v>
      </c>
      <c r="E33" s="5" t="s">
        <v>31</v>
      </c>
      <c r="F33" s="5" t="s">
        <v>72</v>
      </c>
      <c r="G33" s="5">
        <v>161.61000000000001</v>
      </c>
      <c r="H33" s="5">
        <v>1</v>
      </c>
      <c r="I33" s="6">
        <v>42.02</v>
      </c>
    </row>
    <row r="34" spans="1:9" x14ac:dyDescent="0.3">
      <c r="A34" s="1">
        <v>41792</v>
      </c>
      <c r="B34" s="2" t="s">
        <v>70</v>
      </c>
      <c r="C34" s="2" t="s">
        <v>46</v>
      </c>
      <c r="D34" s="2" t="s">
        <v>30</v>
      </c>
      <c r="E34" s="2" t="s">
        <v>31</v>
      </c>
      <c r="F34" s="2" t="s">
        <v>73</v>
      </c>
      <c r="G34" s="2">
        <v>144.94999999999999</v>
      </c>
      <c r="H34" s="2">
        <v>5</v>
      </c>
      <c r="I34" s="3">
        <v>42.04</v>
      </c>
    </row>
    <row r="35" spans="1:9" x14ac:dyDescent="0.3">
      <c r="A35" s="4">
        <v>41792</v>
      </c>
      <c r="B35" s="5" t="s">
        <v>74</v>
      </c>
      <c r="C35" s="5" t="s">
        <v>6</v>
      </c>
      <c r="D35" s="5" t="s">
        <v>2</v>
      </c>
      <c r="E35" s="5" t="s">
        <v>11</v>
      </c>
      <c r="F35" s="5" t="s">
        <v>75</v>
      </c>
      <c r="G35" s="5">
        <v>8.9499999999999993</v>
      </c>
      <c r="H35" s="5">
        <v>2</v>
      </c>
      <c r="I35" s="6">
        <v>-14.77</v>
      </c>
    </row>
    <row r="36" spans="1:9" x14ac:dyDescent="0.3">
      <c r="A36" s="1">
        <v>41822</v>
      </c>
      <c r="B36" s="2" t="s">
        <v>76</v>
      </c>
      <c r="C36" s="2" t="s">
        <v>77</v>
      </c>
      <c r="D36" s="2" t="s">
        <v>30</v>
      </c>
      <c r="E36" s="2" t="s">
        <v>43</v>
      </c>
      <c r="F36" s="2" t="s">
        <v>78</v>
      </c>
      <c r="G36" s="2">
        <v>115.36</v>
      </c>
      <c r="H36" s="2">
        <v>7</v>
      </c>
      <c r="I36" s="3">
        <v>49.6</v>
      </c>
    </row>
    <row r="37" spans="1:9" x14ac:dyDescent="0.3">
      <c r="A37" s="4">
        <v>41822</v>
      </c>
      <c r="B37" s="5" t="s">
        <v>79</v>
      </c>
      <c r="C37" s="5" t="s">
        <v>80</v>
      </c>
      <c r="D37" s="5" t="s">
        <v>2</v>
      </c>
      <c r="E37" s="5" t="s">
        <v>9</v>
      </c>
      <c r="F37" s="5" t="s">
        <v>81</v>
      </c>
      <c r="G37" s="5">
        <v>64.959999999999994</v>
      </c>
      <c r="H37" s="5">
        <v>4</v>
      </c>
      <c r="I37" s="6">
        <v>9.74</v>
      </c>
    </row>
    <row r="38" spans="1:9" x14ac:dyDescent="0.3">
      <c r="A38" s="1">
        <v>41853</v>
      </c>
      <c r="B38" s="2" t="s">
        <v>82</v>
      </c>
      <c r="C38" s="2" t="s">
        <v>83</v>
      </c>
      <c r="D38" s="2" t="s">
        <v>25</v>
      </c>
      <c r="E38" s="2" t="s">
        <v>38</v>
      </c>
      <c r="F38" s="2" t="s">
        <v>84</v>
      </c>
      <c r="G38" s="2">
        <v>14.56</v>
      </c>
      <c r="H38" s="2">
        <v>2</v>
      </c>
      <c r="I38" s="3">
        <v>5.53</v>
      </c>
    </row>
    <row r="39" spans="1:9" x14ac:dyDescent="0.3">
      <c r="A39" s="4">
        <v>41945</v>
      </c>
      <c r="B39" s="5" t="s">
        <v>85</v>
      </c>
      <c r="C39" s="5" t="s">
        <v>46</v>
      </c>
      <c r="D39" s="5" t="s">
        <v>30</v>
      </c>
      <c r="E39" s="5" t="s">
        <v>43</v>
      </c>
      <c r="F39" s="5" t="s">
        <v>54</v>
      </c>
      <c r="G39" s="5">
        <v>234.45</v>
      </c>
      <c r="H39" s="5">
        <v>3</v>
      </c>
      <c r="I39" s="6">
        <v>103.16</v>
      </c>
    </row>
    <row r="40" spans="1:9" x14ac:dyDescent="0.3">
      <c r="A40" s="1">
        <v>41945</v>
      </c>
      <c r="B40" s="2" t="s">
        <v>85</v>
      </c>
      <c r="C40" s="2" t="s">
        <v>46</v>
      </c>
      <c r="D40" s="2" t="s">
        <v>25</v>
      </c>
      <c r="E40" s="2" t="s">
        <v>86</v>
      </c>
      <c r="F40" s="2" t="s">
        <v>87</v>
      </c>
      <c r="G40" s="2">
        <v>1256.22</v>
      </c>
      <c r="H40" s="2">
        <v>6</v>
      </c>
      <c r="I40" s="3">
        <v>75.37</v>
      </c>
    </row>
    <row r="41" spans="1:9" x14ac:dyDescent="0.3">
      <c r="A41" s="4">
        <v>41945</v>
      </c>
      <c r="B41" s="5" t="s">
        <v>85</v>
      </c>
      <c r="C41" s="5" t="s">
        <v>46</v>
      </c>
      <c r="D41" s="5" t="s">
        <v>2</v>
      </c>
      <c r="E41" s="5" t="s">
        <v>11</v>
      </c>
      <c r="F41" s="5" t="s">
        <v>88</v>
      </c>
      <c r="G41" s="5">
        <v>17.46</v>
      </c>
      <c r="H41" s="5">
        <v>2</v>
      </c>
      <c r="I41" s="6">
        <v>8.2100000000000009</v>
      </c>
    </row>
    <row r="42" spans="1:9" x14ac:dyDescent="0.3">
      <c r="A42" s="1">
        <v>41945</v>
      </c>
      <c r="B42" s="2" t="s">
        <v>89</v>
      </c>
      <c r="C42" s="2" t="s">
        <v>90</v>
      </c>
      <c r="D42" s="2" t="s">
        <v>25</v>
      </c>
      <c r="E42" s="2" t="s">
        <v>26</v>
      </c>
      <c r="F42" s="2" t="s">
        <v>91</v>
      </c>
      <c r="G42" s="2">
        <v>60.89</v>
      </c>
      <c r="H42" s="2">
        <v>1</v>
      </c>
      <c r="I42" s="3">
        <v>15.22</v>
      </c>
    </row>
    <row r="43" spans="1:9" x14ac:dyDescent="0.3">
      <c r="A43" s="4">
        <v>41945</v>
      </c>
      <c r="B43" s="5" t="s">
        <v>89</v>
      </c>
      <c r="C43" s="5" t="s">
        <v>90</v>
      </c>
      <c r="D43" s="5" t="s">
        <v>2</v>
      </c>
      <c r="E43" s="5" t="s">
        <v>7</v>
      </c>
      <c r="F43" s="5" t="s">
        <v>92</v>
      </c>
      <c r="G43" s="5">
        <v>14.94</v>
      </c>
      <c r="H43" s="5">
        <v>3</v>
      </c>
      <c r="I43" s="6">
        <v>6.87</v>
      </c>
    </row>
    <row r="44" spans="1:9" x14ac:dyDescent="0.3">
      <c r="A44" s="1">
        <v>41945</v>
      </c>
      <c r="B44" s="2" t="s">
        <v>89</v>
      </c>
      <c r="C44" s="2" t="s">
        <v>90</v>
      </c>
      <c r="D44" s="2" t="s">
        <v>2</v>
      </c>
      <c r="E44" s="2" t="s">
        <v>11</v>
      </c>
      <c r="F44" s="2" t="s">
        <v>93</v>
      </c>
      <c r="G44" s="2">
        <v>9.64</v>
      </c>
      <c r="H44" s="2">
        <v>2</v>
      </c>
      <c r="I44" s="3">
        <v>4.43</v>
      </c>
    </row>
    <row r="45" spans="1:9" x14ac:dyDescent="0.3">
      <c r="A45" s="4">
        <v>41945</v>
      </c>
      <c r="B45" s="5" t="s">
        <v>89</v>
      </c>
      <c r="C45" s="5" t="s">
        <v>90</v>
      </c>
      <c r="D45" s="5" t="s">
        <v>25</v>
      </c>
      <c r="E45" s="5" t="s">
        <v>38</v>
      </c>
      <c r="F45" s="5" t="s">
        <v>94</v>
      </c>
      <c r="G45" s="5">
        <v>332.94</v>
      </c>
      <c r="H45" s="5">
        <v>3</v>
      </c>
      <c r="I45" s="6">
        <v>53.27</v>
      </c>
    </row>
    <row r="46" spans="1:9" x14ac:dyDescent="0.3">
      <c r="A46" s="1">
        <v>41945</v>
      </c>
      <c r="B46" s="2" t="s">
        <v>89</v>
      </c>
      <c r="C46" s="2" t="s">
        <v>90</v>
      </c>
      <c r="D46" s="2" t="s">
        <v>2</v>
      </c>
      <c r="E46" s="2" t="s">
        <v>11</v>
      </c>
      <c r="F46" s="2" t="s">
        <v>95</v>
      </c>
      <c r="G46" s="2">
        <v>51.9</v>
      </c>
      <c r="H46" s="2">
        <v>3</v>
      </c>
      <c r="I46" s="3">
        <v>24.39</v>
      </c>
    </row>
    <row r="47" spans="1:9" x14ac:dyDescent="0.3">
      <c r="A47" s="4">
        <v>41945</v>
      </c>
      <c r="B47" s="5" t="s">
        <v>89</v>
      </c>
      <c r="C47" s="5" t="s">
        <v>90</v>
      </c>
      <c r="D47" s="5" t="s">
        <v>2</v>
      </c>
      <c r="E47" s="5" t="s">
        <v>9</v>
      </c>
      <c r="F47" s="5" t="s">
        <v>96</v>
      </c>
      <c r="G47" s="5">
        <v>64.959999999999994</v>
      </c>
      <c r="H47" s="5">
        <v>2</v>
      </c>
      <c r="I47" s="6">
        <v>2.6</v>
      </c>
    </row>
    <row r="48" spans="1:9" x14ac:dyDescent="0.3">
      <c r="A48" s="1">
        <v>41975</v>
      </c>
      <c r="B48" s="2" t="s">
        <v>97</v>
      </c>
      <c r="C48" s="2" t="s">
        <v>18</v>
      </c>
      <c r="D48" s="2" t="s">
        <v>25</v>
      </c>
      <c r="E48" s="2" t="s">
        <v>26</v>
      </c>
      <c r="F48" s="2" t="s">
        <v>98</v>
      </c>
      <c r="G48" s="2">
        <v>129.57</v>
      </c>
      <c r="H48" s="2">
        <v>2</v>
      </c>
      <c r="I48" s="3">
        <v>-24.29</v>
      </c>
    </row>
    <row r="49" spans="1:9" x14ac:dyDescent="0.3">
      <c r="A49" s="4">
        <v>41642</v>
      </c>
      <c r="B49" s="5" t="s">
        <v>99</v>
      </c>
      <c r="C49" s="5" t="s">
        <v>62</v>
      </c>
      <c r="D49" s="5" t="s">
        <v>25</v>
      </c>
      <c r="E49" s="5" t="s">
        <v>26</v>
      </c>
      <c r="F49" s="5" t="s">
        <v>27</v>
      </c>
      <c r="G49" s="5">
        <v>457.57</v>
      </c>
      <c r="H49" s="5">
        <v>2</v>
      </c>
      <c r="I49" s="6">
        <v>51.48</v>
      </c>
    </row>
    <row r="50" spans="1:9" x14ac:dyDescent="0.3">
      <c r="A50" s="1">
        <v>41642</v>
      </c>
      <c r="B50" s="2" t="s">
        <v>100</v>
      </c>
      <c r="C50" s="2" t="s">
        <v>80</v>
      </c>
      <c r="D50" s="2" t="s">
        <v>30</v>
      </c>
      <c r="E50" s="2" t="s">
        <v>31</v>
      </c>
      <c r="F50" s="2" t="s">
        <v>101</v>
      </c>
      <c r="G50" s="2">
        <v>5.94</v>
      </c>
      <c r="H50" s="2">
        <v>3</v>
      </c>
      <c r="I50" s="3">
        <v>1.6</v>
      </c>
    </row>
    <row r="51" spans="1:9" x14ac:dyDescent="0.3">
      <c r="A51" s="4">
        <v>41642</v>
      </c>
      <c r="B51" s="5" t="s">
        <v>102</v>
      </c>
      <c r="C51" s="5" t="s">
        <v>6</v>
      </c>
      <c r="D51" s="5" t="s">
        <v>25</v>
      </c>
      <c r="E51" s="5" t="s">
        <v>26</v>
      </c>
      <c r="F51" s="5" t="s">
        <v>103</v>
      </c>
      <c r="G51" s="5">
        <v>634.12</v>
      </c>
      <c r="H51" s="5">
        <v>6</v>
      </c>
      <c r="I51" s="6">
        <v>-172.12</v>
      </c>
    </row>
    <row r="52" spans="1:9" x14ac:dyDescent="0.3">
      <c r="A52" s="1">
        <v>41642</v>
      </c>
      <c r="B52" s="2" t="s">
        <v>102</v>
      </c>
      <c r="C52" s="2" t="s">
        <v>6</v>
      </c>
      <c r="D52" s="2" t="s">
        <v>2</v>
      </c>
      <c r="E52" s="2" t="s">
        <v>3</v>
      </c>
      <c r="F52" s="2" t="s">
        <v>104</v>
      </c>
      <c r="G52" s="2">
        <v>17.47</v>
      </c>
      <c r="H52" s="2">
        <v>3</v>
      </c>
      <c r="I52" s="3">
        <v>5.68</v>
      </c>
    </row>
    <row r="53" spans="1:9" x14ac:dyDescent="0.3">
      <c r="A53" s="4">
        <v>41642</v>
      </c>
      <c r="B53" s="5" t="s">
        <v>105</v>
      </c>
      <c r="C53" s="5" t="s">
        <v>1</v>
      </c>
      <c r="D53" s="5" t="s">
        <v>2</v>
      </c>
      <c r="E53" s="5" t="s">
        <v>34</v>
      </c>
      <c r="F53" s="5" t="s">
        <v>106</v>
      </c>
      <c r="G53" s="5">
        <v>18.84</v>
      </c>
      <c r="H53" s="5">
        <v>5</v>
      </c>
      <c r="I53" s="6">
        <v>-3.53</v>
      </c>
    </row>
    <row r="54" spans="1:9" x14ac:dyDescent="0.3">
      <c r="A54" s="1">
        <v>41642</v>
      </c>
      <c r="B54" s="2" t="s">
        <v>105</v>
      </c>
      <c r="C54" s="2" t="s">
        <v>1</v>
      </c>
      <c r="D54" s="2" t="s">
        <v>25</v>
      </c>
      <c r="E54" s="2" t="s">
        <v>26</v>
      </c>
      <c r="F54" s="2" t="s">
        <v>107</v>
      </c>
      <c r="G54" s="2">
        <v>362.25</v>
      </c>
      <c r="H54" s="2">
        <v>6</v>
      </c>
      <c r="I54" s="3">
        <v>0</v>
      </c>
    </row>
    <row r="55" spans="1:9" x14ac:dyDescent="0.3">
      <c r="A55" s="4">
        <v>41642</v>
      </c>
      <c r="B55" s="5" t="s">
        <v>105</v>
      </c>
      <c r="C55" s="5" t="s">
        <v>1</v>
      </c>
      <c r="D55" s="5" t="s">
        <v>25</v>
      </c>
      <c r="E55" s="5" t="s">
        <v>38</v>
      </c>
      <c r="F55" s="5" t="s">
        <v>108</v>
      </c>
      <c r="G55" s="5">
        <v>63.55</v>
      </c>
      <c r="H55" s="5">
        <v>6</v>
      </c>
      <c r="I55" s="6">
        <v>-34.950000000000003</v>
      </c>
    </row>
    <row r="56" spans="1:9" x14ac:dyDescent="0.3">
      <c r="A56" s="1">
        <v>41642</v>
      </c>
      <c r="B56" s="2" t="s">
        <v>105</v>
      </c>
      <c r="C56" s="2" t="s">
        <v>1</v>
      </c>
      <c r="D56" s="2" t="s">
        <v>2</v>
      </c>
      <c r="E56" s="2" t="s">
        <v>9</v>
      </c>
      <c r="F56" s="2" t="s">
        <v>109</v>
      </c>
      <c r="G56" s="2">
        <v>129.55000000000001</v>
      </c>
      <c r="H56" s="2">
        <v>3</v>
      </c>
      <c r="I56" s="3">
        <v>-22.67</v>
      </c>
    </row>
    <row r="57" spans="1:9" x14ac:dyDescent="0.3">
      <c r="A57" s="4">
        <v>41642</v>
      </c>
      <c r="B57" s="5" t="s">
        <v>110</v>
      </c>
      <c r="C57" s="5" t="s">
        <v>1</v>
      </c>
      <c r="D57" s="5" t="s">
        <v>2</v>
      </c>
      <c r="E57" s="5" t="s">
        <v>9</v>
      </c>
      <c r="F57" s="5" t="s">
        <v>111</v>
      </c>
      <c r="G57" s="5">
        <v>137.35</v>
      </c>
      <c r="H57" s="5">
        <v>3</v>
      </c>
      <c r="I57" s="6">
        <v>8.58</v>
      </c>
    </row>
    <row r="58" spans="1:9" x14ac:dyDescent="0.3">
      <c r="A58" s="1">
        <v>41642</v>
      </c>
      <c r="B58" s="2" t="s">
        <v>110</v>
      </c>
      <c r="C58" s="2" t="s">
        <v>1</v>
      </c>
      <c r="D58" s="2" t="s">
        <v>25</v>
      </c>
      <c r="E58" s="2" t="s">
        <v>86</v>
      </c>
      <c r="F58" s="2" t="s">
        <v>112</v>
      </c>
      <c r="G58" s="2">
        <v>376.51</v>
      </c>
      <c r="H58" s="2">
        <v>3</v>
      </c>
      <c r="I58" s="3">
        <v>-43.03</v>
      </c>
    </row>
    <row r="59" spans="1:9" x14ac:dyDescent="0.3">
      <c r="A59" s="4">
        <v>41673</v>
      </c>
      <c r="B59" s="5" t="s">
        <v>113</v>
      </c>
      <c r="C59" s="5" t="s">
        <v>80</v>
      </c>
      <c r="D59" s="5" t="s">
        <v>2</v>
      </c>
      <c r="E59" s="5" t="s">
        <v>114</v>
      </c>
      <c r="F59" s="5" t="s">
        <v>115</v>
      </c>
      <c r="G59" s="5">
        <v>11.36</v>
      </c>
      <c r="H59" s="5">
        <v>2</v>
      </c>
      <c r="I59" s="6">
        <v>5.34</v>
      </c>
    </row>
    <row r="60" spans="1:9" x14ac:dyDescent="0.3">
      <c r="A60" s="1">
        <v>41673</v>
      </c>
      <c r="B60" s="2" t="s">
        <v>113</v>
      </c>
      <c r="C60" s="2" t="s">
        <v>80</v>
      </c>
      <c r="D60" s="2" t="s">
        <v>2</v>
      </c>
      <c r="E60" s="2" t="s">
        <v>3</v>
      </c>
      <c r="F60" s="2" t="s">
        <v>116</v>
      </c>
      <c r="G60" s="2">
        <v>36.4</v>
      </c>
      <c r="H60" s="2">
        <v>5</v>
      </c>
      <c r="I60" s="3">
        <v>17.47</v>
      </c>
    </row>
    <row r="61" spans="1:9" x14ac:dyDescent="0.3">
      <c r="A61" s="4">
        <v>41673</v>
      </c>
      <c r="B61" s="5" t="s">
        <v>117</v>
      </c>
      <c r="C61" s="5" t="s">
        <v>14</v>
      </c>
      <c r="D61" s="5" t="s">
        <v>2</v>
      </c>
      <c r="E61" s="5" t="s">
        <v>3</v>
      </c>
      <c r="F61" s="5" t="s">
        <v>118</v>
      </c>
      <c r="G61" s="5">
        <v>3.42</v>
      </c>
      <c r="H61" s="5">
        <v>1</v>
      </c>
      <c r="I61" s="6">
        <v>1.07</v>
      </c>
    </row>
    <row r="62" spans="1:9" x14ac:dyDescent="0.3">
      <c r="A62" s="1">
        <v>41673</v>
      </c>
      <c r="B62" s="2" t="s">
        <v>117</v>
      </c>
      <c r="C62" s="2" t="s">
        <v>14</v>
      </c>
      <c r="D62" s="2" t="s">
        <v>30</v>
      </c>
      <c r="E62" s="2" t="s">
        <v>43</v>
      </c>
      <c r="F62" s="2" t="s">
        <v>119</v>
      </c>
      <c r="G62" s="2">
        <v>151.19999999999999</v>
      </c>
      <c r="H62" s="2">
        <v>3</v>
      </c>
      <c r="I62" s="3">
        <v>32.130000000000003</v>
      </c>
    </row>
    <row r="63" spans="1:9" x14ac:dyDescent="0.3">
      <c r="A63" s="4">
        <v>41701</v>
      </c>
      <c r="B63" s="5" t="s">
        <v>120</v>
      </c>
      <c r="C63" s="5" t="s">
        <v>121</v>
      </c>
      <c r="D63" s="5" t="s">
        <v>2</v>
      </c>
      <c r="E63" s="5" t="s">
        <v>15</v>
      </c>
      <c r="F63" s="5" t="s">
        <v>122</v>
      </c>
      <c r="G63" s="5">
        <v>19.46</v>
      </c>
      <c r="H63" s="5">
        <v>4</v>
      </c>
      <c r="I63" s="6">
        <v>3.4</v>
      </c>
    </row>
    <row r="64" spans="1:9" x14ac:dyDescent="0.3">
      <c r="A64" s="1">
        <v>41701</v>
      </c>
      <c r="B64" s="2" t="s">
        <v>123</v>
      </c>
      <c r="C64" s="2" t="s">
        <v>80</v>
      </c>
      <c r="D64" s="2" t="s">
        <v>30</v>
      </c>
      <c r="E64" s="2" t="s">
        <v>31</v>
      </c>
      <c r="F64" s="2" t="s">
        <v>124</v>
      </c>
      <c r="G64" s="2">
        <v>9.99</v>
      </c>
      <c r="H64" s="2">
        <v>1</v>
      </c>
      <c r="I64" s="3">
        <v>4.5999999999999996</v>
      </c>
    </row>
    <row r="65" spans="1:9" x14ac:dyDescent="0.3">
      <c r="A65" s="4">
        <v>41701</v>
      </c>
      <c r="B65" s="5" t="s">
        <v>123</v>
      </c>
      <c r="C65" s="5" t="s">
        <v>80</v>
      </c>
      <c r="D65" s="5" t="s">
        <v>2</v>
      </c>
      <c r="E65" s="5" t="s">
        <v>11</v>
      </c>
      <c r="F65" s="5" t="s">
        <v>63</v>
      </c>
      <c r="G65" s="5">
        <v>125.76</v>
      </c>
      <c r="H65" s="5">
        <v>3</v>
      </c>
      <c r="I65" s="6">
        <v>40.869999999999997</v>
      </c>
    </row>
    <row r="66" spans="1:9" x14ac:dyDescent="0.3">
      <c r="A66" s="1">
        <v>41701</v>
      </c>
      <c r="B66" s="2" t="s">
        <v>123</v>
      </c>
      <c r="C66" s="2" t="s">
        <v>80</v>
      </c>
      <c r="D66" s="2" t="s">
        <v>2</v>
      </c>
      <c r="E66" s="2" t="s">
        <v>11</v>
      </c>
      <c r="F66" s="2" t="s">
        <v>125</v>
      </c>
      <c r="G66" s="2">
        <v>25.32</v>
      </c>
      <c r="H66" s="2">
        <v>5</v>
      </c>
      <c r="I66" s="3">
        <v>9.18</v>
      </c>
    </row>
    <row r="67" spans="1:9" x14ac:dyDescent="0.3">
      <c r="A67" s="4">
        <v>41701</v>
      </c>
      <c r="B67" s="5" t="s">
        <v>126</v>
      </c>
      <c r="C67" s="5" t="s">
        <v>127</v>
      </c>
      <c r="D67" s="5" t="s">
        <v>2</v>
      </c>
      <c r="E67" s="5" t="s">
        <v>7</v>
      </c>
      <c r="F67" s="5" t="s">
        <v>128</v>
      </c>
      <c r="G67" s="5">
        <v>15.12</v>
      </c>
      <c r="H67" s="5">
        <v>3</v>
      </c>
      <c r="I67" s="6">
        <v>4.91</v>
      </c>
    </row>
    <row r="68" spans="1:9" x14ac:dyDescent="0.3">
      <c r="A68" s="1">
        <v>41701</v>
      </c>
      <c r="B68" s="2" t="s">
        <v>126</v>
      </c>
      <c r="C68" s="2" t="s">
        <v>127</v>
      </c>
      <c r="D68" s="2" t="s">
        <v>25</v>
      </c>
      <c r="E68" s="2" t="s">
        <v>129</v>
      </c>
      <c r="F68" s="2" t="s">
        <v>130</v>
      </c>
      <c r="G68" s="2">
        <v>302.45</v>
      </c>
      <c r="H68" s="2">
        <v>5</v>
      </c>
      <c r="I68" s="3">
        <v>-199.62</v>
      </c>
    </row>
    <row r="69" spans="1:9" x14ac:dyDescent="0.3">
      <c r="A69" s="4">
        <v>41701</v>
      </c>
      <c r="B69" s="5" t="s">
        <v>126</v>
      </c>
      <c r="C69" s="5" t="s">
        <v>127</v>
      </c>
      <c r="D69" s="5" t="s">
        <v>2</v>
      </c>
      <c r="E69" s="5" t="s">
        <v>9</v>
      </c>
      <c r="F69" s="5" t="s">
        <v>131</v>
      </c>
      <c r="G69" s="5">
        <v>44.67</v>
      </c>
      <c r="H69" s="5">
        <v>8</v>
      </c>
      <c r="I69" s="6">
        <v>-10.050000000000001</v>
      </c>
    </row>
    <row r="70" spans="1:9" x14ac:dyDescent="0.3">
      <c r="A70" s="1">
        <v>41701</v>
      </c>
      <c r="B70" s="2" t="s">
        <v>132</v>
      </c>
      <c r="C70" s="2" t="s">
        <v>1</v>
      </c>
      <c r="D70" s="2" t="s">
        <v>2</v>
      </c>
      <c r="E70" s="2" t="s">
        <v>133</v>
      </c>
      <c r="F70" s="2" t="s">
        <v>134</v>
      </c>
      <c r="G70" s="2">
        <v>176.77</v>
      </c>
      <c r="H70" s="2">
        <v>3</v>
      </c>
      <c r="I70" s="3">
        <v>-459.61</v>
      </c>
    </row>
    <row r="71" spans="1:9" x14ac:dyDescent="0.3">
      <c r="A71" s="4">
        <v>41701</v>
      </c>
      <c r="B71" s="5" t="s">
        <v>135</v>
      </c>
      <c r="C71" s="5" t="s">
        <v>18</v>
      </c>
      <c r="D71" s="5" t="s">
        <v>25</v>
      </c>
      <c r="E71" s="5" t="s">
        <v>86</v>
      </c>
      <c r="F71" s="5" t="s">
        <v>136</v>
      </c>
      <c r="G71" s="5">
        <v>626.35</v>
      </c>
      <c r="H71" s="5">
        <v>3</v>
      </c>
      <c r="I71" s="6">
        <v>-23.49</v>
      </c>
    </row>
    <row r="72" spans="1:9" x14ac:dyDescent="0.3">
      <c r="A72" s="1">
        <v>41732</v>
      </c>
      <c r="B72" s="2" t="s">
        <v>137</v>
      </c>
      <c r="C72" s="2" t="s">
        <v>138</v>
      </c>
      <c r="D72" s="2" t="s">
        <v>2</v>
      </c>
      <c r="E72" s="2" t="s">
        <v>9</v>
      </c>
      <c r="F72" s="2" t="s">
        <v>139</v>
      </c>
      <c r="G72" s="2">
        <v>354.9</v>
      </c>
      <c r="H72" s="2">
        <v>5</v>
      </c>
      <c r="I72" s="3">
        <v>17.75</v>
      </c>
    </row>
    <row r="73" spans="1:9" x14ac:dyDescent="0.3">
      <c r="A73" s="4">
        <v>41732</v>
      </c>
      <c r="B73" s="5" t="s">
        <v>97</v>
      </c>
      <c r="C73" s="5" t="s">
        <v>58</v>
      </c>
      <c r="D73" s="5" t="s">
        <v>2</v>
      </c>
      <c r="E73" s="5" t="s">
        <v>15</v>
      </c>
      <c r="F73" s="5" t="s">
        <v>140</v>
      </c>
      <c r="G73" s="5">
        <v>15.55</v>
      </c>
      <c r="H73" s="5">
        <v>3</v>
      </c>
      <c r="I73" s="6">
        <v>2.33</v>
      </c>
    </row>
    <row r="74" spans="1:9" x14ac:dyDescent="0.3">
      <c r="A74" s="1">
        <v>41762</v>
      </c>
      <c r="B74" s="2" t="s">
        <v>141</v>
      </c>
      <c r="C74" s="2" t="s">
        <v>80</v>
      </c>
      <c r="D74" s="2" t="s">
        <v>2</v>
      </c>
      <c r="E74" s="2" t="s">
        <v>15</v>
      </c>
      <c r="F74" s="2" t="s">
        <v>142</v>
      </c>
      <c r="G74" s="2">
        <v>59.52</v>
      </c>
      <c r="H74" s="2">
        <v>3</v>
      </c>
      <c r="I74" s="3">
        <v>15.48</v>
      </c>
    </row>
    <row r="75" spans="1:9" x14ac:dyDescent="0.3">
      <c r="A75" s="4">
        <v>41762</v>
      </c>
      <c r="B75" s="5" t="s">
        <v>141</v>
      </c>
      <c r="C75" s="5" t="s">
        <v>80</v>
      </c>
      <c r="D75" s="5" t="s">
        <v>30</v>
      </c>
      <c r="E75" s="5" t="s">
        <v>43</v>
      </c>
      <c r="F75" s="5" t="s">
        <v>143</v>
      </c>
      <c r="G75" s="5">
        <v>479.97</v>
      </c>
      <c r="H75" s="5">
        <v>3</v>
      </c>
      <c r="I75" s="6">
        <v>177.59</v>
      </c>
    </row>
    <row r="76" spans="1:9" x14ac:dyDescent="0.3">
      <c r="A76" s="1">
        <v>41762</v>
      </c>
      <c r="B76" s="2" t="s">
        <v>141</v>
      </c>
      <c r="C76" s="2" t="s">
        <v>80</v>
      </c>
      <c r="D76" s="2" t="s">
        <v>2</v>
      </c>
      <c r="E76" s="2" t="s">
        <v>144</v>
      </c>
      <c r="F76" s="2" t="s">
        <v>145</v>
      </c>
      <c r="G76" s="2">
        <v>18.62</v>
      </c>
      <c r="H76" s="2">
        <v>2</v>
      </c>
      <c r="I76" s="3">
        <v>5.4</v>
      </c>
    </row>
    <row r="77" spans="1:9" x14ac:dyDescent="0.3">
      <c r="A77" s="4">
        <v>41762</v>
      </c>
      <c r="B77" s="5" t="s">
        <v>141</v>
      </c>
      <c r="C77" s="5" t="s">
        <v>80</v>
      </c>
      <c r="D77" s="5" t="s">
        <v>2</v>
      </c>
      <c r="E77" s="5" t="s">
        <v>11</v>
      </c>
      <c r="F77" s="5" t="s">
        <v>146</v>
      </c>
      <c r="G77" s="5">
        <v>49.63</v>
      </c>
      <c r="H77" s="5">
        <v>6</v>
      </c>
      <c r="I77" s="6">
        <v>16.75</v>
      </c>
    </row>
    <row r="78" spans="1:9" x14ac:dyDescent="0.3">
      <c r="A78" s="1">
        <v>41762</v>
      </c>
      <c r="B78" s="2" t="s">
        <v>141</v>
      </c>
      <c r="C78" s="2" t="s">
        <v>80</v>
      </c>
      <c r="D78" s="2" t="s">
        <v>2</v>
      </c>
      <c r="E78" s="2" t="s">
        <v>3</v>
      </c>
      <c r="F78" s="2" t="s">
        <v>147</v>
      </c>
      <c r="G78" s="2">
        <v>97.82</v>
      </c>
      <c r="H78" s="2">
        <v>2</v>
      </c>
      <c r="I78" s="3">
        <v>45.98</v>
      </c>
    </row>
    <row r="79" spans="1:9" x14ac:dyDescent="0.3">
      <c r="A79" s="4">
        <v>41823</v>
      </c>
      <c r="B79" s="5" t="s">
        <v>148</v>
      </c>
      <c r="C79" s="5" t="s">
        <v>62</v>
      </c>
      <c r="D79" s="5" t="s">
        <v>25</v>
      </c>
      <c r="E79" s="5" t="s">
        <v>26</v>
      </c>
      <c r="F79" s="5" t="s">
        <v>149</v>
      </c>
      <c r="G79" s="5">
        <v>48.71</v>
      </c>
      <c r="H79" s="5">
        <v>1</v>
      </c>
      <c r="I79" s="6">
        <v>5.48</v>
      </c>
    </row>
    <row r="80" spans="1:9" x14ac:dyDescent="0.3">
      <c r="A80" s="1">
        <v>41823</v>
      </c>
      <c r="B80" s="2" t="s">
        <v>148</v>
      </c>
      <c r="C80" s="2" t="s">
        <v>62</v>
      </c>
      <c r="D80" s="2" t="s">
        <v>2</v>
      </c>
      <c r="E80" s="2" t="s">
        <v>15</v>
      </c>
      <c r="F80" s="2" t="s">
        <v>150</v>
      </c>
      <c r="G80" s="2">
        <v>17.940000000000001</v>
      </c>
      <c r="H80" s="2">
        <v>3</v>
      </c>
      <c r="I80" s="3">
        <v>4.66</v>
      </c>
    </row>
    <row r="81" spans="1:9" x14ac:dyDescent="0.3">
      <c r="A81" s="4">
        <v>41823</v>
      </c>
      <c r="B81" s="5" t="s">
        <v>148</v>
      </c>
      <c r="C81" s="5" t="s">
        <v>62</v>
      </c>
      <c r="D81" s="5" t="s">
        <v>2</v>
      </c>
      <c r="E81" s="5" t="s">
        <v>9</v>
      </c>
      <c r="F81" s="5" t="s">
        <v>151</v>
      </c>
      <c r="G81" s="5">
        <v>242.94</v>
      </c>
      <c r="H81" s="5">
        <v>3</v>
      </c>
      <c r="I81" s="6">
        <v>4.8600000000000003</v>
      </c>
    </row>
    <row r="82" spans="1:9" x14ac:dyDescent="0.3">
      <c r="A82" s="1">
        <v>41823</v>
      </c>
      <c r="B82" s="2" t="s">
        <v>152</v>
      </c>
      <c r="C82" s="2" t="s">
        <v>62</v>
      </c>
      <c r="D82" s="2" t="s">
        <v>2</v>
      </c>
      <c r="E82" s="2" t="s">
        <v>11</v>
      </c>
      <c r="F82" s="2" t="s">
        <v>153</v>
      </c>
      <c r="G82" s="2">
        <v>107.65</v>
      </c>
      <c r="H82" s="2">
        <v>2</v>
      </c>
      <c r="I82" s="3">
        <v>33.64</v>
      </c>
    </row>
    <row r="83" spans="1:9" x14ac:dyDescent="0.3">
      <c r="A83" s="4">
        <v>41823</v>
      </c>
      <c r="B83" s="5" t="s">
        <v>154</v>
      </c>
      <c r="C83" s="5" t="s">
        <v>62</v>
      </c>
      <c r="D83" s="5" t="s">
        <v>2</v>
      </c>
      <c r="E83" s="5" t="s">
        <v>15</v>
      </c>
      <c r="F83" s="5" t="s">
        <v>155</v>
      </c>
      <c r="G83" s="5">
        <v>20.65</v>
      </c>
      <c r="H83" s="5">
        <v>5</v>
      </c>
      <c r="I83" s="6">
        <v>9.5</v>
      </c>
    </row>
    <row r="84" spans="1:9" x14ac:dyDescent="0.3">
      <c r="A84" s="1">
        <v>41823</v>
      </c>
      <c r="B84" s="2" t="s">
        <v>154</v>
      </c>
      <c r="C84" s="2" t="s">
        <v>62</v>
      </c>
      <c r="D84" s="2" t="s">
        <v>2</v>
      </c>
      <c r="E84" s="2" t="s">
        <v>9</v>
      </c>
      <c r="F84" s="2" t="s">
        <v>156</v>
      </c>
      <c r="G84" s="2">
        <v>204.9</v>
      </c>
      <c r="H84" s="2">
        <v>5</v>
      </c>
      <c r="I84" s="3">
        <v>0</v>
      </c>
    </row>
    <row r="85" spans="1:9" x14ac:dyDescent="0.3">
      <c r="A85" s="4">
        <v>41823</v>
      </c>
      <c r="B85" s="5" t="s">
        <v>154</v>
      </c>
      <c r="C85" s="5" t="s">
        <v>62</v>
      </c>
      <c r="D85" s="5" t="s">
        <v>25</v>
      </c>
      <c r="E85" s="5" t="s">
        <v>26</v>
      </c>
      <c r="F85" s="5" t="s">
        <v>157</v>
      </c>
      <c r="G85" s="5">
        <v>436.7</v>
      </c>
      <c r="H85" s="5">
        <v>6</v>
      </c>
      <c r="I85" s="6">
        <v>21.84</v>
      </c>
    </row>
    <row r="86" spans="1:9" x14ac:dyDescent="0.3">
      <c r="A86" s="1">
        <v>41823</v>
      </c>
      <c r="B86" s="2" t="s">
        <v>154</v>
      </c>
      <c r="C86" s="2" t="s">
        <v>62</v>
      </c>
      <c r="D86" s="2" t="s">
        <v>25</v>
      </c>
      <c r="E86" s="2" t="s">
        <v>26</v>
      </c>
      <c r="F86" s="2" t="s">
        <v>158</v>
      </c>
      <c r="G86" s="2">
        <v>481.57</v>
      </c>
      <c r="H86" s="2">
        <v>2</v>
      </c>
      <c r="I86" s="3">
        <v>54.18</v>
      </c>
    </row>
    <row r="87" spans="1:9" x14ac:dyDescent="0.3">
      <c r="A87" s="4">
        <v>41915</v>
      </c>
      <c r="B87" s="5" t="s">
        <v>159</v>
      </c>
      <c r="C87" s="5" t="s">
        <v>160</v>
      </c>
      <c r="D87" s="5" t="s">
        <v>2</v>
      </c>
      <c r="E87" s="5" t="s">
        <v>3</v>
      </c>
      <c r="F87" s="5" t="s">
        <v>161</v>
      </c>
      <c r="G87" s="5">
        <v>22.38</v>
      </c>
      <c r="H87" s="5">
        <v>2</v>
      </c>
      <c r="I87" s="6">
        <v>10.74</v>
      </c>
    </row>
    <row r="88" spans="1:9" x14ac:dyDescent="0.3">
      <c r="A88" s="1">
        <v>41915</v>
      </c>
      <c r="B88" s="2" t="s">
        <v>162</v>
      </c>
      <c r="C88" s="2" t="s">
        <v>163</v>
      </c>
      <c r="D88" s="2" t="s">
        <v>2</v>
      </c>
      <c r="E88" s="2" t="s">
        <v>9</v>
      </c>
      <c r="F88" s="2" t="s">
        <v>164</v>
      </c>
      <c r="G88" s="2">
        <v>636.41</v>
      </c>
      <c r="H88" s="2">
        <v>3</v>
      </c>
      <c r="I88" s="3">
        <v>-15.91</v>
      </c>
    </row>
    <row r="89" spans="1:9" x14ac:dyDescent="0.3">
      <c r="A89" s="4">
        <v>41915</v>
      </c>
      <c r="B89" s="5" t="s">
        <v>162</v>
      </c>
      <c r="C89" s="5" t="s">
        <v>163</v>
      </c>
      <c r="D89" s="5" t="s">
        <v>2</v>
      </c>
      <c r="E89" s="5" t="s">
        <v>15</v>
      </c>
      <c r="F89" s="5" t="s">
        <v>165</v>
      </c>
      <c r="G89" s="5">
        <v>83.17</v>
      </c>
      <c r="H89" s="5">
        <v>4</v>
      </c>
      <c r="I89" s="6">
        <v>9.36</v>
      </c>
    </row>
    <row r="90" spans="1:9" x14ac:dyDescent="0.3">
      <c r="A90" s="1">
        <v>41946</v>
      </c>
      <c r="B90" s="2" t="s">
        <v>166</v>
      </c>
      <c r="C90" s="2" t="s">
        <v>127</v>
      </c>
      <c r="D90" s="2" t="s">
        <v>25</v>
      </c>
      <c r="E90" s="2" t="s">
        <v>38</v>
      </c>
      <c r="F90" s="2" t="s">
        <v>167</v>
      </c>
      <c r="G90" s="2">
        <v>8.32</v>
      </c>
      <c r="H90" s="2">
        <v>5</v>
      </c>
      <c r="I90" s="3">
        <v>2.29</v>
      </c>
    </row>
    <row r="91" spans="1:9" x14ac:dyDescent="0.3">
      <c r="A91" s="4">
        <v>41946</v>
      </c>
      <c r="B91" s="5" t="s">
        <v>166</v>
      </c>
      <c r="C91" s="5" t="s">
        <v>127</v>
      </c>
      <c r="D91" s="5" t="s">
        <v>2</v>
      </c>
      <c r="E91" s="5" t="s">
        <v>34</v>
      </c>
      <c r="F91" s="5" t="s">
        <v>168</v>
      </c>
      <c r="G91" s="5">
        <v>10.46</v>
      </c>
      <c r="H91" s="5">
        <v>6</v>
      </c>
      <c r="I91" s="6">
        <v>1.7</v>
      </c>
    </row>
    <row r="92" spans="1:9" x14ac:dyDescent="0.3">
      <c r="A92" s="1">
        <v>41946</v>
      </c>
      <c r="B92" s="2" t="s">
        <v>169</v>
      </c>
      <c r="C92" s="2" t="s">
        <v>80</v>
      </c>
      <c r="D92" s="2" t="s">
        <v>2</v>
      </c>
      <c r="E92" s="2" t="s">
        <v>3</v>
      </c>
      <c r="F92" s="2" t="s">
        <v>170</v>
      </c>
      <c r="G92" s="2">
        <v>108.92</v>
      </c>
      <c r="H92" s="2">
        <v>14</v>
      </c>
      <c r="I92" s="3">
        <v>49.01</v>
      </c>
    </row>
    <row r="93" spans="1:9" x14ac:dyDescent="0.3">
      <c r="A93" s="4">
        <v>41946</v>
      </c>
      <c r="B93" s="5" t="s">
        <v>171</v>
      </c>
      <c r="C93" s="5" t="s">
        <v>24</v>
      </c>
      <c r="D93" s="5" t="s">
        <v>2</v>
      </c>
      <c r="E93" s="5" t="s">
        <v>133</v>
      </c>
      <c r="F93" s="5" t="s">
        <v>172</v>
      </c>
      <c r="G93" s="5">
        <v>146.76</v>
      </c>
      <c r="H93" s="5">
        <v>3</v>
      </c>
      <c r="I93" s="6">
        <v>38.159999999999997</v>
      </c>
    </row>
    <row r="94" spans="1:9" x14ac:dyDescent="0.3">
      <c r="A94" s="1">
        <v>41946</v>
      </c>
      <c r="B94" s="2" t="s">
        <v>171</v>
      </c>
      <c r="C94" s="2" t="s">
        <v>24</v>
      </c>
      <c r="D94" s="2" t="s">
        <v>30</v>
      </c>
      <c r="E94" s="2" t="s">
        <v>43</v>
      </c>
      <c r="F94" s="2" t="s">
        <v>78</v>
      </c>
      <c r="G94" s="2">
        <v>32.96</v>
      </c>
      <c r="H94" s="2">
        <v>2</v>
      </c>
      <c r="I94" s="3">
        <v>14.17</v>
      </c>
    </row>
    <row r="95" spans="1:9" x14ac:dyDescent="0.3">
      <c r="A95" s="4">
        <v>41946</v>
      </c>
      <c r="B95" s="5" t="s">
        <v>171</v>
      </c>
      <c r="C95" s="5" t="s">
        <v>24</v>
      </c>
      <c r="D95" s="5" t="s">
        <v>30</v>
      </c>
      <c r="E95" s="5" t="s">
        <v>31</v>
      </c>
      <c r="F95" s="5" t="s">
        <v>173</v>
      </c>
      <c r="G95" s="5">
        <v>587.97</v>
      </c>
      <c r="H95" s="5">
        <v>3</v>
      </c>
      <c r="I95" s="6">
        <v>164.63</v>
      </c>
    </row>
    <row r="96" spans="1:9" x14ac:dyDescent="0.3">
      <c r="A96" s="1">
        <v>41946</v>
      </c>
      <c r="B96" s="2" t="s">
        <v>171</v>
      </c>
      <c r="C96" s="2" t="s">
        <v>24</v>
      </c>
      <c r="D96" s="2" t="s">
        <v>2</v>
      </c>
      <c r="E96" s="2" t="s">
        <v>3</v>
      </c>
      <c r="F96" s="2" t="s">
        <v>174</v>
      </c>
      <c r="G96" s="2">
        <v>14.94</v>
      </c>
      <c r="H96" s="2">
        <v>3</v>
      </c>
      <c r="I96" s="3">
        <v>7.02</v>
      </c>
    </row>
    <row r="97" spans="1:9" x14ac:dyDescent="0.3">
      <c r="A97" s="4">
        <v>41946</v>
      </c>
      <c r="B97" s="5" t="s">
        <v>175</v>
      </c>
      <c r="C97" s="5" t="s">
        <v>18</v>
      </c>
      <c r="D97" s="5" t="s">
        <v>2</v>
      </c>
      <c r="E97" s="5" t="s">
        <v>15</v>
      </c>
      <c r="F97" s="5" t="s">
        <v>176</v>
      </c>
      <c r="G97" s="5">
        <v>7.98</v>
      </c>
      <c r="H97" s="5">
        <v>3</v>
      </c>
      <c r="I97" s="6">
        <v>2.0699999999999998</v>
      </c>
    </row>
    <row r="98" spans="1:9" x14ac:dyDescent="0.3">
      <c r="A98" s="1">
        <v>41643</v>
      </c>
      <c r="B98" s="2" t="s">
        <v>177</v>
      </c>
      <c r="C98" s="2" t="s">
        <v>18</v>
      </c>
      <c r="D98" s="2" t="s">
        <v>2</v>
      </c>
      <c r="E98" s="2" t="s">
        <v>7</v>
      </c>
      <c r="F98" s="2" t="s">
        <v>178</v>
      </c>
      <c r="G98" s="2">
        <v>29.6</v>
      </c>
      <c r="H98" s="2">
        <v>2</v>
      </c>
      <c r="I98" s="3">
        <v>14.8</v>
      </c>
    </row>
    <row r="99" spans="1:9" x14ac:dyDescent="0.3">
      <c r="A99" s="4">
        <v>41643</v>
      </c>
      <c r="B99" s="5" t="s">
        <v>177</v>
      </c>
      <c r="C99" s="5" t="s">
        <v>18</v>
      </c>
      <c r="D99" s="5" t="s">
        <v>2</v>
      </c>
      <c r="E99" s="5" t="s">
        <v>11</v>
      </c>
      <c r="F99" s="5" t="s">
        <v>179</v>
      </c>
      <c r="G99" s="5">
        <v>17.09</v>
      </c>
      <c r="H99" s="5">
        <v>4</v>
      </c>
      <c r="I99" s="6">
        <v>5.55</v>
      </c>
    </row>
    <row r="100" spans="1:9" x14ac:dyDescent="0.3">
      <c r="A100" s="1">
        <v>41643</v>
      </c>
      <c r="B100" s="2" t="s">
        <v>180</v>
      </c>
      <c r="C100" s="2" t="s">
        <v>181</v>
      </c>
      <c r="D100" s="2" t="s">
        <v>2</v>
      </c>
      <c r="E100" s="2" t="s">
        <v>9</v>
      </c>
      <c r="F100" s="2" t="s">
        <v>182</v>
      </c>
      <c r="G100" s="2">
        <v>66.959999999999994</v>
      </c>
      <c r="H100" s="2">
        <v>4</v>
      </c>
      <c r="I100" s="3">
        <v>2.68</v>
      </c>
    </row>
    <row r="101" spans="1:9" x14ac:dyDescent="0.3">
      <c r="A101" s="4">
        <v>41643</v>
      </c>
      <c r="B101" s="5" t="s">
        <v>180</v>
      </c>
      <c r="C101" s="5" t="s">
        <v>181</v>
      </c>
      <c r="D101" s="5" t="s">
        <v>2</v>
      </c>
      <c r="E101" s="5" t="s">
        <v>11</v>
      </c>
      <c r="F101" s="5" t="s">
        <v>183</v>
      </c>
      <c r="G101" s="5">
        <v>6.24</v>
      </c>
      <c r="H101" s="5">
        <v>2</v>
      </c>
      <c r="I101" s="6">
        <v>3.06</v>
      </c>
    </row>
    <row r="102" spans="1:9" x14ac:dyDescent="0.3">
      <c r="A102" s="1">
        <v>41674</v>
      </c>
      <c r="B102" s="2" t="s">
        <v>184</v>
      </c>
      <c r="C102" s="2" t="s">
        <v>21</v>
      </c>
      <c r="D102" s="2" t="s">
        <v>2</v>
      </c>
      <c r="E102" s="2" t="s">
        <v>3</v>
      </c>
      <c r="F102" s="2" t="s">
        <v>185</v>
      </c>
      <c r="G102" s="2">
        <v>15.84</v>
      </c>
      <c r="H102" s="2">
        <v>3</v>
      </c>
      <c r="I102" s="3">
        <v>7.13</v>
      </c>
    </row>
    <row r="103" spans="1:9" x14ac:dyDescent="0.3">
      <c r="A103" s="4">
        <v>41674</v>
      </c>
      <c r="B103" s="5" t="s">
        <v>184</v>
      </c>
      <c r="C103" s="5" t="s">
        <v>21</v>
      </c>
      <c r="D103" s="5" t="s">
        <v>30</v>
      </c>
      <c r="E103" s="5" t="s">
        <v>31</v>
      </c>
      <c r="F103" s="5" t="s">
        <v>186</v>
      </c>
      <c r="G103" s="5">
        <v>1049.93</v>
      </c>
      <c r="H103" s="5">
        <v>7</v>
      </c>
      <c r="I103" s="6">
        <v>293.98</v>
      </c>
    </row>
    <row r="104" spans="1:9" x14ac:dyDescent="0.3">
      <c r="A104" s="1">
        <v>41674</v>
      </c>
      <c r="B104" s="2" t="s">
        <v>184</v>
      </c>
      <c r="C104" s="2" t="s">
        <v>21</v>
      </c>
      <c r="D104" s="2" t="s">
        <v>2</v>
      </c>
      <c r="E104" s="2" t="s">
        <v>133</v>
      </c>
      <c r="F104" s="2" t="s">
        <v>187</v>
      </c>
      <c r="G104" s="2">
        <v>154.9</v>
      </c>
      <c r="H104" s="2">
        <v>5</v>
      </c>
      <c r="I104" s="3">
        <v>40.270000000000003</v>
      </c>
    </row>
    <row r="105" spans="1:9" x14ac:dyDescent="0.3">
      <c r="A105" s="4">
        <v>41674</v>
      </c>
      <c r="B105" s="5" t="s">
        <v>132</v>
      </c>
      <c r="C105" s="5" t="s">
        <v>1</v>
      </c>
      <c r="D105" s="5" t="s">
        <v>2</v>
      </c>
      <c r="E105" s="5" t="s">
        <v>3</v>
      </c>
      <c r="F105" s="5" t="s">
        <v>188</v>
      </c>
      <c r="G105" s="5">
        <v>26.72</v>
      </c>
      <c r="H105" s="5">
        <v>5</v>
      </c>
      <c r="I105" s="6">
        <v>9.35</v>
      </c>
    </row>
    <row r="106" spans="1:9" x14ac:dyDescent="0.3">
      <c r="A106" s="1">
        <v>41674</v>
      </c>
      <c r="B106" s="2" t="s">
        <v>132</v>
      </c>
      <c r="C106" s="2" t="s">
        <v>1</v>
      </c>
      <c r="D106" s="2" t="s">
        <v>2</v>
      </c>
      <c r="E106" s="2" t="s">
        <v>3</v>
      </c>
      <c r="F106" s="2" t="s">
        <v>189</v>
      </c>
      <c r="G106" s="2">
        <v>33.49</v>
      </c>
      <c r="H106" s="2">
        <v>7</v>
      </c>
      <c r="I106" s="3">
        <v>10.47</v>
      </c>
    </row>
    <row r="107" spans="1:9" x14ac:dyDescent="0.3">
      <c r="A107" s="4">
        <v>41674</v>
      </c>
      <c r="B107" s="5" t="s">
        <v>190</v>
      </c>
      <c r="C107" s="5" t="s">
        <v>46</v>
      </c>
      <c r="D107" s="5" t="s">
        <v>25</v>
      </c>
      <c r="E107" s="5" t="s">
        <v>38</v>
      </c>
      <c r="F107" s="5" t="s">
        <v>191</v>
      </c>
      <c r="G107" s="5">
        <v>177.68</v>
      </c>
      <c r="H107" s="5">
        <v>2</v>
      </c>
      <c r="I107" s="6">
        <v>46.2</v>
      </c>
    </row>
    <row r="108" spans="1:9" x14ac:dyDescent="0.3">
      <c r="A108" s="1">
        <v>41702</v>
      </c>
      <c r="B108" s="2" t="s">
        <v>192</v>
      </c>
      <c r="C108" s="2" t="s">
        <v>18</v>
      </c>
      <c r="D108" s="2" t="s">
        <v>2</v>
      </c>
      <c r="E108" s="2" t="s">
        <v>114</v>
      </c>
      <c r="F108" s="2" t="s">
        <v>115</v>
      </c>
      <c r="G108" s="2">
        <v>11.16</v>
      </c>
      <c r="H108" s="2">
        <v>2</v>
      </c>
      <c r="I108" s="3">
        <v>5.58</v>
      </c>
    </row>
    <row r="109" spans="1:9" x14ac:dyDescent="0.3">
      <c r="A109" s="4">
        <v>41702</v>
      </c>
      <c r="B109" s="5" t="s">
        <v>192</v>
      </c>
      <c r="C109" s="5" t="s">
        <v>18</v>
      </c>
      <c r="D109" s="5" t="s">
        <v>30</v>
      </c>
      <c r="E109" s="5" t="s">
        <v>43</v>
      </c>
      <c r="F109" s="5" t="s">
        <v>193</v>
      </c>
      <c r="G109" s="5">
        <v>62.31</v>
      </c>
      <c r="H109" s="5">
        <v>3</v>
      </c>
      <c r="I109" s="6">
        <v>22.43</v>
      </c>
    </row>
    <row r="110" spans="1:9" x14ac:dyDescent="0.3">
      <c r="A110" s="1">
        <v>41702</v>
      </c>
      <c r="B110" s="2" t="s">
        <v>192</v>
      </c>
      <c r="C110" s="2" t="s">
        <v>18</v>
      </c>
      <c r="D110" s="2" t="s">
        <v>30</v>
      </c>
      <c r="E110" s="2" t="s">
        <v>43</v>
      </c>
      <c r="F110" s="2" t="s">
        <v>194</v>
      </c>
      <c r="G110" s="2">
        <v>159.97999999999999</v>
      </c>
      <c r="H110" s="2">
        <v>2</v>
      </c>
      <c r="I110" s="3">
        <v>57.59</v>
      </c>
    </row>
    <row r="111" spans="1:9" x14ac:dyDescent="0.3">
      <c r="A111" s="4">
        <v>41733</v>
      </c>
      <c r="B111" s="5" t="s">
        <v>195</v>
      </c>
      <c r="C111" s="5" t="s">
        <v>18</v>
      </c>
      <c r="D111" s="5" t="s">
        <v>2</v>
      </c>
      <c r="E111" s="5" t="s">
        <v>7</v>
      </c>
      <c r="F111" s="5" t="s">
        <v>196</v>
      </c>
      <c r="G111" s="5">
        <v>18.899999999999999</v>
      </c>
      <c r="H111" s="5">
        <v>6</v>
      </c>
      <c r="I111" s="6">
        <v>9.07</v>
      </c>
    </row>
    <row r="112" spans="1:9" x14ac:dyDescent="0.3">
      <c r="A112" s="1">
        <v>41733</v>
      </c>
      <c r="B112" s="2" t="s">
        <v>197</v>
      </c>
      <c r="C112" s="2" t="s">
        <v>160</v>
      </c>
      <c r="D112" s="2" t="s">
        <v>25</v>
      </c>
      <c r="E112" s="2" t="s">
        <v>38</v>
      </c>
      <c r="F112" s="2" t="s">
        <v>198</v>
      </c>
      <c r="G112" s="2">
        <v>5.47</v>
      </c>
      <c r="H112" s="2">
        <v>1</v>
      </c>
      <c r="I112" s="3">
        <v>2.35</v>
      </c>
    </row>
    <row r="113" spans="1:9" x14ac:dyDescent="0.3">
      <c r="A113" s="4">
        <v>41733</v>
      </c>
      <c r="B113" s="5" t="s">
        <v>197</v>
      </c>
      <c r="C113" s="5" t="s">
        <v>160</v>
      </c>
      <c r="D113" s="5" t="s">
        <v>2</v>
      </c>
      <c r="E113" s="5" t="s">
        <v>15</v>
      </c>
      <c r="F113" s="5" t="s">
        <v>199</v>
      </c>
      <c r="G113" s="5">
        <v>79.36</v>
      </c>
      <c r="H113" s="5">
        <v>4</v>
      </c>
      <c r="I113" s="6">
        <v>23.81</v>
      </c>
    </row>
    <row r="114" spans="1:9" x14ac:dyDescent="0.3">
      <c r="A114" s="1">
        <v>41733</v>
      </c>
      <c r="B114" s="2" t="s">
        <v>200</v>
      </c>
      <c r="C114" s="2" t="s">
        <v>18</v>
      </c>
      <c r="D114" s="2" t="s">
        <v>2</v>
      </c>
      <c r="E114" s="2" t="s">
        <v>11</v>
      </c>
      <c r="F114" s="2" t="s">
        <v>201</v>
      </c>
      <c r="G114" s="2">
        <v>7.18</v>
      </c>
      <c r="H114" s="2">
        <v>2</v>
      </c>
      <c r="I114" s="3">
        <v>2.25</v>
      </c>
    </row>
    <row r="115" spans="1:9" x14ac:dyDescent="0.3">
      <c r="A115" s="4">
        <v>41733</v>
      </c>
      <c r="B115" s="5" t="s">
        <v>202</v>
      </c>
      <c r="C115" s="5" t="s">
        <v>203</v>
      </c>
      <c r="D115" s="5" t="s">
        <v>2</v>
      </c>
      <c r="E115" s="5" t="s">
        <v>9</v>
      </c>
      <c r="F115" s="5" t="s">
        <v>204</v>
      </c>
      <c r="G115" s="5">
        <v>232.55</v>
      </c>
      <c r="H115" s="5">
        <v>5</v>
      </c>
      <c r="I115" s="6">
        <v>9.3000000000000007</v>
      </c>
    </row>
    <row r="116" spans="1:9" x14ac:dyDescent="0.3">
      <c r="A116" s="1">
        <v>41733</v>
      </c>
      <c r="B116" s="2" t="s">
        <v>202</v>
      </c>
      <c r="C116" s="2" t="s">
        <v>203</v>
      </c>
      <c r="D116" s="2" t="s">
        <v>30</v>
      </c>
      <c r="E116" s="2" t="s">
        <v>43</v>
      </c>
      <c r="F116" s="2" t="s">
        <v>205</v>
      </c>
      <c r="G116" s="2">
        <v>99.98</v>
      </c>
      <c r="H116" s="2">
        <v>2</v>
      </c>
      <c r="I116" s="3">
        <v>42.99</v>
      </c>
    </row>
    <row r="117" spans="1:9" x14ac:dyDescent="0.3">
      <c r="A117" s="4">
        <v>41733</v>
      </c>
      <c r="B117" s="5" t="s">
        <v>202</v>
      </c>
      <c r="C117" s="5" t="s">
        <v>203</v>
      </c>
      <c r="D117" s="5" t="s">
        <v>2</v>
      </c>
      <c r="E117" s="5" t="s">
        <v>3</v>
      </c>
      <c r="F117" s="5" t="s">
        <v>206</v>
      </c>
      <c r="G117" s="5">
        <v>19.440000000000001</v>
      </c>
      <c r="H117" s="5">
        <v>3</v>
      </c>
      <c r="I117" s="6">
        <v>9.33</v>
      </c>
    </row>
    <row r="118" spans="1:9" x14ac:dyDescent="0.3">
      <c r="A118" s="1">
        <v>41733</v>
      </c>
      <c r="B118" s="2" t="s">
        <v>202</v>
      </c>
      <c r="C118" s="2" t="s">
        <v>203</v>
      </c>
      <c r="D118" s="2" t="s">
        <v>2</v>
      </c>
      <c r="E118" s="2" t="s">
        <v>3</v>
      </c>
      <c r="F118" s="2" t="s">
        <v>207</v>
      </c>
      <c r="G118" s="2">
        <v>12.96</v>
      </c>
      <c r="H118" s="2">
        <v>2</v>
      </c>
      <c r="I118" s="3">
        <v>6.35</v>
      </c>
    </row>
    <row r="119" spans="1:9" x14ac:dyDescent="0.3">
      <c r="A119" s="4">
        <v>41763</v>
      </c>
      <c r="B119" s="5" t="s">
        <v>208</v>
      </c>
      <c r="C119" s="5" t="s">
        <v>80</v>
      </c>
      <c r="D119" s="5" t="s">
        <v>2</v>
      </c>
      <c r="E119" s="5" t="s">
        <v>3</v>
      </c>
      <c r="F119" s="5" t="s">
        <v>209</v>
      </c>
      <c r="G119" s="5">
        <v>55.48</v>
      </c>
      <c r="H119" s="5">
        <v>1</v>
      </c>
      <c r="I119" s="6">
        <v>26.63</v>
      </c>
    </row>
    <row r="120" spans="1:9" x14ac:dyDescent="0.3">
      <c r="A120" s="1">
        <v>41763</v>
      </c>
      <c r="B120" s="2" t="s">
        <v>210</v>
      </c>
      <c r="C120" s="2" t="s">
        <v>46</v>
      </c>
      <c r="D120" s="2" t="s">
        <v>2</v>
      </c>
      <c r="E120" s="2" t="s">
        <v>15</v>
      </c>
      <c r="F120" s="2" t="s">
        <v>211</v>
      </c>
      <c r="G120" s="2">
        <v>22.96</v>
      </c>
      <c r="H120" s="2">
        <v>7</v>
      </c>
      <c r="I120" s="3">
        <v>7.58</v>
      </c>
    </row>
    <row r="121" spans="1:9" x14ac:dyDescent="0.3">
      <c r="A121" s="4">
        <v>41763</v>
      </c>
      <c r="B121" s="5" t="s">
        <v>210</v>
      </c>
      <c r="C121" s="5" t="s">
        <v>46</v>
      </c>
      <c r="D121" s="5" t="s">
        <v>30</v>
      </c>
      <c r="E121" s="5" t="s">
        <v>31</v>
      </c>
      <c r="F121" s="5" t="s">
        <v>73</v>
      </c>
      <c r="G121" s="5">
        <v>28.99</v>
      </c>
      <c r="H121" s="5">
        <v>1</v>
      </c>
      <c r="I121" s="6">
        <v>8.41</v>
      </c>
    </row>
    <row r="122" spans="1:9" x14ac:dyDescent="0.3">
      <c r="A122" s="1">
        <v>41763</v>
      </c>
      <c r="B122" s="2" t="s">
        <v>210</v>
      </c>
      <c r="C122" s="2" t="s">
        <v>46</v>
      </c>
      <c r="D122" s="2" t="s">
        <v>2</v>
      </c>
      <c r="E122" s="2" t="s">
        <v>3</v>
      </c>
      <c r="F122" s="2" t="s">
        <v>212</v>
      </c>
      <c r="G122" s="2">
        <v>12.96</v>
      </c>
      <c r="H122" s="2">
        <v>2</v>
      </c>
      <c r="I122" s="3">
        <v>6.35</v>
      </c>
    </row>
    <row r="123" spans="1:9" x14ac:dyDescent="0.3">
      <c r="A123" s="4">
        <v>41763</v>
      </c>
      <c r="B123" s="5" t="s">
        <v>210</v>
      </c>
      <c r="C123" s="5" t="s">
        <v>46</v>
      </c>
      <c r="D123" s="5" t="s">
        <v>2</v>
      </c>
      <c r="E123" s="5" t="s">
        <v>15</v>
      </c>
      <c r="F123" s="5" t="s">
        <v>213</v>
      </c>
      <c r="G123" s="5">
        <v>22.96</v>
      </c>
      <c r="H123" s="5">
        <v>7</v>
      </c>
      <c r="I123" s="6">
        <v>6.66</v>
      </c>
    </row>
    <row r="124" spans="1:9" x14ac:dyDescent="0.3">
      <c r="A124" s="1">
        <v>41763</v>
      </c>
      <c r="B124" s="2" t="s">
        <v>210</v>
      </c>
      <c r="C124" s="2" t="s">
        <v>46</v>
      </c>
      <c r="D124" s="2" t="s">
        <v>2</v>
      </c>
      <c r="E124" s="2" t="s">
        <v>144</v>
      </c>
      <c r="F124" s="2" t="s">
        <v>214</v>
      </c>
      <c r="G124" s="2">
        <v>4164.05</v>
      </c>
      <c r="H124" s="2">
        <v>5</v>
      </c>
      <c r="I124" s="3">
        <v>83.28</v>
      </c>
    </row>
    <row r="125" spans="1:9" x14ac:dyDescent="0.3">
      <c r="A125" s="4">
        <v>41763</v>
      </c>
      <c r="B125" s="5" t="s">
        <v>215</v>
      </c>
      <c r="C125" s="5" t="s">
        <v>6</v>
      </c>
      <c r="D125" s="5" t="s">
        <v>2</v>
      </c>
      <c r="E125" s="5" t="s">
        <v>9</v>
      </c>
      <c r="F125" s="5" t="s">
        <v>216</v>
      </c>
      <c r="G125" s="5">
        <v>49.63</v>
      </c>
      <c r="H125" s="5">
        <v>4</v>
      </c>
      <c r="I125" s="6">
        <v>3.72</v>
      </c>
    </row>
    <row r="126" spans="1:9" x14ac:dyDescent="0.3">
      <c r="A126" s="1">
        <v>41763</v>
      </c>
      <c r="B126" s="2" t="s">
        <v>215</v>
      </c>
      <c r="C126" s="2" t="s">
        <v>6</v>
      </c>
      <c r="D126" s="2" t="s">
        <v>2</v>
      </c>
      <c r="E126" s="2" t="s">
        <v>9</v>
      </c>
      <c r="F126" s="2" t="s">
        <v>217</v>
      </c>
      <c r="G126" s="2">
        <v>52.1</v>
      </c>
      <c r="H126" s="2">
        <v>4</v>
      </c>
      <c r="I126" s="3">
        <v>3.91</v>
      </c>
    </row>
    <row r="127" spans="1:9" x14ac:dyDescent="0.3">
      <c r="A127" s="4">
        <v>41763</v>
      </c>
      <c r="B127" s="5" t="s">
        <v>218</v>
      </c>
      <c r="C127" s="5" t="s">
        <v>160</v>
      </c>
      <c r="D127" s="5" t="s">
        <v>2</v>
      </c>
      <c r="E127" s="5" t="s">
        <v>15</v>
      </c>
      <c r="F127" s="5" t="s">
        <v>219</v>
      </c>
      <c r="G127" s="5">
        <v>26.7</v>
      </c>
      <c r="H127" s="5">
        <v>2</v>
      </c>
      <c r="I127" s="6">
        <v>7.48</v>
      </c>
    </row>
    <row r="128" spans="1:9" x14ac:dyDescent="0.3">
      <c r="A128" s="1">
        <v>41763</v>
      </c>
      <c r="B128" s="2" t="s">
        <v>218</v>
      </c>
      <c r="C128" s="2" t="s">
        <v>160</v>
      </c>
      <c r="D128" s="2" t="s">
        <v>2</v>
      </c>
      <c r="E128" s="2" t="s">
        <v>11</v>
      </c>
      <c r="F128" s="2" t="s">
        <v>220</v>
      </c>
      <c r="G128" s="2">
        <v>40.200000000000003</v>
      </c>
      <c r="H128" s="2">
        <v>5</v>
      </c>
      <c r="I128" s="3">
        <v>18.09</v>
      </c>
    </row>
    <row r="129" spans="1:9" x14ac:dyDescent="0.3">
      <c r="A129" s="4">
        <v>41763</v>
      </c>
      <c r="B129" s="5" t="s">
        <v>218</v>
      </c>
      <c r="C129" s="5" t="s">
        <v>160</v>
      </c>
      <c r="D129" s="5" t="s">
        <v>2</v>
      </c>
      <c r="E129" s="5" t="s">
        <v>15</v>
      </c>
      <c r="F129" s="5" t="s">
        <v>221</v>
      </c>
      <c r="G129" s="5">
        <v>13.89</v>
      </c>
      <c r="H129" s="5">
        <v>3</v>
      </c>
      <c r="I129" s="6">
        <v>4.58</v>
      </c>
    </row>
    <row r="130" spans="1:9" x14ac:dyDescent="0.3">
      <c r="A130" s="1">
        <v>41763</v>
      </c>
      <c r="B130" s="2" t="s">
        <v>218</v>
      </c>
      <c r="C130" s="2" t="s">
        <v>160</v>
      </c>
      <c r="D130" s="2" t="s">
        <v>2</v>
      </c>
      <c r="E130" s="2" t="s">
        <v>9</v>
      </c>
      <c r="F130" s="2" t="s">
        <v>222</v>
      </c>
      <c r="G130" s="2">
        <v>689.82</v>
      </c>
      <c r="H130" s="2">
        <v>6</v>
      </c>
      <c r="I130" s="3">
        <v>20.69</v>
      </c>
    </row>
    <row r="131" spans="1:9" x14ac:dyDescent="0.3">
      <c r="A131" s="4">
        <v>41763</v>
      </c>
      <c r="B131" s="5" t="s">
        <v>223</v>
      </c>
      <c r="C131" s="5" t="s">
        <v>24</v>
      </c>
      <c r="D131" s="5" t="s">
        <v>2</v>
      </c>
      <c r="E131" s="5" t="s">
        <v>11</v>
      </c>
      <c r="F131" s="5" t="s">
        <v>224</v>
      </c>
      <c r="G131" s="5">
        <v>115.36</v>
      </c>
      <c r="H131" s="5">
        <v>7</v>
      </c>
      <c r="I131" s="6">
        <v>56.53</v>
      </c>
    </row>
    <row r="132" spans="1:9" x14ac:dyDescent="0.3">
      <c r="A132" s="1">
        <v>41794</v>
      </c>
      <c r="B132" s="2" t="s">
        <v>225</v>
      </c>
      <c r="C132" s="2" t="s">
        <v>14</v>
      </c>
      <c r="D132" s="2" t="s">
        <v>2</v>
      </c>
      <c r="E132" s="2" t="s">
        <v>11</v>
      </c>
      <c r="F132" s="2" t="s">
        <v>226</v>
      </c>
      <c r="G132" s="2">
        <v>44.91</v>
      </c>
      <c r="H132" s="2">
        <v>6</v>
      </c>
      <c r="I132" s="3">
        <v>-35.93</v>
      </c>
    </row>
    <row r="133" spans="1:9" x14ac:dyDescent="0.3">
      <c r="A133" s="4">
        <v>41794</v>
      </c>
      <c r="B133" s="5" t="s">
        <v>227</v>
      </c>
      <c r="C133" s="5" t="s">
        <v>14</v>
      </c>
      <c r="D133" s="5" t="s">
        <v>2</v>
      </c>
      <c r="E133" s="5" t="s">
        <v>144</v>
      </c>
      <c r="F133" s="5" t="s">
        <v>228</v>
      </c>
      <c r="G133" s="5">
        <v>10.3</v>
      </c>
      <c r="H133" s="5">
        <v>1</v>
      </c>
      <c r="I133" s="6">
        <v>-2.19</v>
      </c>
    </row>
    <row r="134" spans="1:9" x14ac:dyDescent="0.3">
      <c r="A134" s="1">
        <v>41794</v>
      </c>
      <c r="B134" s="2" t="s">
        <v>227</v>
      </c>
      <c r="C134" s="2" t="s">
        <v>14</v>
      </c>
      <c r="D134" s="2" t="s">
        <v>25</v>
      </c>
      <c r="E134" s="2" t="s">
        <v>86</v>
      </c>
      <c r="F134" s="2" t="s">
        <v>229</v>
      </c>
      <c r="G134" s="2">
        <v>154.76</v>
      </c>
      <c r="H134" s="2">
        <v>3</v>
      </c>
      <c r="I134" s="3">
        <v>-36.11</v>
      </c>
    </row>
    <row r="135" spans="1:9" x14ac:dyDescent="0.3">
      <c r="A135" s="4">
        <v>41794</v>
      </c>
      <c r="B135" s="5" t="s">
        <v>227</v>
      </c>
      <c r="C135" s="5" t="s">
        <v>14</v>
      </c>
      <c r="D135" s="5" t="s">
        <v>30</v>
      </c>
      <c r="E135" s="5" t="s">
        <v>43</v>
      </c>
      <c r="F135" s="5" t="s">
        <v>230</v>
      </c>
      <c r="G135" s="5">
        <v>116.78</v>
      </c>
      <c r="H135" s="5">
        <v>2</v>
      </c>
      <c r="I135" s="6">
        <v>21.9</v>
      </c>
    </row>
    <row r="136" spans="1:9" x14ac:dyDescent="0.3">
      <c r="A136" s="1">
        <v>41794</v>
      </c>
      <c r="B136" s="2" t="s">
        <v>231</v>
      </c>
      <c r="C136" s="2" t="s">
        <v>62</v>
      </c>
      <c r="D136" s="2" t="s">
        <v>25</v>
      </c>
      <c r="E136" s="2" t="s">
        <v>86</v>
      </c>
      <c r="F136" s="2" t="s">
        <v>232</v>
      </c>
      <c r="G136" s="2">
        <v>653.54999999999995</v>
      </c>
      <c r="H136" s="2">
        <v>3</v>
      </c>
      <c r="I136" s="3">
        <v>111.1</v>
      </c>
    </row>
    <row r="137" spans="1:9" x14ac:dyDescent="0.3">
      <c r="A137" s="4">
        <v>41794</v>
      </c>
      <c r="B137" s="5" t="s">
        <v>231</v>
      </c>
      <c r="C137" s="5" t="s">
        <v>62</v>
      </c>
      <c r="D137" s="5" t="s">
        <v>30</v>
      </c>
      <c r="E137" s="5" t="s">
        <v>43</v>
      </c>
      <c r="F137" s="5" t="s">
        <v>233</v>
      </c>
      <c r="G137" s="5">
        <v>33.9</v>
      </c>
      <c r="H137" s="5">
        <v>2</v>
      </c>
      <c r="I137" s="6">
        <v>2.0299999999999998</v>
      </c>
    </row>
    <row r="138" spans="1:9" x14ac:dyDescent="0.3">
      <c r="A138" s="1">
        <v>41794</v>
      </c>
      <c r="B138" s="2" t="s">
        <v>234</v>
      </c>
      <c r="C138" s="2" t="s">
        <v>18</v>
      </c>
      <c r="D138" s="2" t="s">
        <v>25</v>
      </c>
      <c r="E138" s="2" t="s">
        <v>38</v>
      </c>
      <c r="F138" s="2" t="s">
        <v>235</v>
      </c>
      <c r="G138" s="2">
        <v>91.96</v>
      </c>
      <c r="H138" s="2">
        <v>2</v>
      </c>
      <c r="I138" s="3">
        <v>15.63</v>
      </c>
    </row>
    <row r="139" spans="1:9" x14ac:dyDescent="0.3">
      <c r="A139" s="4">
        <v>41794</v>
      </c>
      <c r="B139" s="5" t="s">
        <v>234</v>
      </c>
      <c r="C139" s="5" t="s">
        <v>18</v>
      </c>
      <c r="D139" s="5" t="s">
        <v>25</v>
      </c>
      <c r="E139" s="5" t="s">
        <v>38</v>
      </c>
      <c r="F139" s="5" t="s">
        <v>236</v>
      </c>
      <c r="G139" s="5">
        <v>33.11</v>
      </c>
      <c r="H139" s="5">
        <v>7</v>
      </c>
      <c r="I139" s="6">
        <v>12.91</v>
      </c>
    </row>
    <row r="140" spans="1:9" x14ac:dyDescent="0.3">
      <c r="A140" s="1">
        <v>41794</v>
      </c>
      <c r="B140" s="2" t="s">
        <v>234</v>
      </c>
      <c r="C140" s="2" t="s">
        <v>18</v>
      </c>
      <c r="D140" s="2" t="s">
        <v>2</v>
      </c>
      <c r="E140" s="2" t="s">
        <v>3</v>
      </c>
      <c r="F140" s="2" t="s">
        <v>237</v>
      </c>
      <c r="G140" s="2">
        <v>19.440000000000001</v>
      </c>
      <c r="H140" s="2">
        <v>3</v>
      </c>
      <c r="I140" s="3">
        <v>9.33</v>
      </c>
    </row>
    <row r="141" spans="1:9" x14ac:dyDescent="0.3">
      <c r="A141" s="4">
        <v>41794</v>
      </c>
      <c r="B141" s="5" t="s">
        <v>234</v>
      </c>
      <c r="C141" s="5" t="s">
        <v>18</v>
      </c>
      <c r="D141" s="5" t="s">
        <v>2</v>
      </c>
      <c r="E141" s="5" t="s">
        <v>3</v>
      </c>
      <c r="F141" s="5" t="s">
        <v>238</v>
      </c>
      <c r="G141" s="5">
        <v>55.48</v>
      </c>
      <c r="H141" s="5">
        <v>1</v>
      </c>
      <c r="I141" s="6">
        <v>26.63</v>
      </c>
    </row>
    <row r="142" spans="1:9" x14ac:dyDescent="0.3">
      <c r="A142" s="1">
        <v>41794</v>
      </c>
      <c r="B142" s="2" t="s">
        <v>239</v>
      </c>
      <c r="C142" s="2" t="s">
        <v>18</v>
      </c>
      <c r="D142" s="2" t="s">
        <v>2</v>
      </c>
      <c r="E142" s="2" t="s">
        <v>15</v>
      </c>
      <c r="F142" s="2" t="s">
        <v>240</v>
      </c>
      <c r="G142" s="2">
        <v>70.95</v>
      </c>
      <c r="H142" s="2">
        <v>3</v>
      </c>
      <c r="I142" s="3">
        <v>18.45</v>
      </c>
    </row>
    <row r="143" spans="1:9" x14ac:dyDescent="0.3">
      <c r="A143" s="4">
        <v>41794</v>
      </c>
      <c r="B143" s="5" t="s">
        <v>239</v>
      </c>
      <c r="C143" s="5" t="s">
        <v>18</v>
      </c>
      <c r="D143" s="5" t="s">
        <v>2</v>
      </c>
      <c r="E143" s="5" t="s">
        <v>11</v>
      </c>
      <c r="F143" s="5" t="s">
        <v>241</v>
      </c>
      <c r="G143" s="5">
        <v>65.569999999999993</v>
      </c>
      <c r="H143" s="5">
        <v>2</v>
      </c>
      <c r="I143" s="6">
        <v>23.77</v>
      </c>
    </row>
    <row r="144" spans="1:9" x14ac:dyDescent="0.3">
      <c r="A144" s="1">
        <v>41794</v>
      </c>
      <c r="B144" s="2" t="s">
        <v>239</v>
      </c>
      <c r="C144" s="2" t="s">
        <v>18</v>
      </c>
      <c r="D144" s="2" t="s">
        <v>30</v>
      </c>
      <c r="E144" s="2" t="s">
        <v>43</v>
      </c>
      <c r="F144" s="2" t="s">
        <v>242</v>
      </c>
      <c r="G144" s="2">
        <v>299.97000000000003</v>
      </c>
      <c r="H144" s="2">
        <v>3</v>
      </c>
      <c r="I144" s="3">
        <v>131.99</v>
      </c>
    </row>
    <row r="145" spans="1:9" x14ac:dyDescent="0.3">
      <c r="A145" s="4">
        <v>41824</v>
      </c>
      <c r="B145" s="5" t="s">
        <v>243</v>
      </c>
      <c r="C145" s="5" t="s">
        <v>244</v>
      </c>
      <c r="D145" s="5" t="s">
        <v>25</v>
      </c>
      <c r="E145" s="5" t="s">
        <v>38</v>
      </c>
      <c r="F145" s="5" t="s">
        <v>245</v>
      </c>
      <c r="G145" s="5">
        <v>8.9600000000000009</v>
      </c>
      <c r="H145" s="5">
        <v>2</v>
      </c>
      <c r="I145" s="6">
        <v>2.78</v>
      </c>
    </row>
    <row r="146" spans="1:9" x14ac:dyDescent="0.3">
      <c r="A146" s="1">
        <v>41824</v>
      </c>
      <c r="B146" s="2" t="s">
        <v>246</v>
      </c>
      <c r="C146" s="2" t="s">
        <v>138</v>
      </c>
      <c r="D146" s="2" t="s">
        <v>30</v>
      </c>
      <c r="E146" s="2" t="s">
        <v>31</v>
      </c>
      <c r="F146" s="2" t="s">
        <v>247</v>
      </c>
      <c r="G146" s="2">
        <v>629.95000000000005</v>
      </c>
      <c r="H146" s="2">
        <v>5</v>
      </c>
      <c r="I146" s="3">
        <v>163.79</v>
      </c>
    </row>
    <row r="147" spans="1:9" x14ac:dyDescent="0.3">
      <c r="A147" s="4">
        <v>41824</v>
      </c>
      <c r="B147" s="5" t="s">
        <v>246</v>
      </c>
      <c r="C147" s="5" t="s">
        <v>138</v>
      </c>
      <c r="D147" s="5" t="s">
        <v>2</v>
      </c>
      <c r="E147" s="5" t="s">
        <v>3</v>
      </c>
      <c r="F147" s="5" t="s">
        <v>248</v>
      </c>
      <c r="G147" s="5">
        <v>122.97</v>
      </c>
      <c r="H147" s="5">
        <v>3</v>
      </c>
      <c r="I147" s="6">
        <v>60.26</v>
      </c>
    </row>
    <row r="148" spans="1:9" x14ac:dyDescent="0.3">
      <c r="A148" s="1">
        <v>41824</v>
      </c>
      <c r="B148" s="2" t="s">
        <v>249</v>
      </c>
      <c r="C148" s="2" t="s">
        <v>21</v>
      </c>
      <c r="D148" s="2" t="s">
        <v>2</v>
      </c>
      <c r="E148" s="2" t="s">
        <v>3</v>
      </c>
      <c r="F148" s="2" t="s">
        <v>250</v>
      </c>
      <c r="G148" s="2">
        <v>58.32</v>
      </c>
      <c r="H148" s="2">
        <v>9</v>
      </c>
      <c r="I148" s="3">
        <v>27.99</v>
      </c>
    </row>
    <row r="149" spans="1:9" x14ac:dyDescent="0.3">
      <c r="A149" s="4">
        <v>41824</v>
      </c>
      <c r="B149" s="5" t="s">
        <v>249</v>
      </c>
      <c r="C149" s="5" t="s">
        <v>21</v>
      </c>
      <c r="D149" s="5" t="s">
        <v>30</v>
      </c>
      <c r="E149" s="5" t="s">
        <v>31</v>
      </c>
      <c r="F149" s="5" t="s">
        <v>251</v>
      </c>
      <c r="G149" s="5">
        <v>200.97</v>
      </c>
      <c r="H149" s="5">
        <v>3</v>
      </c>
      <c r="I149" s="6">
        <v>50.24</v>
      </c>
    </row>
    <row r="150" spans="1:9" x14ac:dyDescent="0.3">
      <c r="A150" s="1">
        <v>41855</v>
      </c>
      <c r="B150" s="2" t="s">
        <v>252</v>
      </c>
      <c r="C150" s="2" t="s">
        <v>253</v>
      </c>
      <c r="D150" s="2" t="s">
        <v>2</v>
      </c>
      <c r="E150" s="2" t="s">
        <v>34</v>
      </c>
      <c r="F150" s="2" t="s">
        <v>254</v>
      </c>
      <c r="G150" s="2">
        <v>2.37</v>
      </c>
      <c r="H150" s="2">
        <v>2</v>
      </c>
      <c r="I150" s="3">
        <v>0.83</v>
      </c>
    </row>
    <row r="151" spans="1:9" x14ac:dyDescent="0.3">
      <c r="A151" s="4">
        <v>41855</v>
      </c>
      <c r="B151" s="5" t="s">
        <v>252</v>
      </c>
      <c r="C151" s="5" t="s">
        <v>253</v>
      </c>
      <c r="D151" s="5" t="s">
        <v>2</v>
      </c>
      <c r="E151" s="5" t="s">
        <v>3</v>
      </c>
      <c r="F151" s="5" t="s">
        <v>255</v>
      </c>
      <c r="G151" s="5">
        <v>19.010000000000002</v>
      </c>
      <c r="H151" s="5">
        <v>3</v>
      </c>
      <c r="I151" s="6">
        <v>6.89</v>
      </c>
    </row>
    <row r="152" spans="1:9" x14ac:dyDescent="0.3">
      <c r="A152" s="1">
        <v>41855</v>
      </c>
      <c r="B152" s="2" t="s">
        <v>256</v>
      </c>
      <c r="C152" s="2" t="s">
        <v>244</v>
      </c>
      <c r="D152" s="2" t="s">
        <v>25</v>
      </c>
      <c r="E152" s="2" t="s">
        <v>86</v>
      </c>
      <c r="F152" s="2" t="s">
        <v>257</v>
      </c>
      <c r="G152" s="2">
        <v>1215.92</v>
      </c>
      <c r="H152" s="2">
        <v>8</v>
      </c>
      <c r="I152" s="3">
        <v>316.14</v>
      </c>
    </row>
    <row r="153" spans="1:9" x14ac:dyDescent="0.3">
      <c r="A153" s="4">
        <v>41855</v>
      </c>
      <c r="B153" s="5" t="s">
        <v>258</v>
      </c>
      <c r="C153" s="5" t="s">
        <v>253</v>
      </c>
      <c r="D153" s="5" t="s">
        <v>2</v>
      </c>
      <c r="E153" s="5" t="s">
        <v>34</v>
      </c>
      <c r="F153" s="5" t="s">
        <v>35</v>
      </c>
      <c r="G153" s="5">
        <v>49.79</v>
      </c>
      <c r="H153" s="5">
        <v>8</v>
      </c>
      <c r="I153" s="6">
        <v>-11.83</v>
      </c>
    </row>
    <row r="154" spans="1:9" x14ac:dyDescent="0.3">
      <c r="A154" s="1">
        <v>41855</v>
      </c>
      <c r="B154" s="2" t="s">
        <v>82</v>
      </c>
      <c r="C154" s="2" t="s">
        <v>18</v>
      </c>
      <c r="D154" s="2" t="s">
        <v>25</v>
      </c>
      <c r="E154" s="2" t="s">
        <v>86</v>
      </c>
      <c r="F154" s="2" t="s">
        <v>259</v>
      </c>
      <c r="G154" s="2">
        <v>99.59</v>
      </c>
      <c r="H154" s="2">
        <v>1</v>
      </c>
      <c r="I154" s="3">
        <v>2.4900000000000002</v>
      </c>
    </row>
    <row r="155" spans="1:9" x14ac:dyDescent="0.3">
      <c r="A155" s="4">
        <v>41855</v>
      </c>
      <c r="B155" s="5" t="s">
        <v>82</v>
      </c>
      <c r="C155" s="5" t="s">
        <v>18</v>
      </c>
      <c r="D155" s="5" t="s">
        <v>30</v>
      </c>
      <c r="E155" s="5" t="s">
        <v>43</v>
      </c>
      <c r="F155" s="5" t="s">
        <v>260</v>
      </c>
      <c r="G155" s="5">
        <v>399.96</v>
      </c>
      <c r="H155" s="5">
        <v>4</v>
      </c>
      <c r="I155" s="6">
        <v>139.99</v>
      </c>
    </row>
    <row r="156" spans="1:9" x14ac:dyDescent="0.3">
      <c r="A156" s="1">
        <v>41855</v>
      </c>
      <c r="B156" s="2" t="s">
        <v>261</v>
      </c>
      <c r="C156" s="2" t="s">
        <v>127</v>
      </c>
      <c r="D156" s="2" t="s">
        <v>25</v>
      </c>
      <c r="E156" s="2" t="s">
        <v>86</v>
      </c>
      <c r="F156" s="2" t="s">
        <v>262</v>
      </c>
      <c r="G156" s="2">
        <v>172.11</v>
      </c>
      <c r="H156" s="2">
        <v>1</v>
      </c>
      <c r="I156" s="3">
        <v>-94.66</v>
      </c>
    </row>
    <row r="157" spans="1:9" x14ac:dyDescent="0.3">
      <c r="A157" s="4">
        <v>41947</v>
      </c>
      <c r="B157" s="5" t="s">
        <v>263</v>
      </c>
      <c r="C157" s="5" t="s">
        <v>58</v>
      </c>
      <c r="D157" s="5" t="s">
        <v>2</v>
      </c>
      <c r="E157" s="5" t="s">
        <v>34</v>
      </c>
      <c r="F157" s="5" t="s">
        <v>264</v>
      </c>
      <c r="G157" s="5">
        <v>6.91</v>
      </c>
      <c r="H157" s="5">
        <v>3</v>
      </c>
      <c r="I157" s="6">
        <v>2.33</v>
      </c>
    </row>
    <row r="158" spans="1:9" x14ac:dyDescent="0.3">
      <c r="A158" s="1">
        <v>41947</v>
      </c>
      <c r="B158" s="2" t="s">
        <v>263</v>
      </c>
      <c r="C158" s="2" t="s">
        <v>58</v>
      </c>
      <c r="D158" s="2" t="s">
        <v>30</v>
      </c>
      <c r="E158" s="2" t="s">
        <v>43</v>
      </c>
      <c r="F158" s="2" t="s">
        <v>143</v>
      </c>
      <c r="G158" s="2">
        <v>383.98</v>
      </c>
      <c r="H158" s="2">
        <v>3</v>
      </c>
      <c r="I158" s="3">
        <v>81.59</v>
      </c>
    </row>
    <row r="159" spans="1:9" x14ac:dyDescent="0.3">
      <c r="A159" s="4">
        <v>41947</v>
      </c>
      <c r="B159" s="5" t="s">
        <v>263</v>
      </c>
      <c r="C159" s="5" t="s">
        <v>58</v>
      </c>
      <c r="D159" s="5" t="s">
        <v>2</v>
      </c>
      <c r="E159" s="5" t="s">
        <v>3</v>
      </c>
      <c r="F159" s="5" t="s">
        <v>265</v>
      </c>
      <c r="G159" s="5">
        <v>10.37</v>
      </c>
      <c r="H159" s="5">
        <v>2</v>
      </c>
      <c r="I159" s="6">
        <v>3.63</v>
      </c>
    </row>
    <row r="160" spans="1:9" x14ac:dyDescent="0.3">
      <c r="A160" s="1">
        <v>41947</v>
      </c>
      <c r="B160" s="2" t="s">
        <v>263</v>
      </c>
      <c r="C160" s="2" t="s">
        <v>58</v>
      </c>
      <c r="D160" s="2" t="s">
        <v>30</v>
      </c>
      <c r="E160" s="2" t="s">
        <v>43</v>
      </c>
      <c r="F160" s="2" t="s">
        <v>266</v>
      </c>
      <c r="G160" s="2">
        <v>335.94</v>
      </c>
      <c r="H160" s="2">
        <v>7</v>
      </c>
      <c r="I160" s="3">
        <v>41.99</v>
      </c>
    </row>
    <row r="161" spans="1:9" x14ac:dyDescent="0.3">
      <c r="A161" s="4">
        <v>41947</v>
      </c>
      <c r="B161" s="5" t="s">
        <v>267</v>
      </c>
      <c r="C161" s="5" t="s">
        <v>268</v>
      </c>
      <c r="D161" s="5" t="s">
        <v>2</v>
      </c>
      <c r="E161" s="5" t="s">
        <v>11</v>
      </c>
      <c r="F161" s="5" t="s">
        <v>269</v>
      </c>
      <c r="G161" s="5">
        <v>9.58</v>
      </c>
      <c r="H161" s="5">
        <v>1</v>
      </c>
      <c r="I161" s="6">
        <v>3.35</v>
      </c>
    </row>
    <row r="162" spans="1:9" x14ac:dyDescent="0.3">
      <c r="A162" s="1">
        <v>41947</v>
      </c>
      <c r="B162" s="2" t="s">
        <v>270</v>
      </c>
      <c r="C162" s="2" t="s">
        <v>1</v>
      </c>
      <c r="D162" s="2" t="s">
        <v>30</v>
      </c>
      <c r="E162" s="2" t="s">
        <v>31</v>
      </c>
      <c r="F162" s="2" t="s">
        <v>271</v>
      </c>
      <c r="G162" s="2">
        <v>758.35</v>
      </c>
      <c r="H162" s="2">
        <v>6</v>
      </c>
      <c r="I162" s="3">
        <v>265.42</v>
      </c>
    </row>
    <row r="163" spans="1:9" x14ac:dyDescent="0.3">
      <c r="A163" s="4">
        <v>41947</v>
      </c>
      <c r="B163" s="5" t="s">
        <v>272</v>
      </c>
      <c r="C163" s="5" t="s">
        <v>273</v>
      </c>
      <c r="D163" s="5" t="s">
        <v>2</v>
      </c>
      <c r="E163" s="5" t="s">
        <v>9</v>
      </c>
      <c r="F163" s="5" t="s">
        <v>274</v>
      </c>
      <c r="G163" s="5">
        <v>87.08</v>
      </c>
      <c r="H163" s="5">
        <v>7</v>
      </c>
      <c r="I163" s="6">
        <v>24.38</v>
      </c>
    </row>
    <row r="164" spans="1:9" x14ac:dyDescent="0.3">
      <c r="A164" s="1">
        <v>41947</v>
      </c>
      <c r="B164" s="2" t="s">
        <v>272</v>
      </c>
      <c r="C164" s="2" t="s">
        <v>273</v>
      </c>
      <c r="D164" s="2" t="s">
        <v>30</v>
      </c>
      <c r="E164" s="2" t="s">
        <v>31</v>
      </c>
      <c r="F164" s="2" t="s">
        <v>275</v>
      </c>
      <c r="G164" s="2">
        <v>105.58</v>
      </c>
      <c r="H164" s="2">
        <v>2</v>
      </c>
      <c r="I164" s="3">
        <v>9.24</v>
      </c>
    </row>
    <row r="165" spans="1:9" x14ac:dyDescent="0.3">
      <c r="A165" s="4">
        <v>41947</v>
      </c>
      <c r="B165" s="5" t="s">
        <v>272</v>
      </c>
      <c r="C165" s="5" t="s">
        <v>273</v>
      </c>
      <c r="D165" s="5" t="s">
        <v>30</v>
      </c>
      <c r="E165" s="5" t="s">
        <v>43</v>
      </c>
      <c r="F165" s="5" t="s">
        <v>276</v>
      </c>
      <c r="G165" s="5">
        <v>217.44</v>
      </c>
      <c r="H165" s="5">
        <v>6</v>
      </c>
      <c r="I165" s="6">
        <v>91.32</v>
      </c>
    </row>
    <row r="166" spans="1:9" x14ac:dyDescent="0.3">
      <c r="A166" s="1">
        <v>41977</v>
      </c>
      <c r="B166" s="2" t="s">
        <v>277</v>
      </c>
      <c r="C166" s="2" t="s">
        <v>18</v>
      </c>
      <c r="D166" s="2" t="s">
        <v>30</v>
      </c>
      <c r="E166" s="2" t="s">
        <v>31</v>
      </c>
      <c r="F166" s="2" t="s">
        <v>278</v>
      </c>
      <c r="G166" s="2">
        <v>1075.0899999999999</v>
      </c>
      <c r="H166" s="2">
        <v>14</v>
      </c>
      <c r="I166" s="3">
        <v>94.07</v>
      </c>
    </row>
    <row r="167" spans="1:9" x14ac:dyDescent="0.3">
      <c r="A167" s="4">
        <v>41977</v>
      </c>
      <c r="B167" s="5" t="s">
        <v>277</v>
      </c>
      <c r="C167" s="5" t="s">
        <v>18</v>
      </c>
      <c r="D167" s="5" t="s">
        <v>30</v>
      </c>
      <c r="E167" s="5" t="s">
        <v>31</v>
      </c>
      <c r="F167" s="5" t="s">
        <v>279</v>
      </c>
      <c r="G167" s="5">
        <v>438.37</v>
      </c>
      <c r="H167" s="5">
        <v>4</v>
      </c>
      <c r="I167" s="6">
        <v>38.36</v>
      </c>
    </row>
    <row r="168" spans="1:9" x14ac:dyDescent="0.3">
      <c r="A168" s="1">
        <v>41977</v>
      </c>
      <c r="B168" s="2" t="s">
        <v>277</v>
      </c>
      <c r="C168" s="2" t="s">
        <v>18</v>
      </c>
      <c r="D168" s="2" t="s">
        <v>2</v>
      </c>
      <c r="E168" s="2" t="s">
        <v>11</v>
      </c>
      <c r="F168" s="2" t="s">
        <v>280</v>
      </c>
      <c r="G168" s="2">
        <v>18.09</v>
      </c>
      <c r="H168" s="2">
        <v>7</v>
      </c>
      <c r="I168" s="3">
        <v>6.56</v>
      </c>
    </row>
    <row r="169" spans="1:9" x14ac:dyDescent="0.3">
      <c r="A169" s="4">
        <v>41977</v>
      </c>
      <c r="B169" s="5" t="s">
        <v>277</v>
      </c>
      <c r="C169" s="5" t="s">
        <v>18</v>
      </c>
      <c r="D169" s="5" t="s">
        <v>25</v>
      </c>
      <c r="E169" s="5" t="s">
        <v>129</v>
      </c>
      <c r="F169" s="5" t="s">
        <v>281</v>
      </c>
      <c r="G169" s="5">
        <v>308.5</v>
      </c>
      <c r="H169" s="5">
        <v>3</v>
      </c>
      <c r="I169" s="6">
        <v>-18.149999999999999</v>
      </c>
    </row>
    <row r="170" spans="1:9" x14ac:dyDescent="0.3">
      <c r="A170" s="1">
        <v>41977</v>
      </c>
      <c r="B170" s="2" t="s">
        <v>282</v>
      </c>
      <c r="C170" s="2" t="s">
        <v>283</v>
      </c>
      <c r="D170" s="2" t="s">
        <v>2</v>
      </c>
      <c r="E170" s="2" t="s">
        <v>3</v>
      </c>
      <c r="F170" s="2" t="s">
        <v>284</v>
      </c>
      <c r="G170" s="2">
        <v>32.4</v>
      </c>
      <c r="H170" s="2">
        <v>5</v>
      </c>
      <c r="I170" s="3">
        <v>15.55</v>
      </c>
    </row>
    <row r="171" spans="1:9" x14ac:dyDescent="0.3">
      <c r="A171" s="4">
        <v>41977</v>
      </c>
      <c r="B171" s="5" t="s">
        <v>285</v>
      </c>
      <c r="C171" s="5" t="s">
        <v>18</v>
      </c>
      <c r="D171" s="5" t="s">
        <v>2</v>
      </c>
      <c r="E171" s="5" t="s">
        <v>15</v>
      </c>
      <c r="F171" s="5" t="s">
        <v>286</v>
      </c>
      <c r="G171" s="5">
        <v>39.68</v>
      </c>
      <c r="H171" s="5">
        <v>2</v>
      </c>
      <c r="I171" s="6">
        <v>16.27</v>
      </c>
    </row>
    <row r="172" spans="1:9" x14ac:dyDescent="0.3">
      <c r="A172" s="1">
        <v>41675</v>
      </c>
      <c r="B172" s="2" t="s">
        <v>287</v>
      </c>
      <c r="C172" s="2" t="s">
        <v>127</v>
      </c>
      <c r="D172" s="2" t="s">
        <v>2</v>
      </c>
      <c r="E172" s="2" t="s">
        <v>133</v>
      </c>
      <c r="F172" s="2" t="s">
        <v>288</v>
      </c>
      <c r="G172" s="2">
        <v>26.14</v>
      </c>
      <c r="H172" s="2">
        <v>3</v>
      </c>
      <c r="I172" s="3">
        <v>1.96</v>
      </c>
    </row>
    <row r="173" spans="1:9" x14ac:dyDescent="0.3">
      <c r="A173" s="4">
        <v>41675</v>
      </c>
      <c r="B173" s="5" t="s">
        <v>289</v>
      </c>
      <c r="C173" s="5" t="s">
        <v>58</v>
      </c>
      <c r="D173" s="5" t="s">
        <v>30</v>
      </c>
      <c r="E173" s="5" t="s">
        <v>290</v>
      </c>
      <c r="F173" s="5" t="s">
        <v>291</v>
      </c>
      <c r="G173" s="5">
        <v>479.98</v>
      </c>
      <c r="H173" s="5">
        <v>2</v>
      </c>
      <c r="I173" s="6">
        <v>90</v>
      </c>
    </row>
    <row r="174" spans="1:9" x14ac:dyDescent="0.3">
      <c r="A174" s="1">
        <v>41703</v>
      </c>
      <c r="B174" s="2" t="s">
        <v>292</v>
      </c>
      <c r="C174" s="2" t="s">
        <v>53</v>
      </c>
      <c r="D174" s="2" t="s">
        <v>2</v>
      </c>
      <c r="E174" s="2" t="s">
        <v>7</v>
      </c>
      <c r="F174" s="2" t="s">
        <v>293</v>
      </c>
      <c r="G174" s="2">
        <v>21.56</v>
      </c>
      <c r="H174" s="2">
        <v>7</v>
      </c>
      <c r="I174" s="3">
        <v>10.35</v>
      </c>
    </row>
    <row r="175" spans="1:9" x14ac:dyDescent="0.3">
      <c r="A175" s="4">
        <v>41703</v>
      </c>
      <c r="B175" s="5" t="s">
        <v>294</v>
      </c>
      <c r="C175" s="5" t="s">
        <v>80</v>
      </c>
      <c r="D175" s="5" t="s">
        <v>2</v>
      </c>
      <c r="E175" s="5" t="s">
        <v>11</v>
      </c>
      <c r="F175" s="5" t="s">
        <v>295</v>
      </c>
      <c r="G175" s="5">
        <v>40.18</v>
      </c>
      <c r="H175" s="5">
        <v>3</v>
      </c>
      <c r="I175" s="6">
        <v>14.56</v>
      </c>
    </row>
    <row r="176" spans="1:9" x14ac:dyDescent="0.3">
      <c r="A176" s="1">
        <v>41703</v>
      </c>
      <c r="B176" s="2" t="s">
        <v>294</v>
      </c>
      <c r="C176" s="2" t="s">
        <v>80</v>
      </c>
      <c r="D176" s="2" t="s">
        <v>2</v>
      </c>
      <c r="E176" s="2" t="s">
        <v>11</v>
      </c>
      <c r="F176" s="2" t="s">
        <v>296</v>
      </c>
      <c r="G176" s="2">
        <v>10.9</v>
      </c>
      <c r="H176" s="2">
        <v>3</v>
      </c>
      <c r="I176" s="3">
        <v>3.95</v>
      </c>
    </row>
    <row r="177" spans="1:9" x14ac:dyDescent="0.3">
      <c r="A177" s="4">
        <v>41734</v>
      </c>
      <c r="B177" s="5" t="s">
        <v>297</v>
      </c>
      <c r="C177" s="5" t="s">
        <v>160</v>
      </c>
      <c r="D177" s="5" t="s">
        <v>2</v>
      </c>
      <c r="E177" s="5" t="s">
        <v>11</v>
      </c>
      <c r="F177" s="5" t="s">
        <v>298</v>
      </c>
      <c r="G177" s="5">
        <v>46.8</v>
      </c>
      <c r="H177" s="5">
        <v>4</v>
      </c>
      <c r="I177" s="6">
        <v>21.06</v>
      </c>
    </row>
    <row r="178" spans="1:9" x14ac:dyDescent="0.3">
      <c r="A178" s="1">
        <v>41734</v>
      </c>
      <c r="B178" s="2" t="s">
        <v>299</v>
      </c>
      <c r="C178" s="2" t="s">
        <v>300</v>
      </c>
      <c r="D178" s="2" t="s">
        <v>25</v>
      </c>
      <c r="E178" s="2" t="s">
        <v>38</v>
      </c>
      <c r="F178" s="2" t="s">
        <v>301</v>
      </c>
      <c r="G178" s="2">
        <v>27.46</v>
      </c>
      <c r="H178" s="2">
        <v>2</v>
      </c>
      <c r="I178" s="3">
        <v>9.89</v>
      </c>
    </row>
    <row r="179" spans="1:9" x14ac:dyDescent="0.3">
      <c r="A179" s="4">
        <v>41734</v>
      </c>
      <c r="B179" s="5" t="s">
        <v>302</v>
      </c>
      <c r="C179" s="5" t="s">
        <v>1</v>
      </c>
      <c r="D179" s="5" t="s">
        <v>2</v>
      </c>
      <c r="E179" s="5" t="s">
        <v>15</v>
      </c>
      <c r="F179" s="5" t="s">
        <v>240</v>
      </c>
      <c r="G179" s="5">
        <v>37.840000000000003</v>
      </c>
      <c r="H179" s="5">
        <v>2</v>
      </c>
      <c r="I179" s="6">
        <v>2.84</v>
      </c>
    </row>
    <row r="180" spans="1:9" x14ac:dyDescent="0.3">
      <c r="A180" s="1">
        <v>41734</v>
      </c>
      <c r="B180" s="2" t="s">
        <v>302</v>
      </c>
      <c r="C180" s="2" t="s">
        <v>1</v>
      </c>
      <c r="D180" s="2" t="s">
        <v>2</v>
      </c>
      <c r="E180" s="2" t="s">
        <v>34</v>
      </c>
      <c r="F180" s="2" t="s">
        <v>303</v>
      </c>
      <c r="G180" s="2">
        <v>5.47</v>
      </c>
      <c r="H180" s="2">
        <v>6</v>
      </c>
      <c r="I180" s="3">
        <v>1.85</v>
      </c>
    </row>
    <row r="181" spans="1:9" x14ac:dyDescent="0.3">
      <c r="A181" s="4">
        <v>41734</v>
      </c>
      <c r="B181" s="5" t="s">
        <v>304</v>
      </c>
      <c r="C181" s="5" t="s">
        <v>62</v>
      </c>
      <c r="D181" s="5" t="s">
        <v>25</v>
      </c>
      <c r="E181" s="5" t="s">
        <v>38</v>
      </c>
      <c r="F181" s="5" t="s">
        <v>305</v>
      </c>
      <c r="G181" s="5">
        <v>12.18</v>
      </c>
      <c r="H181" s="5">
        <v>7</v>
      </c>
      <c r="I181" s="6">
        <v>3.9</v>
      </c>
    </row>
    <row r="182" spans="1:9" x14ac:dyDescent="0.3">
      <c r="A182" s="1">
        <v>41734</v>
      </c>
      <c r="B182" s="2" t="s">
        <v>304</v>
      </c>
      <c r="C182" s="2" t="s">
        <v>62</v>
      </c>
      <c r="D182" s="2" t="s">
        <v>2</v>
      </c>
      <c r="E182" s="2" t="s">
        <v>133</v>
      </c>
      <c r="F182" s="2" t="s">
        <v>306</v>
      </c>
      <c r="G182" s="2">
        <v>57.68</v>
      </c>
      <c r="H182" s="2">
        <v>4</v>
      </c>
      <c r="I182" s="3">
        <v>19.03</v>
      </c>
    </row>
    <row r="183" spans="1:9" x14ac:dyDescent="0.3">
      <c r="A183" s="4">
        <v>41764</v>
      </c>
      <c r="B183" s="5" t="s">
        <v>307</v>
      </c>
      <c r="C183" s="5" t="s">
        <v>24</v>
      </c>
      <c r="D183" s="5" t="s">
        <v>2</v>
      </c>
      <c r="E183" s="5" t="s">
        <v>3</v>
      </c>
      <c r="F183" s="5" t="s">
        <v>308</v>
      </c>
      <c r="G183" s="5">
        <v>9.42</v>
      </c>
      <c r="H183" s="5">
        <v>3</v>
      </c>
      <c r="I183" s="6">
        <v>4.24</v>
      </c>
    </row>
    <row r="184" spans="1:9" x14ac:dyDescent="0.3">
      <c r="A184" s="1">
        <v>41764</v>
      </c>
      <c r="B184" s="2" t="s">
        <v>307</v>
      </c>
      <c r="C184" s="2" t="s">
        <v>24</v>
      </c>
      <c r="D184" s="2" t="s">
        <v>2</v>
      </c>
      <c r="E184" s="2" t="s">
        <v>15</v>
      </c>
      <c r="F184" s="2" t="s">
        <v>309</v>
      </c>
      <c r="G184" s="2">
        <v>6.56</v>
      </c>
      <c r="H184" s="2">
        <v>2</v>
      </c>
      <c r="I184" s="3">
        <v>1.9</v>
      </c>
    </row>
    <row r="185" spans="1:9" x14ac:dyDescent="0.3">
      <c r="A185" s="4">
        <v>41764</v>
      </c>
      <c r="B185" s="5" t="s">
        <v>307</v>
      </c>
      <c r="C185" s="5" t="s">
        <v>24</v>
      </c>
      <c r="D185" s="5" t="s">
        <v>2</v>
      </c>
      <c r="E185" s="5" t="s">
        <v>3</v>
      </c>
      <c r="F185" s="5" t="s">
        <v>310</v>
      </c>
      <c r="G185" s="5">
        <v>24.56</v>
      </c>
      <c r="H185" s="5">
        <v>2</v>
      </c>
      <c r="I185" s="6">
        <v>11.54</v>
      </c>
    </row>
    <row r="186" spans="1:9" x14ac:dyDescent="0.3">
      <c r="A186" s="1">
        <v>41764</v>
      </c>
      <c r="B186" s="2" t="s">
        <v>311</v>
      </c>
      <c r="C186" s="2" t="s">
        <v>1</v>
      </c>
      <c r="D186" s="2" t="s">
        <v>25</v>
      </c>
      <c r="E186" s="2" t="s">
        <v>26</v>
      </c>
      <c r="F186" s="2" t="s">
        <v>91</v>
      </c>
      <c r="G186" s="2">
        <v>127.87</v>
      </c>
      <c r="H186" s="2">
        <v>3</v>
      </c>
      <c r="I186" s="3">
        <v>-9.1300000000000008</v>
      </c>
    </row>
    <row r="187" spans="1:9" x14ac:dyDescent="0.3">
      <c r="A187" s="4">
        <v>41764</v>
      </c>
      <c r="B187" s="5" t="s">
        <v>180</v>
      </c>
      <c r="C187" s="5" t="s">
        <v>6</v>
      </c>
      <c r="D187" s="5" t="s">
        <v>2</v>
      </c>
      <c r="E187" s="5" t="s">
        <v>9</v>
      </c>
      <c r="F187" s="5" t="s">
        <v>312</v>
      </c>
      <c r="G187" s="5">
        <v>45.25</v>
      </c>
      <c r="H187" s="5">
        <v>2</v>
      </c>
      <c r="I187" s="6">
        <v>3.96</v>
      </c>
    </row>
    <row r="188" spans="1:9" x14ac:dyDescent="0.3">
      <c r="A188" s="1">
        <v>41764</v>
      </c>
      <c r="B188" s="2" t="s">
        <v>313</v>
      </c>
      <c r="C188" s="2" t="s">
        <v>46</v>
      </c>
      <c r="D188" s="2" t="s">
        <v>2</v>
      </c>
      <c r="E188" s="2" t="s">
        <v>11</v>
      </c>
      <c r="F188" s="2" t="s">
        <v>314</v>
      </c>
      <c r="G188" s="2">
        <v>11.88</v>
      </c>
      <c r="H188" s="2">
        <v>2</v>
      </c>
      <c r="I188" s="3">
        <v>5.35</v>
      </c>
    </row>
    <row r="189" spans="1:9" x14ac:dyDescent="0.3">
      <c r="A189" s="4">
        <v>41764</v>
      </c>
      <c r="B189" s="5" t="s">
        <v>313</v>
      </c>
      <c r="C189" s="5" t="s">
        <v>46</v>
      </c>
      <c r="D189" s="5" t="s">
        <v>2</v>
      </c>
      <c r="E189" s="5" t="s">
        <v>3</v>
      </c>
      <c r="F189" s="5" t="s">
        <v>315</v>
      </c>
      <c r="G189" s="5">
        <v>35.44</v>
      </c>
      <c r="H189" s="5">
        <v>1</v>
      </c>
      <c r="I189" s="6">
        <v>16.66</v>
      </c>
    </row>
    <row r="190" spans="1:9" x14ac:dyDescent="0.3">
      <c r="A190" s="1">
        <v>41795</v>
      </c>
      <c r="B190" s="2" t="s">
        <v>316</v>
      </c>
      <c r="C190" s="2" t="s">
        <v>18</v>
      </c>
      <c r="D190" s="2" t="s">
        <v>2</v>
      </c>
      <c r="E190" s="2" t="s">
        <v>11</v>
      </c>
      <c r="F190" s="2" t="s">
        <v>317</v>
      </c>
      <c r="G190" s="2">
        <v>140.74</v>
      </c>
      <c r="H190" s="2">
        <v>8</v>
      </c>
      <c r="I190" s="3">
        <v>52.78</v>
      </c>
    </row>
    <row r="191" spans="1:9" x14ac:dyDescent="0.3">
      <c r="A191" s="4">
        <v>41795</v>
      </c>
      <c r="B191" s="5" t="s">
        <v>318</v>
      </c>
      <c r="C191" s="5" t="s">
        <v>18</v>
      </c>
      <c r="D191" s="5" t="s">
        <v>2</v>
      </c>
      <c r="E191" s="5" t="s">
        <v>7</v>
      </c>
      <c r="F191" s="5" t="s">
        <v>319</v>
      </c>
      <c r="G191" s="5">
        <v>5.78</v>
      </c>
      <c r="H191" s="5">
        <v>2</v>
      </c>
      <c r="I191" s="6">
        <v>2.72</v>
      </c>
    </row>
    <row r="192" spans="1:9" x14ac:dyDescent="0.3">
      <c r="A192" s="1">
        <v>41795</v>
      </c>
      <c r="B192" s="2" t="s">
        <v>318</v>
      </c>
      <c r="C192" s="2" t="s">
        <v>18</v>
      </c>
      <c r="D192" s="2" t="s">
        <v>2</v>
      </c>
      <c r="E192" s="2" t="s">
        <v>15</v>
      </c>
      <c r="F192" s="2" t="s">
        <v>320</v>
      </c>
      <c r="G192" s="2">
        <v>107.94</v>
      </c>
      <c r="H192" s="2">
        <v>6</v>
      </c>
      <c r="I192" s="3">
        <v>30.22</v>
      </c>
    </row>
    <row r="193" spans="1:9" x14ac:dyDescent="0.3">
      <c r="A193" s="4">
        <v>41825</v>
      </c>
      <c r="B193" s="5" t="s">
        <v>321</v>
      </c>
      <c r="C193" s="5" t="s">
        <v>181</v>
      </c>
      <c r="D193" s="5" t="s">
        <v>2</v>
      </c>
      <c r="E193" s="5" t="s">
        <v>11</v>
      </c>
      <c r="F193" s="5" t="s">
        <v>322</v>
      </c>
      <c r="G193" s="5">
        <v>16.14</v>
      </c>
      <c r="H193" s="5">
        <v>3</v>
      </c>
      <c r="I193" s="6">
        <v>7.91</v>
      </c>
    </row>
    <row r="194" spans="1:9" x14ac:dyDescent="0.3">
      <c r="A194" s="1">
        <v>41825</v>
      </c>
      <c r="B194" s="2" t="s">
        <v>321</v>
      </c>
      <c r="C194" s="2" t="s">
        <v>181</v>
      </c>
      <c r="D194" s="2" t="s">
        <v>25</v>
      </c>
      <c r="E194" s="2" t="s">
        <v>86</v>
      </c>
      <c r="F194" s="2" t="s">
        <v>323</v>
      </c>
      <c r="G194" s="2">
        <v>194.25</v>
      </c>
      <c r="H194" s="2">
        <v>2</v>
      </c>
      <c r="I194" s="3">
        <v>-38.85</v>
      </c>
    </row>
    <row r="195" spans="1:9" x14ac:dyDescent="0.3">
      <c r="A195" s="4">
        <v>41825</v>
      </c>
      <c r="B195" s="5" t="s">
        <v>321</v>
      </c>
      <c r="C195" s="5" t="s">
        <v>181</v>
      </c>
      <c r="D195" s="5" t="s">
        <v>2</v>
      </c>
      <c r="E195" s="5" t="s">
        <v>15</v>
      </c>
      <c r="F195" s="5" t="s">
        <v>324</v>
      </c>
      <c r="G195" s="5">
        <v>8.64</v>
      </c>
      <c r="H195" s="5">
        <v>3</v>
      </c>
      <c r="I195" s="6">
        <v>2.5099999999999998</v>
      </c>
    </row>
    <row r="196" spans="1:9" x14ac:dyDescent="0.3">
      <c r="A196" s="1">
        <v>41825</v>
      </c>
      <c r="B196" s="2" t="s">
        <v>321</v>
      </c>
      <c r="C196" s="2" t="s">
        <v>181</v>
      </c>
      <c r="D196" s="2" t="s">
        <v>25</v>
      </c>
      <c r="E196" s="2" t="s">
        <v>26</v>
      </c>
      <c r="F196" s="2" t="s">
        <v>325</v>
      </c>
      <c r="G196" s="2">
        <v>872.32</v>
      </c>
      <c r="H196" s="2">
        <v>4</v>
      </c>
      <c r="I196" s="3">
        <v>244.25</v>
      </c>
    </row>
    <row r="197" spans="1:9" x14ac:dyDescent="0.3">
      <c r="A197" s="4">
        <v>41856</v>
      </c>
      <c r="B197" s="5" t="s">
        <v>162</v>
      </c>
      <c r="C197" s="5" t="s">
        <v>14</v>
      </c>
      <c r="D197" s="5" t="s">
        <v>30</v>
      </c>
      <c r="E197" s="5" t="s">
        <v>290</v>
      </c>
      <c r="F197" s="5" t="s">
        <v>326</v>
      </c>
      <c r="G197" s="5">
        <v>1799.97</v>
      </c>
      <c r="H197" s="5">
        <v>5</v>
      </c>
      <c r="I197" s="6">
        <v>240</v>
      </c>
    </row>
    <row r="198" spans="1:9" x14ac:dyDescent="0.3">
      <c r="A198" s="1">
        <v>41887</v>
      </c>
      <c r="B198" s="2" t="s">
        <v>327</v>
      </c>
      <c r="C198" s="2" t="s">
        <v>18</v>
      </c>
      <c r="D198" s="2" t="s">
        <v>30</v>
      </c>
      <c r="E198" s="2" t="s">
        <v>43</v>
      </c>
      <c r="F198" s="2" t="s">
        <v>233</v>
      </c>
      <c r="G198" s="2">
        <v>67.8</v>
      </c>
      <c r="H198" s="2">
        <v>4</v>
      </c>
      <c r="I198" s="3">
        <v>4.07</v>
      </c>
    </row>
    <row r="199" spans="1:9" x14ac:dyDescent="0.3">
      <c r="A199" s="4">
        <v>41887</v>
      </c>
      <c r="B199" s="5" t="s">
        <v>327</v>
      </c>
      <c r="C199" s="5" t="s">
        <v>18</v>
      </c>
      <c r="D199" s="5" t="s">
        <v>30</v>
      </c>
      <c r="E199" s="5" t="s">
        <v>43</v>
      </c>
      <c r="F199" s="5" t="s">
        <v>328</v>
      </c>
      <c r="G199" s="5">
        <v>167.97</v>
      </c>
      <c r="H199" s="5">
        <v>3</v>
      </c>
      <c r="I199" s="6">
        <v>40.31</v>
      </c>
    </row>
    <row r="200" spans="1:9" x14ac:dyDescent="0.3">
      <c r="A200" s="1">
        <v>41887</v>
      </c>
      <c r="B200" s="2" t="s">
        <v>329</v>
      </c>
      <c r="C200" s="2" t="s">
        <v>24</v>
      </c>
      <c r="D200" s="2" t="s">
        <v>2</v>
      </c>
      <c r="E200" s="2" t="s">
        <v>9</v>
      </c>
      <c r="F200" s="2" t="s">
        <v>330</v>
      </c>
      <c r="G200" s="2">
        <v>83.25</v>
      </c>
      <c r="H200" s="2">
        <v>3</v>
      </c>
      <c r="I200" s="3">
        <v>14.99</v>
      </c>
    </row>
    <row r="201" spans="1:9" x14ac:dyDescent="0.3">
      <c r="A201" s="4">
        <v>41887</v>
      </c>
      <c r="B201" s="5" t="s">
        <v>329</v>
      </c>
      <c r="C201" s="5" t="s">
        <v>24</v>
      </c>
      <c r="D201" s="5" t="s">
        <v>2</v>
      </c>
      <c r="E201" s="5" t="s">
        <v>7</v>
      </c>
      <c r="F201" s="5" t="s">
        <v>196</v>
      </c>
      <c r="G201" s="5">
        <v>9.4499999999999993</v>
      </c>
      <c r="H201" s="5">
        <v>3</v>
      </c>
      <c r="I201" s="6">
        <v>4.54</v>
      </c>
    </row>
    <row r="202" spans="1:9" x14ac:dyDescent="0.3">
      <c r="A202" s="1">
        <v>41887</v>
      </c>
      <c r="B202" s="2" t="s">
        <v>329</v>
      </c>
      <c r="C202" s="2" t="s">
        <v>24</v>
      </c>
      <c r="D202" s="2" t="s">
        <v>2</v>
      </c>
      <c r="E202" s="2" t="s">
        <v>7</v>
      </c>
      <c r="F202" s="2" t="s">
        <v>331</v>
      </c>
      <c r="G202" s="2">
        <v>20.65</v>
      </c>
      <c r="H202" s="2">
        <v>5</v>
      </c>
      <c r="I202" s="3">
        <v>9.5</v>
      </c>
    </row>
    <row r="203" spans="1:9" x14ac:dyDescent="0.3">
      <c r="A203" s="4">
        <v>41887</v>
      </c>
      <c r="B203" s="5" t="s">
        <v>329</v>
      </c>
      <c r="C203" s="5" t="s">
        <v>24</v>
      </c>
      <c r="D203" s="5" t="s">
        <v>2</v>
      </c>
      <c r="E203" s="5" t="s">
        <v>3</v>
      </c>
      <c r="F203" s="5" t="s">
        <v>332</v>
      </c>
      <c r="G203" s="5">
        <v>45.36</v>
      </c>
      <c r="H203" s="5">
        <v>7</v>
      </c>
      <c r="I203" s="6">
        <v>21.77</v>
      </c>
    </row>
    <row r="204" spans="1:9" x14ac:dyDescent="0.3">
      <c r="A204" s="1">
        <v>41917</v>
      </c>
      <c r="B204" s="2" t="s">
        <v>333</v>
      </c>
      <c r="C204" s="2" t="s">
        <v>62</v>
      </c>
      <c r="D204" s="2" t="s">
        <v>2</v>
      </c>
      <c r="E204" s="2" t="s">
        <v>114</v>
      </c>
      <c r="F204" s="2" t="s">
        <v>334</v>
      </c>
      <c r="G204" s="2">
        <v>158.13</v>
      </c>
      <c r="H204" s="2">
        <v>3</v>
      </c>
      <c r="I204" s="3">
        <v>77.48</v>
      </c>
    </row>
    <row r="205" spans="1:9" x14ac:dyDescent="0.3">
      <c r="A205" s="4">
        <v>41917</v>
      </c>
      <c r="B205" s="5" t="s">
        <v>333</v>
      </c>
      <c r="C205" s="5" t="s">
        <v>62</v>
      </c>
      <c r="D205" s="5" t="s">
        <v>30</v>
      </c>
      <c r="E205" s="5" t="s">
        <v>31</v>
      </c>
      <c r="F205" s="5" t="s">
        <v>335</v>
      </c>
      <c r="G205" s="5">
        <v>43.6</v>
      </c>
      <c r="H205" s="5">
        <v>5</v>
      </c>
      <c r="I205" s="6">
        <v>4.3600000000000003</v>
      </c>
    </row>
    <row r="206" spans="1:9" x14ac:dyDescent="0.3">
      <c r="A206" s="1">
        <v>41917</v>
      </c>
      <c r="B206" s="2" t="s">
        <v>336</v>
      </c>
      <c r="C206" s="2" t="s">
        <v>14</v>
      </c>
      <c r="D206" s="2" t="s">
        <v>25</v>
      </c>
      <c r="E206" s="2" t="s">
        <v>129</v>
      </c>
      <c r="F206" s="2" t="s">
        <v>337</v>
      </c>
      <c r="G206" s="2">
        <v>349.97</v>
      </c>
      <c r="H206" s="2">
        <v>7</v>
      </c>
      <c r="I206" s="3">
        <v>-216.98</v>
      </c>
    </row>
    <row r="207" spans="1:9" x14ac:dyDescent="0.3">
      <c r="A207" s="4">
        <v>41917</v>
      </c>
      <c r="B207" s="5" t="s">
        <v>336</v>
      </c>
      <c r="C207" s="5" t="s">
        <v>14</v>
      </c>
      <c r="D207" s="5" t="s">
        <v>2</v>
      </c>
      <c r="E207" s="5" t="s">
        <v>15</v>
      </c>
      <c r="F207" s="5" t="s">
        <v>338</v>
      </c>
      <c r="G207" s="5">
        <v>22.32</v>
      </c>
      <c r="H207" s="5">
        <v>5</v>
      </c>
      <c r="I207" s="6">
        <v>5.3</v>
      </c>
    </row>
    <row r="208" spans="1:9" x14ac:dyDescent="0.3">
      <c r="A208" s="1">
        <v>41917</v>
      </c>
      <c r="B208" s="2" t="s">
        <v>339</v>
      </c>
      <c r="C208" s="2" t="s">
        <v>18</v>
      </c>
      <c r="D208" s="2" t="s">
        <v>2</v>
      </c>
      <c r="E208" s="2" t="s">
        <v>3</v>
      </c>
      <c r="F208" s="2" t="s">
        <v>340</v>
      </c>
      <c r="G208" s="2">
        <v>39.96</v>
      </c>
      <c r="H208" s="2">
        <v>2</v>
      </c>
      <c r="I208" s="3">
        <v>19.18</v>
      </c>
    </row>
    <row r="209" spans="1:9" x14ac:dyDescent="0.3">
      <c r="A209" s="4">
        <v>41917</v>
      </c>
      <c r="B209" s="5" t="s">
        <v>339</v>
      </c>
      <c r="C209" s="5" t="s">
        <v>18</v>
      </c>
      <c r="D209" s="5" t="s">
        <v>30</v>
      </c>
      <c r="E209" s="5" t="s">
        <v>31</v>
      </c>
      <c r="F209" s="5" t="s">
        <v>341</v>
      </c>
      <c r="G209" s="5">
        <v>1432</v>
      </c>
      <c r="H209" s="5">
        <v>5</v>
      </c>
      <c r="I209" s="6">
        <v>125.3</v>
      </c>
    </row>
    <row r="210" spans="1:9" x14ac:dyDescent="0.3">
      <c r="A210" s="1">
        <v>41917</v>
      </c>
      <c r="B210" s="2" t="s">
        <v>339</v>
      </c>
      <c r="C210" s="2" t="s">
        <v>18</v>
      </c>
      <c r="D210" s="2" t="s">
        <v>2</v>
      </c>
      <c r="E210" s="2" t="s">
        <v>144</v>
      </c>
      <c r="F210" s="2" t="s">
        <v>342</v>
      </c>
      <c r="G210" s="2">
        <v>41.04</v>
      </c>
      <c r="H210" s="2">
        <v>6</v>
      </c>
      <c r="I210" s="3">
        <v>11.08</v>
      </c>
    </row>
    <row r="211" spans="1:9" x14ac:dyDescent="0.3">
      <c r="A211" s="4">
        <v>41917</v>
      </c>
      <c r="B211" s="5" t="s">
        <v>339</v>
      </c>
      <c r="C211" s="5" t="s">
        <v>18</v>
      </c>
      <c r="D211" s="5" t="s">
        <v>25</v>
      </c>
      <c r="E211" s="5" t="s">
        <v>26</v>
      </c>
      <c r="F211" s="5" t="s">
        <v>343</v>
      </c>
      <c r="G211" s="5">
        <v>256.77999999999997</v>
      </c>
      <c r="H211" s="5">
        <v>1</v>
      </c>
      <c r="I211" s="6">
        <v>32.1</v>
      </c>
    </row>
    <row r="212" spans="1:9" x14ac:dyDescent="0.3">
      <c r="A212" s="1">
        <v>41948</v>
      </c>
      <c r="B212" s="2" t="s">
        <v>344</v>
      </c>
      <c r="C212" s="2" t="s">
        <v>1</v>
      </c>
      <c r="D212" s="2" t="s">
        <v>30</v>
      </c>
      <c r="E212" s="2" t="s">
        <v>43</v>
      </c>
      <c r="F212" s="2" t="s">
        <v>345</v>
      </c>
      <c r="G212" s="2">
        <v>58.11</v>
      </c>
      <c r="H212" s="2">
        <v>2</v>
      </c>
      <c r="I212" s="3">
        <v>7.26</v>
      </c>
    </row>
    <row r="213" spans="1:9" x14ac:dyDescent="0.3">
      <c r="A213" s="4">
        <v>41948</v>
      </c>
      <c r="B213" s="5" t="s">
        <v>344</v>
      </c>
      <c r="C213" s="5" t="s">
        <v>1</v>
      </c>
      <c r="D213" s="5" t="s">
        <v>30</v>
      </c>
      <c r="E213" s="5" t="s">
        <v>31</v>
      </c>
      <c r="F213" s="5" t="s">
        <v>346</v>
      </c>
      <c r="G213" s="5">
        <v>100.79</v>
      </c>
      <c r="H213" s="5">
        <v>1</v>
      </c>
      <c r="I213" s="6">
        <v>6.3</v>
      </c>
    </row>
    <row r="214" spans="1:9" x14ac:dyDescent="0.3">
      <c r="A214" s="1">
        <v>41948</v>
      </c>
      <c r="B214" s="2" t="s">
        <v>344</v>
      </c>
      <c r="C214" s="2" t="s">
        <v>1</v>
      </c>
      <c r="D214" s="2" t="s">
        <v>25</v>
      </c>
      <c r="E214" s="2" t="s">
        <v>38</v>
      </c>
      <c r="F214" s="2" t="s">
        <v>347</v>
      </c>
      <c r="G214" s="2">
        <v>66.11</v>
      </c>
      <c r="H214" s="2">
        <v>4</v>
      </c>
      <c r="I214" s="3">
        <v>-84.29</v>
      </c>
    </row>
    <row r="215" spans="1:9" x14ac:dyDescent="0.3">
      <c r="A215" s="4">
        <v>41948</v>
      </c>
      <c r="B215" s="5" t="s">
        <v>348</v>
      </c>
      <c r="C215" s="5" t="s">
        <v>1</v>
      </c>
      <c r="D215" s="5" t="s">
        <v>30</v>
      </c>
      <c r="E215" s="5" t="s">
        <v>43</v>
      </c>
      <c r="F215" s="5" t="s">
        <v>349</v>
      </c>
      <c r="G215" s="5">
        <v>46.86</v>
      </c>
      <c r="H215" s="5">
        <v>2</v>
      </c>
      <c r="I215" s="6">
        <v>7.62</v>
      </c>
    </row>
    <row r="216" spans="1:9" x14ac:dyDescent="0.3">
      <c r="A216" s="1">
        <v>41948</v>
      </c>
      <c r="B216" s="2" t="s">
        <v>350</v>
      </c>
      <c r="C216" s="2" t="s">
        <v>80</v>
      </c>
      <c r="D216" s="2" t="s">
        <v>2</v>
      </c>
      <c r="E216" s="2" t="s">
        <v>133</v>
      </c>
      <c r="F216" s="2" t="s">
        <v>351</v>
      </c>
      <c r="G216" s="2">
        <v>35.909999999999997</v>
      </c>
      <c r="H216" s="2">
        <v>3</v>
      </c>
      <c r="I216" s="3">
        <v>9.6999999999999993</v>
      </c>
    </row>
    <row r="217" spans="1:9" x14ac:dyDescent="0.3">
      <c r="A217" s="4">
        <v>41948</v>
      </c>
      <c r="B217" s="5" t="s">
        <v>352</v>
      </c>
      <c r="C217" s="5" t="s">
        <v>1</v>
      </c>
      <c r="D217" s="5" t="s">
        <v>25</v>
      </c>
      <c r="E217" s="5" t="s">
        <v>26</v>
      </c>
      <c r="F217" s="5" t="s">
        <v>353</v>
      </c>
      <c r="G217" s="5">
        <v>1212.96</v>
      </c>
      <c r="H217" s="5">
        <v>8</v>
      </c>
      <c r="I217" s="6">
        <v>-69.31</v>
      </c>
    </row>
    <row r="218" spans="1:9" x14ac:dyDescent="0.3">
      <c r="A218" s="1">
        <v>41948</v>
      </c>
      <c r="B218" s="2" t="s">
        <v>354</v>
      </c>
      <c r="C218" s="2" t="s">
        <v>6</v>
      </c>
      <c r="D218" s="2" t="s">
        <v>2</v>
      </c>
      <c r="E218" s="2" t="s">
        <v>3</v>
      </c>
      <c r="F218" s="2" t="s">
        <v>104</v>
      </c>
      <c r="G218" s="2">
        <v>17.47</v>
      </c>
      <c r="H218" s="2">
        <v>3</v>
      </c>
      <c r="I218" s="3">
        <v>5.68</v>
      </c>
    </row>
    <row r="219" spans="1:9" x14ac:dyDescent="0.3">
      <c r="A219" s="4">
        <v>41948</v>
      </c>
      <c r="B219" s="5" t="s">
        <v>354</v>
      </c>
      <c r="C219" s="5" t="s">
        <v>6</v>
      </c>
      <c r="D219" s="5" t="s">
        <v>2</v>
      </c>
      <c r="E219" s="5" t="s">
        <v>11</v>
      </c>
      <c r="F219" s="5" t="s">
        <v>355</v>
      </c>
      <c r="G219" s="5">
        <v>104.58</v>
      </c>
      <c r="H219" s="5">
        <v>9</v>
      </c>
      <c r="I219" s="6">
        <v>-172.56</v>
      </c>
    </row>
    <row r="220" spans="1:9" x14ac:dyDescent="0.3">
      <c r="A220" s="1">
        <v>41978</v>
      </c>
      <c r="B220" s="2" t="s">
        <v>356</v>
      </c>
      <c r="C220" s="2" t="s">
        <v>53</v>
      </c>
      <c r="D220" s="2" t="s">
        <v>25</v>
      </c>
      <c r="E220" s="2" t="s">
        <v>38</v>
      </c>
      <c r="F220" s="2" t="s">
        <v>51</v>
      </c>
      <c r="G220" s="2">
        <v>34.79</v>
      </c>
      <c r="H220" s="2">
        <v>7</v>
      </c>
      <c r="I220" s="3">
        <v>10.78</v>
      </c>
    </row>
    <row r="221" spans="1:9" x14ac:dyDescent="0.3">
      <c r="A221" s="4">
        <v>41978</v>
      </c>
      <c r="B221" s="5" t="s">
        <v>162</v>
      </c>
      <c r="C221" s="5" t="s">
        <v>181</v>
      </c>
      <c r="D221" s="5" t="s">
        <v>25</v>
      </c>
      <c r="E221" s="5" t="s">
        <v>86</v>
      </c>
      <c r="F221" s="5" t="s">
        <v>357</v>
      </c>
      <c r="G221" s="5">
        <v>700.06</v>
      </c>
      <c r="H221" s="5">
        <v>3</v>
      </c>
      <c r="I221" s="6">
        <v>-130.01</v>
      </c>
    </row>
    <row r="222" spans="1:9" x14ac:dyDescent="0.3">
      <c r="A222" s="1">
        <v>41645</v>
      </c>
      <c r="B222" s="2" t="s">
        <v>358</v>
      </c>
      <c r="C222" s="2" t="s">
        <v>359</v>
      </c>
      <c r="D222" s="2" t="s">
        <v>25</v>
      </c>
      <c r="E222" s="2" t="s">
        <v>26</v>
      </c>
      <c r="F222" s="2" t="s">
        <v>27</v>
      </c>
      <c r="G222" s="2">
        <v>2001.86</v>
      </c>
      <c r="H222" s="2">
        <v>7</v>
      </c>
      <c r="I222" s="3">
        <v>580.54</v>
      </c>
    </row>
    <row r="223" spans="1:9" x14ac:dyDescent="0.3">
      <c r="A223" s="4">
        <v>41645</v>
      </c>
      <c r="B223" s="5" t="s">
        <v>358</v>
      </c>
      <c r="C223" s="5" t="s">
        <v>359</v>
      </c>
      <c r="D223" s="5" t="s">
        <v>2</v>
      </c>
      <c r="E223" s="5" t="s">
        <v>9</v>
      </c>
      <c r="F223" s="5" t="s">
        <v>360</v>
      </c>
      <c r="G223" s="5">
        <v>166.72</v>
      </c>
      <c r="H223" s="5">
        <v>2</v>
      </c>
      <c r="I223" s="6">
        <v>41.68</v>
      </c>
    </row>
    <row r="224" spans="1:9" x14ac:dyDescent="0.3">
      <c r="A224" s="1">
        <v>41645</v>
      </c>
      <c r="B224" s="2" t="s">
        <v>358</v>
      </c>
      <c r="C224" s="2" t="s">
        <v>359</v>
      </c>
      <c r="D224" s="2" t="s">
        <v>2</v>
      </c>
      <c r="E224" s="2" t="s">
        <v>3</v>
      </c>
      <c r="F224" s="2" t="s">
        <v>361</v>
      </c>
      <c r="G224" s="2">
        <v>47.88</v>
      </c>
      <c r="H224" s="2">
        <v>6</v>
      </c>
      <c r="I224" s="3">
        <v>23.94</v>
      </c>
    </row>
    <row r="225" spans="1:9" x14ac:dyDescent="0.3">
      <c r="A225" s="4">
        <v>41645</v>
      </c>
      <c r="B225" s="5" t="s">
        <v>358</v>
      </c>
      <c r="C225" s="5" t="s">
        <v>359</v>
      </c>
      <c r="D225" s="5" t="s">
        <v>2</v>
      </c>
      <c r="E225" s="5" t="s">
        <v>133</v>
      </c>
      <c r="F225" s="5" t="s">
        <v>362</v>
      </c>
      <c r="G225" s="5">
        <v>1503.25</v>
      </c>
      <c r="H225" s="5">
        <v>5</v>
      </c>
      <c r="I225" s="6">
        <v>496.07</v>
      </c>
    </row>
    <row r="226" spans="1:9" x14ac:dyDescent="0.3">
      <c r="A226" s="1">
        <v>41645</v>
      </c>
      <c r="B226" s="2" t="s">
        <v>358</v>
      </c>
      <c r="C226" s="2" t="s">
        <v>359</v>
      </c>
      <c r="D226" s="2" t="s">
        <v>2</v>
      </c>
      <c r="E226" s="2" t="s">
        <v>3</v>
      </c>
      <c r="F226" s="2" t="s">
        <v>363</v>
      </c>
      <c r="G226" s="2">
        <v>25.92</v>
      </c>
      <c r="H226" s="2">
        <v>4</v>
      </c>
      <c r="I226" s="3">
        <v>12.44</v>
      </c>
    </row>
    <row r="227" spans="1:9" x14ac:dyDescent="0.3">
      <c r="A227" s="4">
        <v>41645</v>
      </c>
      <c r="B227" s="5" t="s">
        <v>364</v>
      </c>
      <c r="C227" s="5" t="s">
        <v>77</v>
      </c>
      <c r="D227" s="5" t="s">
        <v>2</v>
      </c>
      <c r="E227" s="5" t="s">
        <v>11</v>
      </c>
      <c r="F227" s="5" t="s">
        <v>365</v>
      </c>
      <c r="G227" s="5">
        <v>45.48</v>
      </c>
      <c r="H227" s="5">
        <v>3</v>
      </c>
      <c r="I227" s="6">
        <v>20.92</v>
      </c>
    </row>
    <row r="228" spans="1:9" x14ac:dyDescent="0.3">
      <c r="A228" s="1">
        <v>41645</v>
      </c>
      <c r="B228" s="2" t="s">
        <v>364</v>
      </c>
      <c r="C228" s="2" t="s">
        <v>77</v>
      </c>
      <c r="D228" s="2" t="s">
        <v>2</v>
      </c>
      <c r="E228" s="2" t="s">
        <v>15</v>
      </c>
      <c r="F228" s="2" t="s">
        <v>366</v>
      </c>
      <c r="G228" s="2">
        <v>289.2</v>
      </c>
      <c r="H228" s="2">
        <v>6</v>
      </c>
      <c r="I228" s="3">
        <v>83.87</v>
      </c>
    </row>
    <row r="229" spans="1:9" x14ac:dyDescent="0.3">
      <c r="A229" s="4">
        <v>41645</v>
      </c>
      <c r="B229" s="5" t="s">
        <v>367</v>
      </c>
      <c r="C229" s="5" t="s">
        <v>368</v>
      </c>
      <c r="D229" s="5" t="s">
        <v>25</v>
      </c>
      <c r="E229" s="5" t="s">
        <v>38</v>
      </c>
      <c r="F229" s="5" t="s">
        <v>369</v>
      </c>
      <c r="G229" s="5">
        <v>22.2</v>
      </c>
      <c r="H229" s="5">
        <v>6</v>
      </c>
      <c r="I229" s="6">
        <v>9.1</v>
      </c>
    </row>
    <row r="230" spans="1:9" x14ac:dyDescent="0.3">
      <c r="A230" s="1">
        <v>41645</v>
      </c>
      <c r="B230" s="2" t="s">
        <v>367</v>
      </c>
      <c r="C230" s="2" t="s">
        <v>368</v>
      </c>
      <c r="D230" s="2" t="s">
        <v>30</v>
      </c>
      <c r="E230" s="2" t="s">
        <v>31</v>
      </c>
      <c r="F230" s="2" t="s">
        <v>370</v>
      </c>
      <c r="G230" s="2">
        <v>881.93</v>
      </c>
      <c r="H230" s="2">
        <v>7</v>
      </c>
      <c r="I230" s="3">
        <v>229.3</v>
      </c>
    </row>
    <row r="231" spans="1:9" x14ac:dyDescent="0.3">
      <c r="A231" s="4">
        <v>41645</v>
      </c>
      <c r="B231" s="5" t="s">
        <v>371</v>
      </c>
      <c r="C231" s="5" t="s">
        <v>160</v>
      </c>
      <c r="D231" s="5" t="s">
        <v>2</v>
      </c>
      <c r="E231" s="5" t="s">
        <v>11</v>
      </c>
      <c r="F231" s="5" t="s">
        <v>372</v>
      </c>
      <c r="G231" s="5">
        <v>138.56</v>
      </c>
      <c r="H231" s="5">
        <v>4</v>
      </c>
      <c r="I231" s="6">
        <v>66.510000000000005</v>
      </c>
    </row>
    <row r="232" spans="1:9" x14ac:dyDescent="0.3">
      <c r="A232" s="1">
        <v>41645</v>
      </c>
      <c r="B232" s="2" t="s">
        <v>371</v>
      </c>
      <c r="C232" s="2" t="s">
        <v>160</v>
      </c>
      <c r="D232" s="2" t="s">
        <v>2</v>
      </c>
      <c r="E232" s="2" t="s">
        <v>133</v>
      </c>
      <c r="F232" s="2" t="s">
        <v>373</v>
      </c>
      <c r="G232" s="2">
        <v>65.52</v>
      </c>
      <c r="H232" s="2">
        <v>5</v>
      </c>
      <c r="I232" s="3">
        <v>12.38</v>
      </c>
    </row>
    <row r="233" spans="1:9" x14ac:dyDescent="0.3">
      <c r="A233" s="4">
        <v>41676</v>
      </c>
      <c r="B233" s="5" t="s">
        <v>374</v>
      </c>
      <c r="C233" s="5" t="s">
        <v>375</v>
      </c>
      <c r="D233" s="5" t="s">
        <v>2</v>
      </c>
      <c r="E233" s="5" t="s">
        <v>11</v>
      </c>
      <c r="F233" s="5" t="s">
        <v>376</v>
      </c>
      <c r="G233" s="5">
        <v>59.81</v>
      </c>
      <c r="H233" s="5">
        <v>3</v>
      </c>
      <c r="I233" s="6">
        <v>19.440000000000001</v>
      </c>
    </row>
    <row r="234" spans="1:9" x14ac:dyDescent="0.3">
      <c r="A234" s="1">
        <v>41676</v>
      </c>
      <c r="B234" s="2" t="s">
        <v>374</v>
      </c>
      <c r="C234" s="2" t="s">
        <v>375</v>
      </c>
      <c r="D234" s="2" t="s">
        <v>25</v>
      </c>
      <c r="E234" s="2" t="s">
        <v>38</v>
      </c>
      <c r="F234" s="2" t="s">
        <v>377</v>
      </c>
      <c r="G234" s="2">
        <v>73.319999999999993</v>
      </c>
      <c r="H234" s="2">
        <v>6</v>
      </c>
      <c r="I234" s="3">
        <v>22</v>
      </c>
    </row>
    <row r="235" spans="1:9" x14ac:dyDescent="0.3">
      <c r="A235" s="4">
        <v>41676</v>
      </c>
      <c r="B235" s="5" t="s">
        <v>282</v>
      </c>
      <c r="C235" s="5" t="s">
        <v>21</v>
      </c>
      <c r="D235" s="5" t="s">
        <v>2</v>
      </c>
      <c r="E235" s="5" t="s">
        <v>15</v>
      </c>
      <c r="F235" s="5" t="s">
        <v>378</v>
      </c>
      <c r="G235" s="5">
        <v>8.56</v>
      </c>
      <c r="H235" s="5">
        <v>2</v>
      </c>
      <c r="I235" s="6">
        <v>2.65</v>
      </c>
    </row>
    <row r="236" spans="1:9" x14ac:dyDescent="0.3">
      <c r="A236" s="1">
        <v>41676</v>
      </c>
      <c r="B236" s="2" t="s">
        <v>282</v>
      </c>
      <c r="C236" s="2" t="s">
        <v>21</v>
      </c>
      <c r="D236" s="2" t="s">
        <v>30</v>
      </c>
      <c r="E236" s="2" t="s">
        <v>31</v>
      </c>
      <c r="F236" s="2" t="s">
        <v>379</v>
      </c>
      <c r="G236" s="2">
        <v>239.97</v>
      </c>
      <c r="H236" s="2">
        <v>3</v>
      </c>
      <c r="I236" s="3">
        <v>67.19</v>
      </c>
    </row>
    <row r="237" spans="1:9" x14ac:dyDescent="0.3">
      <c r="A237" s="4">
        <v>41676</v>
      </c>
      <c r="B237" s="5" t="s">
        <v>282</v>
      </c>
      <c r="C237" s="5" t="s">
        <v>21</v>
      </c>
      <c r="D237" s="5" t="s">
        <v>2</v>
      </c>
      <c r="E237" s="5" t="s">
        <v>9</v>
      </c>
      <c r="F237" s="5" t="s">
        <v>380</v>
      </c>
      <c r="G237" s="5">
        <v>356.94</v>
      </c>
      <c r="H237" s="5">
        <v>2</v>
      </c>
      <c r="I237" s="6">
        <v>107.08</v>
      </c>
    </row>
    <row r="238" spans="1:9" x14ac:dyDescent="0.3">
      <c r="A238" s="1">
        <v>41704</v>
      </c>
      <c r="B238" s="2" t="s">
        <v>381</v>
      </c>
      <c r="C238" s="2" t="s">
        <v>62</v>
      </c>
      <c r="D238" s="2" t="s">
        <v>25</v>
      </c>
      <c r="E238" s="2" t="s">
        <v>86</v>
      </c>
      <c r="F238" s="2" t="s">
        <v>229</v>
      </c>
      <c r="G238" s="2">
        <v>515.88</v>
      </c>
      <c r="H238" s="2">
        <v>6</v>
      </c>
      <c r="I238" s="3">
        <v>113.49</v>
      </c>
    </row>
    <row r="239" spans="1:9" x14ac:dyDescent="0.3">
      <c r="A239" s="4">
        <v>41704</v>
      </c>
      <c r="B239" s="5" t="s">
        <v>382</v>
      </c>
      <c r="C239" s="5" t="s">
        <v>160</v>
      </c>
      <c r="D239" s="5" t="s">
        <v>2</v>
      </c>
      <c r="E239" s="5" t="s">
        <v>114</v>
      </c>
      <c r="F239" s="5" t="s">
        <v>383</v>
      </c>
      <c r="G239" s="5">
        <v>15.28</v>
      </c>
      <c r="H239" s="5">
        <v>2</v>
      </c>
      <c r="I239" s="6">
        <v>7.49</v>
      </c>
    </row>
    <row r="240" spans="1:9" x14ac:dyDescent="0.3">
      <c r="A240" s="1">
        <v>41704</v>
      </c>
      <c r="B240" s="2" t="s">
        <v>384</v>
      </c>
      <c r="C240" s="2" t="s">
        <v>6</v>
      </c>
      <c r="D240" s="2" t="s">
        <v>2</v>
      </c>
      <c r="E240" s="2" t="s">
        <v>7</v>
      </c>
      <c r="F240" s="2" t="s">
        <v>385</v>
      </c>
      <c r="G240" s="2">
        <v>15.94</v>
      </c>
      <c r="H240" s="2">
        <v>4</v>
      </c>
      <c r="I240" s="3">
        <v>5.18</v>
      </c>
    </row>
    <row r="241" spans="1:9" x14ac:dyDescent="0.3">
      <c r="A241" s="4">
        <v>41704</v>
      </c>
      <c r="B241" s="5" t="s">
        <v>384</v>
      </c>
      <c r="C241" s="5" t="s">
        <v>6</v>
      </c>
      <c r="D241" s="5" t="s">
        <v>25</v>
      </c>
      <c r="E241" s="5" t="s">
        <v>38</v>
      </c>
      <c r="F241" s="5" t="s">
        <v>386</v>
      </c>
      <c r="G241" s="5">
        <v>61.54</v>
      </c>
      <c r="H241" s="5">
        <v>7</v>
      </c>
      <c r="I241" s="6">
        <v>-40</v>
      </c>
    </row>
    <row r="242" spans="1:9" x14ac:dyDescent="0.3">
      <c r="A242" s="1">
        <v>41704</v>
      </c>
      <c r="B242" s="2" t="s">
        <v>384</v>
      </c>
      <c r="C242" s="2" t="s">
        <v>6</v>
      </c>
      <c r="D242" s="2" t="s">
        <v>2</v>
      </c>
      <c r="E242" s="2" t="s">
        <v>9</v>
      </c>
      <c r="F242" s="2" t="s">
        <v>387</v>
      </c>
      <c r="G242" s="2">
        <v>132.69999999999999</v>
      </c>
      <c r="H242" s="2">
        <v>3</v>
      </c>
      <c r="I242" s="3">
        <v>9.9499999999999993</v>
      </c>
    </row>
    <row r="243" spans="1:9" x14ac:dyDescent="0.3">
      <c r="A243" s="4">
        <v>41735</v>
      </c>
      <c r="B243" s="5" t="s">
        <v>388</v>
      </c>
      <c r="C243" s="5" t="s">
        <v>127</v>
      </c>
      <c r="D243" s="5" t="s">
        <v>2</v>
      </c>
      <c r="E243" s="5" t="s">
        <v>3</v>
      </c>
      <c r="F243" s="5" t="s">
        <v>315</v>
      </c>
      <c r="G243" s="5">
        <v>16.22</v>
      </c>
      <c r="H243" s="5">
        <v>2</v>
      </c>
      <c r="I243" s="6">
        <v>5.88</v>
      </c>
    </row>
    <row r="244" spans="1:9" x14ac:dyDescent="0.3">
      <c r="A244" s="1">
        <v>41735</v>
      </c>
      <c r="B244" s="2" t="s">
        <v>389</v>
      </c>
      <c r="C244" s="2" t="s">
        <v>80</v>
      </c>
      <c r="D244" s="2" t="s">
        <v>25</v>
      </c>
      <c r="E244" s="2" t="s">
        <v>38</v>
      </c>
      <c r="F244" s="2" t="s">
        <v>390</v>
      </c>
      <c r="G244" s="2">
        <v>56.96</v>
      </c>
      <c r="H244" s="2">
        <v>2</v>
      </c>
      <c r="I244" s="3">
        <v>21.08</v>
      </c>
    </row>
    <row r="245" spans="1:9" x14ac:dyDescent="0.3">
      <c r="A245" s="4">
        <v>41735</v>
      </c>
      <c r="B245" s="5" t="s">
        <v>389</v>
      </c>
      <c r="C245" s="5" t="s">
        <v>80</v>
      </c>
      <c r="D245" s="5" t="s">
        <v>2</v>
      </c>
      <c r="E245" s="5" t="s">
        <v>133</v>
      </c>
      <c r="F245" s="5" t="s">
        <v>391</v>
      </c>
      <c r="G245" s="5">
        <v>15.56</v>
      </c>
      <c r="H245" s="5">
        <v>4</v>
      </c>
      <c r="I245" s="6">
        <v>4.05</v>
      </c>
    </row>
    <row r="246" spans="1:9" x14ac:dyDescent="0.3">
      <c r="A246" s="1">
        <v>41735</v>
      </c>
      <c r="B246" s="2" t="s">
        <v>389</v>
      </c>
      <c r="C246" s="2" t="s">
        <v>80</v>
      </c>
      <c r="D246" s="2" t="s">
        <v>25</v>
      </c>
      <c r="E246" s="2" t="s">
        <v>129</v>
      </c>
      <c r="F246" s="2" t="s">
        <v>392</v>
      </c>
      <c r="G246" s="2">
        <v>353.57</v>
      </c>
      <c r="H246" s="2">
        <v>2</v>
      </c>
      <c r="I246" s="3">
        <v>-44.2</v>
      </c>
    </row>
    <row r="247" spans="1:9" x14ac:dyDescent="0.3">
      <c r="A247" s="4">
        <v>41735</v>
      </c>
      <c r="B247" s="5" t="s">
        <v>389</v>
      </c>
      <c r="C247" s="5" t="s">
        <v>80</v>
      </c>
      <c r="D247" s="5" t="s">
        <v>25</v>
      </c>
      <c r="E247" s="5" t="s">
        <v>38</v>
      </c>
      <c r="F247" s="5" t="s">
        <v>393</v>
      </c>
      <c r="G247" s="5">
        <v>13.96</v>
      </c>
      <c r="H247" s="5">
        <v>2</v>
      </c>
      <c r="I247" s="6">
        <v>6.7</v>
      </c>
    </row>
    <row r="248" spans="1:9" x14ac:dyDescent="0.3">
      <c r="A248" s="1">
        <v>41796</v>
      </c>
      <c r="B248" s="2" t="s">
        <v>394</v>
      </c>
      <c r="C248" s="2" t="s">
        <v>80</v>
      </c>
      <c r="D248" s="2" t="s">
        <v>2</v>
      </c>
      <c r="E248" s="2" t="s">
        <v>15</v>
      </c>
      <c r="F248" s="2" t="s">
        <v>395</v>
      </c>
      <c r="G248" s="2">
        <v>13.36</v>
      </c>
      <c r="H248" s="2">
        <v>2</v>
      </c>
      <c r="I248" s="3">
        <v>4.9400000000000004</v>
      </c>
    </row>
    <row r="249" spans="1:9" x14ac:dyDescent="0.3">
      <c r="A249" s="4">
        <v>41796</v>
      </c>
      <c r="B249" s="5" t="s">
        <v>396</v>
      </c>
      <c r="C249" s="5" t="s">
        <v>80</v>
      </c>
      <c r="D249" s="5" t="s">
        <v>2</v>
      </c>
      <c r="E249" s="5" t="s">
        <v>11</v>
      </c>
      <c r="F249" s="5" t="s">
        <v>397</v>
      </c>
      <c r="G249" s="5">
        <v>149.54</v>
      </c>
      <c r="H249" s="5">
        <v>9</v>
      </c>
      <c r="I249" s="6">
        <v>50.47</v>
      </c>
    </row>
    <row r="250" spans="1:9" x14ac:dyDescent="0.3">
      <c r="A250" s="1">
        <v>41796</v>
      </c>
      <c r="B250" s="2" t="s">
        <v>396</v>
      </c>
      <c r="C250" s="2" t="s">
        <v>80</v>
      </c>
      <c r="D250" s="2" t="s">
        <v>2</v>
      </c>
      <c r="E250" s="2" t="s">
        <v>144</v>
      </c>
      <c r="F250" s="2" t="s">
        <v>398</v>
      </c>
      <c r="G250" s="2">
        <v>17.14</v>
      </c>
      <c r="H250" s="2">
        <v>2</v>
      </c>
      <c r="I250" s="3">
        <v>4.46</v>
      </c>
    </row>
    <row r="251" spans="1:9" x14ac:dyDescent="0.3">
      <c r="A251" s="4">
        <v>41796</v>
      </c>
      <c r="B251" s="5" t="s">
        <v>396</v>
      </c>
      <c r="C251" s="5" t="s">
        <v>80</v>
      </c>
      <c r="D251" s="5" t="s">
        <v>25</v>
      </c>
      <c r="E251" s="5" t="s">
        <v>86</v>
      </c>
      <c r="F251" s="5" t="s">
        <v>399</v>
      </c>
      <c r="G251" s="5">
        <v>991.76</v>
      </c>
      <c r="H251" s="5">
        <v>3</v>
      </c>
      <c r="I251" s="6">
        <v>-347.12</v>
      </c>
    </row>
    <row r="252" spans="1:9" x14ac:dyDescent="0.3">
      <c r="A252" s="1">
        <v>41796</v>
      </c>
      <c r="B252" s="2" t="s">
        <v>400</v>
      </c>
      <c r="C252" s="2" t="s">
        <v>6</v>
      </c>
      <c r="D252" s="2" t="s">
        <v>2</v>
      </c>
      <c r="E252" s="2" t="s">
        <v>11</v>
      </c>
      <c r="F252" s="2" t="s">
        <v>241</v>
      </c>
      <c r="G252" s="2">
        <v>24.59</v>
      </c>
      <c r="H252" s="2">
        <v>3</v>
      </c>
      <c r="I252" s="3">
        <v>-38.11</v>
      </c>
    </row>
    <row r="253" spans="1:9" x14ac:dyDescent="0.3">
      <c r="A253" s="4">
        <v>41796</v>
      </c>
      <c r="B253" s="5" t="s">
        <v>400</v>
      </c>
      <c r="C253" s="5" t="s">
        <v>6</v>
      </c>
      <c r="D253" s="5" t="s">
        <v>2</v>
      </c>
      <c r="E253" s="5" t="s">
        <v>114</v>
      </c>
      <c r="F253" s="5" t="s">
        <v>401</v>
      </c>
      <c r="G253" s="5">
        <v>13.98</v>
      </c>
      <c r="H253" s="5">
        <v>2</v>
      </c>
      <c r="I253" s="6">
        <v>4.72</v>
      </c>
    </row>
    <row r="254" spans="1:9" x14ac:dyDescent="0.3">
      <c r="A254" s="1">
        <v>41796</v>
      </c>
      <c r="B254" s="2" t="s">
        <v>402</v>
      </c>
      <c r="C254" s="2" t="s">
        <v>1</v>
      </c>
      <c r="D254" s="2" t="s">
        <v>2</v>
      </c>
      <c r="E254" s="2" t="s">
        <v>7</v>
      </c>
      <c r="F254" s="2" t="s">
        <v>403</v>
      </c>
      <c r="G254" s="2">
        <v>100.24</v>
      </c>
      <c r="H254" s="2">
        <v>10</v>
      </c>
      <c r="I254" s="3">
        <v>33.83</v>
      </c>
    </row>
    <row r="255" spans="1:9" x14ac:dyDescent="0.3">
      <c r="A255" s="4">
        <v>41796</v>
      </c>
      <c r="B255" s="5" t="s">
        <v>282</v>
      </c>
      <c r="C255" s="5" t="s">
        <v>58</v>
      </c>
      <c r="D255" s="5" t="s">
        <v>2</v>
      </c>
      <c r="E255" s="5" t="s">
        <v>11</v>
      </c>
      <c r="F255" s="5" t="s">
        <v>404</v>
      </c>
      <c r="G255" s="5">
        <v>1.37</v>
      </c>
      <c r="H255" s="5">
        <v>1</v>
      </c>
      <c r="I255" s="6">
        <v>-0.91</v>
      </c>
    </row>
    <row r="256" spans="1:9" x14ac:dyDescent="0.3">
      <c r="A256" s="1">
        <v>41796</v>
      </c>
      <c r="B256" s="2" t="s">
        <v>282</v>
      </c>
      <c r="C256" s="2" t="s">
        <v>58</v>
      </c>
      <c r="D256" s="2" t="s">
        <v>2</v>
      </c>
      <c r="E256" s="2" t="s">
        <v>3</v>
      </c>
      <c r="F256" s="2" t="s">
        <v>405</v>
      </c>
      <c r="G256" s="2">
        <v>62.02</v>
      </c>
      <c r="H256" s="2">
        <v>2</v>
      </c>
      <c r="I256" s="3">
        <v>22.48</v>
      </c>
    </row>
    <row r="257" spans="1:9" x14ac:dyDescent="0.3">
      <c r="A257" s="4">
        <v>41826</v>
      </c>
      <c r="B257" s="5" t="s">
        <v>406</v>
      </c>
      <c r="C257" s="5" t="s">
        <v>6</v>
      </c>
      <c r="D257" s="5" t="s">
        <v>2</v>
      </c>
      <c r="E257" s="5" t="s">
        <v>11</v>
      </c>
      <c r="F257" s="5" t="s">
        <v>397</v>
      </c>
      <c r="G257" s="5">
        <v>12.46</v>
      </c>
      <c r="H257" s="5">
        <v>3</v>
      </c>
      <c r="I257" s="6">
        <v>-20.56</v>
      </c>
    </row>
    <row r="258" spans="1:9" x14ac:dyDescent="0.3">
      <c r="A258" s="1">
        <v>41826</v>
      </c>
      <c r="B258" s="2" t="s">
        <v>407</v>
      </c>
      <c r="C258" s="2" t="s">
        <v>6</v>
      </c>
      <c r="D258" s="2" t="s">
        <v>25</v>
      </c>
      <c r="E258" s="2" t="s">
        <v>86</v>
      </c>
      <c r="F258" s="2" t="s">
        <v>408</v>
      </c>
      <c r="G258" s="2">
        <v>268.94</v>
      </c>
      <c r="H258" s="2">
        <v>3</v>
      </c>
      <c r="I258" s="3">
        <v>-209.77</v>
      </c>
    </row>
    <row r="259" spans="1:9" x14ac:dyDescent="0.3">
      <c r="A259" s="4">
        <v>41857</v>
      </c>
      <c r="B259" s="5" t="s">
        <v>409</v>
      </c>
      <c r="C259" s="5" t="s">
        <v>62</v>
      </c>
      <c r="D259" s="5" t="s">
        <v>25</v>
      </c>
      <c r="E259" s="5" t="s">
        <v>26</v>
      </c>
      <c r="F259" s="5" t="s">
        <v>410</v>
      </c>
      <c r="G259" s="5">
        <v>585.54999999999995</v>
      </c>
      <c r="H259" s="5">
        <v>3</v>
      </c>
      <c r="I259" s="6">
        <v>73.19</v>
      </c>
    </row>
    <row r="260" spans="1:9" x14ac:dyDescent="0.3">
      <c r="A260" s="1">
        <v>41857</v>
      </c>
      <c r="B260" s="2" t="s">
        <v>192</v>
      </c>
      <c r="C260" s="2" t="s">
        <v>411</v>
      </c>
      <c r="D260" s="2" t="s">
        <v>25</v>
      </c>
      <c r="E260" s="2" t="s">
        <v>26</v>
      </c>
      <c r="F260" s="2" t="s">
        <v>412</v>
      </c>
      <c r="G260" s="2">
        <v>170.35</v>
      </c>
      <c r="H260" s="2">
        <v>3</v>
      </c>
      <c r="I260" s="3">
        <v>10.65</v>
      </c>
    </row>
    <row r="261" spans="1:9" x14ac:dyDescent="0.3">
      <c r="A261" s="4">
        <v>41857</v>
      </c>
      <c r="B261" s="5" t="s">
        <v>413</v>
      </c>
      <c r="C261" s="5" t="s">
        <v>80</v>
      </c>
      <c r="D261" s="5" t="s">
        <v>2</v>
      </c>
      <c r="E261" s="5" t="s">
        <v>11</v>
      </c>
      <c r="F261" s="5" t="s">
        <v>414</v>
      </c>
      <c r="G261" s="5">
        <v>68.48</v>
      </c>
      <c r="H261" s="5">
        <v>2</v>
      </c>
      <c r="I261" s="6">
        <v>25.68</v>
      </c>
    </row>
    <row r="262" spans="1:9" x14ac:dyDescent="0.3">
      <c r="A262" s="1">
        <v>41857</v>
      </c>
      <c r="B262" s="2" t="s">
        <v>413</v>
      </c>
      <c r="C262" s="2" t="s">
        <v>80</v>
      </c>
      <c r="D262" s="2" t="s">
        <v>2</v>
      </c>
      <c r="E262" s="2" t="s">
        <v>9</v>
      </c>
      <c r="F262" s="2" t="s">
        <v>415</v>
      </c>
      <c r="G262" s="2">
        <v>1676.88</v>
      </c>
      <c r="H262" s="2">
        <v>6</v>
      </c>
      <c r="I262" s="3">
        <v>83.84</v>
      </c>
    </row>
    <row r="263" spans="1:9" x14ac:dyDescent="0.3">
      <c r="A263" s="4">
        <v>41888</v>
      </c>
      <c r="B263" s="5" t="s">
        <v>416</v>
      </c>
      <c r="C263" s="5" t="s">
        <v>18</v>
      </c>
      <c r="D263" s="5" t="s">
        <v>25</v>
      </c>
      <c r="E263" s="5" t="s">
        <v>38</v>
      </c>
      <c r="F263" s="5" t="s">
        <v>417</v>
      </c>
      <c r="G263" s="5">
        <v>48.86</v>
      </c>
      <c r="H263" s="5">
        <v>7</v>
      </c>
      <c r="I263" s="6">
        <v>14.17</v>
      </c>
    </row>
    <row r="264" spans="1:9" x14ac:dyDescent="0.3">
      <c r="A264" s="1">
        <v>41888</v>
      </c>
      <c r="B264" s="2" t="s">
        <v>416</v>
      </c>
      <c r="C264" s="2" t="s">
        <v>18</v>
      </c>
      <c r="D264" s="2" t="s">
        <v>2</v>
      </c>
      <c r="E264" s="2" t="s">
        <v>15</v>
      </c>
      <c r="F264" s="2" t="s">
        <v>418</v>
      </c>
      <c r="G264" s="2">
        <v>7.28</v>
      </c>
      <c r="H264" s="2">
        <v>4</v>
      </c>
      <c r="I264" s="3">
        <v>1.97</v>
      </c>
    </row>
    <row r="265" spans="1:9" x14ac:dyDescent="0.3">
      <c r="A265" s="4">
        <v>41888</v>
      </c>
      <c r="B265" s="5" t="s">
        <v>416</v>
      </c>
      <c r="C265" s="5" t="s">
        <v>18</v>
      </c>
      <c r="D265" s="5" t="s">
        <v>30</v>
      </c>
      <c r="E265" s="5" t="s">
        <v>31</v>
      </c>
      <c r="F265" s="5" t="s">
        <v>419</v>
      </c>
      <c r="G265" s="5">
        <v>907.15</v>
      </c>
      <c r="H265" s="5">
        <v>6</v>
      </c>
      <c r="I265" s="6">
        <v>90.72</v>
      </c>
    </row>
    <row r="266" spans="1:9" x14ac:dyDescent="0.3">
      <c r="A266" s="1">
        <v>41888</v>
      </c>
      <c r="B266" s="2" t="s">
        <v>416</v>
      </c>
      <c r="C266" s="2" t="s">
        <v>18</v>
      </c>
      <c r="D266" s="2" t="s">
        <v>2</v>
      </c>
      <c r="E266" s="2" t="s">
        <v>11</v>
      </c>
      <c r="F266" s="2" t="s">
        <v>420</v>
      </c>
      <c r="G266" s="2">
        <v>18.5</v>
      </c>
      <c r="H266" s="2">
        <v>3</v>
      </c>
      <c r="I266" s="3">
        <v>5.78</v>
      </c>
    </row>
    <row r="267" spans="1:9" x14ac:dyDescent="0.3">
      <c r="A267" s="4">
        <v>41888</v>
      </c>
      <c r="B267" s="5" t="s">
        <v>416</v>
      </c>
      <c r="C267" s="5" t="s">
        <v>18</v>
      </c>
      <c r="D267" s="5" t="s">
        <v>2</v>
      </c>
      <c r="E267" s="5" t="s">
        <v>133</v>
      </c>
      <c r="F267" s="5" t="s">
        <v>421</v>
      </c>
      <c r="G267" s="5">
        <v>114.9</v>
      </c>
      <c r="H267" s="5">
        <v>5</v>
      </c>
      <c r="I267" s="6">
        <v>34.47</v>
      </c>
    </row>
    <row r="268" spans="1:9" x14ac:dyDescent="0.3">
      <c r="A268" s="1">
        <v>41888</v>
      </c>
      <c r="B268" s="2" t="s">
        <v>416</v>
      </c>
      <c r="C268" s="2" t="s">
        <v>18</v>
      </c>
      <c r="D268" s="2" t="s">
        <v>25</v>
      </c>
      <c r="E268" s="2" t="s">
        <v>86</v>
      </c>
      <c r="F268" s="2" t="s">
        <v>422</v>
      </c>
      <c r="G268" s="2">
        <v>1706.18</v>
      </c>
      <c r="H268" s="2">
        <v>9</v>
      </c>
      <c r="I268" s="3">
        <v>85.31</v>
      </c>
    </row>
    <row r="269" spans="1:9" x14ac:dyDescent="0.3">
      <c r="A269" s="4">
        <v>41888</v>
      </c>
      <c r="B269" s="5" t="s">
        <v>416</v>
      </c>
      <c r="C269" s="5" t="s">
        <v>18</v>
      </c>
      <c r="D269" s="5" t="s">
        <v>30</v>
      </c>
      <c r="E269" s="5" t="s">
        <v>31</v>
      </c>
      <c r="F269" s="5" t="s">
        <v>423</v>
      </c>
      <c r="G269" s="5">
        <v>911.42</v>
      </c>
      <c r="H269" s="5">
        <v>4</v>
      </c>
      <c r="I269" s="6">
        <v>68.36</v>
      </c>
    </row>
    <row r="270" spans="1:9" x14ac:dyDescent="0.3">
      <c r="A270" s="1">
        <v>41888</v>
      </c>
      <c r="B270" s="2" t="s">
        <v>424</v>
      </c>
      <c r="C270" s="2" t="s">
        <v>1</v>
      </c>
      <c r="D270" s="2" t="s">
        <v>30</v>
      </c>
      <c r="E270" s="2" t="s">
        <v>31</v>
      </c>
      <c r="F270" s="2" t="s">
        <v>425</v>
      </c>
      <c r="G270" s="2">
        <v>7.99</v>
      </c>
      <c r="H270" s="2">
        <v>1</v>
      </c>
      <c r="I270" s="3">
        <v>0.6</v>
      </c>
    </row>
    <row r="271" spans="1:9" x14ac:dyDescent="0.3">
      <c r="A271" s="4">
        <v>41888</v>
      </c>
      <c r="B271" s="5" t="s">
        <v>424</v>
      </c>
      <c r="C271" s="5" t="s">
        <v>1</v>
      </c>
      <c r="D271" s="5" t="s">
        <v>30</v>
      </c>
      <c r="E271" s="5" t="s">
        <v>43</v>
      </c>
      <c r="F271" s="5" t="s">
        <v>426</v>
      </c>
      <c r="G271" s="5">
        <v>63.98</v>
      </c>
      <c r="H271" s="5">
        <v>2</v>
      </c>
      <c r="I271" s="6">
        <v>10.4</v>
      </c>
    </row>
    <row r="272" spans="1:9" x14ac:dyDescent="0.3">
      <c r="A272" s="1">
        <v>41888</v>
      </c>
      <c r="B272" s="2" t="s">
        <v>424</v>
      </c>
      <c r="C272" s="2" t="s">
        <v>1</v>
      </c>
      <c r="D272" s="2" t="s">
        <v>2</v>
      </c>
      <c r="E272" s="2" t="s">
        <v>15</v>
      </c>
      <c r="F272" s="2" t="s">
        <v>427</v>
      </c>
      <c r="G272" s="2">
        <v>70.37</v>
      </c>
      <c r="H272" s="2">
        <v>2</v>
      </c>
      <c r="I272" s="3">
        <v>6.16</v>
      </c>
    </row>
    <row r="273" spans="1:9" x14ac:dyDescent="0.3">
      <c r="A273" s="4">
        <v>41888</v>
      </c>
      <c r="B273" s="5" t="s">
        <v>428</v>
      </c>
      <c r="C273" s="5" t="s">
        <v>18</v>
      </c>
      <c r="D273" s="5" t="s">
        <v>2</v>
      </c>
      <c r="E273" s="5" t="s">
        <v>144</v>
      </c>
      <c r="F273" s="5" t="s">
        <v>429</v>
      </c>
      <c r="G273" s="5">
        <v>7.36</v>
      </c>
      <c r="H273" s="5">
        <v>2</v>
      </c>
      <c r="I273" s="6">
        <v>0.15</v>
      </c>
    </row>
    <row r="274" spans="1:9" x14ac:dyDescent="0.3">
      <c r="A274" s="1">
        <v>41888</v>
      </c>
      <c r="B274" s="2" t="s">
        <v>428</v>
      </c>
      <c r="C274" s="2" t="s">
        <v>18</v>
      </c>
      <c r="D274" s="2" t="s">
        <v>2</v>
      </c>
      <c r="E274" s="2" t="s">
        <v>15</v>
      </c>
      <c r="F274" s="2" t="s">
        <v>430</v>
      </c>
      <c r="G274" s="2">
        <v>23.1</v>
      </c>
      <c r="H274" s="2">
        <v>2</v>
      </c>
      <c r="I274" s="3">
        <v>10.63</v>
      </c>
    </row>
    <row r="275" spans="1:9" x14ac:dyDescent="0.3">
      <c r="A275" s="4">
        <v>41888</v>
      </c>
      <c r="B275" s="5" t="s">
        <v>431</v>
      </c>
      <c r="C275" s="5" t="s">
        <v>46</v>
      </c>
      <c r="D275" s="5" t="s">
        <v>25</v>
      </c>
      <c r="E275" s="5" t="s">
        <v>86</v>
      </c>
      <c r="F275" s="5" t="s">
        <v>432</v>
      </c>
      <c r="G275" s="5">
        <v>1441.3</v>
      </c>
      <c r="H275" s="5">
        <v>7</v>
      </c>
      <c r="I275" s="6">
        <v>245.02</v>
      </c>
    </row>
    <row r="276" spans="1:9" x14ac:dyDescent="0.3">
      <c r="A276" s="1">
        <v>41888</v>
      </c>
      <c r="B276" s="2" t="s">
        <v>433</v>
      </c>
      <c r="C276" s="2" t="s">
        <v>83</v>
      </c>
      <c r="D276" s="2" t="s">
        <v>2</v>
      </c>
      <c r="E276" s="2" t="s">
        <v>15</v>
      </c>
      <c r="F276" s="2" t="s">
        <v>434</v>
      </c>
      <c r="G276" s="2">
        <v>18.059999999999999</v>
      </c>
      <c r="H276" s="2">
        <v>7</v>
      </c>
      <c r="I276" s="3">
        <v>4.7</v>
      </c>
    </row>
    <row r="277" spans="1:9" x14ac:dyDescent="0.3">
      <c r="A277" s="4">
        <v>41888</v>
      </c>
      <c r="B277" s="5" t="s">
        <v>433</v>
      </c>
      <c r="C277" s="5" t="s">
        <v>83</v>
      </c>
      <c r="D277" s="5" t="s">
        <v>2</v>
      </c>
      <c r="E277" s="5" t="s">
        <v>3</v>
      </c>
      <c r="F277" s="5" t="s">
        <v>435</v>
      </c>
      <c r="G277" s="5">
        <v>79.14</v>
      </c>
      <c r="H277" s="5">
        <v>3</v>
      </c>
      <c r="I277" s="6">
        <v>36.4</v>
      </c>
    </row>
    <row r="278" spans="1:9" x14ac:dyDescent="0.3">
      <c r="A278" s="1">
        <v>41888</v>
      </c>
      <c r="B278" s="2" t="s">
        <v>433</v>
      </c>
      <c r="C278" s="2" t="s">
        <v>83</v>
      </c>
      <c r="D278" s="2" t="s">
        <v>25</v>
      </c>
      <c r="E278" s="2" t="s">
        <v>38</v>
      </c>
      <c r="F278" s="2" t="s">
        <v>436</v>
      </c>
      <c r="G278" s="2">
        <v>37.4</v>
      </c>
      <c r="H278" s="2">
        <v>2</v>
      </c>
      <c r="I278" s="3">
        <v>14.21</v>
      </c>
    </row>
    <row r="279" spans="1:9" x14ac:dyDescent="0.3">
      <c r="A279" s="4">
        <v>41918</v>
      </c>
      <c r="B279" s="5" t="s">
        <v>437</v>
      </c>
      <c r="C279" s="5" t="s">
        <v>160</v>
      </c>
      <c r="D279" s="5" t="s">
        <v>2</v>
      </c>
      <c r="E279" s="5" t="s">
        <v>7</v>
      </c>
      <c r="F279" s="5" t="s">
        <v>438</v>
      </c>
      <c r="G279" s="5">
        <v>491.55</v>
      </c>
      <c r="H279" s="5">
        <v>5</v>
      </c>
      <c r="I279" s="6">
        <v>240.86</v>
      </c>
    </row>
    <row r="280" spans="1:9" x14ac:dyDescent="0.3">
      <c r="A280" s="1">
        <v>41646</v>
      </c>
      <c r="B280" s="2" t="s">
        <v>439</v>
      </c>
      <c r="C280" s="2" t="s">
        <v>62</v>
      </c>
      <c r="D280" s="2" t="s">
        <v>2</v>
      </c>
      <c r="E280" s="2" t="s">
        <v>11</v>
      </c>
      <c r="F280" s="2" t="s">
        <v>440</v>
      </c>
      <c r="G280" s="2">
        <v>19.920000000000002</v>
      </c>
      <c r="H280" s="2">
        <v>5</v>
      </c>
      <c r="I280" s="3">
        <v>6.97</v>
      </c>
    </row>
    <row r="281" spans="1:9" x14ac:dyDescent="0.3">
      <c r="A281" s="4">
        <v>41646</v>
      </c>
      <c r="B281" s="5" t="s">
        <v>441</v>
      </c>
      <c r="C281" s="5" t="s">
        <v>58</v>
      </c>
      <c r="D281" s="5" t="s">
        <v>30</v>
      </c>
      <c r="E281" s="5" t="s">
        <v>31</v>
      </c>
      <c r="F281" s="5" t="s">
        <v>442</v>
      </c>
      <c r="G281" s="5">
        <v>575.91999999999996</v>
      </c>
      <c r="H281" s="5">
        <v>2</v>
      </c>
      <c r="I281" s="6">
        <v>71.989999999999995</v>
      </c>
    </row>
    <row r="282" spans="1:9" x14ac:dyDescent="0.3">
      <c r="A282" s="1">
        <v>41646</v>
      </c>
      <c r="B282" s="2" t="s">
        <v>441</v>
      </c>
      <c r="C282" s="2" t="s">
        <v>58</v>
      </c>
      <c r="D282" s="2" t="s">
        <v>2</v>
      </c>
      <c r="E282" s="2" t="s">
        <v>11</v>
      </c>
      <c r="F282" s="2" t="s">
        <v>443</v>
      </c>
      <c r="G282" s="2">
        <v>5.18</v>
      </c>
      <c r="H282" s="2">
        <v>6</v>
      </c>
      <c r="I282" s="3">
        <v>-3.63</v>
      </c>
    </row>
    <row r="283" spans="1:9" x14ac:dyDescent="0.3">
      <c r="A283" s="4">
        <v>41677</v>
      </c>
      <c r="B283" s="5" t="s">
        <v>444</v>
      </c>
      <c r="C283" s="5" t="s">
        <v>77</v>
      </c>
      <c r="D283" s="5" t="s">
        <v>30</v>
      </c>
      <c r="E283" s="5" t="s">
        <v>31</v>
      </c>
      <c r="F283" s="5" t="s">
        <v>445</v>
      </c>
      <c r="G283" s="5">
        <v>73.98</v>
      </c>
      <c r="H283" s="5">
        <v>2</v>
      </c>
      <c r="I283" s="6">
        <v>19.97</v>
      </c>
    </row>
    <row r="284" spans="1:9" x14ac:dyDescent="0.3">
      <c r="A284" s="1">
        <v>41677</v>
      </c>
      <c r="B284" s="2" t="s">
        <v>444</v>
      </c>
      <c r="C284" s="2" t="s">
        <v>77</v>
      </c>
      <c r="D284" s="2" t="s">
        <v>2</v>
      </c>
      <c r="E284" s="2" t="s">
        <v>15</v>
      </c>
      <c r="F284" s="2" t="s">
        <v>338</v>
      </c>
      <c r="G284" s="2">
        <v>5.58</v>
      </c>
      <c r="H284" s="2">
        <v>1</v>
      </c>
      <c r="I284" s="3">
        <v>2.1800000000000002</v>
      </c>
    </row>
    <row r="285" spans="1:9" x14ac:dyDescent="0.3">
      <c r="A285" s="4">
        <v>41736</v>
      </c>
      <c r="B285" s="5" t="s">
        <v>192</v>
      </c>
      <c r="C285" s="5" t="s">
        <v>163</v>
      </c>
      <c r="D285" s="5" t="s">
        <v>2</v>
      </c>
      <c r="E285" s="5" t="s">
        <v>3</v>
      </c>
      <c r="F285" s="5" t="s">
        <v>238</v>
      </c>
      <c r="G285" s="5">
        <v>177.54</v>
      </c>
      <c r="H285" s="5">
        <v>4</v>
      </c>
      <c r="I285" s="6">
        <v>62.14</v>
      </c>
    </row>
    <row r="286" spans="1:9" x14ac:dyDescent="0.3">
      <c r="A286" s="1">
        <v>41736</v>
      </c>
      <c r="B286" s="2" t="s">
        <v>192</v>
      </c>
      <c r="C286" s="2" t="s">
        <v>163</v>
      </c>
      <c r="D286" s="2" t="s">
        <v>2</v>
      </c>
      <c r="E286" s="2" t="s">
        <v>133</v>
      </c>
      <c r="F286" s="2" t="s">
        <v>446</v>
      </c>
      <c r="G286" s="2">
        <v>32.43</v>
      </c>
      <c r="H286" s="2">
        <v>2</v>
      </c>
      <c r="I286" s="3">
        <v>3.24</v>
      </c>
    </row>
    <row r="287" spans="1:9" x14ac:dyDescent="0.3">
      <c r="A287" s="4">
        <v>41736</v>
      </c>
      <c r="B287" s="5" t="s">
        <v>447</v>
      </c>
      <c r="C287" s="5" t="s">
        <v>46</v>
      </c>
      <c r="D287" s="5" t="s">
        <v>2</v>
      </c>
      <c r="E287" s="5" t="s">
        <v>3</v>
      </c>
      <c r="F287" s="5" t="s">
        <v>448</v>
      </c>
      <c r="G287" s="5">
        <v>21.84</v>
      </c>
      <c r="H287" s="5">
        <v>3</v>
      </c>
      <c r="I287" s="6">
        <v>10.92</v>
      </c>
    </row>
    <row r="288" spans="1:9" x14ac:dyDescent="0.3">
      <c r="A288" s="1">
        <v>41736</v>
      </c>
      <c r="B288" s="2" t="s">
        <v>447</v>
      </c>
      <c r="C288" s="2" t="s">
        <v>46</v>
      </c>
      <c r="D288" s="2" t="s">
        <v>2</v>
      </c>
      <c r="E288" s="2" t="s">
        <v>11</v>
      </c>
      <c r="F288" s="2" t="s">
        <v>183</v>
      </c>
      <c r="G288" s="2">
        <v>15.6</v>
      </c>
      <c r="H288" s="2">
        <v>5</v>
      </c>
      <c r="I288" s="3">
        <v>7.64</v>
      </c>
    </row>
    <row r="289" spans="1:9" x14ac:dyDescent="0.3">
      <c r="A289" s="4">
        <v>41766</v>
      </c>
      <c r="B289" s="5" t="s">
        <v>449</v>
      </c>
      <c r="C289" s="5" t="s">
        <v>450</v>
      </c>
      <c r="D289" s="5" t="s">
        <v>30</v>
      </c>
      <c r="E289" s="5" t="s">
        <v>43</v>
      </c>
      <c r="F289" s="5" t="s">
        <v>451</v>
      </c>
      <c r="G289" s="5">
        <v>479.97</v>
      </c>
      <c r="H289" s="5">
        <v>3</v>
      </c>
      <c r="I289" s="6">
        <v>163.19</v>
      </c>
    </row>
    <row r="290" spans="1:9" x14ac:dyDescent="0.3">
      <c r="A290" s="1">
        <v>41766</v>
      </c>
      <c r="B290" s="2" t="s">
        <v>449</v>
      </c>
      <c r="C290" s="2" t="s">
        <v>450</v>
      </c>
      <c r="D290" s="2" t="s">
        <v>2</v>
      </c>
      <c r="E290" s="2" t="s">
        <v>7</v>
      </c>
      <c r="F290" s="2" t="s">
        <v>452</v>
      </c>
      <c r="G290" s="2">
        <v>14.62</v>
      </c>
      <c r="H290" s="2">
        <v>2</v>
      </c>
      <c r="I290" s="3">
        <v>6.87</v>
      </c>
    </row>
    <row r="291" spans="1:9" x14ac:dyDescent="0.3">
      <c r="A291" s="4">
        <v>41766</v>
      </c>
      <c r="B291" s="5" t="s">
        <v>449</v>
      </c>
      <c r="C291" s="5" t="s">
        <v>450</v>
      </c>
      <c r="D291" s="5" t="s">
        <v>2</v>
      </c>
      <c r="E291" s="5" t="s">
        <v>3</v>
      </c>
      <c r="F291" s="5" t="s">
        <v>453</v>
      </c>
      <c r="G291" s="5">
        <v>19.440000000000001</v>
      </c>
      <c r="H291" s="5">
        <v>3</v>
      </c>
      <c r="I291" s="6">
        <v>9.33</v>
      </c>
    </row>
    <row r="292" spans="1:9" x14ac:dyDescent="0.3">
      <c r="A292" s="1">
        <v>41766</v>
      </c>
      <c r="B292" s="2" t="s">
        <v>454</v>
      </c>
      <c r="C292" s="2" t="s">
        <v>1</v>
      </c>
      <c r="D292" s="2" t="s">
        <v>2</v>
      </c>
      <c r="E292" s="2" t="s">
        <v>9</v>
      </c>
      <c r="F292" s="2" t="s">
        <v>455</v>
      </c>
      <c r="G292" s="2">
        <v>220.78</v>
      </c>
      <c r="H292" s="2">
        <v>3</v>
      </c>
      <c r="I292" s="3">
        <v>-44.16</v>
      </c>
    </row>
    <row r="293" spans="1:9" x14ac:dyDescent="0.3">
      <c r="A293" s="4">
        <v>41766</v>
      </c>
      <c r="B293" s="5" t="s">
        <v>454</v>
      </c>
      <c r="C293" s="5" t="s">
        <v>1</v>
      </c>
      <c r="D293" s="5" t="s">
        <v>2</v>
      </c>
      <c r="E293" s="5" t="s">
        <v>9</v>
      </c>
      <c r="F293" s="5" t="s">
        <v>456</v>
      </c>
      <c r="G293" s="5">
        <v>281.42</v>
      </c>
      <c r="H293" s="5">
        <v>11</v>
      </c>
      <c r="I293" s="6">
        <v>-35.18</v>
      </c>
    </row>
    <row r="294" spans="1:9" x14ac:dyDescent="0.3">
      <c r="A294" s="1">
        <v>41766</v>
      </c>
      <c r="B294" s="2" t="s">
        <v>457</v>
      </c>
      <c r="C294" s="2" t="s">
        <v>18</v>
      </c>
      <c r="D294" s="2" t="s">
        <v>2</v>
      </c>
      <c r="E294" s="2" t="s">
        <v>11</v>
      </c>
      <c r="F294" s="2" t="s">
        <v>458</v>
      </c>
      <c r="G294" s="2">
        <v>180.96</v>
      </c>
      <c r="H294" s="2">
        <v>6</v>
      </c>
      <c r="I294" s="3">
        <v>67.86</v>
      </c>
    </row>
    <row r="295" spans="1:9" x14ac:dyDescent="0.3">
      <c r="A295" s="4">
        <v>41766</v>
      </c>
      <c r="B295" s="5" t="s">
        <v>459</v>
      </c>
      <c r="C295" s="5" t="s">
        <v>411</v>
      </c>
      <c r="D295" s="5" t="s">
        <v>2</v>
      </c>
      <c r="E295" s="5" t="s">
        <v>15</v>
      </c>
      <c r="F295" s="5" t="s">
        <v>418</v>
      </c>
      <c r="G295" s="5">
        <v>4.37</v>
      </c>
      <c r="H295" s="5">
        <v>3</v>
      </c>
      <c r="I295" s="6">
        <v>0.38</v>
      </c>
    </row>
    <row r="296" spans="1:9" x14ac:dyDescent="0.3">
      <c r="A296" s="1">
        <v>41766</v>
      </c>
      <c r="B296" s="2" t="s">
        <v>460</v>
      </c>
      <c r="C296" s="2" t="s">
        <v>58</v>
      </c>
      <c r="D296" s="2" t="s">
        <v>25</v>
      </c>
      <c r="E296" s="2" t="s">
        <v>38</v>
      </c>
      <c r="F296" s="2" t="s">
        <v>461</v>
      </c>
      <c r="G296" s="2">
        <v>19.52</v>
      </c>
      <c r="H296" s="2">
        <v>2</v>
      </c>
      <c r="I296" s="3">
        <v>5.37</v>
      </c>
    </row>
    <row r="297" spans="1:9" x14ac:dyDescent="0.3">
      <c r="A297" s="4">
        <v>41766</v>
      </c>
      <c r="B297" s="5" t="s">
        <v>460</v>
      </c>
      <c r="C297" s="5" t="s">
        <v>58</v>
      </c>
      <c r="D297" s="5" t="s">
        <v>2</v>
      </c>
      <c r="E297" s="5" t="s">
        <v>11</v>
      </c>
      <c r="F297" s="5" t="s">
        <v>462</v>
      </c>
      <c r="G297" s="5">
        <v>9.81</v>
      </c>
      <c r="H297" s="5">
        <v>5</v>
      </c>
      <c r="I297" s="6">
        <v>-6.87</v>
      </c>
    </row>
    <row r="298" spans="1:9" x14ac:dyDescent="0.3">
      <c r="A298" s="1">
        <v>41766</v>
      </c>
      <c r="B298" s="2" t="s">
        <v>460</v>
      </c>
      <c r="C298" s="2" t="s">
        <v>58</v>
      </c>
      <c r="D298" s="2" t="s">
        <v>25</v>
      </c>
      <c r="E298" s="2" t="s">
        <v>38</v>
      </c>
      <c r="F298" s="2" t="s">
        <v>191</v>
      </c>
      <c r="G298" s="2">
        <v>213.22</v>
      </c>
      <c r="H298" s="2">
        <v>3</v>
      </c>
      <c r="I298" s="3">
        <v>15.99</v>
      </c>
    </row>
    <row r="299" spans="1:9" x14ac:dyDescent="0.3">
      <c r="A299" s="4">
        <v>41797</v>
      </c>
      <c r="B299" s="5" t="s">
        <v>463</v>
      </c>
      <c r="C299" s="5" t="s">
        <v>80</v>
      </c>
      <c r="D299" s="5" t="s">
        <v>30</v>
      </c>
      <c r="E299" s="5" t="s">
        <v>290</v>
      </c>
      <c r="F299" s="5" t="s">
        <v>464</v>
      </c>
      <c r="G299" s="5">
        <v>559.99</v>
      </c>
      <c r="H299" s="5">
        <v>1</v>
      </c>
      <c r="I299" s="6">
        <v>175</v>
      </c>
    </row>
    <row r="300" spans="1:9" x14ac:dyDescent="0.3">
      <c r="A300" s="1">
        <v>41797</v>
      </c>
      <c r="B300" s="2" t="s">
        <v>465</v>
      </c>
      <c r="C300" s="2" t="s">
        <v>18</v>
      </c>
      <c r="D300" s="2" t="s">
        <v>25</v>
      </c>
      <c r="E300" s="2" t="s">
        <v>26</v>
      </c>
      <c r="F300" s="2" t="s">
        <v>466</v>
      </c>
      <c r="G300" s="2">
        <v>478.48</v>
      </c>
      <c r="H300" s="2">
        <v>2</v>
      </c>
      <c r="I300" s="3">
        <v>47.85</v>
      </c>
    </row>
    <row r="301" spans="1:9" x14ac:dyDescent="0.3">
      <c r="A301" s="4">
        <v>41827</v>
      </c>
      <c r="B301" s="5" t="s">
        <v>467</v>
      </c>
      <c r="C301" s="5" t="s">
        <v>14</v>
      </c>
      <c r="D301" s="5" t="s">
        <v>25</v>
      </c>
      <c r="E301" s="5" t="s">
        <v>26</v>
      </c>
      <c r="F301" s="5" t="s">
        <v>468</v>
      </c>
      <c r="G301" s="5">
        <v>172.19</v>
      </c>
      <c r="H301" s="5">
        <v>2</v>
      </c>
      <c r="I301" s="6">
        <v>-46.74</v>
      </c>
    </row>
    <row r="302" spans="1:9" x14ac:dyDescent="0.3">
      <c r="A302" s="1">
        <v>41827</v>
      </c>
      <c r="B302" s="2" t="s">
        <v>467</v>
      </c>
      <c r="C302" s="2" t="s">
        <v>14</v>
      </c>
      <c r="D302" s="2" t="s">
        <v>25</v>
      </c>
      <c r="E302" s="2" t="s">
        <v>38</v>
      </c>
      <c r="F302" s="2" t="s">
        <v>469</v>
      </c>
      <c r="G302" s="2">
        <v>69.010000000000005</v>
      </c>
      <c r="H302" s="2">
        <v>2</v>
      </c>
      <c r="I302" s="3">
        <v>12.08</v>
      </c>
    </row>
    <row r="303" spans="1:9" x14ac:dyDescent="0.3">
      <c r="A303" s="4">
        <v>41858</v>
      </c>
      <c r="B303" s="5" t="s">
        <v>470</v>
      </c>
      <c r="C303" s="5" t="s">
        <v>80</v>
      </c>
      <c r="D303" s="5" t="s">
        <v>25</v>
      </c>
      <c r="E303" s="5" t="s">
        <v>26</v>
      </c>
      <c r="F303" s="5" t="s">
        <v>412</v>
      </c>
      <c r="G303" s="5">
        <v>63.88</v>
      </c>
      <c r="H303" s="5">
        <v>1</v>
      </c>
      <c r="I303" s="6">
        <v>10.65</v>
      </c>
    </row>
    <row r="304" spans="1:9" x14ac:dyDescent="0.3">
      <c r="A304" s="1">
        <v>41858</v>
      </c>
      <c r="B304" s="2" t="s">
        <v>471</v>
      </c>
      <c r="C304" s="2" t="s">
        <v>18</v>
      </c>
      <c r="D304" s="2" t="s">
        <v>25</v>
      </c>
      <c r="E304" s="2" t="s">
        <v>86</v>
      </c>
      <c r="F304" s="2" t="s">
        <v>87</v>
      </c>
      <c r="G304" s="2">
        <v>502.49</v>
      </c>
      <c r="H304" s="2">
        <v>3</v>
      </c>
      <c r="I304" s="3">
        <v>-87.94</v>
      </c>
    </row>
    <row r="305" spans="1:9" x14ac:dyDescent="0.3">
      <c r="A305" s="4">
        <v>41858</v>
      </c>
      <c r="B305" s="5" t="s">
        <v>471</v>
      </c>
      <c r="C305" s="5" t="s">
        <v>18</v>
      </c>
      <c r="D305" s="5" t="s">
        <v>2</v>
      </c>
      <c r="E305" s="5" t="s">
        <v>11</v>
      </c>
      <c r="F305" s="5" t="s">
        <v>472</v>
      </c>
      <c r="G305" s="5">
        <v>196.7</v>
      </c>
      <c r="H305" s="5">
        <v>6</v>
      </c>
      <c r="I305" s="6">
        <v>68.849999999999994</v>
      </c>
    </row>
    <row r="306" spans="1:9" x14ac:dyDescent="0.3">
      <c r="A306" s="1">
        <v>41889</v>
      </c>
      <c r="B306" s="2" t="s">
        <v>473</v>
      </c>
      <c r="C306" s="2" t="s">
        <v>1</v>
      </c>
      <c r="D306" s="2" t="s">
        <v>2</v>
      </c>
      <c r="E306" s="2" t="s">
        <v>3</v>
      </c>
      <c r="F306" s="2" t="s">
        <v>474</v>
      </c>
      <c r="G306" s="2">
        <v>10.37</v>
      </c>
      <c r="H306" s="2">
        <v>2</v>
      </c>
      <c r="I306" s="3">
        <v>3.63</v>
      </c>
    </row>
    <row r="307" spans="1:9" x14ac:dyDescent="0.3">
      <c r="A307" s="4">
        <v>41889</v>
      </c>
      <c r="B307" s="5" t="s">
        <v>473</v>
      </c>
      <c r="C307" s="5" t="s">
        <v>1</v>
      </c>
      <c r="D307" s="5" t="s">
        <v>2</v>
      </c>
      <c r="E307" s="5" t="s">
        <v>3</v>
      </c>
      <c r="F307" s="5" t="s">
        <v>475</v>
      </c>
      <c r="G307" s="5">
        <v>14.35</v>
      </c>
      <c r="H307" s="5">
        <v>3</v>
      </c>
      <c r="I307" s="6">
        <v>4.49</v>
      </c>
    </row>
    <row r="308" spans="1:9" x14ac:dyDescent="0.3">
      <c r="A308" s="1">
        <v>41889</v>
      </c>
      <c r="B308" s="2" t="s">
        <v>476</v>
      </c>
      <c r="C308" s="2" t="s">
        <v>18</v>
      </c>
      <c r="D308" s="2" t="s">
        <v>2</v>
      </c>
      <c r="E308" s="2" t="s">
        <v>7</v>
      </c>
      <c r="F308" s="2" t="s">
        <v>477</v>
      </c>
      <c r="G308" s="2">
        <v>2.88</v>
      </c>
      <c r="H308" s="2">
        <v>1</v>
      </c>
      <c r="I308" s="3">
        <v>1.41</v>
      </c>
    </row>
    <row r="309" spans="1:9" x14ac:dyDescent="0.3">
      <c r="A309" s="4">
        <v>41889</v>
      </c>
      <c r="B309" s="5" t="s">
        <v>476</v>
      </c>
      <c r="C309" s="5" t="s">
        <v>18</v>
      </c>
      <c r="D309" s="5" t="s">
        <v>2</v>
      </c>
      <c r="E309" s="5" t="s">
        <v>11</v>
      </c>
      <c r="F309" s="5" t="s">
        <v>88</v>
      </c>
      <c r="G309" s="5">
        <v>41.9</v>
      </c>
      <c r="H309" s="5">
        <v>6</v>
      </c>
      <c r="I309" s="6">
        <v>14.14</v>
      </c>
    </row>
    <row r="310" spans="1:9" x14ac:dyDescent="0.3">
      <c r="A310" s="1">
        <v>41889</v>
      </c>
      <c r="B310" s="2" t="s">
        <v>476</v>
      </c>
      <c r="C310" s="2" t="s">
        <v>18</v>
      </c>
      <c r="D310" s="2" t="s">
        <v>2</v>
      </c>
      <c r="E310" s="2" t="s">
        <v>9</v>
      </c>
      <c r="F310" s="2" t="s">
        <v>478</v>
      </c>
      <c r="G310" s="2">
        <v>23.92</v>
      </c>
      <c r="H310" s="2">
        <v>4</v>
      </c>
      <c r="I310" s="3">
        <v>4.07</v>
      </c>
    </row>
    <row r="311" spans="1:9" x14ac:dyDescent="0.3">
      <c r="A311" s="4">
        <v>41889</v>
      </c>
      <c r="B311" s="5" t="s">
        <v>479</v>
      </c>
      <c r="C311" s="5" t="s">
        <v>18</v>
      </c>
      <c r="D311" s="5" t="s">
        <v>2</v>
      </c>
      <c r="E311" s="5" t="s">
        <v>11</v>
      </c>
      <c r="F311" s="5" t="s">
        <v>480</v>
      </c>
      <c r="G311" s="5">
        <v>14.3</v>
      </c>
      <c r="H311" s="5">
        <v>6</v>
      </c>
      <c r="I311" s="6">
        <v>4.6500000000000004</v>
      </c>
    </row>
    <row r="312" spans="1:9" x14ac:dyDescent="0.3">
      <c r="A312" s="1">
        <v>41889</v>
      </c>
      <c r="B312" s="2" t="s">
        <v>479</v>
      </c>
      <c r="C312" s="2" t="s">
        <v>18</v>
      </c>
      <c r="D312" s="2" t="s">
        <v>25</v>
      </c>
      <c r="E312" s="2" t="s">
        <v>129</v>
      </c>
      <c r="F312" s="2" t="s">
        <v>481</v>
      </c>
      <c r="G312" s="2">
        <v>119.83</v>
      </c>
      <c r="H312" s="2">
        <v>1</v>
      </c>
      <c r="I312" s="3">
        <v>7.05</v>
      </c>
    </row>
    <row r="313" spans="1:9" x14ac:dyDescent="0.3">
      <c r="A313" s="4">
        <v>41889</v>
      </c>
      <c r="B313" s="5" t="s">
        <v>479</v>
      </c>
      <c r="C313" s="5" t="s">
        <v>18</v>
      </c>
      <c r="D313" s="5" t="s">
        <v>2</v>
      </c>
      <c r="E313" s="5" t="s">
        <v>15</v>
      </c>
      <c r="F313" s="5" t="s">
        <v>482</v>
      </c>
      <c r="G313" s="5">
        <v>5.56</v>
      </c>
      <c r="H313" s="5">
        <v>2</v>
      </c>
      <c r="I313" s="6">
        <v>2.2200000000000002</v>
      </c>
    </row>
    <row r="314" spans="1:9" x14ac:dyDescent="0.3">
      <c r="A314" s="1">
        <v>41889</v>
      </c>
      <c r="B314" s="2" t="s">
        <v>479</v>
      </c>
      <c r="C314" s="2" t="s">
        <v>18</v>
      </c>
      <c r="D314" s="2" t="s">
        <v>2</v>
      </c>
      <c r="E314" s="2" t="s">
        <v>3</v>
      </c>
      <c r="F314" s="2" t="s">
        <v>483</v>
      </c>
      <c r="G314" s="2">
        <v>32.4</v>
      </c>
      <c r="H314" s="2">
        <v>5</v>
      </c>
      <c r="I314" s="3">
        <v>15.55</v>
      </c>
    </row>
    <row r="315" spans="1:9" x14ac:dyDescent="0.3">
      <c r="A315" s="4">
        <v>41950</v>
      </c>
      <c r="B315" s="5" t="s">
        <v>484</v>
      </c>
      <c r="C315" s="5" t="s">
        <v>77</v>
      </c>
      <c r="D315" s="5" t="s">
        <v>2</v>
      </c>
      <c r="E315" s="5" t="s">
        <v>3</v>
      </c>
      <c r="F315" s="5" t="s">
        <v>315</v>
      </c>
      <c r="G315" s="5">
        <v>177.2</v>
      </c>
      <c r="H315" s="5">
        <v>5</v>
      </c>
      <c r="I315" s="6">
        <v>83.28</v>
      </c>
    </row>
    <row r="316" spans="1:9" x14ac:dyDescent="0.3">
      <c r="A316" s="1">
        <v>41950</v>
      </c>
      <c r="B316" s="2" t="s">
        <v>484</v>
      </c>
      <c r="C316" s="2" t="s">
        <v>77</v>
      </c>
      <c r="D316" s="2" t="s">
        <v>30</v>
      </c>
      <c r="E316" s="2" t="s">
        <v>31</v>
      </c>
      <c r="F316" s="2" t="s">
        <v>485</v>
      </c>
      <c r="G316" s="2">
        <v>197.97</v>
      </c>
      <c r="H316" s="2">
        <v>3</v>
      </c>
      <c r="I316" s="3">
        <v>57.41</v>
      </c>
    </row>
    <row r="317" spans="1:9" x14ac:dyDescent="0.3">
      <c r="A317" s="4">
        <v>41950</v>
      </c>
      <c r="B317" s="5" t="s">
        <v>484</v>
      </c>
      <c r="C317" s="5" t="s">
        <v>77</v>
      </c>
      <c r="D317" s="5" t="s">
        <v>25</v>
      </c>
      <c r="E317" s="5" t="s">
        <v>26</v>
      </c>
      <c r="F317" s="5" t="s">
        <v>486</v>
      </c>
      <c r="G317" s="5">
        <v>854.94</v>
      </c>
      <c r="H317" s="5">
        <v>3</v>
      </c>
      <c r="I317" s="6">
        <v>213.74</v>
      </c>
    </row>
    <row r="318" spans="1:9" x14ac:dyDescent="0.3">
      <c r="A318" s="1">
        <v>41950</v>
      </c>
      <c r="B318" s="2" t="s">
        <v>484</v>
      </c>
      <c r="C318" s="2" t="s">
        <v>77</v>
      </c>
      <c r="D318" s="2" t="s">
        <v>25</v>
      </c>
      <c r="E318" s="2" t="s">
        <v>38</v>
      </c>
      <c r="F318" s="2" t="s">
        <v>487</v>
      </c>
      <c r="G318" s="2">
        <v>124.11</v>
      </c>
      <c r="H318" s="2">
        <v>9</v>
      </c>
      <c r="I318" s="3">
        <v>52.13</v>
      </c>
    </row>
    <row r="319" spans="1:9" x14ac:dyDescent="0.3">
      <c r="A319" s="4">
        <v>41950</v>
      </c>
      <c r="B319" s="5" t="s">
        <v>484</v>
      </c>
      <c r="C319" s="5" t="s">
        <v>77</v>
      </c>
      <c r="D319" s="5" t="s">
        <v>2</v>
      </c>
      <c r="E319" s="5" t="s">
        <v>7</v>
      </c>
      <c r="F319" s="5" t="s">
        <v>488</v>
      </c>
      <c r="G319" s="5">
        <v>14.4</v>
      </c>
      <c r="H319" s="5">
        <v>5</v>
      </c>
      <c r="I319" s="6">
        <v>7.06</v>
      </c>
    </row>
    <row r="320" spans="1:9" x14ac:dyDescent="0.3">
      <c r="A320" s="1">
        <v>41950</v>
      </c>
      <c r="B320" s="2" t="s">
        <v>489</v>
      </c>
      <c r="C320" s="2" t="s">
        <v>1</v>
      </c>
      <c r="D320" s="2" t="s">
        <v>30</v>
      </c>
      <c r="E320" s="2" t="s">
        <v>31</v>
      </c>
      <c r="F320" s="2" t="s">
        <v>490</v>
      </c>
      <c r="G320" s="2">
        <v>575.97</v>
      </c>
      <c r="H320" s="2">
        <v>4</v>
      </c>
      <c r="I320" s="3">
        <v>43.2</v>
      </c>
    </row>
    <row r="321" spans="1:9" x14ac:dyDescent="0.3">
      <c r="A321" s="4">
        <v>41950</v>
      </c>
      <c r="B321" s="5" t="s">
        <v>489</v>
      </c>
      <c r="C321" s="5" t="s">
        <v>1</v>
      </c>
      <c r="D321" s="5" t="s">
        <v>2</v>
      </c>
      <c r="E321" s="5" t="s">
        <v>3</v>
      </c>
      <c r="F321" s="5" t="s">
        <v>491</v>
      </c>
      <c r="G321" s="5">
        <v>10.37</v>
      </c>
      <c r="H321" s="5">
        <v>2</v>
      </c>
      <c r="I321" s="6">
        <v>3.63</v>
      </c>
    </row>
    <row r="322" spans="1:9" x14ac:dyDescent="0.3">
      <c r="A322" s="1">
        <v>41950</v>
      </c>
      <c r="B322" s="2" t="s">
        <v>492</v>
      </c>
      <c r="C322" s="2" t="s">
        <v>80</v>
      </c>
      <c r="D322" s="2" t="s">
        <v>2</v>
      </c>
      <c r="E322" s="2" t="s">
        <v>3</v>
      </c>
      <c r="F322" s="2" t="s">
        <v>493</v>
      </c>
      <c r="G322" s="2">
        <v>49.12</v>
      </c>
      <c r="H322" s="2">
        <v>4</v>
      </c>
      <c r="I322" s="3">
        <v>23.09</v>
      </c>
    </row>
    <row r="323" spans="1:9" x14ac:dyDescent="0.3">
      <c r="A323" s="4">
        <v>41950</v>
      </c>
      <c r="B323" s="5" t="s">
        <v>492</v>
      </c>
      <c r="C323" s="5" t="s">
        <v>80</v>
      </c>
      <c r="D323" s="5" t="s">
        <v>2</v>
      </c>
      <c r="E323" s="5" t="s">
        <v>11</v>
      </c>
      <c r="F323" s="5" t="s">
        <v>494</v>
      </c>
      <c r="G323" s="5">
        <v>18.28</v>
      </c>
      <c r="H323" s="5">
        <v>5</v>
      </c>
      <c r="I323" s="6">
        <v>6.4</v>
      </c>
    </row>
    <row r="324" spans="1:9" x14ac:dyDescent="0.3">
      <c r="A324" s="1">
        <v>41950</v>
      </c>
      <c r="B324" s="2" t="s">
        <v>495</v>
      </c>
      <c r="C324" s="2" t="s">
        <v>80</v>
      </c>
      <c r="D324" s="2" t="s">
        <v>30</v>
      </c>
      <c r="E324" s="2" t="s">
        <v>31</v>
      </c>
      <c r="F324" s="2" t="s">
        <v>496</v>
      </c>
      <c r="G324" s="2">
        <v>164.85</v>
      </c>
      <c r="H324" s="2">
        <v>3</v>
      </c>
      <c r="I324" s="3">
        <v>47.81</v>
      </c>
    </row>
    <row r="325" spans="1:9" x14ac:dyDescent="0.3">
      <c r="A325" s="4">
        <v>41980</v>
      </c>
      <c r="B325" s="5" t="s">
        <v>497</v>
      </c>
      <c r="C325" s="5" t="s">
        <v>18</v>
      </c>
      <c r="D325" s="5" t="s">
        <v>2</v>
      </c>
      <c r="E325" s="5" t="s">
        <v>11</v>
      </c>
      <c r="F325" s="5" t="s">
        <v>498</v>
      </c>
      <c r="G325" s="5">
        <v>7.71</v>
      </c>
      <c r="H325" s="5">
        <v>2</v>
      </c>
      <c r="I325" s="6">
        <v>2.8</v>
      </c>
    </row>
    <row r="326" spans="1:9" x14ac:dyDescent="0.3">
      <c r="A326" s="1">
        <v>41980</v>
      </c>
      <c r="B326" s="2" t="s">
        <v>497</v>
      </c>
      <c r="C326" s="2" t="s">
        <v>18</v>
      </c>
      <c r="D326" s="2" t="s">
        <v>25</v>
      </c>
      <c r="E326" s="2" t="s">
        <v>86</v>
      </c>
      <c r="F326" s="2" t="s">
        <v>499</v>
      </c>
      <c r="G326" s="2">
        <v>698.35</v>
      </c>
      <c r="H326" s="2">
        <v>3</v>
      </c>
      <c r="I326" s="3">
        <v>-17.46</v>
      </c>
    </row>
    <row r="327" spans="1:9" x14ac:dyDescent="0.3">
      <c r="A327" s="4">
        <v>41980</v>
      </c>
      <c r="B327" s="5" t="s">
        <v>500</v>
      </c>
      <c r="C327" s="5" t="s">
        <v>18</v>
      </c>
      <c r="D327" s="5" t="s">
        <v>2</v>
      </c>
      <c r="E327" s="5" t="s">
        <v>9</v>
      </c>
      <c r="F327" s="5" t="s">
        <v>330</v>
      </c>
      <c r="G327" s="5">
        <v>249.75</v>
      </c>
      <c r="H327" s="5">
        <v>9</v>
      </c>
      <c r="I327" s="6">
        <v>44.96</v>
      </c>
    </row>
    <row r="328" spans="1:9" x14ac:dyDescent="0.3">
      <c r="A328" s="1">
        <v>41980</v>
      </c>
      <c r="B328" s="2" t="s">
        <v>500</v>
      </c>
      <c r="C328" s="2" t="s">
        <v>18</v>
      </c>
      <c r="D328" s="2" t="s">
        <v>30</v>
      </c>
      <c r="E328" s="2" t="s">
        <v>31</v>
      </c>
      <c r="F328" s="2" t="s">
        <v>501</v>
      </c>
      <c r="G328" s="2">
        <v>255.94</v>
      </c>
      <c r="H328" s="2">
        <v>8</v>
      </c>
      <c r="I328" s="3">
        <v>28.79</v>
      </c>
    </row>
    <row r="329" spans="1:9" x14ac:dyDescent="0.3">
      <c r="A329" s="4">
        <v>41980</v>
      </c>
      <c r="B329" s="5" t="s">
        <v>137</v>
      </c>
      <c r="C329" s="5" t="s">
        <v>62</v>
      </c>
      <c r="D329" s="5" t="s">
        <v>25</v>
      </c>
      <c r="E329" s="5" t="s">
        <v>26</v>
      </c>
      <c r="F329" s="5" t="s">
        <v>502</v>
      </c>
      <c r="G329" s="5">
        <v>123.14</v>
      </c>
      <c r="H329" s="5">
        <v>4</v>
      </c>
      <c r="I329" s="6">
        <v>13.85</v>
      </c>
    </row>
    <row r="330" spans="1:9" x14ac:dyDescent="0.3">
      <c r="A330" s="1">
        <v>41980</v>
      </c>
      <c r="B330" s="2" t="s">
        <v>137</v>
      </c>
      <c r="C330" s="2" t="s">
        <v>62</v>
      </c>
      <c r="D330" s="2" t="s">
        <v>2</v>
      </c>
      <c r="E330" s="2" t="s">
        <v>11</v>
      </c>
      <c r="F330" s="2" t="s">
        <v>503</v>
      </c>
      <c r="G330" s="2">
        <v>11.26</v>
      </c>
      <c r="H330" s="2">
        <v>4</v>
      </c>
      <c r="I330" s="3">
        <v>3.8</v>
      </c>
    </row>
    <row r="331" spans="1:9" x14ac:dyDescent="0.3">
      <c r="A331" s="4">
        <v>41980</v>
      </c>
      <c r="B331" s="5" t="s">
        <v>504</v>
      </c>
      <c r="C331" s="5" t="s">
        <v>6</v>
      </c>
      <c r="D331" s="5" t="s">
        <v>2</v>
      </c>
      <c r="E331" s="5" t="s">
        <v>3</v>
      </c>
      <c r="F331" s="5" t="s">
        <v>505</v>
      </c>
      <c r="G331" s="5">
        <v>35.86</v>
      </c>
      <c r="H331" s="5">
        <v>9</v>
      </c>
      <c r="I331" s="6">
        <v>13</v>
      </c>
    </row>
    <row r="332" spans="1:9" x14ac:dyDescent="0.3">
      <c r="A332" s="1">
        <v>41980</v>
      </c>
      <c r="B332" s="2" t="s">
        <v>504</v>
      </c>
      <c r="C332" s="2" t="s">
        <v>6</v>
      </c>
      <c r="D332" s="2" t="s">
        <v>30</v>
      </c>
      <c r="E332" s="2" t="s">
        <v>43</v>
      </c>
      <c r="F332" s="2" t="s">
        <v>506</v>
      </c>
      <c r="G332" s="2">
        <v>23.84</v>
      </c>
      <c r="H332" s="2">
        <v>4</v>
      </c>
      <c r="I332" s="3">
        <v>3.28</v>
      </c>
    </row>
    <row r="333" spans="1:9" x14ac:dyDescent="0.3">
      <c r="A333" s="4">
        <v>41980</v>
      </c>
      <c r="B333" s="5" t="s">
        <v>507</v>
      </c>
      <c r="C333" s="5" t="s">
        <v>1</v>
      </c>
      <c r="D333" s="5" t="s">
        <v>25</v>
      </c>
      <c r="E333" s="5" t="s">
        <v>26</v>
      </c>
      <c r="F333" s="5" t="s">
        <v>508</v>
      </c>
      <c r="G333" s="5">
        <v>512.36</v>
      </c>
      <c r="H333" s="5">
        <v>3</v>
      </c>
      <c r="I333" s="6">
        <v>-14.64</v>
      </c>
    </row>
    <row r="334" spans="1:9" x14ac:dyDescent="0.3">
      <c r="A334" s="1">
        <v>41980</v>
      </c>
      <c r="B334" s="2" t="s">
        <v>507</v>
      </c>
      <c r="C334" s="2" t="s">
        <v>1</v>
      </c>
      <c r="D334" s="2" t="s">
        <v>2</v>
      </c>
      <c r="E334" s="2" t="s">
        <v>34</v>
      </c>
      <c r="F334" s="2" t="s">
        <v>168</v>
      </c>
      <c r="G334" s="2">
        <v>3.49</v>
      </c>
      <c r="H334" s="2">
        <v>2</v>
      </c>
      <c r="I334" s="3">
        <v>0.56999999999999995</v>
      </c>
    </row>
    <row r="335" spans="1:9" x14ac:dyDescent="0.3">
      <c r="A335" s="4">
        <v>41980</v>
      </c>
      <c r="B335" s="5" t="s">
        <v>507</v>
      </c>
      <c r="C335" s="5" t="s">
        <v>1</v>
      </c>
      <c r="D335" s="5" t="s">
        <v>2</v>
      </c>
      <c r="E335" s="5" t="s">
        <v>15</v>
      </c>
      <c r="F335" s="5" t="s">
        <v>509</v>
      </c>
      <c r="G335" s="5">
        <v>22.29</v>
      </c>
      <c r="H335" s="5">
        <v>7</v>
      </c>
      <c r="I335" s="6">
        <v>3.9</v>
      </c>
    </row>
    <row r="336" spans="1:9" x14ac:dyDescent="0.3">
      <c r="A336" s="1">
        <v>41980</v>
      </c>
      <c r="B336" s="2" t="s">
        <v>507</v>
      </c>
      <c r="C336" s="2" t="s">
        <v>1</v>
      </c>
      <c r="D336" s="2" t="s">
        <v>2</v>
      </c>
      <c r="E336" s="2" t="s">
        <v>3</v>
      </c>
      <c r="F336" s="2" t="s">
        <v>510</v>
      </c>
      <c r="G336" s="2">
        <v>16.03</v>
      </c>
      <c r="H336" s="2">
        <v>3</v>
      </c>
      <c r="I336" s="3">
        <v>5.61</v>
      </c>
    </row>
    <row r="337" spans="1:9" x14ac:dyDescent="0.3">
      <c r="A337" s="4">
        <v>41647</v>
      </c>
      <c r="B337" s="5" t="s">
        <v>511</v>
      </c>
      <c r="C337" s="5" t="s">
        <v>121</v>
      </c>
      <c r="D337" s="5" t="s">
        <v>2</v>
      </c>
      <c r="E337" s="5" t="s">
        <v>7</v>
      </c>
      <c r="F337" s="5" t="s">
        <v>512</v>
      </c>
      <c r="G337" s="5">
        <v>17.54</v>
      </c>
      <c r="H337" s="5">
        <v>3</v>
      </c>
      <c r="I337" s="6">
        <v>5.92</v>
      </c>
    </row>
    <row r="338" spans="1:9" x14ac:dyDescent="0.3">
      <c r="A338" s="1">
        <v>41647</v>
      </c>
      <c r="B338" s="2" t="s">
        <v>511</v>
      </c>
      <c r="C338" s="2" t="s">
        <v>121</v>
      </c>
      <c r="D338" s="2" t="s">
        <v>25</v>
      </c>
      <c r="E338" s="2" t="s">
        <v>38</v>
      </c>
      <c r="F338" s="2" t="s">
        <v>487</v>
      </c>
      <c r="G338" s="2">
        <v>44.13</v>
      </c>
      <c r="H338" s="2">
        <v>4</v>
      </c>
      <c r="I338" s="3">
        <v>12.14</v>
      </c>
    </row>
    <row r="339" spans="1:9" x14ac:dyDescent="0.3">
      <c r="A339" s="4">
        <v>41647</v>
      </c>
      <c r="B339" s="5" t="s">
        <v>511</v>
      </c>
      <c r="C339" s="5" t="s">
        <v>121</v>
      </c>
      <c r="D339" s="5" t="s">
        <v>2</v>
      </c>
      <c r="E339" s="5" t="s">
        <v>133</v>
      </c>
      <c r="F339" s="5" t="s">
        <v>513</v>
      </c>
      <c r="G339" s="5">
        <v>62.92</v>
      </c>
      <c r="H339" s="5">
        <v>1</v>
      </c>
      <c r="I339" s="6">
        <v>10.220000000000001</v>
      </c>
    </row>
    <row r="340" spans="1:9" x14ac:dyDescent="0.3">
      <c r="A340" s="1">
        <v>41647</v>
      </c>
      <c r="B340" s="2" t="s">
        <v>511</v>
      </c>
      <c r="C340" s="2" t="s">
        <v>121</v>
      </c>
      <c r="D340" s="2" t="s">
        <v>2</v>
      </c>
      <c r="E340" s="2" t="s">
        <v>3</v>
      </c>
      <c r="F340" s="2" t="s">
        <v>514</v>
      </c>
      <c r="G340" s="2">
        <v>78.3</v>
      </c>
      <c r="H340" s="2">
        <v>2</v>
      </c>
      <c r="I340" s="3">
        <v>29.36</v>
      </c>
    </row>
    <row r="341" spans="1:9" x14ac:dyDescent="0.3">
      <c r="A341" s="4">
        <v>41647</v>
      </c>
      <c r="B341" s="5" t="s">
        <v>515</v>
      </c>
      <c r="C341" s="5" t="s">
        <v>18</v>
      </c>
      <c r="D341" s="5" t="s">
        <v>2</v>
      </c>
      <c r="E341" s="5" t="s">
        <v>11</v>
      </c>
      <c r="F341" s="5" t="s">
        <v>516</v>
      </c>
      <c r="G341" s="5">
        <v>19.75</v>
      </c>
      <c r="H341" s="5">
        <v>3</v>
      </c>
      <c r="I341" s="6">
        <v>6.91</v>
      </c>
    </row>
    <row r="342" spans="1:9" x14ac:dyDescent="0.3">
      <c r="A342" s="1">
        <v>41647</v>
      </c>
      <c r="B342" s="2" t="s">
        <v>517</v>
      </c>
      <c r="C342" s="2" t="s">
        <v>14</v>
      </c>
      <c r="D342" s="2" t="s">
        <v>2</v>
      </c>
      <c r="E342" s="2" t="s">
        <v>34</v>
      </c>
      <c r="F342" s="2" t="s">
        <v>518</v>
      </c>
      <c r="G342" s="2">
        <v>5.68</v>
      </c>
      <c r="H342" s="2">
        <v>2</v>
      </c>
      <c r="I342" s="3">
        <v>1.92</v>
      </c>
    </row>
    <row r="343" spans="1:9" x14ac:dyDescent="0.3">
      <c r="A343" s="4">
        <v>41678</v>
      </c>
      <c r="B343" s="5" t="s">
        <v>519</v>
      </c>
      <c r="C343" s="5" t="s">
        <v>90</v>
      </c>
      <c r="D343" s="5" t="s">
        <v>2</v>
      </c>
      <c r="E343" s="5" t="s">
        <v>11</v>
      </c>
      <c r="F343" s="5" t="s">
        <v>520</v>
      </c>
      <c r="G343" s="5">
        <v>26.7</v>
      </c>
      <c r="H343" s="5">
        <v>5</v>
      </c>
      <c r="I343" s="6">
        <v>12.55</v>
      </c>
    </row>
    <row r="344" spans="1:9" x14ac:dyDescent="0.3">
      <c r="A344" s="1">
        <v>41678</v>
      </c>
      <c r="B344" s="2" t="s">
        <v>519</v>
      </c>
      <c r="C344" s="2" t="s">
        <v>90</v>
      </c>
      <c r="D344" s="2" t="s">
        <v>30</v>
      </c>
      <c r="E344" s="2" t="s">
        <v>43</v>
      </c>
      <c r="F344" s="2" t="s">
        <v>521</v>
      </c>
      <c r="G344" s="2">
        <v>21.2</v>
      </c>
      <c r="H344" s="2">
        <v>2</v>
      </c>
      <c r="I344" s="3">
        <v>9.1199999999999992</v>
      </c>
    </row>
    <row r="345" spans="1:9" x14ac:dyDescent="0.3">
      <c r="A345" s="4">
        <v>41678</v>
      </c>
      <c r="B345" s="5" t="s">
        <v>519</v>
      </c>
      <c r="C345" s="5" t="s">
        <v>90</v>
      </c>
      <c r="D345" s="5" t="s">
        <v>2</v>
      </c>
      <c r="E345" s="5" t="s">
        <v>9</v>
      </c>
      <c r="F345" s="5" t="s">
        <v>522</v>
      </c>
      <c r="G345" s="5">
        <v>838.38</v>
      </c>
      <c r="H345" s="5">
        <v>2</v>
      </c>
      <c r="I345" s="6">
        <v>226.36</v>
      </c>
    </row>
    <row r="346" spans="1:9" x14ac:dyDescent="0.3">
      <c r="A346" s="1">
        <v>41706</v>
      </c>
      <c r="B346" s="2" t="s">
        <v>523</v>
      </c>
      <c r="C346" s="2" t="s">
        <v>163</v>
      </c>
      <c r="D346" s="2" t="s">
        <v>25</v>
      </c>
      <c r="E346" s="2" t="s">
        <v>86</v>
      </c>
      <c r="F346" s="2" t="s">
        <v>524</v>
      </c>
      <c r="G346" s="2">
        <v>218.75</v>
      </c>
      <c r="H346" s="2">
        <v>2</v>
      </c>
      <c r="I346" s="3">
        <v>-161.88</v>
      </c>
    </row>
    <row r="347" spans="1:9" x14ac:dyDescent="0.3">
      <c r="A347" s="4">
        <v>41706</v>
      </c>
      <c r="B347" s="5" t="s">
        <v>523</v>
      </c>
      <c r="C347" s="5" t="s">
        <v>163</v>
      </c>
      <c r="D347" s="5" t="s">
        <v>2</v>
      </c>
      <c r="E347" s="5" t="s">
        <v>133</v>
      </c>
      <c r="F347" s="5" t="s">
        <v>525</v>
      </c>
      <c r="G347" s="5">
        <v>2.6</v>
      </c>
      <c r="H347" s="5">
        <v>1</v>
      </c>
      <c r="I347" s="6">
        <v>0.28999999999999998</v>
      </c>
    </row>
    <row r="348" spans="1:9" x14ac:dyDescent="0.3">
      <c r="A348" s="1">
        <v>41706</v>
      </c>
      <c r="B348" s="2" t="s">
        <v>526</v>
      </c>
      <c r="C348" s="2" t="s">
        <v>80</v>
      </c>
      <c r="D348" s="2" t="s">
        <v>2</v>
      </c>
      <c r="E348" s="2" t="s">
        <v>3</v>
      </c>
      <c r="F348" s="2" t="s">
        <v>527</v>
      </c>
      <c r="G348" s="2">
        <v>39.96</v>
      </c>
      <c r="H348" s="2">
        <v>2</v>
      </c>
      <c r="I348" s="3">
        <v>18.78</v>
      </c>
    </row>
    <row r="349" spans="1:9" x14ac:dyDescent="0.3">
      <c r="A349" s="4">
        <v>41706</v>
      </c>
      <c r="B349" s="5" t="s">
        <v>526</v>
      </c>
      <c r="C349" s="5" t="s">
        <v>80</v>
      </c>
      <c r="D349" s="5" t="s">
        <v>2</v>
      </c>
      <c r="E349" s="5" t="s">
        <v>144</v>
      </c>
      <c r="F349" s="5" t="s">
        <v>528</v>
      </c>
      <c r="G349" s="5">
        <v>102.3</v>
      </c>
      <c r="H349" s="5">
        <v>10</v>
      </c>
      <c r="I349" s="6">
        <v>26.6</v>
      </c>
    </row>
    <row r="350" spans="1:9" x14ac:dyDescent="0.3">
      <c r="A350" s="1">
        <v>41706</v>
      </c>
      <c r="B350" s="2" t="s">
        <v>526</v>
      </c>
      <c r="C350" s="2" t="s">
        <v>80</v>
      </c>
      <c r="D350" s="2" t="s">
        <v>2</v>
      </c>
      <c r="E350" s="2" t="s">
        <v>9</v>
      </c>
      <c r="F350" s="2" t="s">
        <v>529</v>
      </c>
      <c r="G350" s="2">
        <v>21.36</v>
      </c>
      <c r="H350" s="2">
        <v>2</v>
      </c>
      <c r="I350" s="3">
        <v>5.77</v>
      </c>
    </row>
    <row r="351" spans="1:9" x14ac:dyDescent="0.3">
      <c r="A351" s="4">
        <v>41706</v>
      </c>
      <c r="B351" s="5" t="s">
        <v>476</v>
      </c>
      <c r="C351" s="5" t="s">
        <v>253</v>
      </c>
      <c r="D351" s="5" t="s">
        <v>2</v>
      </c>
      <c r="E351" s="5" t="s">
        <v>3</v>
      </c>
      <c r="F351" s="5" t="s">
        <v>530</v>
      </c>
      <c r="G351" s="5">
        <v>93.02</v>
      </c>
      <c r="H351" s="5">
        <v>3</v>
      </c>
      <c r="I351" s="6">
        <v>33.72</v>
      </c>
    </row>
    <row r="352" spans="1:9" x14ac:dyDescent="0.3">
      <c r="A352" s="1">
        <v>41737</v>
      </c>
      <c r="B352" s="2" t="s">
        <v>531</v>
      </c>
      <c r="C352" s="2" t="s">
        <v>375</v>
      </c>
      <c r="D352" s="2" t="s">
        <v>2</v>
      </c>
      <c r="E352" s="2" t="s">
        <v>133</v>
      </c>
      <c r="F352" s="2" t="s">
        <v>532</v>
      </c>
      <c r="G352" s="2">
        <v>1089.75</v>
      </c>
      <c r="H352" s="2">
        <v>3</v>
      </c>
      <c r="I352" s="3">
        <v>305.13</v>
      </c>
    </row>
    <row r="353" spans="1:9" x14ac:dyDescent="0.3">
      <c r="A353" s="4">
        <v>41737</v>
      </c>
      <c r="B353" s="5" t="s">
        <v>531</v>
      </c>
      <c r="C353" s="5" t="s">
        <v>375</v>
      </c>
      <c r="D353" s="5" t="s">
        <v>2</v>
      </c>
      <c r="E353" s="5" t="s">
        <v>3</v>
      </c>
      <c r="F353" s="5" t="s">
        <v>533</v>
      </c>
      <c r="G353" s="5">
        <v>447.84</v>
      </c>
      <c r="H353" s="5">
        <v>8</v>
      </c>
      <c r="I353" s="6">
        <v>219.44</v>
      </c>
    </row>
    <row r="354" spans="1:9" x14ac:dyDescent="0.3">
      <c r="A354" s="1">
        <v>41737</v>
      </c>
      <c r="B354" s="2" t="s">
        <v>531</v>
      </c>
      <c r="C354" s="2" t="s">
        <v>375</v>
      </c>
      <c r="D354" s="2" t="s">
        <v>2</v>
      </c>
      <c r="E354" s="2" t="s">
        <v>15</v>
      </c>
      <c r="F354" s="2" t="s">
        <v>534</v>
      </c>
      <c r="G354" s="2">
        <v>16.399999999999999</v>
      </c>
      <c r="H354" s="2">
        <v>5</v>
      </c>
      <c r="I354" s="3">
        <v>4.26</v>
      </c>
    </row>
    <row r="355" spans="1:9" x14ac:dyDescent="0.3">
      <c r="A355" s="4">
        <v>41737</v>
      </c>
      <c r="B355" s="5" t="s">
        <v>531</v>
      </c>
      <c r="C355" s="5" t="s">
        <v>375</v>
      </c>
      <c r="D355" s="5" t="s">
        <v>30</v>
      </c>
      <c r="E355" s="5" t="s">
        <v>31</v>
      </c>
      <c r="F355" s="5" t="s">
        <v>535</v>
      </c>
      <c r="G355" s="5">
        <v>399.96</v>
      </c>
      <c r="H355" s="5">
        <v>5</v>
      </c>
      <c r="I355" s="6">
        <v>35</v>
      </c>
    </row>
    <row r="356" spans="1:9" x14ac:dyDescent="0.3">
      <c r="A356" s="1">
        <v>41737</v>
      </c>
      <c r="B356" s="2" t="s">
        <v>531</v>
      </c>
      <c r="C356" s="2" t="s">
        <v>375</v>
      </c>
      <c r="D356" s="2" t="s">
        <v>2</v>
      </c>
      <c r="E356" s="2" t="s">
        <v>9</v>
      </c>
      <c r="F356" s="2" t="s">
        <v>536</v>
      </c>
      <c r="G356" s="2">
        <v>158.9</v>
      </c>
      <c r="H356" s="2">
        <v>5</v>
      </c>
      <c r="I356" s="3">
        <v>7.95</v>
      </c>
    </row>
    <row r="357" spans="1:9" x14ac:dyDescent="0.3">
      <c r="A357" s="4">
        <v>41737</v>
      </c>
      <c r="B357" s="5" t="s">
        <v>531</v>
      </c>
      <c r="C357" s="5" t="s">
        <v>375</v>
      </c>
      <c r="D357" s="5" t="s">
        <v>2</v>
      </c>
      <c r="E357" s="5" t="s">
        <v>11</v>
      </c>
      <c r="F357" s="5" t="s">
        <v>224</v>
      </c>
      <c r="G357" s="5">
        <v>13.18</v>
      </c>
      <c r="H357" s="5">
        <v>1</v>
      </c>
      <c r="I357" s="6">
        <v>4.78</v>
      </c>
    </row>
    <row r="358" spans="1:9" x14ac:dyDescent="0.3">
      <c r="A358" s="1">
        <v>41737</v>
      </c>
      <c r="B358" s="2" t="s">
        <v>537</v>
      </c>
      <c r="C358" s="2" t="s">
        <v>538</v>
      </c>
      <c r="D358" s="2" t="s">
        <v>2</v>
      </c>
      <c r="E358" s="2" t="s">
        <v>133</v>
      </c>
      <c r="F358" s="2" t="s">
        <v>539</v>
      </c>
      <c r="G358" s="2">
        <v>101.96</v>
      </c>
      <c r="H358" s="2">
        <v>2</v>
      </c>
      <c r="I358" s="3">
        <v>27.53</v>
      </c>
    </row>
    <row r="359" spans="1:9" x14ac:dyDescent="0.3">
      <c r="A359" s="4">
        <v>41737</v>
      </c>
      <c r="B359" s="5" t="s">
        <v>537</v>
      </c>
      <c r="C359" s="5" t="s">
        <v>538</v>
      </c>
      <c r="D359" s="5" t="s">
        <v>2</v>
      </c>
      <c r="E359" s="5" t="s">
        <v>3</v>
      </c>
      <c r="F359" s="5" t="s">
        <v>340</v>
      </c>
      <c r="G359" s="5">
        <v>259.74</v>
      </c>
      <c r="H359" s="5">
        <v>13</v>
      </c>
      <c r="I359" s="6">
        <v>124.68</v>
      </c>
    </row>
    <row r="360" spans="1:9" x14ac:dyDescent="0.3">
      <c r="A360" s="1">
        <v>41737</v>
      </c>
      <c r="B360" s="2" t="s">
        <v>537</v>
      </c>
      <c r="C360" s="2" t="s">
        <v>538</v>
      </c>
      <c r="D360" s="2" t="s">
        <v>30</v>
      </c>
      <c r="E360" s="2" t="s">
        <v>43</v>
      </c>
      <c r="F360" s="2" t="s">
        <v>540</v>
      </c>
      <c r="G360" s="2">
        <v>255.42</v>
      </c>
      <c r="H360" s="2">
        <v>9</v>
      </c>
      <c r="I360" s="3">
        <v>104.72</v>
      </c>
    </row>
    <row r="361" spans="1:9" x14ac:dyDescent="0.3">
      <c r="A361" s="4">
        <v>41767</v>
      </c>
      <c r="B361" s="5" t="s">
        <v>541</v>
      </c>
      <c r="C361" s="5" t="s">
        <v>18</v>
      </c>
      <c r="D361" s="5" t="s">
        <v>2</v>
      </c>
      <c r="E361" s="5" t="s">
        <v>3</v>
      </c>
      <c r="F361" s="5" t="s">
        <v>542</v>
      </c>
      <c r="G361" s="5">
        <v>20.94</v>
      </c>
      <c r="H361" s="5">
        <v>3</v>
      </c>
      <c r="I361" s="6">
        <v>9.84</v>
      </c>
    </row>
    <row r="362" spans="1:9" x14ac:dyDescent="0.3">
      <c r="A362" s="1">
        <v>41767</v>
      </c>
      <c r="B362" s="2" t="s">
        <v>541</v>
      </c>
      <c r="C362" s="2" t="s">
        <v>18</v>
      </c>
      <c r="D362" s="2" t="s">
        <v>2</v>
      </c>
      <c r="E362" s="2" t="s">
        <v>3</v>
      </c>
      <c r="F362" s="2" t="s">
        <v>543</v>
      </c>
      <c r="G362" s="2">
        <v>110.96</v>
      </c>
      <c r="H362" s="2">
        <v>2</v>
      </c>
      <c r="I362" s="3">
        <v>53.26</v>
      </c>
    </row>
    <row r="363" spans="1:9" x14ac:dyDescent="0.3">
      <c r="A363" s="4">
        <v>41767</v>
      </c>
      <c r="B363" s="5" t="s">
        <v>541</v>
      </c>
      <c r="C363" s="5" t="s">
        <v>18</v>
      </c>
      <c r="D363" s="5" t="s">
        <v>25</v>
      </c>
      <c r="E363" s="5" t="s">
        <v>26</v>
      </c>
      <c r="F363" s="5" t="s">
        <v>544</v>
      </c>
      <c r="G363" s="5">
        <v>340.14</v>
      </c>
      <c r="H363" s="5">
        <v>7</v>
      </c>
      <c r="I363" s="6">
        <v>21.26</v>
      </c>
    </row>
    <row r="364" spans="1:9" x14ac:dyDescent="0.3">
      <c r="A364" s="1">
        <v>41767</v>
      </c>
      <c r="B364" s="2" t="s">
        <v>545</v>
      </c>
      <c r="C364" s="2" t="s">
        <v>18</v>
      </c>
      <c r="D364" s="2" t="s">
        <v>30</v>
      </c>
      <c r="E364" s="2" t="s">
        <v>43</v>
      </c>
      <c r="F364" s="2" t="s">
        <v>546</v>
      </c>
      <c r="G364" s="2">
        <v>16.36</v>
      </c>
      <c r="H364" s="2">
        <v>1</v>
      </c>
      <c r="I364" s="3">
        <v>1.64</v>
      </c>
    </row>
    <row r="365" spans="1:9" x14ac:dyDescent="0.3">
      <c r="A365" s="4">
        <v>41767</v>
      </c>
      <c r="B365" s="5" t="s">
        <v>545</v>
      </c>
      <c r="C365" s="5" t="s">
        <v>18</v>
      </c>
      <c r="D365" s="5" t="s">
        <v>2</v>
      </c>
      <c r="E365" s="5" t="s">
        <v>9</v>
      </c>
      <c r="F365" s="5" t="s">
        <v>547</v>
      </c>
      <c r="G365" s="5">
        <v>15.78</v>
      </c>
      <c r="H365" s="5">
        <v>2</v>
      </c>
      <c r="I365" s="6">
        <v>0.63</v>
      </c>
    </row>
    <row r="366" spans="1:9" x14ac:dyDescent="0.3">
      <c r="A366" s="1">
        <v>41767</v>
      </c>
      <c r="B366" s="2" t="s">
        <v>545</v>
      </c>
      <c r="C366" s="2" t="s">
        <v>18</v>
      </c>
      <c r="D366" s="2" t="s">
        <v>2</v>
      </c>
      <c r="E366" s="2" t="s">
        <v>15</v>
      </c>
      <c r="F366" s="2" t="s">
        <v>548</v>
      </c>
      <c r="G366" s="2">
        <v>45.98</v>
      </c>
      <c r="H366" s="2">
        <v>2</v>
      </c>
      <c r="I366" s="3">
        <v>12.87</v>
      </c>
    </row>
    <row r="367" spans="1:9" x14ac:dyDescent="0.3">
      <c r="A367" s="4">
        <v>41767</v>
      </c>
      <c r="B367" s="5" t="s">
        <v>549</v>
      </c>
      <c r="C367" s="5" t="s">
        <v>300</v>
      </c>
      <c r="D367" s="5" t="s">
        <v>2</v>
      </c>
      <c r="E367" s="5" t="s">
        <v>133</v>
      </c>
      <c r="F367" s="5" t="s">
        <v>550</v>
      </c>
      <c r="G367" s="5">
        <v>79.47</v>
      </c>
      <c r="H367" s="5">
        <v>3</v>
      </c>
      <c r="I367" s="6">
        <v>22.25</v>
      </c>
    </row>
    <row r="368" spans="1:9" x14ac:dyDescent="0.3">
      <c r="A368" s="1">
        <v>41767</v>
      </c>
      <c r="B368" s="2" t="s">
        <v>549</v>
      </c>
      <c r="C368" s="2" t="s">
        <v>300</v>
      </c>
      <c r="D368" s="2" t="s">
        <v>2</v>
      </c>
      <c r="E368" s="2" t="s">
        <v>15</v>
      </c>
      <c r="F368" s="2" t="s">
        <v>551</v>
      </c>
      <c r="G368" s="2">
        <v>4.5599999999999996</v>
      </c>
      <c r="H368" s="2">
        <v>2</v>
      </c>
      <c r="I368" s="3">
        <v>2.0099999999999998</v>
      </c>
    </row>
    <row r="369" spans="1:9" x14ac:dyDescent="0.3">
      <c r="A369" s="4">
        <v>41767</v>
      </c>
      <c r="B369" s="5" t="s">
        <v>549</v>
      </c>
      <c r="C369" s="5" t="s">
        <v>300</v>
      </c>
      <c r="D369" s="5" t="s">
        <v>25</v>
      </c>
      <c r="E369" s="5" t="s">
        <v>26</v>
      </c>
      <c r="F369" s="5" t="s">
        <v>552</v>
      </c>
      <c r="G369" s="5">
        <v>1133.3499999999999</v>
      </c>
      <c r="H369" s="5">
        <v>5</v>
      </c>
      <c r="I369" s="6">
        <v>294.67</v>
      </c>
    </row>
    <row r="370" spans="1:9" x14ac:dyDescent="0.3">
      <c r="A370" s="1">
        <v>41767</v>
      </c>
      <c r="B370" s="2" t="s">
        <v>553</v>
      </c>
      <c r="C370" s="2" t="s">
        <v>80</v>
      </c>
      <c r="D370" s="2" t="s">
        <v>30</v>
      </c>
      <c r="E370" s="2" t="s">
        <v>31</v>
      </c>
      <c r="F370" s="2" t="s">
        <v>554</v>
      </c>
      <c r="G370" s="2">
        <v>135.99</v>
      </c>
      <c r="H370" s="2">
        <v>1</v>
      </c>
      <c r="I370" s="3">
        <v>36.72</v>
      </c>
    </row>
    <row r="371" spans="1:9" x14ac:dyDescent="0.3">
      <c r="A371" s="4">
        <v>41767</v>
      </c>
      <c r="B371" s="5" t="s">
        <v>553</v>
      </c>
      <c r="C371" s="5" t="s">
        <v>80</v>
      </c>
      <c r="D371" s="5" t="s">
        <v>2</v>
      </c>
      <c r="E371" s="5" t="s">
        <v>15</v>
      </c>
      <c r="F371" s="5" t="s">
        <v>551</v>
      </c>
      <c r="G371" s="5">
        <v>15.96</v>
      </c>
      <c r="H371" s="5">
        <v>7</v>
      </c>
      <c r="I371" s="6">
        <v>7.02</v>
      </c>
    </row>
    <row r="372" spans="1:9" x14ac:dyDescent="0.3">
      <c r="A372" s="1">
        <v>41767</v>
      </c>
      <c r="B372" s="2" t="s">
        <v>555</v>
      </c>
      <c r="C372" s="2" t="s">
        <v>1</v>
      </c>
      <c r="D372" s="2" t="s">
        <v>25</v>
      </c>
      <c r="E372" s="2" t="s">
        <v>86</v>
      </c>
      <c r="F372" s="2" t="s">
        <v>556</v>
      </c>
      <c r="G372" s="2">
        <v>489.23</v>
      </c>
      <c r="H372" s="2">
        <v>2</v>
      </c>
      <c r="I372" s="3">
        <v>41.93</v>
      </c>
    </row>
    <row r="373" spans="1:9" x14ac:dyDescent="0.3">
      <c r="A373" s="4">
        <v>41798</v>
      </c>
      <c r="B373" s="5" t="s">
        <v>557</v>
      </c>
      <c r="C373" s="5" t="s">
        <v>138</v>
      </c>
      <c r="D373" s="5" t="s">
        <v>30</v>
      </c>
      <c r="E373" s="5" t="s">
        <v>43</v>
      </c>
      <c r="F373" s="5" t="s">
        <v>558</v>
      </c>
      <c r="G373" s="5">
        <v>62.91</v>
      </c>
      <c r="H373" s="5">
        <v>3</v>
      </c>
      <c r="I373" s="6">
        <v>22.65</v>
      </c>
    </row>
    <row r="374" spans="1:9" x14ac:dyDescent="0.3">
      <c r="A374" s="1">
        <v>41798</v>
      </c>
      <c r="B374" s="2" t="s">
        <v>559</v>
      </c>
      <c r="C374" s="2" t="s">
        <v>80</v>
      </c>
      <c r="D374" s="2" t="s">
        <v>30</v>
      </c>
      <c r="E374" s="2" t="s">
        <v>43</v>
      </c>
      <c r="F374" s="2" t="s">
        <v>560</v>
      </c>
      <c r="G374" s="2">
        <v>199.98</v>
      </c>
      <c r="H374" s="2">
        <v>2</v>
      </c>
      <c r="I374" s="3">
        <v>83.99</v>
      </c>
    </row>
    <row r="375" spans="1:9" x14ac:dyDescent="0.3">
      <c r="A375" s="4">
        <v>41859</v>
      </c>
      <c r="B375" s="5" t="s">
        <v>561</v>
      </c>
      <c r="C375" s="5" t="s">
        <v>18</v>
      </c>
      <c r="D375" s="5" t="s">
        <v>2</v>
      </c>
      <c r="E375" s="5" t="s">
        <v>133</v>
      </c>
      <c r="F375" s="5" t="s">
        <v>562</v>
      </c>
      <c r="G375" s="5">
        <v>76.12</v>
      </c>
      <c r="H375" s="5">
        <v>2</v>
      </c>
      <c r="I375" s="6">
        <v>22.07</v>
      </c>
    </row>
    <row r="376" spans="1:9" x14ac:dyDescent="0.3">
      <c r="A376" s="1">
        <v>41859</v>
      </c>
      <c r="B376" s="2" t="s">
        <v>561</v>
      </c>
      <c r="C376" s="2" t="s">
        <v>18</v>
      </c>
      <c r="D376" s="2" t="s">
        <v>30</v>
      </c>
      <c r="E376" s="2" t="s">
        <v>290</v>
      </c>
      <c r="F376" s="2" t="s">
        <v>563</v>
      </c>
      <c r="G376" s="2">
        <v>1199.98</v>
      </c>
      <c r="H376" s="2">
        <v>3</v>
      </c>
      <c r="I376" s="3">
        <v>434.99</v>
      </c>
    </row>
    <row r="377" spans="1:9" x14ac:dyDescent="0.3">
      <c r="A377" s="4">
        <v>41859</v>
      </c>
      <c r="B377" s="5" t="s">
        <v>561</v>
      </c>
      <c r="C377" s="5" t="s">
        <v>18</v>
      </c>
      <c r="D377" s="5" t="s">
        <v>30</v>
      </c>
      <c r="E377" s="5" t="s">
        <v>31</v>
      </c>
      <c r="F377" s="5" t="s">
        <v>564</v>
      </c>
      <c r="G377" s="5">
        <v>445.96</v>
      </c>
      <c r="H377" s="5">
        <v>5</v>
      </c>
      <c r="I377" s="6">
        <v>55.75</v>
      </c>
    </row>
    <row r="378" spans="1:9" x14ac:dyDescent="0.3">
      <c r="A378" s="1">
        <v>41859</v>
      </c>
      <c r="B378" s="2" t="s">
        <v>561</v>
      </c>
      <c r="C378" s="2" t="s">
        <v>18</v>
      </c>
      <c r="D378" s="2" t="s">
        <v>25</v>
      </c>
      <c r="E378" s="2" t="s">
        <v>38</v>
      </c>
      <c r="F378" s="2" t="s">
        <v>565</v>
      </c>
      <c r="G378" s="2">
        <v>327.76</v>
      </c>
      <c r="H378" s="2">
        <v>8</v>
      </c>
      <c r="I378" s="3">
        <v>91.77</v>
      </c>
    </row>
    <row r="379" spans="1:9" x14ac:dyDescent="0.3">
      <c r="A379" s="4">
        <v>41859</v>
      </c>
      <c r="B379" s="5" t="s">
        <v>566</v>
      </c>
      <c r="C379" s="5" t="s">
        <v>253</v>
      </c>
      <c r="D379" s="5" t="s">
        <v>25</v>
      </c>
      <c r="E379" s="5" t="s">
        <v>38</v>
      </c>
      <c r="F379" s="5" t="s">
        <v>567</v>
      </c>
      <c r="G379" s="5">
        <v>121.38</v>
      </c>
      <c r="H379" s="5">
        <v>4</v>
      </c>
      <c r="I379" s="6">
        <v>-3.03</v>
      </c>
    </row>
    <row r="380" spans="1:9" x14ac:dyDescent="0.3">
      <c r="A380" s="1">
        <v>41859</v>
      </c>
      <c r="B380" s="2" t="s">
        <v>566</v>
      </c>
      <c r="C380" s="2" t="s">
        <v>253</v>
      </c>
      <c r="D380" s="2" t="s">
        <v>30</v>
      </c>
      <c r="E380" s="2" t="s">
        <v>43</v>
      </c>
      <c r="F380" s="2" t="s">
        <v>568</v>
      </c>
      <c r="G380" s="2">
        <v>95.98</v>
      </c>
      <c r="H380" s="2">
        <v>3</v>
      </c>
      <c r="I380" s="3">
        <v>-10.8</v>
      </c>
    </row>
    <row r="381" spans="1:9" x14ac:dyDescent="0.3">
      <c r="A381" s="4">
        <v>41859</v>
      </c>
      <c r="B381" s="5" t="s">
        <v>569</v>
      </c>
      <c r="C381" s="5" t="s">
        <v>18</v>
      </c>
      <c r="D381" s="5" t="s">
        <v>2</v>
      </c>
      <c r="E381" s="5" t="s">
        <v>9</v>
      </c>
      <c r="F381" s="5" t="s">
        <v>570</v>
      </c>
      <c r="G381" s="5">
        <v>423.28</v>
      </c>
      <c r="H381" s="5">
        <v>11</v>
      </c>
      <c r="I381" s="6">
        <v>110.05</v>
      </c>
    </row>
    <row r="382" spans="1:9" x14ac:dyDescent="0.3">
      <c r="A382" s="1">
        <v>41859</v>
      </c>
      <c r="B382" s="2" t="s">
        <v>571</v>
      </c>
      <c r="C382" s="2" t="s">
        <v>160</v>
      </c>
      <c r="D382" s="2" t="s">
        <v>30</v>
      </c>
      <c r="E382" s="2" t="s">
        <v>290</v>
      </c>
      <c r="F382" s="2" t="s">
        <v>572</v>
      </c>
      <c r="G382" s="2">
        <v>549.99</v>
      </c>
      <c r="H382" s="2">
        <v>1</v>
      </c>
      <c r="I382" s="3">
        <v>275</v>
      </c>
    </row>
    <row r="383" spans="1:9" x14ac:dyDescent="0.3">
      <c r="A383" s="4">
        <v>41859</v>
      </c>
      <c r="B383" s="5" t="s">
        <v>571</v>
      </c>
      <c r="C383" s="5" t="s">
        <v>160</v>
      </c>
      <c r="D383" s="5" t="s">
        <v>2</v>
      </c>
      <c r="E383" s="5" t="s">
        <v>133</v>
      </c>
      <c r="F383" s="5" t="s">
        <v>573</v>
      </c>
      <c r="G383" s="5">
        <v>167.54</v>
      </c>
      <c r="H383" s="5">
        <v>3</v>
      </c>
      <c r="I383" s="6">
        <v>37.229999999999997</v>
      </c>
    </row>
    <row r="384" spans="1:9" x14ac:dyDescent="0.3">
      <c r="A384" s="1">
        <v>41859</v>
      </c>
      <c r="B384" s="2" t="s">
        <v>571</v>
      </c>
      <c r="C384" s="2" t="s">
        <v>160</v>
      </c>
      <c r="D384" s="2" t="s">
        <v>2</v>
      </c>
      <c r="E384" s="2" t="s">
        <v>114</v>
      </c>
      <c r="F384" s="2" t="s">
        <v>574</v>
      </c>
      <c r="G384" s="2">
        <v>38.340000000000003</v>
      </c>
      <c r="H384" s="2">
        <v>3</v>
      </c>
      <c r="I384" s="3">
        <v>17.25</v>
      </c>
    </row>
    <row r="385" spans="1:9" x14ac:dyDescent="0.3">
      <c r="A385" s="4">
        <v>41859</v>
      </c>
      <c r="B385" s="5" t="s">
        <v>571</v>
      </c>
      <c r="C385" s="5" t="s">
        <v>160</v>
      </c>
      <c r="D385" s="5" t="s">
        <v>25</v>
      </c>
      <c r="E385" s="5" t="s">
        <v>38</v>
      </c>
      <c r="F385" s="5" t="s">
        <v>575</v>
      </c>
      <c r="G385" s="5">
        <v>53.88</v>
      </c>
      <c r="H385" s="5">
        <v>6</v>
      </c>
      <c r="I385" s="6">
        <v>22.63</v>
      </c>
    </row>
    <row r="386" spans="1:9" x14ac:dyDescent="0.3">
      <c r="A386" s="1">
        <v>41859</v>
      </c>
      <c r="B386" s="2" t="s">
        <v>571</v>
      </c>
      <c r="C386" s="2" t="s">
        <v>160</v>
      </c>
      <c r="D386" s="2" t="s">
        <v>30</v>
      </c>
      <c r="E386" s="2" t="s">
        <v>31</v>
      </c>
      <c r="F386" s="2" t="s">
        <v>186</v>
      </c>
      <c r="G386" s="2">
        <v>299.98</v>
      </c>
      <c r="H386" s="2">
        <v>2</v>
      </c>
      <c r="I386" s="3">
        <v>83.99</v>
      </c>
    </row>
    <row r="387" spans="1:9" x14ac:dyDescent="0.3">
      <c r="A387" s="4">
        <v>41859</v>
      </c>
      <c r="B387" s="5" t="s">
        <v>576</v>
      </c>
      <c r="C387" s="5" t="s">
        <v>58</v>
      </c>
      <c r="D387" s="5" t="s">
        <v>25</v>
      </c>
      <c r="E387" s="5" t="s">
        <v>129</v>
      </c>
      <c r="F387" s="5" t="s">
        <v>577</v>
      </c>
      <c r="G387" s="5">
        <v>155.46</v>
      </c>
      <c r="H387" s="5">
        <v>4</v>
      </c>
      <c r="I387" s="6">
        <v>-7.77</v>
      </c>
    </row>
    <row r="388" spans="1:9" x14ac:dyDescent="0.3">
      <c r="A388" s="1">
        <v>41890</v>
      </c>
      <c r="B388" s="2" t="s">
        <v>578</v>
      </c>
      <c r="C388" s="2" t="s">
        <v>58</v>
      </c>
      <c r="D388" s="2" t="s">
        <v>30</v>
      </c>
      <c r="E388" s="2" t="s">
        <v>31</v>
      </c>
      <c r="F388" s="2" t="s">
        <v>564</v>
      </c>
      <c r="G388" s="2">
        <v>178.38</v>
      </c>
      <c r="H388" s="2">
        <v>2</v>
      </c>
      <c r="I388" s="3">
        <v>22.3</v>
      </c>
    </row>
    <row r="389" spans="1:9" x14ac:dyDescent="0.3">
      <c r="A389" s="4">
        <v>41890</v>
      </c>
      <c r="B389" s="5" t="s">
        <v>578</v>
      </c>
      <c r="C389" s="5" t="s">
        <v>58</v>
      </c>
      <c r="D389" s="5" t="s">
        <v>2</v>
      </c>
      <c r="E389" s="5" t="s">
        <v>3</v>
      </c>
      <c r="F389" s="5" t="s">
        <v>579</v>
      </c>
      <c r="G389" s="5">
        <v>15.55</v>
      </c>
      <c r="H389" s="5">
        <v>3</v>
      </c>
      <c r="I389" s="6">
        <v>5.44</v>
      </c>
    </row>
    <row r="390" spans="1:9" x14ac:dyDescent="0.3">
      <c r="A390" s="1">
        <v>41890</v>
      </c>
      <c r="B390" s="2" t="s">
        <v>580</v>
      </c>
      <c r="C390" s="2" t="s">
        <v>18</v>
      </c>
      <c r="D390" s="2" t="s">
        <v>2</v>
      </c>
      <c r="E390" s="2" t="s">
        <v>7</v>
      </c>
      <c r="F390" s="2" t="s">
        <v>581</v>
      </c>
      <c r="G390" s="2">
        <v>20.88</v>
      </c>
      <c r="H390" s="2">
        <v>8</v>
      </c>
      <c r="I390" s="3">
        <v>9.6</v>
      </c>
    </row>
    <row r="391" spans="1:9" x14ac:dyDescent="0.3">
      <c r="A391" s="4">
        <v>41890</v>
      </c>
      <c r="B391" s="5" t="s">
        <v>582</v>
      </c>
      <c r="C391" s="5" t="s">
        <v>62</v>
      </c>
      <c r="D391" s="5" t="s">
        <v>30</v>
      </c>
      <c r="E391" s="5" t="s">
        <v>31</v>
      </c>
      <c r="F391" s="5" t="s">
        <v>583</v>
      </c>
      <c r="G391" s="5">
        <v>1091.17</v>
      </c>
      <c r="H391" s="5">
        <v>4</v>
      </c>
      <c r="I391" s="6">
        <v>68.2</v>
      </c>
    </row>
    <row r="392" spans="1:9" x14ac:dyDescent="0.3">
      <c r="A392" s="1">
        <v>41890</v>
      </c>
      <c r="B392" s="2" t="s">
        <v>582</v>
      </c>
      <c r="C392" s="2" t="s">
        <v>62</v>
      </c>
      <c r="D392" s="2" t="s">
        <v>30</v>
      </c>
      <c r="E392" s="2" t="s">
        <v>31</v>
      </c>
      <c r="F392" s="2" t="s">
        <v>584</v>
      </c>
      <c r="G392" s="2">
        <v>219.17</v>
      </c>
      <c r="H392" s="2">
        <v>2</v>
      </c>
      <c r="I392" s="3">
        <v>-43.83</v>
      </c>
    </row>
    <row r="393" spans="1:9" x14ac:dyDescent="0.3">
      <c r="A393" s="4">
        <v>41890</v>
      </c>
      <c r="B393" s="5" t="s">
        <v>585</v>
      </c>
      <c r="C393" s="5" t="s">
        <v>62</v>
      </c>
      <c r="D393" s="5" t="s">
        <v>2</v>
      </c>
      <c r="E393" s="5" t="s">
        <v>11</v>
      </c>
      <c r="F393" s="5" t="s">
        <v>586</v>
      </c>
      <c r="G393" s="5">
        <v>2060.7399999999998</v>
      </c>
      <c r="H393" s="5">
        <v>7</v>
      </c>
      <c r="I393" s="6">
        <v>643.98</v>
      </c>
    </row>
    <row r="394" spans="1:9" x14ac:dyDescent="0.3">
      <c r="A394" s="1">
        <v>41890</v>
      </c>
      <c r="B394" s="2" t="s">
        <v>587</v>
      </c>
      <c r="C394" s="2" t="s">
        <v>18</v>
      </c>
      <c r="D394" s="2" t="s">
        <v>2</v>
      </c>
      <c r="E394" s="2" t="s">
        <v>3</v>
      </c>
      <c r="F394" s="2" t="s">
        <v>588</v>
      </c>
      <c r="G394" s="2">
        <v>5.98</v>
      </c>
      <c r="H394" s="2">
        <v>1</v>
      </c>
      <c r="I394" s="3">
        <v>2.69</v>
      </c>
    </row>
    <row r="395" spans="1:9" x14ac:dyDescent="0.3">
      <c r="A395" s="4">
        <v>41890</v>
      </c>
      <c r="B395" s="5" t="s">
        <v>589</v>
      </c>
      <c r="C395" s="5" t="s">
        <v>253</v>
      </c>
      <c r="D395" s="5" t="s">
        <v>2</v>
      </c>
      <c r="E395" s="5" t="s">
        <v>34</v>
      </c>
      <c r="F395" s="5" t="s">
        <v>590</v>
      </c>
      <c r="G395" s="5">
        <v>4.46</v>
      </c>
      <c r="H395" s="5">
        <v>3</v>
      </c>
      <c r="I395" s="6">
        <v>-0.95</v>
      </c>
    </row>
    <row r="396" spans="1:9" x14ac:dyDescent="0.3">
      <c r="A396" s="1">
        <v>41890</v>
      </c>
      <c r="B396" s="2" t="s">
        <v>589</v>
      </c>
      <c r="C396" s="2" t="s">
        <v>253</v>
      </c>
      <c r="D396" s="2" t="s">
        <v>2</v>
      </c>
      <c r="E396" s="2" t="s">
        <v>11</v>
      </c>
      <c r="F396" s="2" t="s">
        <v>591</v>
      </c>
      <c r="G396" s="2">
        <v>9.35</v>
      </c>
      <c r="H396" s="2">
        <v>5</v>
      </c>
      <c r="I396" s="3">
        <v>-6.54</v>
      </c>
    </row>
    <row r="397" spans="1:9" x14ac:dyDescent="0.3">
      <c r="A397" s="4">
        <v>41951</v>
      </c>
      <c r="B397" s="5" t="s">
        <v>339</v>
      </c>
      <c r="C397" s="5" t="s">
        <v>62</v>
      </c>
      <c r="D397" s="5" t="s">
        <v>25</v>
      </c>
      <c r="E397" s="5" t="s">
        <v>38</v>
      </c>
      <c r="F397" s="5" t="s">
        <v>592</v>
      </c>
      <c r="G397" s="5">
        <v>12.35</v>
      </c>
      <c r="H397" s="5">
        <v>1</v>
      </c>
      <c r="I397" s="6">
        <v>5.43</v>
      </c>
    </row>
    <row r="398" spans="1:9" x14ac:dyDescent="0.3">
      <c r="A398" s="1">
        <v>41951</v>
      </c>
      <c r="B398" s="2" t="s">
        <v>339</v>
      </c>
      <c r="C398" s="2" t="s">
        <v>62</v>
      </c>
      <c r="D398" s="2" t="s">
        <v>2</v>
      </c>
      <c r="E398" s="2" t="s">
        <v>15</v>
      </c>
      <c r="F398" s="2" t="s">
        <v>593</v>
      </c>
      <c r="G398" s="2">
        <v>40.97</v>
      </c>
      <c r="H398" s="2">
        <v>1</v>
      </c>
      <c r="I398" s="3">
        <v>10.65</v>
      </c>
    </row>
    <row r="399" spans="1:9" x14ac:dyDescent="0.3">
      <c r="A399" s="4">
        <v>41951</v>
      </c>
      <c r="B399" s="5" t="s">
        <v>339</v>
      </c>
      <c r="C399" s="5" t="s">
        <v>62</v>
      </c>
      <c r="D399" s="5" t="s">
        <v>2</v>
      </c>
      <c r="E399" s="5" t="s">
        <v>34</v>
      </c>
      <c r="F399" s="5" t="s">
        <v>594</v>
      </c>
      <c r="G399" s="5">
        <v>22.96</v>
      </c>
      <c r="H399" s="5">
        <v>2</v>
      </c>
      <c r="I399" s="6">
        <v>10.79</v>
      </c>
    </row>
    <row r="400" spans="1:9" x14ac:dyDescent="0.3">
      <c r="A400" s="1">
        <v>41951</v>
      </c>
      <c r="B400" s="2" t="s">
        <v>595</v>
      </c>
      <c r="C400" s="2" t="s">
        <v>80</v>
      </c>
      <c r="D400" s="2" t="s">
        <v>2</v>
      </c>
      <c r="E400" s="2" t="s">
        <v>9</v>
      </c>
      <c r="F400" s="2" t="s">
        <v>596</v>
      </c>
      <c r="G400" s="2">
        <v>375.34</v>
      </c>
      <c r="H400" s="2">
        <v>1</v>
      </c>
      <c r="I400" s="3">
        <v>18.77</v>
      </c>
    </row>
    <row r="401" spans="1:9" x14ac:dyDescent="0.3">
      <c r="A401" s="4">
        <v>41981</v>
      </c>
      <c r="B401" s="5" t="s">
        <v>597</v>
      </c>
      <c r="C401" s="5" t="s">
        <v>77</v>
      </c>
      <c r="D401" s="5" t="s">
        <v>2</v>
      </c>
      <c r="E401" s="5" t="s">
        <v>11</v>
      </c>
      <c r="F401" s="5" t="s">
        <v>598</v>
      </c>
      <c r="G401" s="5">
        <v>196.21</v>
      </c>
      <c r="H401" s="5">
        <v>7</v>
      </c>
      <c r="I401" s="6">
        <v>98.11</v>
      </c>
    </row>
    <row r="402" spans="1:9" x14ac:dyDescent="0.3">
      <c r="A402" s="1">
        <v>41981</v>
      </c>
      <c r="B402" s="2" t="s">
        <v>599</v>
      </c>
      <c r="C402" s="2" t="s">
        <v>18</v>
      </c>
      <c r="D402" s="2" t="s">
        <v>30</v>
      </c>
      <c r="E402" s="2" t="s">
        <v>31</v>
      </c>
      <c r="F402" s="2" t="s">
        <v>600</v>
      </c>
      <c r="G402" s="2">
        <v>806.34</v>
      </c>
      <c r="H402" s="2">
        <v>8</v>
      </c>
      <c r="I402" s="3">
        <v>50.4</v>
      </c>
    </row>
    <row r="403" spans="1:9" x14ac:dyDescent="0.3">
      <c r="A403" s="4">
        <v>41981</v>
      </c>
      <c r="B403" s="5" t="s">
        <v>599</v>
      </c>
      <c r="C403" s="5" t="s">
        <v>18</v>
      </c>
      <c r="D403" s="5" t="s">
        <v>25</v>
      </c>
      <c r="E403" s="5" t="s">
        <v>38</v>
      </c>
      <c r="F403" s="5" t="s">
        <v>390</v>
      </c>
      <c r="G403" s="5">
        <v>85.44</v>
      </c>
      <c r="H403" s="5">
        <v>3</v>
      </c>
      <c r="I403" s="6">
        <v>31.61</v>
      </c>
    </row>
    <row r="404" spans="1:9" x14ac:dyDescent="0.3">
      <c r="A404" s="1">
        <v>41981</v>
      </c>
      <c r="B404" s="2" t="s">
        <v>601</v>
      </c>
      <c r="C404" s="2" t="s">
        <v>58</v>
      </c>
      <c r="D404" s="2" t="s">
        <v>2</v>
      </c>
      <c r="E404" s="2" t="s">
        <v>3</v>
      </c>
      <c r="F404" s="2" t="s">
        <v>602</v>
      </c>
      <c r="G404" s="2">
        <v>31.1</v>
      </c>
      <c r="H404" s="2">
        <v>6</v>
      </c>
      <c r="I404" s="3">
        <v>10.89</v>
      </c>
    </row>
    <row r="405" spans="1:9" x14ac:dyDescent="0.3">
      <c r="A405" s="4">
        <v>41981</v>
      </c>
      <c r="B405" s="5" t="s">
        <v>601</v>
      </c>
      <c r="C405" s="5" t="s">
        <v>58</v>
      </c>
      <c r="D405" s="5" t="s">
        <v>2</v>
      </c>
      <c r="E405" s="5" t="s">
        <v>15</v>
      </c>
      <c r="F405" s="5" t="s">
        <v>603</v>
      </c>
      <c r="G405" s="5">
        <v>47.96</v>
      </c>
      <c r="H405" s="5">
        <v>5</v>
      </c>
      <c r="I405" s="6">
        <v>4.2</v>
      </c>
    </row>
    <row r="406" spans="1:9" x14ac:dyDescent="0.3">
      <c r="A406" s="1">
        <v>41981</v>
      </c>
      <c r="B406" s="2" t="s">
        <v>601</v>
      </c>
      <c r="C406" s="2" t="s">
        <v>58</v>
      </c>
      <c r="D406" s="2" t="s">
        <v>30</v>
      </c>
      <c r="E406" s="2" t="s">
        <v>43</v>
      </c>
      <c r="F406" s="2" t="s">
        <v>540</v>
      </c>
      <c r="G406" s="2">
        <v>158.93</v>
      </c>
      <c r="H406" s="2">
        <v>7</v>
      </c>
      <c r="I406" s="3">
        <v>41.72</v>
      </c>
    </row>
    <row r="407" spans="1:9" x14ac:dyDescent="0.3">
      <c r="A407" s="4">
        <v>41981</v>
      </c>
      <c r="B407" s="5" t="s">
        <v>601</v>
      </c>
      <c r="C407" s="5" t="s">
        <v>58</v>
      </c>
      <c r="D407" s="5" t="s">
        <v>2</v>
      </c>
      <c r="E407" s="5" t="s">
        <v>133</v>
      </c>
      <c r="F407" s="5" t="s">
        <v>604</v>
      </c>
      <c r="G407" s="5">
        <v>211.25</v>
      </c>
      <c r="H407" s="5">
        <v>6</v>
      </c>
      <c r="I407" s="6">
        <v>15.84</v>
      </c>
    </row>
    <row r="408" spans="1:9" x14ac:dyDescent="0.3">
      <c r="A408" s="1">
        <v>41981</v>
      </c>
      <c r="B408" s="2" t="s">
        <v>601</v>
      </c>
      <c r="C408" s="2" t="s">
        <v>58</v>
      </c>
      <c r="D408" s="2" t="s">
        <v>2</v>
      </c>
      <c r="E408" s="2" t="s">
        <v>144</v>
      </c>
      <c r="F408" s="2" t="s">
        <v>605</v>
      </c>
      <c r="G408" s="2">
        <v>5.55</v>
      </c>
      <c r="H408" s="2">
        <v>2</v>
      </c>
      <c r="I408" s="3">
        <v>-1.04</v>
      </c>
    </row>
    <row r="409" spans="1:9" x14ac:dyDescent="0.3">
      <c r="A409" s="4">
        <v>41981</v>
      </c>
      <c r="B409" s="5" t="s">
        <v>601</v>
      </c>
      <c r="C409" s="5" t="s">
        <v>58</v>
      </c>
      <c r="D409" s="5" t="s">
        <v>2</v>
      </c>
      <c r="E409" s="5" t="s">
        <v>7</v>
      </c>
      <c r="F409" s="5" t="s">
        <v>606</v>
      </c>
      <c r="G409" s="5">
        <v>2.95</v>
      </c>
      <c r="H409" s="5">
        <v>1</v>
      </c>
      <c r="I409" s="6">
        <v>1</v>
      </c>
    </row>
    <row r="410" spans="1:9" x14ac:dyDescent="0.3">
      <c r="A410" s="1">
        <v>41981</v>
      </c>
      <c r="B410" s="2" t="s">
        <v>607</v>
      </c>
      <c r="C410" s="2" t="s">
        <v>21</v>
      </c>
      <c r="D410" s="2" t="s">
        <v>2</v>
      </c>
      <c r="E410" s="2" t="s">
        <v>11</v>
      </c>
      <c r="F410" s="2" t="s">
        <v>608</v>
      </c>
      <c r="G410" s="2">
        <v>14.04</v>
      </c>
      <c r="H410" s="2">
        <v>3</v>
      </c>
      <c r="I410" s="3">
        <v>6.74</v>
      </c>
    </row>
    <row r="411" spans="1:9" x14ac:dyDescent="0.3">
      <c r="A411" s="4">
        <v>41981</v>
      </c>
      <c r="B411" s="5" t="s">
        <v>607</v>
      </c>
      <c r="C411" s="5" t="s">
        <v>21</v>
      </c>
      <c r="D411" s="5" t="s">
        <v>30</v>
      </c>
      <c r="E411" s="5" t="s">
        <v>43</v>
      </c>
      <c r="F411" s="5" t="s">
        <v>558</v>
      </c>
      <c r="G411" s="5">
        <v>272.61</v>
      </c>
      <c r="H411" s="5">
        <v>13</v>
      </c>
      <c r="I411" s="6">
        <v>98.14</v>
      </c>
    </row>
    <row r="412" spans="1:9" x14ac:dyDescent="0.3">
      <c r="A412" s="1">
        <v>41648</v>
      </c>
      <c r="B412" s="2" t="s">
        <v>609</v>
      </c>
      <c r="C412" s="2" t="s">
        <v>18</v>
      </c>
      <c r="D412" s="2" t="s">
        <v>2</v>
      </c>
      <c r="E412" s="2" t="s">
        <v>15</v>
      </c>
      <c r="F412" s="2" t="s">
        <v>610</v>
      </c>
      <c r="G412" s="2">
        <v>53.94</v>
      </c>
      <c r="H412" s="2">
        <v>3</v>
      </c>
      <c r="I412" s="3">
        <v>15.64</v>
      </c>
    </row>
    <row r="413" spans="1:9" x14ac:dyDescent="0.3">
      <c r="A413" s="4">
        <v>41648</v>
      </c>
      <c r="B413" s="5" t="s">
        <v>611</v>
      </c>
      <c r="C413" s="5" t="s">
        <v>1</v>
      </c>
      <c r="D413" s="5" t="s">
        <v>2</v>
      </c>
      <c r="E413" s="5" t="s">
        <v>11</v>
      </c>
      <c r="F413" s="5" t="s">
        <v>612</v>
      </c>
      <c r="G413" s="5">
        <v>3.65</v>
      </c>
      <c r="H413" s="5">
        <v>3</v>
      </c>
      <c r="I413" s="6">
        <v>-6.02</v>
      </c>
    </row>
    <row r="414" spans="1:9" x14ac:dyDescent="0.3">
      <c r="A414" s="1">
        <v>41648</v>
      </c>
      <c r="B414" s="2" t="s">
        <v>611</v>
      </c>
      <c r="C414" s="2" t="s">
        <v>1</v>
      </c>
      <c r="D414" s="2" t="s">
        <v>2</v>
      </c>
      <c r="E414" s="2" t="s">
        <v>3</v>
      </c>
      <c r="F414" s="2" t="s">
        <v>613</v>
      </c>
      <c r="G414" s="2">
        <v>31.1</v>
      </c>
      <c r="H414" s="2">
        <v>6</v>
      </c>
      <c r="I414" s="3">
        <v>10.89</v>
      </c>
    </row>
    <row r="415" spans="1:9" x14ac:dyDescent="0.3">
      <c r="A415" s="4">
        <v>41648</v>
      </c>
      <c r="B415" s="5" t="s">
        <v>614</v>
      </c>
      <c r="C415" s="5" t="s">
        <v>80</v>
      </c>
      <c r="D415" s="5" t="s">
        <v>2</v>
      </c>
      <c r="E415" s="5" t="s">
        <v>11</v>
      </c>
      <c r="F415" s="5" t="s">
        <v>615</v>
      </c>
      <c r="G415" s="5">
        <v>23.74</v>
      </c>
      <c r="H415" s="5">
        <v>2</v>
      </c>
      <c r="I415" s="6">
        <v>8.31</v>
      </c>
    </row>
    <row r="416" spans="1:9" x14ac:dyDescent="0.3">
      <c r="A416" s="1">
        <v>41648</v>
      </c>
      <c r="B416" s="2" t="s">
        <v>614</v>
      </c>
      <c r="C416" s="2" t="s">
        <v>80</v>
      </c>
      <c r="D416" s="2" t="s">
        <v>30</v>
      </c>
      <c r="E416" s="2" t="s">
        <v>43</v>
      </c>
      <c r="F416" s="2" t="s">
        <v>616</v>
      </c>
      <c r="G416" s="2">
        <v>357</v>
      </c>
      <c r="H416" s="2">
        <v>3</v>
      </c>
      <c r="I416" s="3">
        <v>57.12</v>
      </c>
    </row>
    <row r="417" spans="1:9" x14ac:dyDescent="0.3">
      <c r="A417" s="4">
        <v>41679</v>
      </c>
      <c r="B417" s="5" t="s">
        <v>617</v>
      </c>
      <c r="C417" s="5" t="s">
        <v>80</v>
      </c>
      <c r="D417" s="5" t="s">
        <v>2</v>
      </c>
      <c r="E417" s="5" t="s">
        <v>133</v>
      </c>
      <c r="F417" s="5" t="s">
        <v>618</v>
      </c>
      <c r="G417" s="5">
        <v>19.899999999999999</v>
      </c>
      <c r="H417" s="5">
        <v>1</v>
      </c>
      <c r="I417" s="6">
        <v>8.9600000000000009</v>
      </c>
    </row>
    <row r="418" spans="1:9" x14ac:dyDescent="0.3">
      <c r="A418" s="1">
        <v>41679</v>
      </c>
      <c r="B418" s="2" t="s">
        <v>617</v>
      </c>
      <c r="C418" s="2" t="s">
        <v>80</v>
      </c>
      <c r="D418" s="2" t="s">
        <v>25</v>
      </c>
      <c r="E418" s="2" t="s">
        <v>38</v>
      </c>
      <c r="F418" s="2" t="s">
        <v>619</v>
      </c>
      <c r="G418" s="2">
        <v>70.709999999999994</v>
      </c>
      <c r="H418" s="2">
        <v>1</v>
      </c>
      <c r="I418" s="3">
        <v>4.95</v>
      </c>
    </row>
    <row r="419" spans="1:9" x14ac:dyDescent="0.3">
      <c r="A419" s="4">
        <v>41679</v>
      </c>
      <c r="B419" s="5" t="s">
        <v>137</v>
      </c>
      <c r="C419" s="5" t="s">
        <v>80</v>
      </c>
      <c r="D419" s="5" t="s">
        <v>2</v>
      </c>
      <c r="E419" s="5" t="s">
        <v>15</v>
      </c>
      <c r="F419" s="5" t="s">
        <v>620</v>
      </c>
      <c r="G419" s="5">
        <v>21.24</v>
      </c>
      <c r="H419" s="5">
        <v>3</v>
      </c>
      <c r="I419" s="6">
        <v>8.07</v>
      </c>
    </row>
    <row r="420" spans="1:9" x14ac:dyDescent="0.3">
      <c r="A420" s="1">
        <v>41679</v>
      </c>
      <c r="B420" s="2" t="s">
        <v>621</v>
      </c>
      <c r="C420" s="2" t="s">
        <v>80</v>
      </c>
      <c r="D420" s="2" t="s">
        <v>2</v>
      </c>
      <c r="E420" s="2" t="s">
        <v>15</v>
      </c>
      <c r="F420" s="2" t="s">
        <v>622</v>
      </c>
      <c r="G420" s="2">
        <v>57.75</v>
      </c>
      <c r="H420" s="2">
        <v>5</v>
      </c>
      <c r="I420" s="3">
        <v>16.170000000000002</v>
      </c>
    </row>
    <row r="421" spans="1:9" x14ac:dyDescent="0.3">
      <c r="A421" s="4">
        <v>41679</v>
      </c>
      <c r="B421" s="5" t="s">
        <v>621</v>
      </c>
      <c r="C421" s="5" t="s">
        <v>80</v>
      </c>
      <c r="D421" s="5" t="s">
        <v>2</v>
      </c>
      <c r="E421" s="5" t="s">
        <v>3</v>
      </c>
      <c r="F421" s="5" t="s">
        <v>315</v>
      </c>
      <c r="G421" s="5">
        <v>14.94</v>
      </c>
      <c r="H421" s="5">
        <v>3</v>
      </c>
      <c r="I421" s="6">
        <v>7.02</v>
      </c>
    </row>
    <row r="422" spans="1:9" x14ac:dyDescent="0.3">
      <c r="A422" s="1">
        <v>41679</v>
      </c>
      <c r="B422" s="2" t="s">
        <v>623</v>
      </c>
      <c r="C422" s="2" t="s">
        <v>6</v>
      </c>
      <c r="D422" s="2" t="s">
        <v>30</v>
      </c>
      <c r="E422" s="2" t="s">
        <v>43</v>
      </c>
      <c r="F422" s="2" t="s">
        <v>624</v>
      </c>
      <c r="G422" s="2">
        <v>239.98</v>
      </c>
      <c r="H422" s="2">
        <v>3</v>
      </c>
      <c r="I422" s="3">
        <v>53.99</v>
      </c>
    </row>
    <row r="423" spans="1:9" x14ac:dyDescent="0.3">
      <c r="A423" s="4">
        <v>41679</v>
      </c>
      <c r="B423" s="5" t="s">
        <v>578</v>
      </c>
      <c r="C423" s="5" t="s">
        <v>1</v>
      </c>
      <c r="D423" s="5" t="s">
        <v>30</v>
      </c>
      <c r="E423" s="5" t="s">
        <v>625</v>
      </c>
      <c r="F423" s="5" t="s">
        <v>626</v>
      </c>
      <c r="G423" s="5">
        <v>559.71</v>
      </c>
      <c r="H423" s="5">
        <v>3</v>
      </c>
      <c r="I423" s="6">
        <v>-121.27</v>
      </c>
    </row>
    <row r="424" spans="1:9" x14ac:dyDescent="0.3">
      <c r="A424" s="1">
        <v>41679</v>
      </c>
      <c r="B424" s="2" t="s">
        <v>97</v>
      </c>
      <c r="C424" s="2" t="s">
        <v>368</v>
      </c>
      <c r="D424" s="2" t="s">
        <v>2</v>
      </c>
      <c r="E424" s="2" t="s">
        <v>11</v>
      </c>
      <c r="F424" s="2" t="s">
        <v>627</v>
      </c>
      <c r="G424" s="2">
        <v>1793.98</v>
      </c>
      <c r="H424" s="2">
        <v>2</v>
      </c>
      <c r="I424" s="3">
        <v>843.17</v>
      </c>
    </row>
    <row r="425" spans="1:9" x14ac:dyDescent="0.3">
      <c r="A425" s="4">
        <v>41679</v>
      </c>
      <c r="B425" s="5" t="s">
        <v>394</v>
      </c>
      <c r="C425" s="5" t="s">
        <v>6</v>
      </c>
      <c r="D425" s="5" t="s">
        <v>30</v>
      </c>
      <c r="E425" s="5" t="s">
        <v>43</v>
      </c>
      <c r="F425" s="5" t="s">
        <v>628</v>
      </c>
      <c r="G425" s="5">
        <v>475.94</v>
      </c>
      <c r="H425" s="5">
        <v>7</v>
      </c>
      <c r="I425" s="6">
        <v>95.19</v>
      </c>
    </row>
    <row r="426" spans="1:9" x14ac:dyDescent="0.3">
      <c r="A426" s="1">
        <v>41707</v>
      </c>
      <c r="B426" s="2" t="s">
        <v>629</v>
      </c>
      <c r="C426" s="2" t="s">
        <v>80</v>
      </c>
      <c r="D426" s="2" t="s">
        <v>2</v>
      </c>
      <c r="E426" s="2" t="s">
        <v>7</v>
      </c>
      <c r="F426" s="2" t="s">
        <v>488</v>
      </c>
      <c r="G426" s="2">
        <v>14.4</v>
      </c>
      <c r="H426" s="2">
        <v>5</v>
      </c>
      <c r="I426" s="3">
        <v>7.06</v>
      </c>
    </row>
    <row r="427" spans="1:9" x14ac:dyDescent="0.3">
      <c r="A427" s="4">
        <v>41707</v>
      </c>
      <c r="B427" s="5" t="s">
        <v>630</v>
      </c>
      <c r="C427" s="5" t="s">
        <v>1</v>
      </c>
      <c r="D427" s="5" t="s">
        <v>2</v>
      </c>
      <c r="E427" s="5" t="s">
        <v>11</v>
      </c>
      <c r="F427" s="5" t="s">
        <v>631</v>
      </c>
      <c r="G427" s="5">
        <v>7.68</v>
      </c>
      <c r="H427" s="5">
        <v>5</v>
      </c>
      <c r="I427" s="6">
        <v>-11.52</v>
      </c>
    </row>
    <row r="428" spans="1:9" x14ac:dyDescent="0.3">
      <c r="A428" s="1">
        <v>41768</v>
      </c>
      <c r="B428" s="2" t="s">
        <v>632</v>
      </c>
      <c r="C428" s="2" t="s">
        <v>127</v>
      </c>
      <c r="D428" s="2" t="s">
        <v>2</v>
      </c>
      <c r="E428" s="2" t="s">
        <v>9</v>
      </c>
      <c r="F428" s="2" t="s">
        <v>633</v>
      </c>
      <c r="G428" s="2">
        <v>264.32</v>
      </c>
      <c r="H428" s="2">
        <v>2</v>
      </c>
      <c r="I428" s="3">
        <v>19.82</v>
      </c>
    </row>
    <row r="429" spans="1:9" x14ac:dyDescent="0.3">
      <c r="A429" s="4">
        <v>41768</v>
      </c>
      <c r="B429" s="5" t="s">
        <v>634</v>
      </c>
      <c r="C429" s="5" t="s">
        <v>58</v>
      </c>
      <c r="D429" s="5" t="s">
        <v>25</v>
      </c>
      <c r="E429" s="5" t="s">
        <v>38</v>
      </c>
      <c r="F429" s="5" t="s">
        <v>635</v>
      </c>
      <c r="G429" s="5">
        <v>31.98</v>
      </c>
      <c r="H429" s="5">
        <v>2</v>
      </c>
      <c r="I429" s="6">
        <v>2</v>
      </c>
    </row>
    <row r="430" spans="1:9" x14ac:dyDescent="0.3">
      <c r="A430" s="1">
        <v>41799</v>
      </c>
      <c r="B430" s="2" t="s">
        <v>636</v>
      </c>
      <c r="C430" s="2" t="s">
        <v>18</v>
      </c>
      <c r="D430" s="2" t="s">
        <v>25</v>
      </c>
      <c r="E430" s="2" t="s">
        <v>38</v>
      </c>
      <c r="F430" s="2" t="s">
        <v>417</v>
      </c>
      <c r="G430" s="2">
        <v>41.88</v>
      </c>
      <c r="H430" s="2">
        <v>6</v>
      </c>
      <c r="I430" s="3">
        <v>12.15</v>
      </c>
    </row>
    <row r="431" spans="1:9" x14ac:dyDescent="0.3">
      <c r="A431" s="4">
        <v>41799</v>
      </c>
      <c r="B431" s="5" t="s">
        <v>636</v>
      </c>
      <c r="C431" s="5" t="s">
        <v>18</v>
      </c>
      <c r="D431" s="5" t="s">
        <v>2</v>
      </c>
      <c r="E431" s="5" t="s">
        <v>7</v>
      </c>
      <c r="F431" s="5" t="s">
        <v>452</v>
      </c>
      <c r="G431" s="5">
        <v>58.48</v>
      </c>
      <c r="H431" s="5">
        <v>8</v>
      </c>
      <c r="I431" s="6">
        <v>27.49</v>
      </c>
    </row>
    <row r="432" spans="1:9" x14ac:dyDescent="0.3">
      <c r="A432" s="1">
        <v>41829</v>
      </c>
      <c r="B432" s="2" t="s">
        <v>329</v>
      </c>
      <c r="C432" s="2" t="s">
        <v>14</v>
      </c>
      <c r="D432" s="2" t="s">
        <v>2</v>
      </c>
      <c r="E432" s="2" t="s">
        <v>9</v>
      </c>
      <c r="F432" s="2" t="s">
        <v>151</v>
      </c>
      <c r="G432" s="2">
        <v>64.78</v>
      </c>
      <c r="H432" s="2">
        <v>1</v>
      </c>
      <c r="I432" s="3">
        <v>-14.58</v>
      </c>
    </row>
    <row r="433" spans="1:9" x14ac:dyDescent="0.3">
      <c r="A433" s="4">
        <v>41829</v>
      </c>
      <c r="B433" s="5" t="s">
        <v>329</v>
      </c>
      <c r="C433" s="5" t="s">
        <v>14</v>
      </c>
      <c r="D433" s="5" t="s">
        <v>30</v>
      </c>
      <c r="E433" s="5" t="s">
        <v>31</v>
      </c>
      <c r="F433" s="5" t="s">
        <v>637</v>
      </c>
      <c r="G433" s="5">
        <v>32.380000000000003</v>
      </c>
      <c r="H433" s="5">
        <v>3</v>
      </c>
      <c r="I433" s="6">
        <v>4.32</v>
      </c>
    </row>
    <row r="434" spans="1:9" x14ac:dyDescent="0.3">
      <c r="A434" s="1">
        <v>41829</v>
      </c>
      <c r="B434" s="2" t="s">
        <v>329</v>
      </c>
      <c r="C434" s="2" t="s">
        <v>14</v>
      </c>
      <c r="D434" s="2" t="s">
        <v>25</v>
      </c>
      <c r="E434" s="2" t="s">
        <v>38</v>
      </c>
      <c r="F434" s="2" t="s">
        <v>638</v>
      </c>
      <c r="G434" s="2">
        <v>42.37</v>
      </c>
      <c r="H434" s="2">
        <v>2</v>
      </c>
      <c r="I434" s="3">
        <v>8.4700000000000006</v>
      </c>
    </row>
    <row r="435" spans="1:9" x14ac:dyDescent="0.3">
      <c r="A435" s="4">
        <v>41829</v>
      </c>
      <c r="B435" s="5" t="s">
        <v>329</v>
      </c>
      <c r="C435" s="5" t="s">
        <v>14</v>
      </c>
      <c r="D435" s="5" t="s">
        <v>30</v>
      </c>
      <c r="E435" s="5" t="s">
        <v>625</v>
      </c>
      <c r="F435" s="5" t="s">
        <v>639</v>
      </c>
      <c r="G435" s="5">
        <v>399.54</v>
      </c>
      <c r="H435" s="5">
        <v>4</v>
      </c>
      <c r="I435" s="6">
        <v>-559.36</v>
      </c>
    </row>
    <row r="436" spans="1:9" x14ac:dyDescent="0.3">
      <c r="A436" s="1">
        <v>41829</v>
      </c>
      <c r="B436" s="2" t="s">
        <v>61</v>
      </c>
      <c r="C436" s="2" t="s">
        <v>640</v>
      </c>
      <c r="D436" s="2" t="s">
        <v>25</v>
      </c>
      <c r="E436" s="2" t="s">
        <v>38</v>
      </c>
      <c r="F436" s="2" t="s">
        <v>641</v>
      </c>
      <c r="G436" s="2">
        <v>57.69</v>
      </c>
      <c r="H436" s="2">
        <v>3</v>
      </c>
      <c r="I436" s="3">
        <v>23.65</v>
      </c>
    </row>
    <row r="437" spans="1:9" x14ac:dyDescent="0.3">
      <c r="A437" s="4">
        <v>41829</v>
      </c>
      <c r="B437" s="5" t="s">
        <v>61</v>
      </c>
      <c r="C437" s="5" t="s">
        <v>640</v>
      </c>
      <c r="D437" s="5" t="s">
        <v>2</v>
      </c>
      <c r="E437" s="5" t="s">
        <v>11</v>
      </c>
      <c r="F437" s="5" t="s">
        <v>642</v>
      </c>
      <c r="G437" s="5">
        <v>42.81</v>
      </c>
      <c r="H437" s="5">
        <v>3</v>
      </c>
      <c r="I437" s="6">
        <v>20.12</v>
      </c>
    </row>
    <row r="438" spans="1:9" x14ac:dyDescent="0.3">
      <c r="A438" s="1">
        <v>41829</v>
      </c>
      <c r="B438" s="2" t="s">
        <v>61</v>
      </c>
      <c r="C438" s="2" t="s">
        <v>640</v>
      </c>
      <c r="D438" s="2" t="s">
        <v>2</v>
      </c>
      <c r="E438" s="2" t="s">
        <v>3</v>
      </c>
      <c r="F438" s="2" t="s">
        <v>643</v>
      </c>
      <c r="G438" s="2">
        <v>12.96</v>
      </c>
      <c r="H438" s="2">
        <v>2</v>
      </c>
      <c r="I438" s="3">
        <v>6.22</v>
      </c>
    </row>
    <row r="439" spans="1:9" x14ac:dyDescent="0.3">
      <c r="A439" s="4">
        <v>41829</v>
      </c>
      <c r="B439" s="5" t="s">
        <v>61</v>
      </c>
      <c r="C439" s="5" t="s">
        <v>640</v>
      </c>
      <c r="D439" s="5" t="s">
        <v>25</v>
      </c>
      <c r="E439" s="5" t="s">
        <v>38</v>
      </c>
      <c r="F439" s="5" t="s">
        <v>644</v>
      </c>
      <c r="G439" s="5">
        <v>821.88</v>
      </c>
      <c r="H439" s="5">
        <v>6</v>
      </c>
      <c r="I439" s="6">
        <v>213.69</v>
      </c>
    </row>
    <row r="440" spans="1:9" x14ac:dyDescent="0.3">
      <c r="A440" s="1">
        <v>41829</v>
      </c>
      <c r="B440" s="2" t="s">
        <v>61</v>
      </c>
      <c r="C440" s="2" t="s">
        <v>640</v>
      </c>
      <c r="D440" s="2" t="s">
        <v>30</v>
      </c>
      <c r="E440" s="2" t="s">
        <v>31</v>
      </c>
      <c r="F440" s="2" t="s">
        <v>645</v>
      </c>
      <c r="G440" s="2">
        <v>104.85</v>
      </c>
      <c r="H440" s="2">
        <v>3</v>
      </c>
      <c r="I440" s="3">
        <v>28.31</v>
      </c>
    </row>
    <row r="441" spans="1:9" x14ac:dyDescent="0.3">
      <c r="A441" s="4">
        <v>41829</v>
      </c>
      <c r="B441" s="5" t="s">
        <v>646</v>
      </c>
      <c r="C441" s="5" t="s">
        <v>80</v>
      </c>
      <c r="D441" s="5" t="s">
        <v>30</v>
      </c>
      <c r="E441" s="5" t="s">
        <v>31</v>
      </c>
      <c r="F441" s="5" t="s">
        <v>647</v>
      </c>
      <c r="G441" s="5">
        <v>377.97</v>
      </c>
      <c r="H441" s="5">
        <v>3</v>
      </c>
      <c r="I441" s="6">
        <v>109.61</v>
      </c>
    </row>
    <row r="442" spans="1:9" x14ac:dyDescent="0.3">
      <c r="A442" s="1">
        <v>41829</v>
      </c>
      <c r="B442" s="2" t="s">
        <v>648</v>
      </c>
      <c r="C442" s="2" t="s">
        <v>1</v>
      </c>
      <c r="D442" s="2" t="s">
        <v>30</v>
      </c>
      <c r="E442" s="2" t="s">
        <v>31</v>
      </c>
      <c r="F442" s="2" t="s">
        <v>649</v>
      </c>
      <c r="G442" s="2">
        <v>196.78</v>
      </c>
      <c r="H442" s="2">
        <v>3</v>
      </c>
      <c r="I442" s="3">
        <v>14.76</v>
      </c>
    </row>
    <row r="443" spans="1:9" x14ac:dyDescent="0.3">
      <c r="A443" s="4">
        <v>41829</v>
      </c>
      <c r="B443" s="5" t="s">
        <v>648</v>
      </c>
      <c r="C443" s="5" t="s">
        <v>1</v>
      </c>
      <c r="D443" s="5" t="s">
        <v>2</v>
      </c>
      <c r="E443" s="5" t="s">
        <v>11</v>
      </c>
      <c r="F443" s="5" t="s">
        <v>650</v>
      </c>
      <c r="G443" s="5">
        <v>2.92</v>
      </c>
      <c r="H443" s="5">
        <v>2</v>
      </c>
      <c r="I443" s="6">
        <v>-4.82</v>
      </c>
    </row>
    <row r="444" spans="1:9" x14ac:dyDescent="0.3">
      <c r="A444" s="1">
        <v>41829</v>
      </c>
      <c r="B444" s="2" t="s">
        <v>648</v>
      </c>
      <c r="C444" s="2" t="s">
        <v>1</v>
      </c>
      <c r="D444" s="2" t="s">
        <v>25</v>
      </c>
      <c r="E444" s="2" t="s">
        <v>86</v>
      </c>
      <c r="F444" s="2" t="s">
        <v>651</v>
      </c>
      <c r="G444" s="2">
        <v>200.8</v>
      </c>
      <c r="H444" s="2">
        <v>1</v>
      </c>
      <c r="I444" s="3">
        <v>-22.95</v>
      </c>
    </row>
    <row r="445" spans="1:9" x14ac:dyDescent="0.3">
      <c r="A445" s="4">
        <v>41829</v>
      </c>
      <c r="B445" s="5" t="s">
        <v>648</v>
      </c>
      <c r="C445" s="5" t="s">
        <v>1</v>
      </c>
      <c r="D445" s="5" t="s">
        <v>30</v>
      </c>
      <c r="E445" s="5" t="s">
        <v>43</v>
      </c>
      <c r="F445" s="5" t="s">
        <v>652</v>
      </c>
      <c r="G445" s="5">
        <v>46.69</v>
      </c>
      <c r="H445" s="5">
        <v>4</v>
      </c>
      <c r="I445" s="6">
        <v>-2.92</v>
      </c>
    </row>
    <row r="446" spans="1:9" x14ac:dyDescent="0.3">
      <c r="A446" s="1">
        <v>41829</v>
      </c>
      <c r="B446" s="2" t="s">
        <v>648</v>
      </c>
      <c r="C446" s="2" t="s">
        <v>1</v>
      </c>
      <c r="D446" s="2" t="s">
        <v>2</v>
      </c>
      <c r="E446" s="2" t="s">
        <v>15</v>
      </c>
      <c r="F446" s="2" t="s">
        <v>653</v>
      </c>
      <c r="G446" s="2">
        <v>21.86</v>
      </c>
      <c r="H446" s="2">
        <v>3</v>
      </c>
      <c r="I446" s="3">
        <v>3.55</v>
      </c>
    </row>
    <row r="447" spans="1:9" x14ac:dyDescent="0.3">
      <c r="A447" s="4">
        <v>41829</v>
      </c>
      <c r="B447" s="5" t="s">
        <v>654</v>
      </c>
      <c r="C447" s="5" t="s">
        <v>640</v>
      </c>
      <c r="D447" s="5" t="s">
        <v>25</v>
      </c>
      <c r="E447" s="5" t="s">
        <v>86</v>
      </c>
      <c r="F447" s="5" t="s">
        <v>229</v>
      </c>
      <c r="G447" s="5">
        <v>429.9</v>
      </c>
      <c r="H447" s="5">
        <v>5</v>
      </c>
      <c r="I447" s="6">
        <v>111.77</v>
      </c>
    </row>
    <row r="448" spans="1:9" x14ac:dyDescent="0.3">
      <c r="A448" s="1">
        <v>41829</v>
      </c>
      <c r="B448" s="2" t="s">
        <v>654</v>
      </c>
      <c r="C448" s="2" t="s">
        <v>640</v>
      </c>
      <c r="D448" s="2" t="s">
        <v>2</v>
      </c>
      <c r="E448" s="2" t="s">
        <v>11</v>
      </c>
      <c r="F448" s="2" t="s">
        <v>655</v>
      </c>
      <c r="G448" s="2">
        <v>32.06</v>
      </c>
      <c r="H448" s="2">
        <v>2</v>
      </c>
      <c r="I448" s="3">
        <v>15.39</v>
      </c>
    </row>
    <row r="449" spans="1:9" x14ac:dyDescent="0.3">
      <c r="A449" s="4">
        <v>41829</v>
      </c>
      <c r="B449" s="5" t="s">
        <v>654</v>
      </c>
      <c r="C449" s="5" t="s">
        <v>640</v>
      </c>
      <c r="D449" s="5" t="s">
        <v>25</v>
      </c>
      <c r="E449" s="5" t="s">
        <v>26</v>
      </c>
      <c r="F449" s="5" t="s">
        <v>656</v>
      </c>
      <c r="G449" s="5">
        <v>161.96</v>
      </c>
      <c r="H449" s="5">
        <v>2</v>
      </c>
      <c r="I449" s="6">
        <v>45.35</v>
      </c>
    </row>
    <row r="450" spans="1:9" x14ac:dyDescent="0.3">
      <c r="A450" s="1">
        <v>41829</v>
      </c>
      <c r="B450" s="2" t="s">
        <v>654</v>
      </c>
      <c r="C450" s="2" t="s">
        <v>640</v>
      </c>
      <c r="D450" s="2" t="s">
        <v>2</v>
      </c>
      <c r="E450" s="2" t="s">
        <v>9</v>
      </c>
      <c r="F450" s="2" t="s">
        <v>657</v>
      </c>
      <c r="G450" s="2">
        <v>19.86</v>
      </c>
      <c r="H450" s="2">
        <v>2</v>
      </c>
      <c r="I450" s="3">
        <v>5.76</v>
      </c>
    </row>
    <row r="451" spans="1:9" x14ac:dyDescent="0.3">
      <c r="A451" s="4">
        <v>41829</v>
      </c>
      <c r="B451" s="5" t="s">
        <v>658</v>
      </c>
      <c r="C451" s="5" t="s">
        <v>18</v>
      </c>
      <c r="D451" s="5" t="s">
        <v>2</v>
      </c>
      <c r="E451" s="5" t="s">
        <v>144</v>
      </c>
      <c r="F451" s="5" t="s">
        <v>659</v>
      </c>
      <c r="G451" s="5">
        <v>27.36</v>
      </c>
      <c r="H451" s="5">
        <v>4</v>
      </c>
      <c r="I451" s="6">
        <v>7.39</v>
      </c>
    </row>
    <row r="452" spans="1:9" x14ac:dyDescent="0.3">
      <c r="A452" s="1">
        <v>41829</v>
      </c>
      <c r="B452" s="2" t="s">
        <v>658</v>
      </c>
      <c r="C452" s="2" t="s">
        <v>18</v>
      </c>
      <c r="D452" s="2" t="s">
        <v>2</v>
      </c>
      <c r="E452" s="2" t="s">
        <v>3</v>
      </c>
      <c r="F452" s="2" t="s">
        <v>4</v>
      </c>
      <c r="G452" s="2">
        <v>20.56</v>
      </c>
      <c r="H452" s="2">
        <v>2</v>
      </c>
      <c r="I452" s="3">
        <v>9.66</v>
      </c>
    </row>
    <row r="453" spans="1:9" x14ac:dyDescent="0.3">
      <c r="A453" s="4">
        <v>41829</v>
      </c>
      <c r="B453" s="5" t="s">
        <v>658</v>
      </c>
      <c r="C453" s="5" t="s">
        <v>18</v>
      </c>
      <c r="D453" s="5" t="s">
        <v>2</v>
      </c>
      <c r="E453" s="5" t="s">
        <v>11</v>
      </c>
      <c r="F453" s="5" t="s">
        <v>660</v>
      </c>
      <c r="G453" s="5">
        <v>83.92</v>
      </c>
      <c r="H453" s="5">
        <v>5</v>
      </c>
      <c r="I453" s="6">
        <v>31.47</v>
      </c>
    </row>
    <row r="454" spans="1:9" x14ac:dyDescent="0.3">
      <c r="A454" s="1">
        <v>41829</v>
      </c>
      <c r="B454" s="2" t="s">
        <v>661</v>
      </c>
      <c r="C454" s="2" t="s">
        <v>6</v>
      </c>
      <c r="D454" s="2" t="s">
        <v>2</v>
      </c>
      <c r="E454" s="2" t="s">
        <v>34</v>
      </c>
      <c r="F454" s="2" t="s">
        <v>662</v>
      </c>
      <c r="G454" s="2">
        <v>13.16</v>
      </c>
      <c r="H454" s="2">
        <v>5</v>
      </c>
      <c r="I454" s="3">
        <v>4.1100000000000003</v>
      </c>
    </row>
    <row r="455" spans="1:9" x14ac:dyDescent="0.3">
      <c r="A455" s="4">
        <v>41829</v>
      </c>
      <c r="B455" s="5" t="s">
        <v>661</v>
      </c>
      <c r="C455" s="5" t="s">
        <v>6</v>
      </c>
      <c r="D455" s="5" t="s">
        <v>2</v>
      </c>
      <c r="E455" s="5" t="s">
        <v>11</v>
      </c>
      <c r="F455" s="5" t="s">
        <v>663</v>
      </c>
      <c r="G455" s="5">
        <v>3.83</v>
      </c>
      <c r="H455" s="5">
        <v>3</v>
      </c>
      <c r="I455" s="6">
        <v>-6.51</v>
      </c>
    </row>
    <row r="456" spans="1:9" x14ac:dyDescent="0.3">
      <c r="A456" s="1">
        <v>41829</v>
      </c>
      <c r="B456" s="2" t="s">
        <v>661</v>
      </c>
      <c r="C456" s="2" t="s">
        <v>6</v>
      </c>
      <c r="D456" s="2" t="s">
        <v>2</v>
      </c>
      <c r="E456" s="2" t="s">
        <v>11</v>
      </c>
      <c r="F456" s="2" t="s">
        <v>28</v>
      </c>
      <c r="G456" s="2">
        <v>304.99</v>
      </c>
      <c r="H456" s="2">
        <v>5</v>
      </c>
      <c r="I456" s="3">
        <v>-533.73</v>
      </c>
    </row>
    <row r="457" spans="1:9" x14ac:dyDescent="0.3">
      <c r="A457" s="4">
        <v>41860</v>
      </c>
      <c r="B457" s="5" t="s">
        <v>664</v>
      </c>
      <c r="C457" s="5" t="s">
        <v>1</v>
      </c>
      <c r="D457" s="5" t="s">
        <v>2</v>
      </c>
      <c r="E457" s="5" t="s">
        <v>15</v>
      </c>
      <c r="F457" s="5" t="s">
        <v>665</v>
      </c>
      <c r="G457" s="5">
        <v>9.94</v>
      </c>
      <c r="H457" s="5">
        <v>3</v>
      </c>
      <c r="I457" s="6">
        <v>2.73</v>
      </c>
    </row>
    <row r="458" spans="1:9" x14ac:dyDescent="0.3">
      <c r="A458" s="1">
        <v>41860</v>
      </c>
      <c r="B458" s="2" t="s">
        <v>664</v>
      </c>
      <c r="C458" s="2" t="s">
        <v>1</v>
      </c>
      <c r="D458" s="2" t="s">
        <v>30</v>
      </c>
      <c r="E458" s="2" t="s">
        <v>625</v>
      </c>
      <c r="F458" s="2" t="s">
        <v>666</v>
      </c>
      <c r="G458" s="2">
        <v>8159.95</v>
      </c>
      <c r="H458" s="2">
        <v>8</v>
      </c>
      <c r="I458" s="3">
        <v>-1359.99</v>
      </c>
    </row>
    <row r="459" spans="1:9" x14ac:dyDescent="0.3">
      <c r="A459" s="4">
        <v>41860</v>
      </c>
      <c r="B459" s="5" t="s">
        <v>664</v>
      </c>
      <c r="C459" s="5" t="s">
        <v>1</v>
      </c>
      <c r="D459" s="5" t="s">
        <v>2</v>
      </c>
      <c r="E459" s="5" t="s">
        <v>9</v>
      </c>
      <c r="F459" s="5" t="s">
        <v>222</v>
      </c>
      <c r="G459" s="5">
        <v>275.93</v>
      </c>
      <c r="H459" s="5">
        <v>3</v>
      </c>
      <c r="I459" s="6">
        <v>-58.63</v>
      </c>
    </row>
    <row r="460" spans="1:9" x14ac:dyDescent="0.3">
      <c r="A460" s="1">
        <v>41860</v>
      </c>
      <c r="B460" s="2" t="s">
        <v>664</v>
      </c>
      <c r="C460" s="2" t="s">
        <v>1</v>
      </c>
      <c r="D460" s="2" t="s">
        <v>25</v>
      </c>
      <c r="E460" s="2" t="s">
        <v>26</v>
      </c>
      <c r="F460" s="2" t="s">
        <v>667</v>
      </c>
      <c r="G460" s="2">
        <v>1740.06</v>
      </c>
      <c r="H460" s="2">
        <v>9</v>
      </c>
      <c r="I460" s="3">
        <v>-24.86</v>
      </c>
    </row>
    <row r="461" spans="1:9" x14ac:dyDescent="0.3">
      <c r="A461" s="4">
        <v>41860</v>
      </c>
      <c r="B461" s="5" t="s">
        <v>664</v>
      </c>
      <c r="C461" s="5" t="s">
        <v>1</v>
      </c>
      <c r="D461" s="5" t="s">
        <v>2</v>
      </c>
      <c r="E461" s="5" t="s">
        <v>15</v>
      </c>
      <c r="F461" s="5" t="s">
        <v>395</v>
      </c>
      <c r="G461" s="5">
        <v>32.06</v>
      </c>
      <c r="H461" s="5">
        <v>6</v>
      </c>
      <c r="I461" s="6">
        <v>6.81</v>
      </c>
    </row>
    <row r="462" spans="1:9" x14ac:dyDescent="0.3">
      <c r="A462" s="1">
        <v>41860</v>
      </c>
      <c r="B462" s="2" t="s">
        <v>664</v>
      </c>
      <c r="C462" s="2" t="s">
        <v>1</v>
      </c>
      <c r="D462" s="2" t="s">
        <v>2</v>
      </c>
      <c r="E462" s="2" t="s">
        <v>133</v>
      </c>
      <c r="F462" s="2" t="s">
        <v>668</v>
      </c>
      <c r="G462" s="2">
        <v>177.98</v>
      </c>
      <c r="H462" s="2">
        <v>5</v>
      </c>
      <c r="I462" s="3">
        <v>-453.85</v>
      </c>
    </row>
    <row r="463" spans="1:9" x14ac:dyDescent="0.3">
      <c r="A463" s="4">
        <v>41860</v>
      </c>
      <c r="B463" s="5" t="s">
        <v>664</v>
      </c>
      <c r="C463" s="5" t="s">
        <v>1</v>
      </c>
      <c r="D463" s="5" t="s">
        <v>30</v>
      </c>
      <c r="E463" s="5" t="s">
        <v>31</v>
      </c>
      <c r="F463" s="5" t="s">
        <v>669</v>
      </c>
      <c r="G463" s="5">
        <v>143.97999999999999</v>
      </c>
      <c r="H463" s="5">
        <v>3</v>
      </c>
      <c r="I463" s="6">
        <v>9</v>
      </c>
    </row>
    <row r="464" spans="1:9" x14ac:dyDescent="0.3">
      <c r="A464" s="1">
        <v>41860</v>
      </c>
      <c r="B464" s="2" t="s">
        <v>555</v>
      </c>
      <c r="C464" s="2" t="s">
        <v>18</v>
      </c>
      <c r="D464" s="2" t="s">
        <v>30</v>
      </c>
      <c r="E464" s="2" t="s">
        <v>43</v>
      </c>
      <c r="F464" s="2" t="s">
        <v>670</v>
      </c>
      <c r="G464" s="2">
        <v>49.98</v>
      </c>
      <c r="H464" s="2">
        <v>2</v>
      </c>
      <c r="I464" s="3">
        <v>8.5</v>
      </c>
    </row>
    <row r="465" spans="1:9" x14ac:dyDescent="0.3">
      <c r="A465" s="4">
        <v>41860</v>
      </c>
      <c r="B465" s="5" t="s">
        <v>671</v>
      </c>
      <c r="C465" s="5" t="s">
        <v>1</v>
      </c>
      <c r="D465" s="5" t="s">
        <v>2</v>
      </c>
      <c r="E465" s="5" t="s">
        <v>11</v>
      </c>
      <c r="F465" s="5" t="s">
        <v>672</v>
      </c>
      <c r="G465" s="5">
        <v>51.18</v>
      </c>
      <c r="H465" s="5">
        <v>4</v>
      </c>
      <c r="I465" s="6">
        <v>-79.34</v>
      </c>
    </row>
    <row r="466" spans="1:9" x14ac:dyDescent="0.3">
      <c r="A466" s="1">
        <v>41860</v>
      </c>
      <c r="B466" s="2" t="s">
        <v>673</v>
      </c>
      <c r="C466" s="2" t="s">
        <v>21</v>
      </c>
      <c r="D466" s="2" t="s">
        <v>30</v>
      </c>
      <c r="E466" s="2" t="s">
        <v>43</v>
      </c>
      <c r="F466" s="2" t="s">
        <v>674</v>
      </c>
      <c r="G466" s="2">
        <v>32.97</v>
      </c>
      <c r="H466" s="2">
        <v>3</v>
      </c>
      <c r="I466" s="3">
        <v>12.86</v>
      </c>
    </row>
    <row r="467" spans="1:9" x14ac:dyDescent="0.3">
      <c r="A467" s="4">
        <v>41860</v>
      </c>
      <c r="B467" s="5" t="s">
        <v>673</v>
      </c>
      <c r="C467" s="5" t="s">
        <v>21</v>
      </c>
      <c r="D467" s="5" t="s">
        <v>30</v>
      </c>
      <c r="E467" s="5" t="s">
        <v>43</v>
      </c>
      <c r="F467" s="5" t="s">
        <v>558</v>
      </c>
      <c r="G467" s="5">
        <v>83.88</v>
      </c>
      <c r="H467" s="5">
        <v>4</v>
      </c>
      <c r="I467" s="6">
        <v>30.2</v>
      </c>
    </row>
    <row r="468" spans="1:9" x14ac:dyDescent="0.3">
      <c r="A468" s="1">
        <v>41860</v>
      </c>
      <c r="B468" s="2" t="s">
        <v>457</v>
      </c>
      <c r="C468" s="2" t="s">
        <v>18</v>
      </c>
      <c r="D468" s="2" t="s">
        <v>2</v>
      </c>
      <c r="E468" s="2" t="s">
        <v>133</v>
      </c>
      <c r="F468" s="2" t="s">
        <v>675</v>
      </c>
      <c r="G468" s="2">
        <v>56.65</v>
      </c>
      <c r="H468" s="2">
        <v>5</v>
      </c>
      <c r="I468" s="3">
        <v>24.36</v>
      </c>
    </row>
    <row r="469" spans="1:9" x14ac:dyDescent="0.3">
      <c r="A469" s="4">
        <v>41860</v>
      </c>
      <c r="B469" s="5" t="s">
        <v>457</v>
      </c>
      <c r="C469" s="5" t="s">
        <v>18</v>
      </c>
      <c r="D469" s="5" t="s">
        <v>2</v>
      </c>
      <c r="E469" s="5" t="s">
        <v>9</v>
      </c>
      <c r="F469" s="5" t="s">
        <v>676</v>
      </c>
      <c r="G469" s="5">
        <v>14.97</v>
      </c>
      <c r="H469" s="5">
        <v>1</v>
      </c>
      <c r="I469" s="6">
        <v>4.1900000000000004</v>
      </c>
    </row>
    <row r="470" spans="1:9" x14ac:dyDescent="0.3">
      <c r="A470" s="1">
        <v>41860</v>
      </c>
      <c r="B470" s="2" t="s">
        <v>457</v>
      </c>
      <c r="C470" s="2" t="s">
        <v>18</v>
      </c>
      <c r="D470" s="2" t="s">
        <v>2</v>
      </c>
      <c r="E470" s="2" t="s">
        <v>34</v>
      </c>
      <c r="F470" s="2" t="s">
        <v>677</v>
      </c>
      <c r="G470" s="2">
        <v>4.0199999999999996</v>
      </c>
      <c r="H470" s="2">
        <v>2</v>
      </c>
      <c r="I470" s="3">
        <v>1.97</v>
      </c>
    </row>
    <row r="471" spans="1:9" x14ac:dyDescent="0.3">
      <c r="A471" s="4">
        <v>41860</v>
      </c>
      <c r="B471" s="5" t="s">
        <v>678</v>
      </c>
      <c r="C471" s="5" t="s">
        <v>46</v>
      </c>
      <c r="D471" s="5" t="s">
        <v>2</v>
      </c>
      <c r="E471" s="5" t="s">
        <v>34</v>
      </c>
      <c r="F471" s="5" t="s">
        <v>679</v>
      </c>
      <c r="G471" s="5">
        <v>45</v>
      </c>
      <c r="H471" s="5">
        <v>9</v>
      </c>
      <c r="I471" s="6">
        <v>21.6</v>
      </c>
    </row>
    <row r="472" spans="1:9" x14ac:dyDescent="0.3">
      <c r="A472" s="1">
        <v>41860</v>
      </c>
      <c r="B472" s="2" t="s">
        <v>678</v>
      </c>
      <c r="C472" s="2" t="s">
        <v>46</v>
      </c>
      <c r="D472" s="2" t="s">
        <v>30</v>
      </c>
      <c r="E472" s="2" t="s">
        <v>625</v>
      </c>
      <c r="F472" s="2" t="s">
        <v>680</v>
      </c>
      <c r="G472" s="2">
        <v>209.97</v>
      </c>
      <c r="H472" s="2">
        <v>3</v>
      </c>
      <c r="I472" s="3">
        <v>90.29</v>
      </c>
    </row>
    <row r="473" spans="1:9" x14ac:dyDescent="0.3">
      <c r="A473" s="4">
        <v>41860</v>
      </c>
      <c r="B473" s="5" t="s">
        <v>681</v>
      </c>
      <c r="C473" s="5" t="s">
        <v>80</v>
      </c>
      <c r="D473" s="5" t="s">
        <v>2</v>
      </c>
      <c r="E473" s="5" t="s">
        <v>133</v>
      </c>
      <c r="F473" s="5" t="s">
        <v>682</v>
      </c>
      <c r="G473" s="5">
        <v>16.78</v>
      </c>
      <c r="H473" s="5">
        <v>2</v>
      </c>
      <c r="I473" s="6">
        <v>4.2</v>
      </c>
    </row>
    <row r="474" spans="1:9" x14ac:dyDescent="0.3">
      <c r="A474" s="1">
        <v>41860</v>
      </c>
      <c r="B474" s="2" t="s">
        <v>683</v>
      </c>
      <c r="C474" s="2" t="s">
        <v>62</v>
      </c>
      <c r="D474" s="2" t="s">
        <v>2</v>
      </c>
      <c r="E474" s="2" t="s">
        <v>15</v>
      </c>
      <c r="F474" s="2" t="s">
        <v>684</v>
      </c>
      <c r="G474" s="2">
        <v>5.88</v>
      </c>
      <c r="H474" s="2">
        <v>2</v>
      </c>
      <c r="I474" s="3">
        <v>2.65</v>
      </c>
    </row>
    <row r="475" spans="1:9" x14ac:dyDescent="0.3">
      <c r="A475" s="4">
        <v>41860</v>
      </c>
      <c r="B475" s="5" t="s">
        <v>683</v>
      </c>
      <c r="C475" s="5" t="s">
        <v>62</v>
      </c>
      <c r="D475" s="5" t="s">
        <v>25</v>
      </c>
      <c r="E475" s="5" t="s">
        <v>26</v>
      </c>
      <c r="F475" s="5" t="s">
        <v>685</v>
      </c>
      <c r="G475" s="5">
        <v>975.92</v>
      </c>
      <c r="H475" s="5">
        <v>5</v>
      </c>
      <c r="I475" s="6">
        <v>121.99</v>
      </c>
    </row>
    <row r="476" spans="1:9" x14ac:dyDescent="0.3">
      <c r="A476" s="1">
        <v>41860</v>
      </c>
      <c r="B476" s="2" t="s">
        <v>683</v>
      </c>
      <c r="C476" s="2" t="s">
        <v>62</v>
      </c>
      <c r="D476" s="2" t="s">
        <v>2</v>
      </c>
      <c r="E476" s="2" t="s">
        <v>15</v>
      </c>
      <c r="F476" s="2" t="s">
        <v>686</v>
      </c>
      <c r="G476" s="2">
        <v>303.83999999999997</v>
      </c>
      <c r="H476" s="2">
        <v>8</v>
      </c>
      <c r="I476" s="3">
        <v>91.15</v>
      </c>
    </row>
    <row r="477" spans="1:9" x14ac:dyDescent="0.3">
      <c r="A477" s="4">
        <v>41860</v>
      </c>
      <c r="B477" s="5" t="s">
        <v>683</v>
      </c>
      <c r="C477" s="5" t="s">
        <v>62</v>
      </c>
      <c r="D477" s="5" t="s">
        <v>2</v>
      </c>
      <c r="E477" s="5" t="s">
        <v>9</v>
      </c>
      <c r="F477" s="5" t="s">
        <v>687</v>
      </c>
      <c r="G477" s="5">
        <v>485.88</v>
      </c>
      <c r="H477" s="5">
        <v>6</v>
      </c>
      <c r="I477" s="6">
        <v>19.440000000000001</v>
      </c>
    </row>
    <row r="478" spans="1:9" x14ac:dyDescent="0.3">
      <c r="A478" s="1">
        <v>41860</v>
      </c>
      <c r="B478" s="2" t="s">
        <v>688</v>
      </c>
      <c r="C478" s="2" t="s">
        <v>1</v>
      </c>
      <c r="D478" s="2" t="s">
        <v>2</v>
      </c>
      <c r="E478" s="2" t="s">
        <v>3</v>
      </c>
      <c r="F478" s="2" t="s">
        <v>161</v>
      </c>
      <c r="G478" s="2">
        <v>17.899999999999999</v>
      </c>
      <c r="H478" s="2">
        <v>2</v>
      </c>
      <c r="I478" s="3">
        <v>6.27</v>
      </c>
    </row>
    <row r="479" spans="1:9" x14ac:dyDescent="0.3">
      <c r="A479" s="4">
        <v>41860</v>
      </c>
      <c r="B479" s="5" t="s">
        <v>688</v>
      </c>
      <c r="C479" s="5" t="s">
        <v>1</v>
      </c>
      <c r="D479" s="5" t="s">
        <v>25</v>
      </c>
      <c r="E479" s="5" t="s">
        <v>26</v>
      </c>
      <c r="F479" s="5" t="s">
        <v>667</v>
      </c>
      <c r="G479" s="5">
        <v>966.7</v>
      </c>
      <c r="H479" s="5">
        <v>5</v>
      </c>
      <c r="I479" s="6">
        <v>-13.81</v>
      </c>
    </row>
    <row r="480" spans="1:9" x14ac:dyDescent="0.3">
      <c r="A480" s="1">
        <v>41860</v>
      </c>
      <c r="B480" s="2" t="s">
        <v>688</v>
      </c>
      <c r="C480" s="2" t="s">
        <v>1</v>
      </c>
      <c r="D480" s="2" t="s">
        <v>2</v>
      </c>
      <c r="E480" s="2" t="s">
        <v>3</v>
      </c>
      <c r="F480" s="2" t="s">
        <v>689</v>
      </c>
      <c r="G480" s="2">
        <v>182.11</v>
      </c>
      <c r="H480" s="2">
        <v>6</v>
      </c>
      <c r="I480" s="3">
        <v>61.46</v>
      </c>
    </row>
    <row r="481" spans="1:9" x14ac:dyDescent="0.3">
      <c r="A481" s="4">
        <v>41860</v>
      </c>
      <c r="B481" s="5" t="s">
        <v>690</v>
      </c>
      <c r="C481" s="5" t="s">
        <v>80</v>
      </c>
      <c r="D481" s="5" t="s">
        <v>25</v>
      </c>
      <c r="E481" s="5" t="s">
        <v>26</v>
      </c>
      <c r="F481" s="5" t="s">
        <v>691</v>
      </c>
      <c r="G481" s="5">
        <v>172.76</v>
      </c>
      <c r="H481" s="5">
        <v>2</v>
      </c>
      <c r="I481" s="6">
        <v>13.44</v>
      </c>
    </row>
    <row r="482" spans="1:9" x14ac:dyDescent="0.3">
      <c r="A482" s="1">
        <v>41860</v>
      </c>
      <c r="B482" s="2" t="s">
        <v>690</v>
      </c>
      <c r="C482" s="2" t="s">
        <v>80</v>
      </c>
      <c r="D482" s="2" t="s">
        <v>2</v>
      </c>
      <c r="E482" s="2" t="s">
        <v>15</v>
      </c>
      <c r="F482" s="2" t="s">
        <v>692</v>
      </c>
      <c r="G482" s="2">
        <v>3.52</v>
      </c>
      <c r="H482" s="2">
        <v>2</v>
      </c>
      <c r="I482" s="3">
        <v>1.69</v>
      </c>
    </row>
    <row r="483" spans="1:9" x14ac:dyDescent="0.3">
      <c r="A483" s="4">
        <v>41860</v>
      </c>
      <c r="B483" s="5" t="s">
        <v>693</v>
      </c>
      <c r="C483" s="5" t="s">
        <v>18</v>
      </c>
      <c r="D483" s="5" t="s">
        <v>2</v>
      </c>
      <c r="E483" s="5" t="s">
        <v>11</v>
      </c>
      <c r="F483" s="5" t="s">
        <v>694</v>
      </c>
      <c r="G483" s="5">
        <v>8.61</v>
      </c>
      <c r="H483" s="5">
        <v>2</v>
      </c>
      <c r="I483" s="6">
        <v>3.01</v>
      </c>
    </row>
    <row r="484" spans="1:9" x14ac:dyDescent="0.3">
      <c r="A484" s="1">
        <v>41891</v>
      </c>
      <c r="B484" s="2" t="s">
        <v>695</v>
      </c>
      <c r="C484" s="2" t="s">
        <v>160</v>
      </c>
      <c r="D484" s="2" t="s">
        <v>2</v>
      </c>
      <c r="E484" s="2" t="s">
        <v>7</v>
      </c>
      <c r="F484" s="2" t="s">
        <v>696</v>
      </c>
      <c r="G484" s="2">
        <v>103.6</v>
      </c>
      <c r="H484" s="2">
        <v>7</v>
      </c>
      <c r="I484" s="3">
        <v>51.8</v>
      </c>
    </row>
    <row r="485" spans="1:9" x14ac:dyDescent="0.3">
      <c r="A485" s="4">
        <v>41891</v>
      </c>
      <c r="B485" s="5" t="s">
        <v>697</v>
      </c>
      <c r="C485" s="5" t="s">
        <v>181</v>
      </c>
      <c r="D485" s="5" t="s">
        <v>2</v>
      </c>
      <c r="E485" s="5" t="s">
        <v>3</v>
      </c>
      <c r="F485" s="5" t="s">
        <v>543</v>
      </c>
      <c r="G485" s="5">
        <v>166.44</v>
      </c>
      <c r="H485" s="5">
        <v>3</v>
      </c>
      <c r="I485" s="6">
        <v>79.89</v>
      </c>
    </row>
    <row r="486" spans="1:9" x14ac:dyDescent="0.3">
      <c r="A486" s="1">
        <v>41891</v>
      </c>
      <c r="B486" s="2" t="s">
        <v>697</v>
      </c>
      <c r="C486" s="2" t="s">
        <v>181</v>
      </c>
      <c r="D486" s="2" t="s">
        <v>25</v>
      </c>
      <c r="E486" s="2" t="s">
        <v>26</v>
      </c>
      <c r="F486" s="2" t="s">
        <v>698</v>
      </c>
      <c r="G486" s="2">
        <v>785.88</v>
      </c>
      <c r="H486" s="2">
        <v>6</v>
      </c>
      <c r="I486" s="3">
        <v>212.19</v>
      </c>
    </row>
    <row r="487" spans="1:9" x14ac:dyDescent="0.3">
      <c r="A487" s="4">
        <v>41891</v>
      </c>
      <c r="B487" s="5" t="s">
        <v>697</v>
      </c>
      <c r="C487" s="5" t="s">
        <v>181</v>
      </c>
      <c r="D487" s="5" t="s">
        <v>2</v>
      </c>
      <c r="E487" s="5" t="s">
        <v>3</v>
      </c>
      <c r="F487" s="5" t="s">
        <v>699</v>
      </c>
      <c r="G487" s="5">
        <v>26.2</v>
      </c>
      <c r="H487" s="5">
        <v>2</v>
      </c>
      <c r="I487" s="6">
        <v>12.84</v>
      </c>
    </row>
    <row r="488" spans="1:9" x14ac:dyDescent="0.3">
      <c r="A488" s="1">
        <v>41891</v>
      </c>
      <c r="B488" s="2" t="s">
        <v>697</v>
      </c>
      <c r="C488" s="2" t="s">
        <v>181</v>
      </c>
      <c r="D488" s="2" t="s">
        <v>2</v>
      </c>
      <c r="E488" s="2" t="s">
        <v>9</v>
      </c>
      <c r="F488" s="2" t="s">
        <v>164</v>
      </c>
      <c r="G488" s="2">
        <v>1325.85</v>
      </c>
      <c r="H488" s="2">
        <v>5</v>
      </c>
      <c r="I488" s="3">
        <v>238.65</v>
      </c>
    </row>
    <row r="489" spans="1:9" x14ac:dyDescent="0.3">
      <c r="A489" s="4">
        <v>41891</v>
      </c>
      <c r="B489" s="5" t="s">
        <v>700</v>
      </c>
      <c r="C489" s="5" t="s">
        <v>14</v>
      </c>
      <c r="D489" s="5" t="s">
        <v>2</v>
      </c>
      <c r="E489" s="5" t="s">
        <v>3</v>
      </c>
      <c r="F489" s="5" t="s">
        <v>701</v>
      </c>
      <c r="G489" s="5">
        <v>15.55</v>
      </c>
      <c r="H489" s="5">
        <v>3</v>
      </c>
      <c r="I489" s="6">
        <v>5.44</v>
      </c>
    </row>
    <row r="490" spans="1:9" x14ac:dyDescent="0.3">
      <c r="A490" s="1">
        <v>41891</v>
      </c>
      <c r="B490" s="2" t="s">
        <v>700</v>
      </c>
      <c r="C490" s="2" t="s">
        <v>14</v>
      </c>
      <c r="D490" s="2" t="s">
        <v>30</v>
      </c>
      <c r="E490" s="2" t="s">
        <v>43</v>
      </c>
      <c r="F490" s="2" t="s">
        <v>702</v>
      </c>
      <c r="G490" s="2">
        <v>64.7</v>
      </c>
      <c r="H490" s="2">
        <v>6</v>
      </c>
      <c r="I490" s="3">
        <v>-4.8499999999999996</v>
      </c>
    </row>
    <row r="491" spans="1:9" x14ac:dyDescent="0.3">
      <c r="A491" s="4">
        <v>41891</v>
      </c>
      <c r="B491" s="5" t="s">
        <v>700</v>
      </c>
      <c r="C491" s="5" t="s">
        <v>14</v>
      </c>
      <c r="D491" s="5" t="s">
        <v>25</v>
      </c>
      <c r="E491" s="5" t="s">
        <v>38</v>
      </c>
      <c r="F491" s="5" t="s">
        <v>703</v>
      </c>
      <c r="G491" s="5">
        <v>17.47</v>
      </c>
      <c r="H491" s="5">
        <v>3</v>
      </c>
      <c r="I491" s="6">
        <v>5.0199999999999996</v>
      </c>
    </row>
    <row r="492" spans="1:9" x14ac:dyDescent="0.3">
      <c r="A492" s="1">
        <v>41891</v>
      </c>
      <c r="B492" s="2" t="s">
        <v>700</v>
      </c>
      <c r="C492" s="2" t="s">
        <v>14</v>
      </c>
      <c r="D492" s="2" t="s">
        <v>30</v>
      </c>
      <c r="E492" s="2" t="s">
        <v>31</v>
      </c>
      <c r="F492" s="2" t="s">
        <v>704</v>
      </c>
      <c r="G492" s="2">
        <v>135.52000000000001</v>
      </c>
      <c r="H492" s="2">
        <v>1</v>
      </c>
      <c r="I492" s="3">
        <v>-31.62</v>
      </c>
    </row>
    <row r="493" spans="1:9" x14ac:dyDescent="0.3">
      <c r="A493" s="4">
        <v>41891</v>
      </c>
      <c r="B493" s="5" t="s">
        <v>705</v>
      </c>
      <c r="C493" s="5" t="s">
        <v>121</v>
      </c>
      <c r="D493" s="5" t="s">
        <v>30</v>
      </c>
      <c r="E493" s="5" t="s">
        <v>625</v>
      </c>
      <c r="F493" s="5" t="s">
        <v>706</v>
      </c>
      <c r="G493" s="5">
        <v>1299.99</v>
      </c>
      <c r="H493" s="5">
        <v>2</v>
      </c>
      <c r="I493" s="6">
        <v>-572</v>
      </c>
    </row>
    <row r="494" spans="1:9" x14ac:dyDescent="0.3">
      <c r="A494" s="1">
        <v>41891</v>
      </c>
      <c r="B494" s="2" t="s">
        <v>707</v>
      </c>
      <c r="C494" s="2" t="s">
        <v>127</v>
      </c>
      <c r="D494" s="2" t="s">
        <v>25</v>
      </c>
      <c r="E494" s="2" t="s">
        <v>38</v>
      </c>
      <c r="F494" s="2" t="s">
        <v>708</v>
      </c>
      <c r="G494" s="2">
        <v>60.67</v>
      </c>
      <c r="H494" s="2">
        <v>6</v>
      </c>
      <c r="I494" s="3">
        <v>12.89</v>
      </c>
    </row>
    <row r="495" spans="1:9" x14ac:dyDescent="0.3">
      <c r="A495" s="4">
        <v>41891</v>
      </c>
      <c r="B495" s="5" t="s">
        <v>707</v>
      </c>
      <c r="C495" s="5" t="s">
        <v>127</v>
      </c>
      <c r="D495" s="5" t="s">
        <v>2</v>
      </c>
      <c r="E495" s="5" t="s">
        <v>15</v>
      </c>
      <c r="F495" s="5" t="s">
        <v>709</v>
      </c>
      <c r="G495" s="5">
        <v>30.82</v>
      </c>
      <c r="H495" s="5">
        <v>9</v>
      </c>
      <c r="I495" s="6">
        <v>2.7</v>
      </c>
    </row>
    <row r="496" spans="1:9" x14ac:dyDescent="0.3">
      <c r="A496" s="1">
        <v>41891</v>
      </c>
      <c r="B496" s="2" t="s">
        <v>710</v>
      </c>
      <c r="C496" s="2" t="s">
        <v>6</v>
      </c>
      <c r="D496" s="2" t="s">
        <v>2</v>
      </c>
      <c r="E496" s="2" t="s">
        <v>3</v>
      </c>
      <c r="F496" s="2" t="s">
        <v>711</v>
      </c>
      <c r="G496" s="2">
        <v>10.9</v>
      </c>
      <c r="H496" s="2">
        <v>3</v>
      </c>
      <c r="I496" s="3">
        <v>3.41</v>
      </c>
    </row>
    <row r="497" spans="1:9" x14ac:dyDescent="0.3">
      <c r="A497" s="4">
        <v>41921</v>
      </c>
      <c r="B497" s="5" t="s">
        <v>712</v>
      </c>
      <c r="C497" s="5" t="s">
        <v>46</v>
      </c>
      <c r="D497" s="5" t="s">
        <v>2</v>
      </c>
      <c r="E497" s="5" t="s">
        <v>11</v>
      </c>
      <c r="F497" s="5" t="s">
        <v>498</v>
      </c>
      <c r="G497" s="5">
        <v>9.64</v>
      </c>
      <c r="H497" s="5">
        <v>2</v>
      </c>
      <c r="I497" s="6">
        <v>4.72</v>
      </c>
    </row>
    <row r="498" spans="1:9" x14ac:dyDescent="0.3">
      <c r="A498" s="1">
        <v>41921</v>
      </c>
      <c r="B498" s="2" t="s">
        <v>137</v>
      </c>
      <c r="C498" s="2" t="s">
        <v>713</v>
      </c>
      <c r="D498" s="2" t="s">
        <v>2</v>
      </c>
      <c r="E498" s="2" t="s">
        <v>114</v>
      </c>
      <c r="F498" s="2" t="s">
        <v>714</v>
      </c>
      <c r="G498" s="2">
        <v>21.73</v>
      </c>
      <c r="H498" s="2">
        <v>7</v>
      </c>
      <c r="I498" s="3">
        <v>7.6</v>
      </c>
    </row>
    <row r="499" spans="1:9" x14ac:dyDescent="0.3">
      <c r="A499" s="4">
        <v>41921</v>
      </c>
      <c r="B499" s="5" t="s">
        <v>137</v>
      </c>
      <c r="C499" s="5" t="s">
        <v>713</v>
      </c>
      <c r="D499" s="5" t="s">
        <v>25</v>
      </c>
      <c r="E499" s="5" t="s">
        <v>26</v>
      </c>
      <c r="F499" s="5" t="s">
        <v>715</v>
      </c>
      <c r="G499" s="5">
        <v>1487.04</v>
      </c>
      <c r="H499" s="5">
        <v>5</v>
      </c>
      <c r="I499" s="6">
        <v>148.69999999999999</v>
      </c>
    </row>
    <row r="500" spans="1:9" x14ac:dyDescent="0.3">
      <c r="A500" s="1">
        <v>41921</v>
      </c>
      <c r="B500" s="2" t="s">
        <v>716</v>
      </c>
      <c r="C500" s="2" t="s">
        <v>77</v>
      </c>
      <c r="D500" s="2" t="s">
        <v>2</v>
      </c>
      <c r="E500" s="2" t="s">
        <v>133</v>
      </c>
      <c r="F500" s="2" t="s">
        <v>717</v>
      </c>
      <c r="G500" s="2">
        <v>81.92</v>
      </c>
      <c r="H500" s="2">
        <v>4</v>
      </c>
      <c r="I500" s="3">
        <v>22.12</v>
      </c>
    </row>
    <row r="501" spans="1:9" x14ac:dyDescent="0.3">
      <c r="A501" s="4">
        <v>41921</v>
      </c>
      <c r="B501" s="5" t="s">
        <v>716</v>
      </c>
      <c r="C501" s="5" t="s">
        <v>77</v>
      </c>
      <c r="D501" s="5" t="s">
        <v>25</v>
      </c>
      <c r="E501" s="5" t="s">
        <v>38</v>
      </c>
      <c r="F501" s="5" t="s">
        <v>718</v>
      </c>
      <c r="G501" s="5">
        <v>254.9</v>
      </c>
      <c r="H501" s="5">
        <v>5</v>
      </c>
      <c r="I501" s="6">
        <v>76.47</v>
      </c>
    </row>
    <row r="502" spans="1:9" x14ac:dyDescent="0.3">
      <c r="A502" s="1">
        <v>41952</v>
      </c>
      <c r="B502" s="2" t="s">
        <v>719</v>
      </c>
      <c r="C502" s="2" t="s">
        <v>18</v>
      </c>
      <c r="D502" s="2" t="s">
        <v>25</v>
      </c>
      <c r="E502" s="2" t="s">
        <v>38</v>
      </c>
      <c r="F502" s="2" t="s">
        <v>720</v>
      </c>
      <c r="G502" s="2">
        <v>127.95</v>
      </c>
      <c r="H502" s="2">
        <v>3</v>
      </c>
      <c r="I502" s="3">
        <v>21.75</v>
      </c>
    </row>
    <row r="503" spans="1:9" x14ac:dyDescent="0.3">
      <c r="A503" s="4">
        <v>41982</v>
      </c>
      <c r="B503" s="5" t="s">
        <v>227</v>
      </c>
      <c r="C503" s="5" t="s">
        <v>80</v>
      </c>
      <c r="D503" s="5" t="s">
        <v>30</v>
      </c>
      <c r="E503" s="5" t="s">
        <v>625</v>
      </c>
      <c r="F503" s="5" t="s">
        <v>680</v>
      </c>
      <c r="G503" s="5">
        <v>69.989999999999995</v>
      </c>
      <c r="H503" s="5">
        <v>1</v>
      </c>
      <c r="I503" s="6">
        <v>30.1</v>
      </c>
    </row>
    <row r="504" spans="1:9" x14ac:dyDescent="0.3">
      <c r="A504" s="1">
        <v>41982</v>
      </c>
      <c r="B504" s="2" t="s">
        <v>721</v>
      </c>
      <c r="C504" s="2" t="s">
        <v>121</v>
      </c>
      <c r="D504" s="2" t="s">
        <v>2</v>
      </c>
      <c r="E504" s="2" t="s">
        <v>3</v>
      </c>
      <c r="F504" s="2" t="s">
        <v>722</v>
      </c>
      <c r="G504" s="2">
        <v>10.37</v>
      </c>
      <c r="H504" s="2">
        <v>2</v>
      </c>
      <c r="I504" s="3">
        <v>3.63</v>
      </c>
    </row>
    <row r="505" spans="1:9" x14ac:dyDescent="0.3">
      <c r="A505" s="4">
        <v>41982</v>
      </c>
      <c r="B505" s="5" t="s">
        <v>721</v>
      </c>
      <c r="C505" s="5" t="s">
        <v>121</v>
      </c>
      <c r="D505" s="5" t="s">
        <v>2</v>
      </c>
      <c r="E505" s="5" t="s">
        <v>133</v>
      </c>
      <c r="F505" s="5" t="s">
        <v>723</v>
      </c>
      <c r="G505" s="5">
        <v>166.84</v>
      </c>
      <c r="H505" s="5">
        <v>5</v>
      </c>
      <c r="I505" s="6">
        <v>18.77</v>
      </c>
    </row>
    <row r="506" spans="1:9" x14ac:dyDescent="0.3">
      <c r="A506" s="1">
        <v>41982</v>
      </c>
      <c r="B506" s="2" t="s">
        <v>721</v>
      </c>
      <c r="C506" s="2" t="s">
        <v>121</v>
      </c>
      <c r="D506" s="2" t="s">
        <v>30</v>
      </c>
      <c r="E506" s="2" t="s">
        <v>43</v>
      </c>
      <c r="F506" s="2" t="s">
        <v>724</v>
      </c>
      <c r="G506" s="2">
        <v>15.22</v>
      </c>
      <c r="H506" s="2">
        <v>1</v>
      </c>
      <c r="I506" s="3">
        <v>2.2799999999999998</v>
      </c>
    </row>
    <row r="507" spans="1:9" x14ac:dyDescent="0.3">
      <c r="A507" s="4">
        <v>41982</v>
      </c>
      <c r="B507" s="5" t="s">
        <v>725</v>
      </c>
      <c r="C507" s="5" t="s">
        <v>1</v>
      </c>
      <c r="D507" s="5" t="s">
        <v>2</v>
      </c>
      <c r="E507" s="5" t="s">
        <v>11</v>
      </c>
      <c r="F507" s="5" t="s">
        <v>726</v>
      </c>
      <c r="G507" s="5">
        <v>5.18</v>
      </c>
      <c r="H507" s="5">
        <v>5</v>
      </c>
      <c r="I507" s="6">
        <v>-8.0299999999999994</v>
      </c>
    </row>
    <row r="508" spans="1:9" x14ac:dyDescent="0.3">
      <c r="A508" s="1">
        <v>41982</v>
      </c>
      <c r="B508" s="2" t="s">
        <v>336</v>
      </c>
      <c r="C508" s="2" t="s">
        <v>127</v>
      </c>
      <c r="D508" s="2" t="s">
        <v>2</v>
      </c>
      <c r="E508" s="2" t="s">
        <v>11</v>
      </c>
      <c r="F508" s="2" t="s">
        <v>727</v>
      </c>
      <c r="G508" s="2">
        <v>63.92</v>
      </c>
      <c r="H508" s="2">
        <v>7</v>
      </c>
      <c r="I508" s="3">
        <v>-46.88</v>
      </c>
    </row>
    <row r="509" spans="1:9" x14ac:dyDescent="0.3">
      <c r="A509" s="4">
        <v>41982</v>
      </c>
      <c r="B509" s="5" t="s">
        <v>728</v>
      </c>
      <c r="C509" s="5" t="s">
        <v>729</v>
      </c>
      <c r="D509" s="5" t="s">
        <v>2</v>
      </c>
      <c r="E509" s="5" t="s">
        <v>144</v>
      </c>
      <c r="F509" s="5" t="s">
        <v>730</v>
      </c>
      <c r="G509" s="5">
        <v>357.93</v>
      </c>
      <c r="H509" s="5">
        <v>3</v>
      </c>
      <c r="I509" s="6">
        <v>7.16</v>
      </c>
    </row>
    <row r="510" spans="1:9" x14ac:dyDescent="0.3">
      <c r="A510" s="1">
        <v>41982</v>
      </c>
      <c r="B510" s="2" t="s">
        <v>728</v>
      </c>
      <c r="C510" s="2" t="s">
        <v>729</v>
      </c>
      <c r="D510" s="2" t="s">
        <v>30</v>
      </c>
      <c r="E510" s="2" t="s">
        <v>43</v>
      </c>
      <c r="F510" s="2" t="s">
        <v>731</v>
      </c>
      <c r="G510" s="2">
        <v>57.4</v>
      </c>
      <c r="H510" s="2">
        <v>5</v>
      </c>
      <c r="I510" s="3">
        <v>10.91</v>
      </c>
    </row>
    <row r="511" spans="1:9" x14ac:dyDescent="0.3">
      <c r="A511" s="4">
        <v>41982</v>
      </c>
      <c r="B511" s="5" t="s">
        <v>728</v>
      </c>
      <c r="C511" s="5" t="s">
        <v>729</v>
      </c>
      <c r="D511" s="5" t="s">
        <v>2</v>
      </c>
      <c r="E511" s="5" t="s">
        <v>11</v>
      </c>
      <c r="F511" s="5" t="s">
        <v>732</v>
      </c>
      <c r="G511" s="5">
        <v>331.96</v>
      </c>
      <c r="H511" s="5">
        <v>2</v>
      </c>
      <c r="I511" s="6">
        <v>149.38</v>
      </c>
    </row>
    <row r="512" spans="1:9" x14ac:dyDescent="0.3">
      <c r="A512" s="1">
        <v>41982</v>
      </c>
      <c r="B512" s="2" t="s">
        <v>728</v>
      </c>
      <c r="C512" s="2" t="s">
        <v>729</v>
      </c>
      <c r="D512" s="2" t="s">
        <v>25</v>
      </c>
      <c r="E512" s="2" t="s">
        <v>38</v>
      </c>
      <c r="F512" s="2" t="s">
        <v>733</v>
      </c>
      <c r="G512" s="2">
        <v>40.56</v>
      </c>
      <c r="H512" s="2">
        <v>2</v>
      </c>
      <c r="I512" s="3">
        <v>12.98</v>
      </c>
    </row>
    <row r="513" spans="1:9" x14ac:dyDescent="0.3">
      <c r="A513" s="4">
        <v>41982</v>
      </c>
      <c r="B513" s="5" t="s">
        <v>734</v>
      </c>
      <c r="C513" s="5" t="s">
        <v>80</v>
      </c>
      <c r="D513" s="5" t="s">
        <v>25</v>
      </c>
      <c r="E513" s="5" t="s">
        <v>26</v>
      </c>
      <c r="F513" s="5" t="s">
        <v>735</v>
      </c>
      <c r="G513" s="5">
        <v>3785.29</v>
      </c>
      <c r="H513" s="5">
        <v>6</v>
      </c>
      <c r="I513" s="6">
        <v>420.59</v>
      </c>
    </row>
    <row r="514" spans="1:9" x14ac:dyDescent="0.3">
      <c r="A514" s="1">
        <v>41649</v>
      </c>
      <c r="B514" s="2" t="s">
        <v>736</v>
      </c>
      <c r="C514" s="2" t="s">
        <v>83</v>
      </c>
      <c r="D514" s="2" t="s">
        <v>2</v>
      </c>
      <c r="E514" s="2" t="s">
        <v>34</v>
      </c>
      <c r="F514" s="2" t="s">
        <v>737</v>
      </c>
      <c r="G514" s="2">
        <v>4.71</v>
      </c>
      <c r="H514" s="2">
        <v>1</v>
      </c>
      <c r="I514" s="3">
        <v>0</v>
      </c>
    </row>
    <row r="515" spans="1:9" x14ac:dyDescent="0.3">
      <c r="A515" s="4">
        <v>41680</v>
      </c>
      <c r="B515" s="5" t="s">
        <v>738</v>
      </c>
      <c r="C515" s="5" t="s">
        <v>253</v>
      </c>
      <c r="D515" s="5" t="s">
        <v>2</v>
      </c>
      <c r="E515" s="5" t="s">
        <v>3</v>
      </c>
      <c r="F515" s="5" t="s">
        <v>739</v>
      </c>
      <c r="G515" s="5">
        <v>9.41</v>
      </c>
      <c r="H515" s="5">
        <v>2</v>
      </c>
      <c r="I515" s="6">
        <v>3.41</v>
      </c>
    </row>
    <row r="516" spans="1:9" x14ac:dyDescent="0.3">
      <c r="A516" s="1">
        <v>41680</v>
      </c>
      <c r="B516" s="2" t="s">
        <v>738</v>
      </c>
      <c r="C516" s="2" t="s">
        <v>253</v>
      </c>
      <c r="D516" s="2" t="s">
        <v>2</v>
      </c>
      <c r="E516" s="2" t="s">
        <v>34</v>
      </c>
      <c r="F516" s="2" t="s">
        <v>56</v>
      </c>
      <c r="G516" s="2">
        <v>4.67</v>
      </c>
      <c r="H516" s="2">
        <v>2</v>
      </c>
      <c r="I516" s="3">
        <v>1.46</v>
      </c>
    </row>
    <row r="517" spans="1:9" x14ac:dyDescent="0.3">
      <c r="A517" s="4">
        <v>41680</v>
      </c>
      <c r="B517" s="5" t="s">
        <v>738</v>
      </c>
      <c r="C517" s="5" t="s">
        <v>253</v>
      </c>
      <c r="D517" s="5" t="s">
        <v>30</v>
      </c>
      <c r="E517" s="5" t="s">
        <v>31</v>
      </c>
      <c r="F517" s="5" t="s">
        <v>740</v>
      </c>
      <c r="G517" s="5">
        <v>318.39999999999998</v>
      </c>
      <c r="H517" s="5">
        <v>2</v>
      </c>
      <c r="I517" s="6">
        <v>107.46</v>
      </c>
    </row>
    <row r="518" spans="1:9" x14ac:dyDescent="0.3">
      <c r="A518" s="1">
        <v>41680</v>
      </c>
      <c r="B518" s="2" t="s">
        <v>738</v>
      </c>
      <c r="C518" s="2" t="s">
        <v>253</v>
      </c>
      <c r="D518" s="2" t="s">
        <v>2</v>
      </c>
      <c r="E518" s="2" t="s">
        <v>114</v>
      </c>
      <c r="F518" s="2" t="s">
        <v>741</v>
      </c>
      <c r="G518" s="2">
        <v>12.77</v>
      </c>
      <c r="H518" s="2">
        <v>6</v>
      </c>
      <c r="I518" s="3">
        <v>4.63</v>
      </c>
    </row>
    <row r="519" spans="1:9" x14ac:dyDescent="0.3">
      <c r="A519" s="4">
        <v>41680</v>
      </c>
      <c r="B519" s="5" t="s">
        <v>738</v>
      </c>
      <c r="C519" s="5" t="s">
        <v>253</v>
      </c>
      <c r="D519" s="5" t="s">
        <v>2</v>
      </c>
      <c r="E519" s="5" t="s">
        <v>144</v>
      </c>
      <c r="F519" s="5" t="s">
        <v>742</v>
      </c>
      <c r="G519" s="5">
        <v>15.36</v>
      </c>
      <c r="H519" s="5">
        <v>2</v>
      </c>
      <c r="I519" s="6">
        <v>-3.26</v>
      </c>
    </row>
    <row r="520" spans="1:9" x14ac:dyDescent="0.3">
      <c r="A520" s="1">
        <v>41680</v>
      </c>
      <c r="B520" s="2" t="s">
        <v>738</v>
      </c>
      <c r="C520" s="2" t="s">
        <v>253</v>
      </c>
      <c r="D520" s="2" t="s">
        <v>30</v>
      </c>
      <c r="E520" s="2" t="s">
        <v>31</v>
      </c>
      <c r="F520" s="2" t="s">
        <v>278</v>
      </c>
      <c r="G520" s="2">
        <v>230.38</v>
      </c>
      <c r="H520" s="2">
        <v>3</v>
      </c>
      <c r="I520" s="3">
        <v>20.16</v>
      </c>
    </row>
    <row r="521" spans="1:9" x14ac:dyDescent="0.3">
      <c r="A521" s="4">
        <v>41680</v>
      </c>
      <c r="B521" s="5" t="s">
        <v>738</v>
      </c>
      <c r="C521" s="5" t="s">
        <v>253</v>
      </c>
      <c r="D521" s="5" t="s">
        <v>30</v>
      </c>
      <c r="E521" s="5" t="s">
        <v>43</v>
      </c>
      <c r="F521" s="5" t="s">
        <v>743</v>
      </c>
      <c r="G521" s="5">
        <v>7.16</v>
      </c>
      <c r="H521" s="5">
        <v>1</v>
      </c>
      <c r="I521" s="6">
        <v>-0.09</v>
      </c>
    </row>
    <row r="522" spans="1:9" x14ac:dyDescent="0.3">
      <c r="A522" s="1">
        <v>41708</v>
      </c>
      <c r="B522" s="2" t="s">
        <v>744</v>
      </c>
      <c r="C522" s="2" t="s">
        <v>6</v>
      </c>
      <c r="D522" s="2" t="s">
        <v>25</v>
      </c>
      <c r="E522" s="2" t="s">
        <v>26</v>
      </c>
      <c r="F522" s="2" t="s">
        <v>468</v>
      </c>
      <c r="G522" s="2">
        <v>258.27999999999997</v>
      </c>
      <c r="H522" s="2">
        <v>3</v>
      </c>
      <c r="I522" s="3">
        <v>-70.099999999999994</v>
      </c>
    </row>
    <row r="523" spans="1:9" x14ac:dyDescent="0.3">
      <c r="A523" s="4">
        <v>41708</v>
      </c>
      <c r="B523" s="5" t="s">
        <v>745</v>
      </c>
      <c r="C523" s="5" t="s">
        <v>18</v>
      </c>
      <c r="D523" s="5" t="s">
        <v>25</v>
      </c>
      <c r="E523" s="5" t="s">
        <v>86</v>
      </c>
      <c r="F523" s="5" t="s">
        <v>112</v>
      </c>
      <c r="G523" s="5">
        <v>143.43</v>
      </c>
      <c r="H523" s="5">
        <v>1</v>
      </c>
      <c r="I523" s="6">
        <v>3.59</v>
      </c>
    </row>
    <row r="524" spans="1:9" x14ac:dyDescent="0.3">
      <c r="A524" s="1">
        <v>41708</v>
      </c>
      <c r="B524" s="2" t="s">
        <v>745</v>
      </c>
      <c r="C524" s="2" t="s">
        <v>18</v>
      </c>
      <c r="D524" s="2" t="s">
        <v>25</v>
      </c>
      <c r="E524" s="2" t="s">
        <v>26</v>
      </c>
      <c r="F524" s="2" t="s">
        <v>746</v>
      </c>
      <c r="G524" s="2">
        <v>122.35</v>
      </c>
      <c r="H524" s="2">
        <v>3</v>
      </c>
      <c r="I524" s="3">
        <v>13.76</v>
      </c>
    </row>
    <row r="525" spans="1:9" x14ac:dyDescent="0.3">
      <c r="A525" s="4">
        <v>41708</v>
      </c>
      <c r="B525" s="5" t="s">
        <v>747</v>
      </c>
      <c r="C525" s="5" t="s">
        <v>121</v>
      </c>
      <c r="D525" s="5" t="s">
        <v>2</v>
      </c>
      <c r="E525" s="5" t="s">
        <v>9</v>
      </c>
      <c r="F525" s="5" t="s">
        <v>570</v>
      </c>
      <c r="G525" s="5">
        <v>61.57</v>
      </c>
      <c r="H525" s="5">
        <v>2</v>
      </c>
      <c r="I525" s="6">
        <v>4.62</v>
      </c>
    </row>
    <row r="526" spans="1:9" x14ac:dyDescent="0.3">
      <c r="A526" s="1">
        <v>41708</v>
      </c>
      <c r="B526" s="2" t="s">
        <v>747</v>
      </c>
      <c r="C526" s="2" t="s">
        <v>121</v>
      </c>
      <c r="D526" s="2" t="s">
        <v>2</v>
      </c>
      <c r="E526" s="2" t="s">
        <v>15</v>
      </c>
      <c r="F526" s="2" t="s">
        <v>434</v>
      </c>
      <c r="G526" s="2">
        <v>6.19</v>
      </c>
      <c r="H526" s="2">
        <v>3</v>
      </c>
      <c r="I526" s="3">
        <v>0.46</v>
      </c>
    </row>
    <row r="527" spans="1:9" x14ac:dyDescent="0.3">
      <c r="A527" s="4">
        <v>41708</v>
      </c>
      <c r="B527" s="5" t="s">
        <v>748</v>
      </c>
      <c r="C527" s="5" t="s">
        <v>127</v>
      </c>
      <c r="D527" s="5" t="s">
        <v>2</v>
      </c>
      <c r="E527" s="5" t="s">
        <v>15</v>
      </c>
      <c r="F527" s="5" t="s">
        <v>749</v>
      </c>
      <c r="G527" s="5">
        <v>55.98</v>
      </c>
      <c r="H527" s="5">
        <v>2</v>
      </c>
      <c r="I527" s="6">
        <v>4.2</v>
      </c>
    </row>
    <row r="528" spans="1:9" x14ac:dyDescent="0.3">
      <c r="A528" s="1">
        <v>41708</v>
      </c>
      <c r="B528" s="2" t="s">
        <v>748</v>
      </c>
      <c r="C528" s="2" t="s">
        <v>127</v>
      </c>
      <c r="D528" s="2" t="s">
        <v>2</v>
      </c>
      <c r="E528" s="2" t="s">
        <v>114</v>
      </c>
      <c r="F528" s="2" t="s">
        <v>750</v>
      </c>
      <c r="G528" s="2">
        <v>14.48</v>
      </c>
      <c r="H528" s="2">
        <v>5</v>
      </c>
      <c r="I528" s="3">
        <v>4.8899999999999997</v>
      </c>
    </row>
    <row r="529" spans="1:9" x14ac:dyDescent="0.3">
      <c r="A529" s="4">
        <v>41708</v>
      </c>
      <c r="B529" s="5" t="s">
        <v>748</v>
      </c>
      <c r="C529" s="5" t="s">
        <v>127</v>
      </c>
      <c r="D529" s="5" t="s">
        <v>30</v>
      </c>
      <c r="E529" s="5" t="s">
        <v>43</v>
      </c>
      <c r="F529" s="5" t="s">
        <v>751</v>
      </c>
      <c r="G529" s="5">
        <v>142.49</v>
      </c>
      <c r="H529" s="5">
        <v>3</v>
      </c>
      <c r="I529" s="6">
        <v>-3.56</v>
      </c>
    </row>
    <row r="530" spans="1:9" x14ac:dyDescent="0.3">
      <c r="A530" s="1">
        <v>41708</v>
      </c>
      <c r="B530" s="2" t="s">
        <v>752</v>
      </c>
      <c r="C530" s="2" t="s">
        <v>1</v>
      </c>
      <c r="D530" s="2" t="s">
        <v>2</v>
      </c>
      <c r="E530" s="2" t="s">
        <v>34</v>
      </c>
      <c r="F530" s="2" t="s">
        <v>753</v>
      </c>
      <c r="G530" s="2">
        <v>4.34</v>
      </c>
      <c r="H530" s="2">
        <v>3</v>
      </c>
      <c r="I530" s="3">
        <v>0.87</v>
      </c>
    </row>
    <row r="531" spans="1:9" x14ac:dyDescent="0.3">
      <c r="A531" s="4">
        <v>41708</v>
      </c>
      <c r="B531" s="5" t="s">
        <v>752</v>
      </c>
      <c r="C531" s="5" t="s">
        <v>1</v>
      </c>
      <c r="D531" s="5" t="s">
        <v>25</v>
      </c>
      <c r="E531" s="5" t="s">
        <v>38</v>
      </c>
      <c r="F531" s="5" t="s">
        <v>638</v>
      </c>
      <c r="G531" s="5">
        <v>31.78</v>
      </c>
      <c r="H531" s="5">
        <v>3</v>
      </c>
      <c r="I531" s="6">
        <v>-19.07</v>
      </c>
    </row>
    <row r="532" spans="1:9" x14ac:dyDescent="0.3">
      <c r="A532" s="1">
        <v>41708</v>
      </c>
      <c r="B532" s="2" t="s">
        <v>752</v>
      </c>
      <c r="C532" s="2" t="s">
        <v>1</v>
      </c>
      <c r="D532" s="2" t="s">
        <v>2</v>
      </c>
      <c r="E532" s="2" t="s">
        <v>7</v>
      </c>
      <c r="F532" s="2" t="s">
        <v>754</v>
      </c>
      <c r="G532" s="2">
        <v>4.93</v>
      </c>
      <c r="H532" s="2">
        <v>2</v>
      </c>
      <c r="I532" s="3">
        <v>1.72</v>
      </c>
    </row>
    <row r="533" spans="1:9" x14ac:dyDescent="0.3">
      <c r="A533" s="4">
        <v>41708</v>
      </c>
      <c r="B533" s="5" t="s">
        <v>752</v>
      </c>
      <c r="C533" s="5" t="s">
        <v>1</v>
      </c>
      <c r="D533" s="5" t="s">
        <v>2</v>
      </c>
      <c r="E533" s="5" t="s">
        <v>11</v>
      </c>
      <c r="F533" s="5" t="s">
        <v>480</v>
      </c>
      <c r="G533" s="5">
        <v>1.79</v>
      </c>
      <c r="H533" s="5">
        <v>3</v>
      </c>
      <c r="I533" s="6">
        <v>-3.04</v>
      </c>
    </row>
    <row r="534" spans="1:9" x14ac:dyDescent="0.3">
      <c r="A534" s="1">
        <v>41708</v>
      </c>
      <c r="B534" s="2" t="s">
        <v>752</v>
      </c>
      <c r="C534" s="2" t="s">
        <v>1</v>
      </c>
      <c r="D534" s="2" t="s">
        <v>2</v>
      </c>
      <c r="E534" s="2" t="s">
        <v>34</v>
      </c>
      <c r="F534" s="2" t="s">
        <v>737</v>
      </c>
      <c r="G534" s="2">
        <v>15.07</v>
      </c>
      <c r="H534" s="2">
        <v>4</v>
      </c>
      <c r="I534" s="3">
        <v>-3.77</v>
      </c>
    </row>
    <row r="535" spans="1:9" x14ac:dyDescent="0.3">
      <c r="A535" s="4">
        <v>41739</v>
      </c>
      <c r="B535" s="5" t="s">
        <v>755</v>
      </c>
      <c r="C535" s="5" t="s">
        <v>18</v>
      </c>
      <c r="D535" s="5" t="s">
        <v>2</v>
      </c>
      <c r="E535" s="5" t="s">
        <v>7</v>
      </c>
      <c r="F535" s="5" t="s">
        <v>756</v>
      </c>
      <c r="G535" s="5">
        <v>14.45</v>
      </c>
      <c r="H535" s="5">
        <v>5</v>
      </c>
      <c r="I535" s="6">
        <v>6.79</v>
      </c>
    </row>
    <row r="536" spans="1:9" x14ac:dyDescent="0.3">
      <c r="A536" s="1">
        <v>41739</v>
      </c>
      <c r="B536" s="2" t="s">
        <v>755</v>
      </c>
      <c r="C536" s="2" t="s">
        <v>18</v>
      </c>
      <c r="D536" s="2" t="s">
        <v>2</v>
      </c>
      <c r="E536" s="2" t="s">
        <v>11</v>
      </c>
      <c r="F536" s="2" t="s">
        <v>757</v>
      </c>
      <c r="G536" s="2">
        <v>95.65</v>
      </c>
      <c r="H536" s="2">
        <v>2</v>
      </c>
      <c r="I536" s="3">
        <v>31.09</v>
      </c>
    </row>
    <row r="537" spans="1:9" x14ac:dyDescent="0.3">
      <c r="A537" s="4">
        <v>41739</v>
      </c>
      <c r="B537" s="5" t="s">
        <v>758</v>
      </c>
      <c r="C537" s="5" t="s">
        <v>62</v>
      </c>
      <c r="D537" s="5" t="s">
        <v>2</v>
      </c>
      <c r="E537" s="5" t="s">
        <v>7</v>
      </c>
      <c r="F537" s="5" t="s">
        <v>759</v>
      </c>
      <c r="G537" s="5">
        <v>29.24</v>
      </c>
      <c r="H537" s="5">
        <v>4</v>
      </c>
      <c r="I537" s="6">
        <v>13.74</v>
      </c>
    </row>
    <row r="538" spans="1:9" x14ac:dyDescent="0.3">
      <c r="A538" s="1">
        <v>41739</v>
      </c>
      <c r="B538" s="2" t="s">
        <v>710</v>
      </c>
      <c r="C538" s="2" t="s">
        <v>80</v>
      </c>
      <c r="D538" s="2" t="s">
        <v>25</v>
      </c>
      <c r="E538" s="2" t="s">
        <v>26</v>
      </c>
      <c r="F538" s="2" t="s">
        <v>760</v>
      </c>
      <c r="G538" s="2">
        <v>589.41</v>
      </c>
      <c r="H538" s="2">
        <v>5</v>
      </c>
      <c r="I538" s="3">
        <v>-6.55</v>
      </c>
    </row>
    <row r="539" spans="1:9" x14ac:dyDescent="0.3">
      <c r="A539" s="4">
        <v>41769</v>
      </c>
      <c r="B539" s="5" t="s">
        <v>761</v>
      </c>
      <c r="C539" s="5" t="s">
        <v>127</v>
      </c>
      <c r="D539" s="5" t="s">
        <v>2</v>
      </c>
      <c r="E539" s="5" t="s">
        <v>133</v>
      </c>
      <c r="F539" s="5" t="s">
        <v>421</v>
      </c>
      <c r="G539" s="5">
        <v>91.92</v>
      </c>
      <c r="H539" s="5">
        <v>5</v>
      </c>
      <c r="I539" s="6">
        <v>11.49</v>
      </c>
    </row>
    <row r="540" spans="1:9" x14ac:dyDescent="0.3">
      <c r="A540" s="1">
        <v>41769</v>
      </c>
      <c r="B540" s="2" t="s">
        <v>762</v>
      </c>
      <c r="C540" s="2" t="s">
        <v>18</v>
      </c>
      <c r="D540" s="2" t="s">
        <v>30</v>
      </c>
      <c r="E540" s="2" t="s">
        <v>43</v>
      </c>
      <c r="F540" s="2" t="s">
        <v>763</v>
      </c>
      <c r="G540" s="2">
        <v>99.98</v>
      </c>
      <c r="H540" s="2">
        <v>2</v>
      </c>
      <c r="I540" s="3">
        <v>34.99</v>
      </c>
    </row>
    <row r="541" spans="1:9" x14ac:dyDescent="0.3">
      <c r="A541" s="4">
        <v>41800</v>
      </c>
      <c r="B541" s="5" t="s">
        <v>764</v>
      </c>
      <c r="C541" s="5" t="s">
        <v>18</v>
      </c>
      <c r="D541" s="5" t="s">
        <v>30</v>
      </c>
      <c r="E541" s="5" t="s">
        <v>43</v>
      </c>
      <c r="F541" s="5" t="s">
        <v>765</v>
      </c>
      <c r="G541" s="5">
        <v>9.09</v>
      </c>
      <c r="H541" s="5">
        <v>3</v>
      </c>
      <c r="I541" s="6">
        <v>1.91</v>
      </c>
    </row>
    <row r="542" spans="1:9" x14ac:dyDescent="0.3">
      <c r="A542" s="1">
        <v>41800</v>
      </c>
      <c r="B542" s="2" t="s">
        <v>766</v>
      </c>
      <c r="C542" s="2" t="s">
        <v>767</v>
      </c>
      <c r="D542" s="2" t="s">
        <v>2</v>
      </c>
      <c r="E542" s="2" t="s">
        <v>11</v>
      </c>
      <c r="F542" s="2" t="s">
        <v>631</v>
      </c>
      <c r="G542" s="2">
        <v>15.36</v>
      </c>
      <c r="H542" s="2">
        <v>2</v>
      </c>
      <c r="I542" s="3">
        <v>7.68</v>
      </c>
    </row>
    <row r="543" spans="1:9" x14ac:dyDescent="0.3">
      <c r="A543" s="4">
        <v>41800</v>
      </c>
      <c r="B543" s="5" t="s">
        <v>758</v>
      </c>
      <c r="C543" s="5" t="s">
        <v>14</v>
      </c>
      <c r="D543" s="5" t="s">
        <v>2</v>
      </c>
      <c r="E543" s="5" t="s">
        <v>9</v>
      </c>
      <c r="F543" s="5" t="s">
        <v>768</v>
      </c>
      <c r="G543" s="5">
        <v>83.92</v>
      </c>
      <c r="H543" s="5">
        <v>5</v>
      </c>
      <c r="I543" s="6">
        <v>-13.64</v>
      </c>
    </row>
    <row r="544" spans="1:9" x14ac:dyDescent="0.3">
      <c r="A544" s="1">
        <v>41800</v>
      </c>
      <c r="B544" s="2" t="s">
        <v>636</v>
      </c>
      <c r="C544" s="2" t="s">
        <v>283</v>
      </c>
      <c r="D544" s="2" t="s">
        <v>2</v>
      </c>
      <c r="E544" s="2" t="s">
        <v>9</v>
      </c>
      <c r="F544" s="2" t="s">
        <v>769</v>
      </c>
      <c r="G544" s="2">
        <v>386.34</v>
      </c>
      <c r="H544" s="2">
        <v>2</v>
      </c>
      <c r="I544" s="3">
        <v>54.09</v>
      </c>
    </row>
    <row r="545" spans="1:9" x14ac:dyDescent="0.3">
      <c r="A545" s="4">
        <v>41830</v>
      </c>
      <c r="B545" s="5" t="s">
        <v>630</v>
      </c>
      <c r="C545" s="5" t="s">
        <v>14</v>
      </c>
      <c r="D545" s="5" t="s">
        <v>25</v>
      </c>
      <c r="E545" s="5" t="s">
        <v>38</v>
      </c>
      <c r="F545" s="5" t="s">
        <v>770</v>
      </c>
      <c r="G545" s="5">
        <v>129.91999999999999</v>
      </c>
      <c r="H545" s="5">
        <v>5</v>
      </c>
      <c r="I545" s="6">
        <v>21.11</v>
      </c>
    </row>
    <row r="546" spans="1:9" x14ac:dyDescent="0.3">
      <c r="A546" s="1">
        <v>41830</v>
      </c>
      <c r="B546" s="2" t="s">
        <v>215</v>
      </c>
      <c r="C546" s="2" t="s">
        <v>1</v>
      </c>
      <c r="D546" s="2" t="s">
        <v>2</v>
      </c>
      <c r="E546" s="2" t="s">
        <v>9</v>
      </c>
      <c r="F546" s="2" t="s">
        <v>771</v>
      </c>
      <c r="G546" s="2">
        <v>107.44</v>
      </c>
      <c r="H546" s="2">
        <v>10</v>
      </c>
      <c r="I546" s="3">
        <v>10.74</v>
      </c>
    </row>
    <row r="547" spans="1:9" x14ac:dyDescent="0.3">
      <c r="A547" s="4">
        <v>41861</v>
      </c>
      <c r="B547" s="5" t="s">
        <v>772</v>
      </c>
      <c r="C547" s="5" t="s">
        <v>121</v>
      </c>
      <c r="D547" s="5" t="s">
        <v>30</v>
      </c>
      <c r="E547" s="5" t="s">
        <v>43</v>
      </c>
      <c r="F547" s="5" t="s">
        <v>773</v>
      </c>
      <c r="G547" s="5">
        <v>23.47</v>
      </c>
      <c r="H547" s="5">
        <v>3</v>
      </c>
      <c r="I547" s="6">
        <v>4.99</v>
      </c>
    </row>
    <row r="548" spans="1:9" x14ac:dyDescent="0.3">
      <c r="A548" s="1">
        <v>41861</v>
      </c>
      <c r="B548" s="2" t="s">
        <v>774</v>
      </c>
      <c r="C548" s="2" t="s">
        <v>80</v>
      </c>
      <c r="D548" s="2" t="s">
        <v>2</v>
      </c>
      <c r="E548" s="2" t="s">
        <v>3</v>
      </c>
      <c r="F548" s="2" t="s">
        <v>775</v>
      </c>
      <c r="G548" s="2">
        <v>123.92</v>
      </c>
      <c r="H548" s="2">
        <v>4</v>
      </c>
      <c r="I548" s="3">
        <v>55.76</v>
      </c>
    </row>
    <row r="549" spans="1:9" x14ac:dyDescent="0.3">
      <c r="A549" s="4">
        <v>41892</v>
      </c>
      <c r="B549" s="5" t="s">
        <v>406</v>
      </c>
      <c r="C549" s="5" t="s">
        <v>121</v>
      </c>
      <c r="D549" s="5" t="s">
        <v>2</v>
      </c>
      <c r="E549" s="5" t="s">
        <v>3</v>
      </c>
      <c r="F549" s="5" t="s">
        <v>209</v>
      </c>
      <c r="G549" s="5">
        <v>88.77</v>
      </c>
      <c r="H549" s="5">
        <v>2</v>
      </c>
      <c r="I549" s="6">
        <v>31.07</v>
      </c>
    </row>
    <row r="550" spans="1:9" x14ac:dyDescent="0.3">
      <c r="A550" s="1">
        <v>41892</v>
      </c>
      <c r="B550" s="2" t="s">
        <v>776</v>
      </c>
      <c r="C550" s="2" t="s">
        <v>18</v>
      </c>
      <c r="D550" s="2" t="s">
        <v>2</v>
      </c>
      <c r="E550" s="2" t="s">
        <v>15</v>
      </c>
      <c r="F550" s="2" t="s">
        <v>366</v>
      </c>
      <c r="G550" s="2">
        <v>144.6</v>
      </c>
      <c r="H550" s="2">
        <v>3</v>
      </c>
      <c r="I550" s="3">
        <v>41.93</v>
      </c>
    </row>
    <row r="551" spans="1:9" x14ac:dyDescent="0.3">
      <c r="A551" s="4">
        <v>41892</v>
      </c>
      <c r="B551" s="5" t="s">
        <v>776</v>
      </c>
      <c r="C551" s="5" t="s">
        <v>18</v>
      </c>
      <c r="D551" s="5" t="s">
        <v>30</v>
      </c>
      <c r="E551" s="5" t="s">
        <v>31</v>
      </c>
      <c r="F551" s="5" t="s">
        <v>777</v>
      </c>
      <c r="G551" s="5">
        <v>15.99</v>
      </c>
      <c r="H551" s="5">
        <v>1</v>
      </c>
      <c r="I551" s="6">
        <v>-3</v>
      </c>
    </row>
    <row r="552" spans="1:9" x14ac:dyDescent="0.3">
      <c r="A552" s="1">
        <v>41922</v>
      </c>
      <c r="B552" s="2" t="s">
        <v>778</v>
      </c>
      <c r="C552" s="2" t="s">
        <v>18</v>
      </c>
      <c r="D552" s="2" t="s">
        <v>25</v>
      </c>
      <c r="E552" s="2" t="s">
        <v>26</v>
      </c>
      <c r="F552" s="2" t="s">
        <v>746</v>
      </c>
      <c r="G552" s="2">
        <v>122.35</v>
      </c>
      <c r="H552" s="2">
        <v>3</v>
      </c>
      <c r="I552" s="3">
        <v>13.76</v>
      </c>
    </row>
    <row r="553" spans="1:9" x14ac:dyDescent="0.3">
      <c r="A553" s="4">
        <v>41922</v>
      </c>
      <c r="B553" s="5" t="s">
        <v>778</v>
      </c>
      <c r="C553" s="5" t="s">
        <v>18</v>
      </c>
      <c r="D553" s="5" t="s">
        <v>2</v>
      </c>
      <c r="E553" s="5" t="s">
        <v>114</v>
      </c>
      <c r="F553" s="5" t="s">
        <v>779</v>
      </c>
      <c r="G553" s="5">
        <v>15.28</v>
      </c>
      <c r="H553" s="5">
        <v>2</v>
      </c>
      <c r="I553" s="6">
        <v>7.49</v>
      </c>
    </row>
    <row r="554" spans="1:9" x14ac:dyDescent="0.3">
      <c r="A554" s="1">
        <v>41922</v>
      </c>
      <c r="B554" s="2" t="s">
        <v>227</v>
      </c>
      <c r="C554" s="2" t="s">
        <v>253</v>
      </c>
      <c r="D554" s="2" t="s">
        <v>25</v>
      </c>
      <c r="E554" s="2" t="s">
        <v>38</v>
      </c>
      <c r="F554" s="2" t="s">
        <v>780</v>
      </c>
      <c r="G554" s="2">
        <v>46.87</v>
      </c>
      <c r="H554" s="2">
        <v>7</v>
      </c>
      <c r="I554" s="3">
        <v>3.52</v>
      </c>
    </row>
    <row r="555" spans="1:9" x14ac:dyDescent="0.3">
      <c r="A555" s="4">
        <v>41922</v>
      </c>
      <c r="B555" s="5" t="s">
        <v>154</v>
      </c>
      <c r="C555" s="5" t="s">
        <v>1</v>
      </c>
      <c r="D555" s="5" t="s">
        <v>30</v>
      </c>
      <c r="E555" s="5" t="s">
        <v>31</v>
      </c>
      <c r="F555" s="5" t="s">
        <v>186</v>
      </c>
      <c r="G555" s="5">
        <v>719.95</v>
      </c>
      <c r="H555" s="5">
        <v>6</v>
      </c>
      <c r="I555" s="6">
        <v>72</v>
      </c>
    </row>
    <row r="556" spans="1:9" x14ac:dyDescent="0.3">
      <c r="A556" s="1">
        <v>41922</v>
      </c>
      <c r="B556" s="2" t="s">
        <v>154</v>
      </c>
      <c r="C556" s="2" t="s">
        <v>1</v>
      </c>
      <c r="D556" s="2" t="s">
        <v>30</v>
      </c>
      <c r="E556" s="2" t="s">
        <v>31</v>
      </c>
      <c r="F556" s="2" t="s">
        <v>781</v>
      </c>
      <c r="G556" s="2">
        <v>755.94</v>
      </c>
      <c r="H556" s="2">
        <v>7</v>
      </c>
      <c r="I556" s="3">
        <v>66.150000000000006</v>
      </c>
    </row>
    <row r="557" spans="1:9" x14ac:dyDescent="0.3">
      <c r="A557" s="4">
        <v>41922</v>
      </c>
      <c r="B557" s="5" t="s">
        <v>154</v>
      </c>
      <c r="C557" s="5" t="s">
        <v>1</v>
      </c>
      <c r="D557" s="5" t="s">
        <v>2</v>
      </c>
      <c r="E557" s="5" t="s">
        <v>11</v>
      </c>
      <c r="F557" s="5" t="s">
        <v>269</v>
      </c>
      <c r="G557" s="5">
        <v>11.98</v>
      </c>
      <c r="H557" s="5">
        <v>5</v>
      </c>
      <c r="I557" s="6">
        <v>-19.170000000000002</v>
      </c>
    </row>
    <row r="558" spans="1:9" x14ac:dyDescent="0.3">
      <c r="A558" s="1">
        <v>41922</v>
      </c>
      <c r="B558" s="2" t="s">
        <v>154</v>
      </c>
      <c r="C558" s="2" t="s">
        <v>1</v>
      </c>
      <c r="D558" s="2" t="s">
        <v>2</v>
      </c>
      <c r="E558" s="2" t="s">
        <v>11</v>
      </c>
      <c r="F558" s="2" t="s">
        <v>201</v>
      </c>
      <c r="G558" s="2">
        <v>0.9</v>
      </c>
      <c r="H558" s="2">
        <v>1</v>
      </c>
      <c r="I558" s="3">
        <v>-1.57</v>
      </c>
    </row>
    <row r="559" spans="1:9" x14ac:dyDescent="0.3">
      <c r="A559" s="4">
        <v>41922</v>
      </c>
      <c r="B559" s="5" t="s">
        <v>175</v>
      </c>
      <c r="C559" s="5" t="s">
        <v>127</v>
      </c>
      <c r="D559" s="5" t="s">
        <v>30</v>
      </c>
      <c r="E559" s="5" t="s">
        <v>625</v>
      </c>
      <c r="F559" s="5" t="s">
        <v>782</v>
      </c>
      <c r="G559" s="5">
        <v>101.99</v>
      </c>
      <c r="H559" s="5">
        <v>2</v>
      </c>
      <c r="I559" s="6">
        <v>-71.400000000000006</v>
      </c>
    </row>
    <row r="560" spans="1:9" x14ac:dyDescent="0.3">
      <c r="A560" s="1">
        <v>41922</v>
      </c>
      <c r="B560" s="2" t="s">
        <v>175</v>
      </c>
      <c r="C560" s="2" t="s">
        <v>127</v>
      </c>
      <c r="D560" s="2" t="s">
        <v>2</v>
      </c>
      <c r="E560" s="2" t="s">
        <v>11</v>
      </c>
      <c r="F560" s="2" t="s">
        <v>727</v>
      </c>
      <c r="G560" s="2">
        <v>18.260000000000002</v>
      </c>
      <c r="H560" s="2">
        <v>2</v>
      </c>
      <c r="I560" s="3">
        <v>-13.39</v>
      </c>
    </row>
    <row r="561" spans="1:9" x14ac:dyDescent="0.3">
      <c r="A561" s="4">
        <v>41922</v>
      </c>
      <c r="B561" s="5" t="s">
        <v>783</v>
      </c>
      <c r="C561" s="5" t="s">
        <v>784</v>
      </c>
      <c r="D561" s="5" t="s">
        <v>2</v>
      </c>
      <c r="E561" s="5" t="s">
        <v>15</v>
      </c>
      <c r="F561" s="5" t="s">
        <v>785</v>
      </c>
      <c r="G561" s="5">
        <v>255.85</v>
      </c>
      <c r="H561" s="5">
        <v>7</v>
      </c>
      <c r="I561" s="6">
        <v>112.57</v>
      </c>
    </row>
    <row r="562" spans="1:9" x14ac:dyDescent="0.3">
      <c r="A562" s="1">
        <v>41953</v>
      </c>
      <c r="B562" s="2" t="s">
        <v>786</v>
      </c>
      <c r="C562" s="2" t="s">
        <v>14</v>
      </c>
      <c r="D562" s="2" t="s">
        <v>2</v>
      </c>
      <c r="E562" s="2" t="s">
        <v>9</v>
      </c>
      <c r="F562" s="2" t="s">
        <v>787</v>
      </c>
      <c r="G562" s="2">
        <v>281.89999999999998</v>
      </c>
      <c r="H562" s="2">
        <v>2</v>
      </c>
      <c r="I562" s="3">
        <v>10.57</v>
      </c>
    </row>
    <row r="563" spans="1:9" x14ac:dyDescent="0.3">
      <c r="A563" s="4">
        <v>41953</v>
      </c>
      <c r="B563" s="5" t="s">
        <v>786</v>
      </c>
      <c r="C563" s="5" t="s">
        <v>14</v>
      </c>
      <c r="D563" s="5" t="s">
        <v>2</v>
      </c>
      <c r="E563" s="5" t="s">
        <v>114</v>
      </c>
      <c r="F563" s="5" t="s">
        <v>788</v>
      </c>
      <c r="G563" s="5">
        <v>201.43</v>
      </c>
      <c r="H563" s="5">
        <v>3</v>
      </c>
      <c r="I563" s="6">
        <v>67.98</v>
      </c>
    </row>
    <row r="564" spans="1:9" x14ac:dyDescent="0.3">
      <c r="A564" s="1">
        <v>41953</v>
      </c>
      <c r="B564" s="2" t="s">
        <v>789</v>
      </c>
      <c r="C564" s="2" t="s">
        <v>62</v>
      </c>
      <c r="D564" s="2" t="s">
        <v>25</v>
      </c>
      <c r="E564" s="2" t="s">
        <v>38</v>
      </c>
      <c r="F564" s="2" t="s">
        <v>790</v>
      </c>
      <c r="G564" s="2">
        <v>63.47</v>
      </c>
      <c r="H564" s="2">
        <v>11</v>
      </c>
      <c r="I564" s="3">
        <v>19.04</v>
      </c>
    </row>
    <row r="565" spans="1:9" x14ac:dyDescent="0.3">
      <c r="A565" s="4">
        <v>41953</v>
      </c>
      <c r="B565" s="5" t="s">
        <v>789</v>
      </c>
      <c r="C565" s="5" t="s">
        <v>62</v>
      </c>
      <c r="D565" s="5" t="s">
        <v>30</v>
      </c>
      <c r="E565" s="5" t="s">
        <v>43</v>
      </c>
      <c r="F565" s="5" t="s">
        <v>791</v>
      </c>
      <c r="G565" s="5">
        <v>345</v>
      </c>
      <c r="H565" s="5">
        <v>5</v>
      </c>
      <c r="I565" s="6">
        <v>58.65</v>
      </c>
    </row>
    <row r="566" spans="1:9" x14ac:dyDescent="0.3">
      <c r="A566" s="1">
        <v>41953</v>
      </c>
      <c r="B566" s="2" t="s">
        <v>792</v>
      </c>
      <c r="C566" s="2" t="s">
        <v>18</v>
      </c>
      <c r="D566" s="2" t="s">
        <v>2</v>
      </c>
      <c r="E566" s="2" t="s">
        <v>9</v>
      </c>
      <c r="F566" s="2" t="s">
        <v>793</v>
      </c>
      <c r="G566" s="2">
        <v>31.92</v>
      </c>
      <c r="H566" s="2">
        <v>4</v>
      </c>
      <c r="I566" s="3">
        <v>8.3000000000000007</v>
      </c>
    </row>
    <row r="567" spans="1:9" x14ac:dyDescent="0.3">
      <c r="A567" s="4">
        <v>41953</v>
      </c>
      <c r="B567" s="5" t="s">
        <v>792</v>
      </c>
      <c r="C567" s="5" t="s">
        <v>18</v>
      </c>
      <c r="D567" s="5" t="s">
        <v>25</v>
      </c>
      <c r="E567" s="5" t="s">
        <v>26</v>
      </c>
      <c r="F567" s="5" t="s">
        <v>794</v>
      </c>
      <c r="G567" s="5">
        <v>433.57</v>
      </c>
      <c r="H567" s="5">
        <v>2</v>
      </c>
      <c r="I567" s="6">
        <v>-65.040000000000006</v>
      </c>
    </row>
    <row r="568" spans="1:9" x14ac:dyDescent="0.3">
      <c r="A568" s="1">
        <v>41953</v>
      </c>
      <c r="B568" s="2" t="s">
        <v>795</v>
      </c>
      <c r="C568" s="2" t="s">
        <v>368</v>
      </c>
      <c r="D568" s="2" t="s">
        <v>2</v>
      </c>
      <c r="E568" s="2" t="s">
        <v>7</v>
      </c>
      <c r="F568" s="2" t="s">
        <v>512</v>
      </c>
      <c r="G568" s="2">
        <v>7.31</v>
      </c>
      <c r="H568" s="2">
        <v>1</v>
      </c>
      <c r="I568" s="3">
        <v>3.44</v>
      </c>
    </row>
    <row r="569" spans="1:9" x14ac:dyDescent="0.3">
      <c r="A569" s="4">
        <v>41953</v>
      </c>
      <c r="B569" s="5" t="s">
        <v>795</v>
      </c>
      <c r="C569" s="5" t="s">
        <v>368</v>
      </c>
      <c r="D569" s="5" t="s">
        <v>25</v>
      </c>
      <c r="E569" s="5" t="s">
        <v>38</v>
      </c>
      <c r="F569" s="5" t="s">
        <v>796</v>
      </c>
      <c r="G569" s="5">
        <v>8.92</v>
      </c>
      <c r="H569" s="5">
        <v>4</v>
      </c>
      <c r="I569" s="6">
        <v>3.92</v>
      </c>
    </row>
    <row r="570" spans="1:9" x14ac:dyDescent="0.3">
      <c r="A570" s="1">
        <v>41953</v>
      </c>
      <c r="B570" s="2" t="s">
        <v>797</v>
      </c>
      <c r="C570" s="2" t="s">
        <v>18</v>
      </c>
      <c r="D570" s="2" t="s">
        <v>2</v>
      </c>
      <c r="E570" s="2" t="s">
        <v>114</v>
      </c>
      <c r="F570" s="2" t="s">
        <v>779</v>
      </c>
      <c r="G570" s="2">
        <v>7.64</v>
      </c>
      <c r="H570" s="2">
        <v>1</v>
      </c>
      <c r="I570" s="3">
        <v>3.74</v>
      </c>
    </row>
    <row r="571" spans="1:9" x14ac:dyDescent="0.3">
      <c r="A571" s="4">
        <v>41983</v>
      </c>
      <c r="B571" s="5" t="s">
        <v>774</v>
      </c>
      <c r="C571" s="5" t="s">
        <v>18</v>
      </c>
      <c r="D571" s="5" t="s">
        <v>2</v>
      </c>
      <c r="E571" s="5" t="s">
        <v>15</v>
      </c>
      <c r="F571" s="5" t="s">
        <v>798</v>
      </c>
      <c r="G571" s="5">
        <v>14.9</v>
      </c>
      <c r="H571" s="5">
        <v>5</v>
      </c>
      <c r="I571" s="6">
        <v>4.17</v>
      </c>
    </row>
    <row r="572" spans="1:9" x14ac:dyDescent="0.3">
      <c r="A572" s="1">
        <v>41983</v>
      </c>
      <c r="B572" s="2" t="s">
        <v>774</v>
      </c>
      <c r="C572" s="2" t="s">
        <v>18</v>
      </c>
      <c r="D572" s="2" t="s">
        <v>2</v>
      </c>
      <c r="E572" s="2" t="s">
        <v>9</v>
      </c>
      <c r="F572" s="2" t="s">
        <v>799</v>
      </c>
      <c r="G572" s="2">
        <v>21.39</v>
      </c>
      <c r="H572" s="2">
        <v>1</v>
      </c>
      <c r="I572" s="3">
        <v>6.2</v>
      </c>
    </row>
    <row r="573" spans="1:9" x14ac:dyDescent="0.3">
      <c r="A573" s="4">
        <v>41983</v>
      </c>
      <c r="B573" s="5" t="s">
        <v>800</v>
      </c>
      <c r="C573" s="5" t="s">
        <v>6</v>
      </c>
      <c r="D573" s="5" t="s">
        <v>2</v>
      </c>
      <c r="E573" s="5" t="s">
        <v>144</v>
      </c>
      <c r="F573" s="5" t="s">
        <v>801</v>
      </c>
      <c r="G573" s="5">
        <v>22.24</v>
      </c>
      <c r="H573" s="5">
        <v>2</v>
      </c>
      <c r="I573" s="6">
        <v>2.5</v>
      </c>
    </row>
    <row r="574" spans="1:9" x14ac:dyDescent="0.3">
      <c r="A574" s="1">
        <v>41650</v>
      </c>
      <c r="B574" s="2" t="s">
        <v>802</v>
      </c>
      <c r="C574" s="2" t="s">
        <v>163</v>
      </c>
      <c r="D574" s="2" t="s">
        <v>2</v>
      </c>
      <c r="E574" s="2" t="s">
        <v>15</v>
      </c>
      <c r="F574" s="2" t="s">
        <v>320</v>
      </c>
      <c r="G574" s="2">
        <v>43.18</v>
      </c>
      <c r="H574" s="2">
        <v>3</v>
      </c>
      <c r="I574" s="3">
        <v>4.32</v>
      </c>
    </row>
    <row r="575" spans="1:9" x14ac:dyDescent="0.3">
      <c r="A575" s="4">
        <v>41650</v>
      </c>
      <c r="B575" s="5" t="s">
        <v>802</v>
      </c>
      <c r="C575" s="5" t="s">
        <v>163</v>
      </c>
      <c r="D575" s="5" t="s">
        <v>30</v>
      </c>
      <c r="E575" s="5" t="s">
        <v>31</v>
      </c>
      <c r="F575" s="5" t="s">
        <v>803</v>
      </c>
      <c r="G575" s="5">
        <v>1983.97</v>
      </c>
      <c r="H575" s="5">
        <v>4</v>
      </c>
      <c r="I575" s="6">
        <v>248</v>
      </c>
    </row>
    <row r="576" spans="1:9" x14ac:dyDescent="0.3">
      <c r="A576" s="1">
        <v>41650</v>
      </c>
      <c r="B576" s="2" t="s">
        <v>804</v>
      </c>
      <c r="C576" s="2" t="s">
        <v>713</v>
      </c>
      <c r="D576" s="2" t="s">
        <v>2</v>
      </c>
      <c r="E576" s="2" t="s">
        <v>9</v>
      </c>
      <c r="F576" s="2" t="s">
        <v>805</v>
      </c>
      <c r="G576" s="2">
        <v>443.92</v>
      </c>
      <c r="H576" s="2">
        <v>5</v>
      </c>
      <c r="I576" s="3">
        <v>-94.33</v>
      </c>
    </row>
    <row r="577" spans="1:9" x14ac:dyDescent="0.3">
      <c r="A577" s="4">
        <v>41650</v>
      </c>
      <c r="B577" s="5" t="s">
        <v>804</v>
      </c>
      <c r="C577" s="5" t="s">
        <v>713</v>
      </c>
      <c r="D577" s="5" t="s">
        <v>30</v>
      </c>
      <c r="E577" s="5" t="s">
        <v>31</v>
      </c>
      <c r="F577" s="5" t="s">
        <v>806</v>
      </c>
      <c r="G577" s="5">
        <v>155.97999999999999</v>
      </c>
      <c r="H577" s="5">
        <v>3</v>
      </c>
      <c r="I577" s="6">
        <v>54.59</v>
      </c>
    </row>
    <row r="578" spans="1:9" x14ac:dyDescent="0.3">
      <c r="A578" s="1">
        <v>41650</v>
      </c>
      <c r="B578" s="2" t="s">
        <v>807</v>
      </c>
      <c r="C578" s="2" t="s">
        <v>121</v>
      </c>
      <c r="D578" s="2" t="s">
        <v>2</v>
      </c>
      <c r="E578" s="2" t="s">
        <v>34</v>
      </c>
      <c r="F578" s="2" t="s">
        <v>56</v>
      </c>
      <c r="G578" s="2">
        <v>7.52</v>
      </c>
      <c r="H578" s="2">
        <v>5</v>
      </c>
      <c r="I578" s="3">
        <v>1.41</v>
      </c>
    </row>
    <row r="579" spans="1:9" x14ac:dyDescent="0.3">
      <c r="A579" s="4">
        <v>41650</v>
      </c>
      <c r="B579" s="5" t="s">
        <v>807</v>
      </c>
      <c r="C579" s="5" t="s">
        <v>121</v>
      </c>
      <c r="D579" s="5" t="s">
        <v>2</v>
      </c>
      <c r="E579" s="5" t="s">
        <v>15</v>
      </c>
      <c r="F579" s="5" t="s">
        <v>709</v>
      </c>
      <c r="G579" s="5">
        <v>10.27</v>
      </c>
      <c r="H579" s="5">
        <v>3</v>
      </c>
      <c r="I579" s="6">
        <v>0.9</v>
      </c>
    </row>
    <row r="580" spans="1:9" x14ac:dyDescent="0.3">
      <c r="A580" s="1">
        <v>41650</v>
      </c>
      <c r="B580" s="2" t="s">
        <v>807</v>
      </c>
      <c r="C580" s="2" t="s">
        <v>121</v>
      </c>
      <c r="D580" s="2" t="s">
        <v>2</v>
      </c>
      <c r="E580" s="2" t="s">
        <v>7</v>
      </c>
      <c r="F580" s="2" t="s">
        <v>385</v>
      </c>
      <c r="G580" s="2">
        <v>47.81</v>
      </c>
      <c r="H580" s="2">
        <v>12</v>
      </c>
      <c r="I580" s="3">
        <v>15.54</v>
      </c>
    </row>
    <row r="581" spans="1:9" x14ac:dyDescent="0.3">
      <c r="A581" s="4">
        <v>41650</v>
      </c>
      <c r="B581" s="5" t="s">
        <v>807</v>
      </c>
      <c r="C581" s="5" t="s">
        <v>121</v>
      </c>
      <c r="D581" s="5" t="s">
        <v>30</v>
      </c>
      <c r="E581" s="5" t="s">
        <v>31</v>
      </c>
      <c r="F581" s="5" t="s">
        <v>808</v>
      </c>
      <c r="G581" s="5">
        <v>978.84</v>
      </c>
      <c r="H581" s="5">
        <v>9</v>
      </c>
      <c r="I581" s="6">
        <v>110.12</v>
      </c>
    </row>
    <row r="582" spans="1:9" x14ac:dyDescent="0.3">
      <c r="A582" s="1">
        <v>41650</v>
      </c>
      <c r="B582" s="2" t="s">
        <v>809</v>
      </c>
      <c r="C582" s="2" t="s">
        <v>6</v>
      </c>
      <c r="D582" s="2" t="s">
        <v>2</v>
      </c>
      <c r="E582" s="2" t="s">
        <v>3</v>
      </c>
      <c r="F582" s="2" t="s">
        <v>810</v>
      </c>
      <c r="G582" s="2">
        <v>15.7</v>
      </c>
      <c r="H582" s="2">
        <v>3</v>
      </c>
      <c r="I582" s="3">
        <v>5.0999999999999996</v>
      </c>
    </row>
    <row r="583" spans="1:9" x14ac:dyDescent="0.3">
      <c r="A583" s="4">
        <v>41650</v>
      </c>
      <c r="B583" s="5" t="s">
        <v>20</v>
      </c>
      <c r="C583" s="5" t="s">
        <v>24</v>
      </c>
      <c r="D583" s="5" t="s">
        <v>2</v>
      </c>
      <c r="E583" s="5" t="s">
        <v>9</v>
      </c>
      <c r="F583" s="5" t="s">
        <v>811</v>
      </c>
      <c r="G583" s="5">
        <v>69.52</v>
      </c>
      <c r="H583" s="5">
        <v>2</v>
      </c>
      <c r="I583" s="6">
        <v>19.47</v>
      </c>
    </row>
    <row r="584" spans="1:9" x14ac:dyDescent="0.3">
      <c r="A584" s="1">
        <v>41650</v>
      </c>
      <c r="B584" s="2" t="s">
        <v>20</v>
      </c>
      <c r="C584" s="2" t="s">
        <v>24</v>
      </c>
      <c r="D584" s="2" t="s">
        <v>2</v>
      </c>
      <c r="E584" s="2" t="s">
        <v>15</v>
      </c>
      <c r="F584" s="2" t="s">
        <v>812</v>
      </c>
      <c r="G584" s="2">
        <v>5.64</v>
      </c>
      <c r="H584" s="2">
        <v>3</v>
      </c>
      <c r="I584" s="3">
        <v>1.64</v>
      </c>
    </row>
    <row r="585" spans="1:9" x14ac:dyDescent="0.3">
      <c r="A585" s="4">
        <v>41650</v>
      </c>
      <c r="B585" s="5" t="s">
        <v>813</v>
      </c>
      <c r="C585" s="5" t="s">
        <v>18</v>
      </c>
      <c r="D585" s="5" t="s">
        <v>2</v>
      </c>
      <c r="E585" s="5" t="s">
        <v>7</v>
      </c>
      <c r="F585" s="5" t="s">
        <v>814</v>
      </c>
      <c r="G585" s="5">
        <v>44.4</v>
      </c>
      <c r="H585" s="5">
        <v>3</v>
      </c>
      <c r="I585" s="6">
        <v>22.2</v>
      </c>
    </row>
    <row r="586" spans="1:9" x14ac:dyDescent="0.3">
      <c r="A586" s="1">
        <v>41650</v>
      </c>
      <c r="B586" s="2" t="s">
        <v>813</v>
      </c>
      <c r="C586" s="2" t="s">
        <v>18</v>
      </c>
      <c r="D586" s="2" t="s">
        <v>2</v>
      </c>
      <c r="E586" s="2" t="s">
        <v>3</v>
      </c>
      <c r="F586" s="2" t="s">
        <v>315</v>
      </c>
      <c r="G586" s="2">
        <v>21.4</v>
      </c>
      <c r="H586" s="2">
        <v>5</v>
      </c>
      <c r="I586" s="3">
        <v>9.6300000000000008</v>
      </c>
    </row>
    <row r="587" spans="1:9" x14ac:dyDescent="0.3">
      <c r="A587" s="4">
        <v>41650</v>
      </c>
      <c r="B587" s="5" t="s">
        <v>705</v>
      </c>
      <c r="C587" s="5" t="s">
        <v>80</v>
      </c>
      <c r="D587" s="5" t="s">
        <v>2</v>
      </c>
      <c r="E587" s="5" t="s">
        <v>133</v>
      </c>
      <c r="F587" s="5" t="s">
        <v>668</v>
      </c>
      <c r="G587" s="5">
        <v>533.94000000000005</v>
      </c>
      <c r="H587" s="5">
        <v>3</v>
      </c>
      <c r="I587" s="6">
        <v>154.84</v>
      </c>
    </row>
    <row r="588" spans="1:9" x14ac:dyDescent="0.3">
      <c r="A588" s="1">
        <v>41650</v>
      </c>
      <c r="B588" s="2" t="s">
        <v>705</v>
      </c>
      <c r="C588" s="2" t="s">
        <v>80</v>
      </c>
      <c r="D588" s="2" t="s">
        <v>2</v>
      </c>
      <c r="E588" s="2" t="s">
        <v>3</v>
      </c>
      <c r="F588" s="2" t="s">
        <v>533</v>
      </c>
      <c r="G588" s="2">
        <v>167.94</v>
      </c>
      <c r="H588" s="2">
        <v>3</v>
      </c>
      <c r="I588" s="3">
        <v>82.29</v>
      </c>
    </row>
    <row r="589" spans="1:9" x14ac:dyDescent="0.3">
      <c r="A589" s="4">
        <v>41650</v>
      </c>
      <c r="B589" s="5" t="s">
        <v>705</v>
      </c>
      <c r="C589" s="5" t="s">
        <v>80</v>
      </c>
      <c r="D589" s="5" t="s">
        <v>25</v>
      </c>
      <c r="E589" s="5" t="s">
        <v>38</v>
      </c>
      <c r="F589" s="5" t="s">
        <v>815</v>
      </c>
      <c r="G589" s="5">
        <v>31.68</v>
      </c>
      <c r="H589" s="5">
        <v>6</v>
      </c>
      <c r="I589" s="6">
        <v>9.82</v>
      </c>
    </row>
    <row r="590" spans="1:9" x14ac:dyDescent="0.3">
      <c r="A590" s="1">
        <v>41650</v>
      </c>
      <c r="B590" s="2" t="s">
        <v>816</v>
      </c>
      <c r="C590" s="2" t="s">
        <v>77</v>
      </c>
      <c r="D590" s="2" t="s">
        <v>2</v>
      </c>
      <c r="E590" s="2" t="s">
        <v>133</v>
      </c>
      <c r="F590" s="2" t="s">
        <v>562</v>
      </c>
      <c r="G590" s="2">
        <v>76.12</v>
      </c>
      <c r="H590" s="2">
        <v>2</v>
      </c>
      <c r="I590" s="3">
        <v>22.07</v>
      </c>
    </row>
    <row r="591" spans="1:9" x14ac:dyDescent="0.3">
      <c r="A591" s="4">
        <v>41650</v>
      </c>
      <c r="B591" s="5" t="s">
        <v>817</v>
      </c>
      <c r="C591" s="5" t="s">
        <v>127</v>
      </c>
      <c r="D591" s="5" t="s">
        <v>25</v>
      </c>
      <c r="E591" s="5" t="s">
        <v>38</v>
      </c>
      <c r="F591" s="5" t="s">
        <v>818</v>
      </c>
      <c r="G591" s="5">
        <v>68.7</v>
      </c>
      <c r="H591" s="5">
        <v>2</v>
      </c>
      <c r="I591" s="6">
        <v>16.32</v>
      </c>
    </row>
    <row r="592" spans="1:9" x14ac:dyDescent="0.3">
      <c r="A592" s="1">
        <v>41650</v>
      </c>
      <c r="B592" s="2" t="s">
        <v>817</v>
      </c>
      <c r="C592" s="2" t="s">
        <v>127</v>
      </c>
      <c r="D592" s="2" t="s">
        <v>2</v>
      </c>
      <c r="E592" s="2" t="s">
        <v>11</v>
      </c>
      <c r="F592" s="2" t="s">
        <v>819</v>
      </c>
      <c r="G592" s="2">
        <v>3.13</v>
      </c>
      <c r="H592" s="2">
        <v>2</v>
      </c>
      <c r="I592" s="3">
        <v>-2.61</v>
      </c>
    </row>
    <row r="593" spans="1:9" x14ac:dyDescent="0.3">
      <c r="A593" s="4">
        <v>41650</v>
      </c>
      <c r="B593" s="5" t="s">
        <v>817</v>
      </c>
      <c r="C593" s="5" t="s">
        <v>127</v>
      </c>
      <c r="D593" s="5" t="s">
        <v>2</v>
      </c>
      <c r="E593" s="5" t="s">
        <v>11</v>
      </c>
      <c r="F593" s="5" t="s">
        <v>376</v>
      </c>
      <c r="G593" s="5">
        <v>22.43</v>
      </c>
      <c r="H593" s="5">
        <v>3</v>
      </c>
      <c r="I593" s="6">
        <v>-17.940000000000001</v>
      </c>
    </row>
    <row r="594" spans="1:9" x14ac:dyDescent="0.3">
      <c r="A594" s="1">
        <v>41681</v>
      </c>
      <c r="B594" s="2" t="s">
        <v>589</v>
      </c>
      <c r="C594" s="2" t="s">
        <v>80</v>
      </c>
      <c r="D594" s="2" t="s">
        <v>2</v>
      </c>
      <c r="E594" s="2" t="s">
        <v>7</v>
      </c>
      <c r="F594" s="2" t="s">
        <v>820</v>
      </c>
      <c r="G594" s="2">
        <v>34.86</v>
      </c>
      <c r="H594" s="2">
        <v>7</v>
      </c>
      <c r="I594" s="3">
        <v>16.04</v>
      </c>
    </row>
    <row r="595" spans="1:9" x14ac:dyDescent="0.3">
      <c r="A595" s="4">
        <v>41681</v>
      </c>
      <c r="B595" s="5" t="s">
        <v>589</v>
      </c>
      <c r="C595" s="5" t="s">
        <v>80</v>
      </c>
      <c r="D595" s="5" t="s">
        <v>25</v>
      </c>
      <c r="E595" s="5" t="s">
        <v>38</v>
      </c>
      <c r="F595" s="5" t="s">
        <v>821</v>
      </c>
      <c r="G595" s="5">
        <v>89.34</v>
      </c>
      <c r="H595" s="5">
        <v>6</v>
      </c>
      <c r="I595" s="6">
        <v>24.12</v>
      </c>
    </row>
    <row r="596" spans="1:9" x14ac:dyDescent="0.3">
      <c r="A596" s="1">
        <v>41681</v>
      </c>
      <c r="B596" s="2" t="s">
        <v>822</v>
      </c>
      <c r="C596" s="2" t="s">
        <v>1</v>
      </c>
      <c r="D596" s="2" t="s">
        <v>30</v>
      </c>
      <c r="E596" s="2" t="s">
        <v>31</v>
      </c>
      <c r="F596" s="2" t="s">
        <v>445</v>
      </c>
      <c r="G596" s="2">
        <v>88.78</v>
      </c>
      <c r="H596" s="2">
        <v>3</v>
      </c>
      <c r="I596" s="3">
        <v>7.77</v>
      </c>
    </row>
    <row r="597" spans="1:9" x14ac:dyDescent="0.3">
      <c r="A597" s="4">
        <v>41681</v>
      </c>
      <c r="B597" s="5" t="s">
        <v>823</v>
      </c>
      <c r="C597" s="5" t="s">
        <v>127</v>
      </c>
      <c r="D597" s="5" t="s">
        <v>30</v>
      </c>
      <c r="E597" s="5" t="s">
        <v>31</v>
      </c>
      <c r="F597" s="5" t="s">
        <v>824</v>
      </c>
      <c r="G597" s="5">
        <v>539.96</v>
      </c>
      <c r="H597" s="5">
        <v>6</v>
      </c>
      <c r="I597" s="6">
        <v>-107.99</v>
      </c>
    </row>
    <row r="598" spans="1:9" x14ac:dyDescent="0.3">
      <c r="A598" s="1">
        <v>41681</v>
      </c>
      <c r="B598" s="2" t="s">
        <v>823</v>
      </c>
      <c r="C598" s="2" t="s">
        <v>127</v>
      </c>
      <c r="D598" s="2" t="s">
        <v>30</v>
      </c>
      <c r="E598" s="2" t="s">
        <v>31</v>
      </c>
      <c r="F598" s="2" t="s">
        <v>825</v>
      </c>
      <c r="G598" s="2">
        <v>50.23</v>
      </c>
      <c r="H598" s="2">
        <v>7</v>
      </c>
      <c r="I598" s="3">
        <v>-10.050000000000001</v>
      </c>
    </row>
    <row r="599" spans="1:9" x14ac:dyDescent="0.3">
      <c r="A599" s="4">
        <v>41681</v>
      </c>
      <c r="B599" s="5" t="s">
        <v>823</v>
      </c>
      <c r="C599" s="5" t="s">
        <v>127</v>
      </c>
      <c r="D599" s="5" t="s">
        <v>2</v>
      </c>
      <c r="E599" s="5" t="s">
        <v>11</v>
      </c>
      <c r="F599" s="5" t="s">
        <v>826</v>
      </c>
      <c r="G599" s="5">
        <v>19.239999999999998</v>
      </c>
      <c r="H599" s="5">
        <v>3</v>
      </c>
      <c r="I599" s="6">
        <v>-13.47</v>
      </c>
    </row>
    <row r="600" spans="1:9" x14ac:dyDescent="0.3">
      <c r="A600" s="1">
        <v>41681</v>
      </c>
      <c r="B600" s="2" t="s">
        <v>827</v>
      </c>
      <c r="C600" s="2" t="s">
        <v>58</v>
      </c>
      <c r="D600" s="2" t="s">
        <v>30</v>
      </c>
      <c r="E600" s="2" t="s">
        <v>43</v>
      </c>
      <c r="F600" s="2" t="s">
        <v>242</v>
      </c>
      <c r="G600" s="2">
        <v>799.92</v>
      </c>
      <c r="H600" s="2">
        <v>10</v>
      </c>
      <c r="I600" s="3">
        <v>239.98</v>
      </c>
    </row>
    <row r="601" spans="1:9" x14ac:dyDescent="0.3">
      <c r="A601" s="4">
        <v>41681</v>
      </c>
      <c r="B601" s="5" t="s">
        <v>828</v>
      </c>
      <c r="C601" s="5" t="s">
        <v>18</v>
      </c>
      <c r="D601" s="5" t="s">
        <v>30</v>
      </c>
      <c r="E601" s="5" t="s">
        <v>31</v>
      </c>
      <c r="F601" s="5" t="s">
        <v>73</v>
      </c>
      <c r="G601" s="5">
        <v>46.38</v>
      </c>
      <c r="H601" s="5">
        <v>2</v>
      </c>
      <c r="I601" s="6">
        <v>5.22</v>
      </c>
    </row>
    <row r="602" spans="1:9" x14ac:dyDescent="0.3">
      <c r="A602" s="1">
        <v>41681</v>
      </c>
      <c r="B602" s="2" t="s">
        <v>828</v>
      </c>
      <c r="C602" s="2" t="s">
        <v>18</v>
      </c>
      <c r="D602" s="2" t="s">
        <v>2</v>
      </c>
      <c r="E602" s="2" t="s">
        <v>9</v>
      </c>
      <c r="F602" s="2" t="s">
        <v>829</v>
      </c>
      <c r="G602" s="2">
        <v>362.92</v>
      </c>
      <c r="H602" s="2">
        <v>2</v>
      </c>
      <c r="I602" s="3">
        <v>105.25</v>
      </c>
    </row>
    <row r="603" spans="1:9" x14ac:dyDescent="0.3">
      <c r="A603" s="4">
        <v>41681</v>
      </c>
      <c r="B603" s="5" t="s">
        <v>830</v>
      </c>
      <c r="C603" s="5" t="s">
        <v>62</v>
      </c>
      <c r="D603" s="5" t="s">
        <v>30</v>
      </c>
      <c r="E603" s="5" t="s">
        <v>43</v>
      </c>
      <c r="F603" s="5" t="s">
        <v>558</v>
      </c>
      <c r="G603" s="5">
        <v>41.94</v>
      </c>
      <c r="H603" s="5">
        <v>2</v>
      </c>
      <c r="I603" s="6">
        <v>15.1</v>
      </c>
    </row>
    <row r="604" spans="1:9" x14ac:dyDescent="0.3">
      <c r="A604" s="1">
        <v>41681</v>
      </c>
      <c r="B604" s="2" t="s">
        <v>830</v>
      </c>
      <c r="C604" s="2" t="s">
        <v>62</v>
      </c>
      <c r="D604" s="2" t="s">
        <v>30</v>
      </c>
      <c r="E604" s="2" t="s">
        <v>31</v>
      </c>
      <c r="F604" s="2" t="s">
        <v>831</v>
      </c>
      <c r="G604" s="2">
        <v>52.79</v>
      </c>
      <c r="H604" s="2">
        <v>1</v>
      </c>
      <c r="I604" s="3">
        <v>4.62</v>
      </c>
    </row>
    <row r="605" spans="1:9" x14ac:dyDescent="0.3">
      <c r="A605" s="4">
        <v>41709</v>
      </c>
      <c r="B605" s="5" t="s">
        <v>447</v>
      </c>
      <c r="C605" s="5" t="s">
        <v>14</v>
      </c>
      <c r="D605" s="5" t="s">
        <v>2</v>
      </c>
      <c r="E605" s="5" t="s">
        <v>144</v>
      </c>
      <c r="F605" s="5" t="s">
        <v>730</v>
      </c>
      <c r="G605" s="5">
        <v>286.33999999999997</v>
      </c>
      <c r="H605" s="5">
        <v>3</v>
      </c>
      <c r="I605" s="6">
        <v>-64.430000000000007</v>
      </c>
    </row>
    <row r="606" spans="1:9" x14ac:dyDescent="0.3">
      <c r="A606" s="1">
        <v>41709</v>
      </c>
      <c r="B606" s="2" t="s">
        <v>832</v>
      </c>
      <c r="C606" s="2" t="s">
        <v>80</v>
      </c>
      <c r="D606" s="2" t="s">
        <v>30</v>
      </c>
      <c r="E606" s="2" t="s">
        <v>31</v>
      </c>
      <c r="F606" s="2" t="s">
        <v>173</v>
      </c>
      <c r="G606" s="2">
        <v>783.96</v>
      </c>
      <c r="H606" s="2">
        <v>4</v>
      </c>
      <c r="I606" s="3">
        <v>219.51</v>
      </c>
    </row>
    <row r="607" spans="1:9" x14ac:dyDescent="0.3">
      <c r="A607" s="4">
        <v>41709</v>
      </c>
      <c r="B607" s="5" t="s">
        <v>832</v>
      </c>
      <c r="C607" s="5" t="s">
        <v>80</v>
      </c>
      <c r="D607" s="5" t="s">
        <v>2</v>
      </c>
      <c r="E607" s="5" t="s">
        <v>11</v>
      </c>
      <c r="F607" s="5" t="s">
        <v>59</v>
      </c>
      <c r="G607" s="5">
        <v>48.9</v>
      </c>
      <c r="H607" s="5">
        <v>2</v>
      </c>
      <c r="I607" s="6">
        <v>18.34</v>
      </c>
    </row>
    <row r="608" spans="1:9" x14ac:dyDescent="0.3">
      <c r="A608" s="1">
        <v>41709</v>
      </c>
      <c r="B608" s="2" t="s">
        <v>832</v>
      </c>
      <c r="C608" s="2" t="s">
        <v>80</v>
      </c>
      <c r="D608" s="2" t="s">
        <v>2</v>
      </c>
      <c r="E608" s="2" t="s">
        <v>11</v>
      </c>
      <c r="F608" s="2" t="s">
        <v>833</v>
      </c>
      <c r="G608" s="2">
        <v>7.86</v>
      </c>
      <c r="H608" s="2">
        <v>2</v>
      </c>
      <c r="I608" s="3">
        <v>2.85</v>
      </c>
    </row>
    <row r="609" spans="1:9" x14ac:dyDescent="0.3">
      <c r="A609" s="4">
        <v>41709</v>
      </c>
      <c r="B609" s="5" t="s">
        <v>834</v>
      </c>
      <c r="C609" s="5" t="s">
        <v>300</v>
      </c>
      <c r="D609" s="5" t="s">
        <v>2</v>
      </c>
      <c r="E609" s="5" t="s">
        <v>144</v>
      </c>
      <c r="F609" s="5" t="s">
        <v>835</v>
      </c>
      <c r="G609" s="5">
        <v>11.64</v>
      </c>
      <c r="H609" s="5">
        <v>3</v>
      </c>
      <c r="I609" s="6">
        <v>3.38</v>
      </c>
    </row>
    <row r="610" spans="1:9" x14ac:dyDescent="0.3">
      <c r="A610" s="1">
        <v>41709</v>
      </c>
      <c r="B610" s="2" t="s">
        <v>836</v>
      </c>
      <c r="C610" s="2" t="s">
        <v>411</v>
      </c>
      <c r="D610" s="2" t="s">
        <v>2</v>
      </c>
      <c r="E610" s="2" t="s">
        <v>3</v>
      </c>
      <c r="F610" s="2" t="s">
        <v>837</v>
      </c>
      <c r="G610" s="2">
        <v>3.49</v>
      </c>
      <c r="H610" s="2">
        <v>2</v>
      </c>
      <c r="I610" s="3">
        <v>1.18</v>
      </c>
    </row>
    <row r="611" spans="1:9" x14ac:dyDescent="0.3">
      <c r="A611" s="4">
        <v>41709</v>
      </c>
      <c r="B611" s="5" t="s">
        <v>836</v>
      </c>
      <c r="C611" s="5" t="s">
        <v>411</v>
      </c>
      <c r="D611" s="5" t="s">
        <v>2</v>
      </c>
      <c r="E611" s="5" t="s">
        <v>3</v>
      </c>
      <c r="F611" s="5" t="s">
        <v>527</v>
      </c>
      <c r="G611" s="5">
        <v>143.86000000000001</v>
      </c>
      <c r="H611" s="5">
        <v>9</v>
      </c>
      <c r="I611" s="6">
        <v>48.55</v>
      </c>
    </row>
    <row r="612" spans="1:9" x14ac:dyDescent="0.3">
      <c r="A612" s="1">
        <v>41709</v>
      </c>
      <c r="B612" s="2" t="s">
        <v>828</v>
      </c>
      <c r="C612" s="2" t="s">
        <v>121</v>
      </c>
      <c r="D612" s="2" t="s">
        <v>2</v>
      </c>
      <c r="E612" s="2" t="s">
        <v>9</v>
      </c>
      <c r="F612" s="2" t="s">
        <v>81</v>
      </c>
      <c r="G612" s="2">
        <v>25.98</v>
      </c>
      <c r="H612" s="2">
        <v>2</v>
      </c>
      <c r="I612" s="3">
        <v>-1.62</v>
      </c>
    </row>
    <row r="613" spans="1:9" x14ac:dyDescent="0.3">
      <c r="A613" s="4">
        <v>41709</v>
      </c>
      <c r="B613" s="5" t="s">
        <v>828</v>
      </c>
      <c r="C613" s="5" t="s">
        <v>121</v>
      </c>
      <c r="D613" s="5" t="s">
        <v>25</v>
      </c>
      <c r="E613" s="5" t="s">
        <v>86</v>
      </c>
      <c r="F613" s="5" t="s">
        <v>838</v>
      </c>
      <c r="G613" s="5">
        <v>945.04</v>
      </c>
      <c r="H613" s="5">
        <v>6</v>
      </c>
      <c r="I613" s="6">
        <v>-299.26</v>
      </c>
    </row>
    <row r="614" spans="1:9" x14ac:dyDescent="0.3">
      <c r="A614" s="1">
        <v>41709</v>
      </c>
      <c r="B614" s="2" t="s">
        <v>828</v>
      </c>
      <c r="C614" s="2" t="s">
        <v>121</v>
      </c>
      <c r="D614" s="2" t="s">
        <v>2</v>
      </c>
      <c r="E614" s="2" t="s">
        <v>11</v>
      </c>
      <c r="F614" s="2" t="s">
        <v>839</v>
      </c>
      <c r="G614" s="2">
        <v>14.3</v>
      </c>
      <c r="H614" s="2">
        <v>7</v>
      </c>
      <c r="I614" s="3">
        <v>-10.49</v>
      </c>
    </row>
    <row r="615" spans="1:9" x14ac:dyDescent="0.3">
      <c r="A615" s="4">
        <v>41709</v>
      </c>
      <c r="B615" s="5" t="s">
        <v>828</v>
      </c>
      <c r="C615" s="5" t="s">
        <v>121</v>
      </c>
      <c r="D615" s="5" t="s">
        <v>25</v>
      </c>
      <c r="E615" s="5" t="s">
        <v>38</v>
      </c>
      <c r="F615" s="5" t="s">
        <v>840</v>
      </c>
      <c r="G615" s="5">
        <v>410.35</v>
      </c>
      <c r="H615" s="5">
        <v>3</v>
      </c>
      <c r="I615" s="6">
        <v>-51.29</v>
      </c>
    </row>
    <row r="616" spans="1:9" x14ac:dyDescent="0.3">
      <c r="A616" s="1">
        <v>41709</v>
      </c>
      <c r="B616" s="2" t="s">
        <v>841</v>
      </c>
      <c r="C616" s="2" t="s">
        <v>77</v>
      </c>
      <c r="D616" s="2" t="s">
        <v>2</v>
      </c>
      <c r="E616" s="2" t="s">
        <v>11</v>
      </c>
      <c r="F616" s="2" t="s">
        <v>443</v>
      </c>
      <c r="G616" s="2">
        <v>5.76</v>
      </c>
      <c r="H616" s="2">
        <v>2</v>
      </c>
      <c r="I616" s="3">
        <v>2.82</v>
      </c>
    </row>
    <row r="617" spans="1:9" x14ac:dyDescent="0.3">
      <c r="A617" s="4">
        <v>41709</v>
      </c>
      <c r="B617" s="5" t="s">
        <v>553</v>
      </c>
      <c r="C617" s="5" t="s">
        <v>767</v>
      </c>
      <c r="D617" s="5" t="s">
        <v>30</v>
      </c>
      <c r="E617" s="5" t="s">
        <v>43</v>
      </c>
      <c r="F617" s="5" t="s">
        <v>842</v>
      </c>
      <c r="G617" s="5">
        <v>89.97</v>
      </c>
      <c r="H617" s="5">
        <v>3</v>
      </c>
      <c r="I617" s="6">
        <v>18.89</v>
      </c>
    </row>
    <row r="618" spans="1:9" x14ac:dyDescent="0.3">
      <c r="A618" s="1">
        <v>41709</v>
      </c>
      <c r="B618" s="2" t="s">
        <v>843</v>
      </c>
      <c r="C618" s="2" t="s">
        <v>18</v>
      </c>
      <c r="D618" s="2" t="s">
        <v>2</v>
      </c>
      <c r="E618" s="2" t="s">
        <v>15</v>
      </c>
      <c r="F618" s="2" t="s">
        <v>844</v>
      </c>
      <c r="G618" s="2">
        <v>6.72</v>
      </c>
      <c r="H618" s="2">
        <v>4</v>
      </c>
      <c r="I618" s="3">
        <v>3.36</v>
      </c>
    </row>
    <row r="619" spans="1:9" x14ac:dyDescent="0.3">
      <c r="A619" s="4">
        <v>41740</v>
      </c>
      <c r="B619" s="5" t="s">
        <v>82</v>
      </c>
      <c r="C619" s="5" t="s">
        <v>80</v>
      </c>
      <c r="D619" s="5" t="s">
        <v>25</v>
      </c>
      <c r="E619" s="5" t="s">
        <v>26</v>
      </c>
      <c r="F619" s="5" t="s">
        <v>845</v>
      </c>
      <c r="G619" s="5">
        <v>135.88</v>
      </c>
      <c r="H619" s="5">
        <v>1</v>
      </c>
      <c r="I619" s="6">
        <v>24.16</v>
      </c>
    </row>
    <row r="620" spans="1:9" x14ac:dyDescent="0.3">
      <c r="A620" s="1">
        <v>41740</v>
      </c>
      <c r="B620" s="2" t="s">
        <v>82</v>
      </c>
      <c r="C620" s="2" t="s">
        <v>80</v>
      </c>
      <c r="D620" s="2" t="s">
        <v>30</v>
      </c>
      <c r="E620" s="2" t="s">
        <v>625</v>
      </c>
      <c r="F620" s="2" t="s">
        <v>846</v>
      </c>
      <c r="G620" s="2">
        <v>3991.98</v>
      </c>
      <c r="H620" s="2">
        <v>2</v>
      </c>
      <c r="I620" s="3">
        <v>1995.99</v>
      </c>
    </row>
    <row r="621" spans="1:9" x14ac:dyDescent="0.3">
      <c r="A621" s="4">
        <v>41740</v>
      </c>
      <c r="B621" s="5" t="s">
        <v>82</v>
      </c>
      <c r="C621" s="5" t="s">
        <v>80</v>
      </c>
      <c r="D621" s="5" t="s">
        <v>30</v>
      </c>
      <c r="E621" s="5" t="s">
        <v>31</v>
      </c>
      <c r="F621" s="5" t="s">
        <v>847</v>
      </c>
      <c r="G621" s="5">
        <v>275.94</v>
      </c>
      <c r="H621" s="5">
        <v>6</v>
      </c>
      <c r="I621" s="6">
        <v>80.02</v>
      </c>
    </row>
    <row r="622" spans="1:9" x14ac:dyDescent="0.3">
      <c r="A622" s="1">
        <v>41740</v>
      </c>
      <c r="B622" s="2" t="s">
        <v>82</v>
      </c>
      <c r="C622" s="2" t="s">
        <v>80</v>
      </c>
      <c r="D622" s="2" t="s">
        <v>30</v>
      </c>
      <c r="E622" s="2" t="s">
        <v>43</v>
      </c>
      <c r="F622" s="2" t="s">
        <v>848</v>
      </c>
      <c r="G622" s="2">
        <v>360</v>
      </c>
      <c r="H622" s="2">
        <v>4</v>
      </c>
      <c r="I622" s="3">
        <v>129.6</v>
      </c>
    </row>
    <row r="623" spans="1:9" x14ac:dyDescent="0.3">
      <c r="A623" s="4">
        <v>41740</v>
      </c>
      <c r="B623" s="5" t="s">
        <v>82</v>
      </c>
      <c r="C623" s="5" t="s">
        <v>80</v>
      </c>
      <c r="D623" s="5" t="s">
        <v>2</v>
      </c>
      <c r="E623" s="5" t="s">
        <v>9</v>
      </c>
      <c r="F623" s="5" t="s">
        <v>849</v>
      </c>
      <c r="G623" s="5">
        <v>43.57</v>
      </c>
      <c r="H623" s="5">
        <v>1</v>
      </c>
      <c r="I623" s="6">
        <v>13.07</v>
      </c>
    </row>
    <row r="624" spans="1:9" x14ac:dyDescent="0.3">
      <c r="A624" s="1">
        <v>41740</v>
      </c>
      <c r="B624" s="2" t="s">
        <v>850</v>
      </c>
      <c r="C624" s="2" t="s">
        <v>121</v>
      </c>
      <c r="D624" s="2" t="s">
        <v>2</v>
      </c>
      <c r="E624" s="2" t="s">
        <v>34</v>
      </c>
      <c r="F624" s="2" t="s">
        <v>851</v>
      </c>
      <c r="G624" s="2">
        <v>8.3800000000000008</v>
      </c>
      <c r="H624" s="2">
        <v>3</v>
      </c>
      <c r="I624" s="3">
        <v>2.72</v>
      </c>
    </row>
    <row r="625" spans="1:9" x14ac:dyDescent="0.3">
      <c r="A625" s="4">
        <v>41740</v>
      </c>
      <c r="B625" s="5" t="s">
        <v>850</v>
      </c>
      <c r="C625" s="5" t="s">
        <v>121</v>
      </c>
      <c r="D625" s="5" t="s">
        <v>2</v>
      </c>
      <c r="E625" s="5" t="s">
        <v>133</v>
      </c>
      <c r="F625" s="5" t="s">
        <v>373</v>
      </c>
      <c r="G625" s="5">
        <v>58.24</v>
      </c>
      <c r="H625" s="5">
        <v>5</v>
      </c>
      <c r="I625" s="6">
        <v>5.0999999999999996</v>
      </c>
    </row>
    <row r="626" spans="1:9" x14ac:dyDescent="0.3">
      <c r="A626" s="1">
        <v>41740</v>
      </c>
      <c r="B626" s="2" t="s">
        <v>852</v>
      </c>
      <c r="C626" s="2" t="s">
        <v>18</v>
      </c>
      <c r="D626" s="2" t="s">
        <v>25</v>
      </c>
      <c r="E626" s="2" t="s">
        <v>38</v>
      </c>
      <c r="F626" s="2" t="s">
        <v>853</v>
      </c>
      <c r="G626" s="2">
        <v>35.340000000000003</v>
      </c>
      <c r="H626" s="2">
        <v>2</v>
      </c>
      <c r="I626" s="3">
        <v>13.43</v>
      </c>
    </row>
    <row r="627" spans="1:9" x14ac:dyDescent="0.3">
      <c r="A627" s="4">
        <v>41740</v>
      </c>
      <c r="B627" s="5" t="s">
        <v>854</v>
      </c>
      <c r="C627" s="5" t="s">
        <v>18</v>
      </c>
      <c r="D627" s="5" t="s">
        <v>30</v>
      </c>
      <c r="E627" s="5" t="s">
        <v>31</v>
      </c>
      <c r="F627" s="5" t="s">
        <v>855</v>
      </c>
      <c r="G627" s="5">
        <v>666.34</v>
      </c>
      <c r="H627" s="5">
        <v>7</v>
      </c>
      <c r="I627" s="6">
        <v>66.63</v>
      </c>
    </row>
    <row r="628" spans="1:9" x14ac:dyDescent="0.3">
      <c r="A628" s="1">
        <v>41740</v>
      </c>
      <c r="B628" s="2" t="s">
        <v>854</v>
      </c>
      <c r="C628" s="2" t="s">
        <v>18</v>
      </c>
      <c r="D628" s="2" t="s">
        <v>25</v>
      </c>
      <c r="E628" s="2" t="s">
        <v>86</v>
      </c>
      <c r="F628" s="2" t="s">
        <v>408</v>
      </c>
      <c r="G628" s="2">
        <v>573.73</v>
      </c>
      <c r="H628" s="2">
        <v>4</v>
      </c>
      <c r="I628" s="3">
        <v>-64.540000000000006</v>
      </c>
    </row>
    <row r="629" spans="1:9" x14ac:dyDescent="0.3">
      <c r="A629" s="4">
        <v>41740</v>
      </c>
      <c r="B629" s="5" t="s">
        <v>854</v>
      </c>
      <c r="C629" s="5" t="s">
        <v>18</v>
      </c>
      <c r="D629" s="5" t="s">
        <v>2</v>
      </c>
      <c r="E629" s="5" t="s">
        <v>11</v>
      </c>
      <c r="F629" s="5" t="s">
        <v>856</v>
      </c>
      <c r="G629" s="5">
        <v>21.94</v>
      </c>
      <c r="H629" s="5">
        <v>3</v>
      </c>
      <c r="I629" s="6">
        <v>8.23</v>
      </c>
    </row>
    <row r="630" spans="1:9" x14ac:dyDescent="0.3">
      <c r="A630" s="1">
        <v>41740</v>
      </c>
      <c r="B630" s="2" t="s">
        <v>854</v>
      </c>
      <c r="C630" s="2" t="s">
        <v>18</v>
      </c>
      <c r="D630" s="2" t="s">
        <v>2</v>
      </c>
      <c r="E630" s="2" t="s">
        <v>3</v>
      </c>
      <c r="F630" s="2" t="s">
        <v>643</v>
      </c>
      <c r="G630" s="2">
        <v>19.440000000000001</v>
      </c>
      <c r="H630" s="2">
        <v>3</v>
      </c>
      <c r="I630" s="3">
        <v>9.33</v>
      </c>
    </row>
    <row r="631" spans="1:9" x14ac:dyDescent="0.3">
      <c r="A631" s="4">
        <v>41740</v>
      </c>
      <c r="B631" s="5" t="s">
        <v>854</v>
      </c>
      <c r="C631" s="5" t="s">
        <v>18</v>
      </c>
      <c r="D631" s="5" t="s">
        <v>30</v>
      </c>
      <c r="E631" s="5" t="s">
        <v>625</v>
      </c>
      <c r="F631" s="5" t="s">
        <v>857</v>
      </c>
      <c r="G631" s="5">
        <v>447.97</v>
      </c>
      <c r="H631" s="5">
        <v>4</v>
      </c>
      <c r="I631" s="6">
        <v>139.99</v>
      </c>
    </row>
    <row r="632" spans="1:9" x14ac:dyDescent="0.3">
      <c r="A632" s="1">
        <v>41740</v>
      </c>
      <c r="B632" s="2" t="s">
        <v>648</v>
      </c>
      <c r="C632" s="2" t="s">
        <v>80</v>
      </c>
      <c r="D632" s="2" t="s">
        <v>2</v>
      </c>
      <c r="E632" s="2" t="s">
        <v>11</v>
      </c>
      <c r="F632" s="2" t="s">
        <v>858</v>
      </c>
      <c r="G632" s="2">
        <v>52.06</v>
      </c>
      <c r="H632" s="2">
        <v>4</v>
      </c>
      <c r="I632" s="3">
        <v>18.87</v>
      </c>
    </row>
    <row r="633" spans="1:9" x14ac:dyDescent="0.3">
      <c r="A633" s="4">
        <v>41740</v>
      </c>
      <c r="B633" s="5" t="s">
        <v>859</v>
      </c>
      <c r="C633" s="5" t="s">
        <v>18</v>
      </c>
      <c r="D633" s="5" t="s">
        <v>2</v>
      </c>
      <c r="E633" s="5" t="s">
        <v>15</v>
      </c>
      <c r="F633" s="5" t="s">
        <v>860</v>
      </c>
      <c r="G633" s="5">
        <v>2.94</v>
      </c>
      <c r="H633" s="5">
        <v>1</v>
      </c>
      <c r="I633" s="6">
        <v>0.79</v>
      </c>
    </row>
    <row r="634" spans="1:9" x14ac:dyDescent="0.3">
      <c r="A634" s="1">
        <v>41770</v>
      </c>
      <c r="B634" s="2" t="s">
        <v>861</v>
      </c>
      <c r="C634" s="2" t="s">
        <v>18</v>
      </c>
      <c r="D634" s="2" t="s">
        <v>25</v>
      </c>
      <c r="E634" s="2" t="s">
        <v>38</v>
      </c>
      <c r="F634" s="2" t="s">
        <v>862</v>
      </c>
      <c r="G634" s="2">
        <v>20.04</v>
      </c>
      <c r="H634" s="2">
        <v>6</v>
      </c>
      <c r="I634" s="3">
        <v>8.82</v>
      </c>
    </row>
    <row r="635" spans="1:9" x14ac:dyDescent="0.3">
      <c r="A635" s="4">
        <v>41770</v>
      </c>
      <c r="B635" s="5" t="s">
        <v>863</v>
      </c>
      <c r="C635" s="5" t="s">
        <v>46</v>
      </c>
      <c r="D635" s="5" t="s">
        <v>30</v>
      </c>
      <c r="E635" s="5" t="s">
        <v>43</v>
      </c>
      <c r="F635" s="5" t="s">
        <v>864</v>
      </c>
      <c r="G635" s="5">
        <v>47.79</v>
      </c>
      <c r="H635" s="5">
        <v>3</v>
      </c>
      <c r="I635" s="6">
        <v>16.25</v>
      </c>
    </row>
    <row r="636" spans="1:9" x14ac:dyDescent="0.3">
      <c r="A636" s="1">
        <v>41770</v>
      </c>
      <c r="B636" s="2" t="s">
        <v>865</v>
      </c>
      <c r="C636" s="2" t="s">
        <v>14</v>
      </c>
      <c r="D636" s="2" t="s">
        <v>25</v>
      </c>
      <c r="E636" s="2" t="s">
        <v>38</v>
      </c>
      <c r="F636" s="2" t="s">
        <v>840</v>
      </c>
      <c r="G636" s="2">
        <v>273.57</v>
      </c>
      <c r="H636" s="2">
        <v>2</v>
      </c>
      <c r="I636" s="3">
        <v>-34.200000000000003</v>
      </c>
    </row>
    <row r="637" spans="1:9" x14ac:dyDescent="0.3">
      <c r="A637" s="4">
        <v>41770</v>
      </c>
      <c r="B637" s="5" t="s">
        <v>865</v>
      </c>
      <c r="C637" s="5" t="s">
        <v>14</v>
      </c>
      <c r="D637" s="5" t="s">
        <v>2</v>
      </c>
      <c r="E637" s="5" t="s">
        <v>11</v>
      </c>
      <c r="F637" s="5" t="s">
        <v>317</v>
      </c>
      <c r="G637" s="5">
        <v>13.19</v>
      </c>
      <c r="H637" s="5">
        <v>2</v>
      </c>
      <c r="I637" s="6">
        <v>-8.8000000000000007</v>
      </c>
    </row>
    <row r="638" spans="1:9" x14ac:dyDescent="0.3">
      <c r="A638" s="1">
        <v>41770</v>
      </c>
      <c r="B638" s="2" t="s">
        <v>865</v>
      </c>
      <c r="C638" s="2" t="s">
        <v>14</v>
      </c>
      <c r="D638" s="2" t="s">
        <v>2</v>
      </c>
      <c r="E638" s="2" t="s">
        <v>9</v>
      </c>
      <c r="F638" s="2" t="s">
        <v>866</v>
      </c>
      <c r="G638" s="2">
        <v>1080.0999999999999</v>
      </c>
      <c r="H638" s="2">
        <v>6</v>
      </c>
      <c r="I638" s="3">
        <v>-94.51</v>
      </c>
    </row>
    <row r="639" spans="1:9" x14ac:dyDescent="0.3">
      <c r="A639" s="4">
        <v>41770</v>
      </c>
      <c r="B639" s="5" t="s">
        <v>865</v>
      </c>
      <c r="C639" s="5" t="s">
        <v>14</v>
      </c>
      <c r="D639" s="5" t="s">
        <v>30</v>
      </c>
      <c r="E639" s="5" t="s">
        <v>43</v>
      </c>
      <c r="F639" s="5" t="s">
        <v>867</v>
      </c>
      <c r="G639" s="5">
        <v>51.56</v>
      </c>
      <c r="H639" s="5">
        <v>5</v>
      </c>
      <c r="I639" s="6">
        <v>-6.45</v>
      </c>
    </row>
    <row r="640" spans="1:9" x14ac:dyDescent="0.3">
      <c r="A640" s="1">
        <v>41770</v>
      </c>
      <c r="B640" s="2" t="s">
        <v>865</v>
      </c>
      <c r="C640" s="2" t="s">
        <v>14</v>
      </c>
      <c r="D640" s="2" t="s">
        <v>30</v>
      </c>
      <c r="E640" s="2" t="s">
        <v>43</v>
      </c>
      <c r="F640" s="2" t="s">
        <v>868</v>
      </c>
      <c r="G640" s="2">
        <v>58.42</v>
      </c>
      <c r="H640" s="2">
        <v>2</v>
      </c>
      <c r="I640" s="3">
        <v>16.79</v>
      </c>
    </row>
    <row r="641" spans="1:9" x14ac:dyDescent="0.3">
      <c r="A641" s="4">
        <v>41770</v>
      </c>
      <c r="B641" s="5" t="s">
        <v>869</v>
      </c>
      <c r="C641" s="5" t="s">
        <v>46</v>
      </c>
      <c r="D641" s="5" t="s">
        <v>25</v>
      </c>
      <c r="E641" s="5" t="s">
        <v>26</v>
      </c>
      <c r="F641" s="5" t="s">
        <v>870</v>
      </c>
      <c r="G641" s="5">
        <v>149.9</v>
      </c>
      <c r="H641" s="5">
        <v>5</v>
      </c>
      <c r="I641" s="6">
        <v>40.47</v>
      </c>
    </row>
    <row r="642" spans="1:9" x14ac:dyDescent="0.3">
      <c r="A642" s="1">
        <v>41801</v>
      </c>
      <c r="B642" s="2" t="s">
        <v>871</v>
      </c>
      <c r="C642" s="2" t="s">
        <v>21</v>
      </c>
      <c r="D642" s="2" t="s">
        <v>2</v>
      </c>
      <c r="E642" s="2" t="s">
        <v>3</v>
      </c>
      <c r="F642" s="2" t="s">
        <v>116</v>
      </c>
      <c r="G642" s="2">
        <v>43.68</v>
      </c>
      <c r="H642" s="2">
        <v>6</v>
      </c>
      <c r="I642" s="3">
        <v>20.97</v>
      </c>
    </row>
    <row r="643" spans="1:9" x14ac:dyDescent="0.3">
      <c r="A643" s="4">
        <v>41831</v>
      </c>
      <c r="B643" s="5" t="s">
        <v>872</v>
      </c>
      <c r="C643" s="5" t="s">
        <v>1</v>
      </c>
      <c r="D643" s="5" t="s">
        <v>2</v>
      </c>
      <c r="E643" s="5" t="s">
        <v>11</v>
      </c>
      <c r="F643" s="5" t="s">
        <v>873</v>
      </c>
      <c r="G643" s="5">
        <v>26.05</v>
      </c>
      <c r="H643" s="5">
        <v>3</v>
      </c>
      <c r="I643" s="6">
        <v>-44.28</v>
      </c>
    </row>
    <row r="644" spans="1:9" x14ac:dyDescent="0.3">
      <c r="A644" s="1">
        <v>41831</v>
      </c>
      <c r="B644" s="2" t="s">
        <v>872</v>
      </c>
      <c r="C644" s="2" t="s">
        <v>1</v>
      </c>
      <c r="D644" s="2" t="s">
        <v>2</v>
      </c>
      <c r="E644" s="2" t="s">
        <v>114</v>
      </c>
      <c r="F644" s="2" t="s">
        <v>115</v>
      </c>
      <c r="G644" s="2">
        <v>74.349999999999994</v>
      </c>
      <c r="H644" s="2">
        <v>3</v>
      </c>
      <c r="I644" s="3">
        <v>26.95</v>
      </c>
    </row>
    <row r="645" spans="1:9" x14ac:dyDescent="0.3">
      <c r="A645" s="4">
        <v>41831</v>
      </c>
      <c r="B645" s="5" t="s">
        <v>614</v>
      </c>
      <c r="C645" s="5" t="s">
        <v>18</v>
      </c>
      <c r="D645" s="5" t="s">
        <v>2</v>
      </c>
      <c r="E645" s="5" t="s">
        <v>11</v>
      </c>
      <c r="F645" s="5" t="s">
        <v>317</v>
      </c>
      <c r="G645" s="5">
        <v>123.14</v>
      </c>
      <c r="H645" s="5">
        <v>7</v>
      </c>
      <c r="I645" s="6">
        <v>46.18</v>
      </c>
    </row>
    <row r="646" spans="1:9" x14ac:dyDescent="0.3">
      <c r="A646" s="1">
        <v>41831</v>
      </c>
      <c r="B646" s="2" t="s">
        <v>381</v>
      </c>
      <c r="C646" s="2" t="s">
        <v>1</v>
      </c>
      <c r="D646" s="2" t="s">
        <v>25</v>
      </c>
      <c r="E646" s="2" t="s">
        <v>26</v>
      </c>
      <c r="F646" s="2" t="s">
        <v>410</v>
      </c>
      <c r="G646" s="2">
        <v>683.14</v>
      </c>
      <c r="H646" s="2">
        <v>4</v>
      </c>
      <c r="I646" s="3">
        <v>0</v>
      </c>
    </row>
    <row r="647" spans="1:9" x14ac:dyDescent="0.3">
      <c r="A647" s="4">
        <v>41831</v>
      </c>
      <c r="B647" s="5" t="s">
        <v>381</v>
      </c>
      <c r="C647" s="5" t="s">
        <v>1</v>
      </c>
      <c r="D647" s="5" t="s">
        <v>2</v>
      </c>
      <c r="E647" s="5" t="s">
        <v>11</v>
      </c>
      <c r="F647" s="5" t="s">
        <v>874</v>
      </c>
      <c r="G647" s="5">
        <v>1.48</v>
      </c>
      <c r="H647" s="5">
        <v>3</v>
      </c>
      <c r="I647" s="6">
        <v>-2.21</v>
      </c>
    </row>
    <row r="648" spans="1:9" x14ac:dyDescent="0.3">
      <c r="A648" s="1">
        <v>41831</v>
      </c>
      <c r="B648" s="2" t="s">
        <v>381</v>
      </c>
      <c r="C648" s="2" t="s">
        <v>1</v>
      </c>
      <c r="D648" s="2" t="s">
        <v>2</v>
      </c>
      <c r="E648" s="2" t="s">
        <v>144</v>
      </c>
      <c r="F648" s="2" t="s">
        <v>875</v>
      </c>
      <c r="G648" s="2">
        <v>40.71</v>
      </c>
      <c r="H648" s="2">
        <v>7</v>
      </c>
      <c r="I648" s="3">
        <v>3.56</v>
      </c>
    </row>
    <row r="649" spans="1:9" x14ac:dyDescent="0.3">
      <c r="A649" s="4">
        <v>41831</v>
      </c>
      <c r="B649" s="5" t="s">
        <v>695</v>
      </c>
      <c r="C649" s="5" t="s">
        <v>53</v>
      </c>
      <c r="D649" s="5" t="s">
        <v>2</v>
      </c>
      <c r="E649" s="5" t="s">
        <v>133</v>
      </c>
      <c r="F649" s="5" t="s">
        <v>876</v>
      </c>
      <c r="G649" s="5">
        <v>245.88</v>
      </c>
      <c r="H649" s="5">
        <v>6</v>
      </c>
      <c r="I649" s="6">
        <v>68.849999999999994</v>
      </c>
    </row>
    <row r="650" spans="1:9" x14ac:dyDescent="0.3">
      <c r="A650" s="1">
        <v>41831</v>
      </c>
      <c r="B650" s="2" t="s">
        <v>695</v>
      </c>
      <c r="C650" s="2" t="s">
        <v>53</v>
      </c>
      <c r="D650" s="2" t="s">
        <v>2</v>
      </c>
      <c r="E650" s="2" t="s">
        <v>9</v>
      </c>
      <c r="F650" s="2" t="s">
        <v>877</v>
      </c>
      <c r="G650" s="2">
        <v>36.630000000000003</v>
      </c>
      <c r="H650" s="2">
        <v>3</v>
      </c>
      <c r="I650" s="3">
        <v>9.89</v>
      </c>
    </row>
    <row r="651" spans="1:9" x14ac:dyDescent="0.3">
      <c r="A651" s="4">
        <v>41831</v>
      </c>
      <c r="B651" s="5" t="s">
        <v>695</v>
      </c>
      <c r="C651" s="5" t="s">
        <v>53</v>
      </c>
      <c r="D651" s="5" t="s">
        <v>2</v>
      </c>
      <c r="E651" s="5" t="s">
        <v>9</v>
      </c>
      <c r="F651" s="5" t="s">
        <v>878</v>
      </c>
      <c r="G651" s="5">
        <v>22.58</v>
      </c>
      <c r="H651" s="5">
        <v>2</v>
      </c>
      <c r="I651" s="6">
        <v>5.87</v>
      </c>
    </row>
    <row r="652" spans="1:9" x14ac:dyDescent="0.3">
      <c r="A652" s="1">
        <v>41831</v>
      </c>
      <c r="B652" s="2" t="s">
        <v>695</v>
      </c>
      <c r="C652" s="2" t="s">
        <v>53</v>
      </c>
      <c r="D652" s="2" t="s">
        <v>2</v>
      </c>
      <c r="E652" s="2" t="s">
        <v>11</v>
      </c>
      <c r="F652" s="2" t="s">
        <v>879</v>
      </c>
      <c r="G652" s="2">
        <v>12.39</v>
      </c>
      <c r="H652" s="2">
        <v>3</v>
      </c>
      <c r="I652" s="3">
        <v>5.82</v>
      </c>
    </row>
    <row r="653" spans="1:9" x14ac:dyDescent="0.3">
      <c r="A653" s="4">
        <v>41831</v>
      </c>
      <c r="B653" s="5" t="s">
        <v>406</v>
      </c>
      <c r="C653" s="5" t="s">
        <v>80</v>
      </c>
      <c r="D653" s="5" t="s">
        <v>2</v>
      </c>
      <c r="E653" s="5" t="s">
        <v>34</v>
      </c>
      <c r="F653" s="5" t="s">
        <v>254</v>
      </c>
      <c r="G653" s="5">
        <v>5.92</v>
      </c>
      <c r="H653" s="5">
        <v>4</v>
      </c>
      <c r="I653" s="6">
        <v>2.84</v>
      </c>
    </row>
    <row r="654" spans="1:9" x14ac:dyDescent="0.3">
      <c r="A654" s="1">
        <v>41831</v>
      </c>
      <c r="B654" s="2" t="s">
        <v>406</v>
      </c>
      <c r="C654" s="2" t="s">
        <v>80</v>
      </c>
      <c r="D654" s="2" t="s">
        <v>2</v>
      </c>
      <c r="E654" s="2" t="s">
        <v>3</v>
      </c>
      <c r="F654" s="2" t="s">
        <v>880</v>
      </c>
      <c r="G654" s="2">
        <v>30.18</v>
      </c>
      <c r="H654" s="2">
        <v>3</v>
      </c>
      <c r="I654" s="3">
        <v>13.88</v>
      </c>
    </row>
    <row r="655" spans="1:9" x14ac:dyDescent="0.3">
      <c r="A655" s="4">
        <v>41831</v>
      </c>
      <c r="B655" s="5" t="s">
        <v>881</v>
      </c>
      <c r="C655" s="5" t="s">
        <v>713</v>
      </c>
      <c r="D655" s="5" t="s">
        <v>2</v>
      </c>
      <c r="E655" s="5" t="s">
        <v>3</v>
      </c>
      <c r="F655" s="5" t="s">
        <v>453</v>
      </c>
      <c r="G655" s="5">
        <v>25.92</v>
      </c>
      <c r="H655" s="5">
        <v>5</v>
      </c>
      <c r="I655" s="6">
        <v>9.07</v>
      </c>
    </row>
    <row r="656" spans="1:9" x14ac:dyDescent="0.3">
      <c r="A656" s="1">
        <v>41831</v>
      </c>
      <c r="B656" s="2" t="s">
        <v>881</v>
      </c>
      <c r="C656" s="2" t="s">
        <v>713</v>
      </c>
      <c r="D656" s="2" t="s">
        <v>2</v>
      </c>
      <c r="E656" s="2" t="s">
        <v>15</v>
      </c>
      <c r="F656" s="2" t="s">
        <v>882</v>
      </c>
      <c r="G656" s="2">
        <v>120.77</v>
      </c>
      <c r="H656" s="2">
        <v>4</v>
      </c>
      <c r="I656" s="3">
        <v>9.06</v>
      </c>
    </row>
    <row r="657" spans="1:9" x14ac:dyDescent="0.3">
      <c r="A657" s="4">
        <v>41862</v>
      </c>
      <c r="B657" s="5" t="s">
        <v>311</v>
      </c>
      <c r="C657" s="5" t="s">
        <v>18</v>
      </c>
      <c r="D657" s="5" t="s">
        <v>30</v>
      </c>
      <c r="E657" s="5" t="s">
        <v>31</v>
      </c>
      <c r="F657" s="5" t="s">
        <v>883</v>
      </c>
      <c r="G657" s="5">
        <v>333.58</v>
      </c>
      <c r="H657" s="5">
        <v>3</v>
      </c>
      <c r="I657" s="6">
        <v>25.02</v>
      </c>
    </row>
    <row r="658" spans="1:9" x14ac:dyDescent="0.3">
      <c r="A658" s="1">
        <v>41893</v>
      </c>
      <c r="B658" s="2" t="s">
        <v>884</v>
      </c>
      <c r="C658" s="2" t="s">
        <v>18</v>
      </c>
      <c r="D658" s="2" t="s">
        <v>2</v>
      </c>
      <c r="E658" s="2" t="s">
        <v>9</v>
      </c>
      <c r="F658" s="2" t="s">
        <v>10</v>
      </c>
      <c r="G658" s="2">
        <v>340.92</v>
      </c>
      <c r="H658" s="2">
        <v>3</v>
      </c>
      <c r="I658" s="3">
        <v>3.41</v>
      </c>
    </row>
    <row r="659" spans="1:9" x14ac:dyDescent="0.3">
      <c r="A659" s="4">
        <v>41893</v>
      </c>
      <c r="B659" s="5" t="s">
        <v>884</v>
      </c>
      <c r="C659" s="5" t="s">
        <v>18</v>
      </c>
      <c r="D659" s="5" t="s">
        <v>25</v>
      </c>
      <c r="E659" s="5" t="s">
        <v>129</v>
      </c>
      <c r="F659" s="5" t="s">
        <v>885</v>
      </c>
      <c r="G659" s="5">
        <v>222.67</v>
      </c>
      <c r="H659" s="5">
        <v>2</v>
      </c>
      <c r="I659" s="6">
        <v>10.48</v>
      </c>
    </row>
    <row r="660" spans="1:9" x14ac:dyDescent="0.3">
      <c r="A660" s="1">
        <v>41893</v>
      </c>
      <c r="B660" s="2" t="s">
        <v>884</v>
      </c>
      <c r="C660" s="2" t="s">
        <v>18</v>
      </c>
      <c r="D660" s="2" t="s">
        <v>30</v>
      </c>
      <c r="E660" s="2" t="s">
        <v>31</v>
      </c>
      <c r="F660" s="2" t="s">
        <v>886</v>
      </c>
      <c r="G660" s="2">
        <v>703.97</v>
      </c>
      <c r="H660" s="2">
        <v>4</v>
      </c>
      <c r="I660" s="3">
        <v>88</v>
      </c>
    </row>
    <row r="661" spans="1:9" x14ac:dyDescent="0.3">
      <c r="A661" s="4">
        <v>41893</v>
      </c>
      <c r="B661" s="5" t="s">
        <v>884</v>
      </c>
      <c r="C661" s="5" t="s">
        <v>18</v>
      </c>
      <c r="D661" s="5" t="s">
        <v>2</v>
      </c>
      <c r="E661" s="5" t="s">
        <v>9</v>
      </c>
      <c r="F661" s="5" t="s">
        <v>887</v>
      </c>
      <c r="G661" s="5">
        <v>92.52</v>
      </c>
      <c r="H661" s="5">
        <v>6</v>
      </c>
      <c r="I661" s="6">
        <v>24.98</v>
      </c>
    </row>
    <row r="662" spans="1:9" x14ac:dyDescent="0.3">
      <c r="A662" s="1">
        <v>41893</v>
      </c>
      <c r="B662" s="2" t="s">
        <v>884</v>
      </c>
      <c r="C662" s="2" t="s">
        <v>18</v>
      </c>
      <c r="D662" s="2" t="s">
        <v>2</v>
      </c>
      <c r="E662" s="2" t="s">
        <v>3</v>
      </c>
      <c r="F662" s="2" t="s">
        <v>888</v>
      </c>
      <c r="G662" s="2">
        <v>62.65</v>
      </c>
      <c r="H662" s="2">
        <v>7</v>
      </c>
      <c r="I662" s="3">
        <v>28.82</v>
      </c>
    </row>
    <row r="663" spans="1:9" x14ac:dyDescent="0.3">
      <c r="A663" s="4">
        <v>41893</v>
      </c>
      <c r="B663" s="5" t="s">
        <v>884</v>
      </c>
      <c r="C663" s="5" t="s">
        <v>18</v>
      </c>
      <c r="D663" s="5" t="s">
        <v>2</v>
      </c>
      <c r="E663" s="5" t="s">
        <v>3</v>
      </c>
      <c r="F663" s="5" t="s">
        <v>889</v>
      </c>
      <c r="G663" s="5">
        <v>94.85</v>
      </c>
      <c r="H663" s="5">
        <v>5</v>
      </c>
      <c r="I663" s="6">
        <v>45.53</v>
      </c>
    </row>
    <row r="664" spans="1:9" x14ac:dyDescent="0.3">
      <c r="A664" s="1">
        <v>41893</v>
      </c>
      <c r="B664" s="2" t="s">
        <v>890</v>
      </c>
      <c r="C664" s="2" t="s">
        <v>80</v>
      </c>
      <c r="D664" s="2" t="s">
        <v>25</v>
      </c>
      <c r="E664" s="2" t="s">
        <v>38</v>
      </c>
      <c r="F664" s="2" t="s">
        <v>891</v>
      </c>
      <c r="G664" s="2">
        <v>56.52</v>
      </c>
      <c r="H664" s="2">
        <v>9</v>
      </c>
      <c r="I664" s="3">
        <v>21.48</v>
      </c>
    </row>
    <row r="665" spans="1:9" x14ac:dyDescent="0.3">
      <c r="A665" s="4">
        <v>41923</v>
      </c>
      <c r="B665" s="5" t="s">
        <v>218</v>
      </c>
      <c r="C665" s="5" t="s">
        <v>18</v>
      </c>
      <c r="D665" s="5" t="s">
        <v>30</v>
      </c>
      <c r="E665" s="5" t="s">
        <v>31</v>
      </c>
      <c r="F665" s="5" t="s">
        <v>892</v>
      </c>
      <c r="G665" s="5">
        <v>601.54</v>
      </c>
      <c r="H665" s="5">
        <v>8</v>
      </c>
      <c r="I665" s="6">
        <v>60.15</v>
      </c>
    </row>
    <row r="666" spans="1:9" x14ac:dyDescent="0.3">
      <c r="A666" s="1">
        <v>41923</v>
      </c>
      <c r="B666" s="2" t="s">
        <v>218</v>
      </c>
      <c r="C666" s="2" t="s">
        <v>18</v>
      </c>
      <c r="D666" s="2" t="s">
        <v>30</v>
      </c>
      <c r="E666" s="2" t="s">
        <v>43</v>
      </c>
      <c r="F666" s="2" t="s">
        <v>674</v>
      </c>
      <c r="G666" s="2">
        <v>10.99</v>
      </c>
      <c r="H666" s="2">
        <v>1</v>
      </c>
      <c r="I666" s="3">
        <v>4.29</v>
      </c>
    </row>
    <row r="667" spans="1:9" x14ac:dyDescent="0.3">
      <c r="A667" s="4">
        <v>41923</v>
      </c>
      <c r="B667" s="5" t="s">
        <v>218</v>
      </c>
      <c r="C667" s="5" t="s">
        <v>18</v>
      </c>
      <c r="D667" s="5" t="s">
        <v>25</v>
      </c>
      <c r="E667" s="5" t="s">
        <v>38</v>
      </c>
      <c r="F667" s="5" t="s">
        <v>893</v>
      </c>
      <c r="G667" s="5">
        <v>39.880000000000003</v>
      </c>
      <c r="H667" s="5">
        <v>2</v>
      </c>
      <c r="I667" s="6">
        <v>11.17</v>
      </c>
    </row>
    <row r="668" spans="1:9" x14ac:dyDescent="0.3">
      <c r="A668" s="1">
        <v>41923</v>
      </c>
      <c r="B668" s="2" t="s">
        <v>218</v>
      </c>
      <c r="C668" s="2" t="s">
        <v>18</v>
      </c>
      <c r="D668" s="2" t="s">
        <v>2</v>
      </c>
      <c r="E668" s="2" t="s">
        <v>3</v>
      </c>
      <c r="F668" s="2" t="s">
        <v>170</v>
      </c>
      <c r="G668" s="2">
        <v>62.24</v>
      </c>
      <c r="H668" s="2">
        <v>8</v>
      </c>
      <c r="I668" s="3">
        <v>28.01</v>
      </c>
    </row>
    <row r="669" spans="1:9" x14ac:dyDescent="0.3">
      <c r="A669" s="4">
        <v>41923</v>
      </c>
      <c r="B669" s="5" t="s">
        <v>218</v>
      </c>
      <c r="C669" s="5" t="s">
        <v>18</v>
      </c>
      <c r="D669" s="5" t="s">
        <v>25</v>
      </c>
      <c r="E669" s="5" t="s">
        <v>38</v>
      </c>
      <c r="F669" s="5" t="s">
        <v>894</v>
      </c>
      <c r="G669" s="5">
        <v>53.2</v>
      </c>
      <c r="H669" s="5">
        <v>5</v>
      </c>
      <c r="I669" s="6">
        <v>14.9</v>
      </c>
    </row>
    <row r="670" spans="1:9" x14ac:dyDescent="0.3">
      <c r="A670" s="1">
        <v>41923</v>
      </c>
      <c r="B670" s="2" t="s">
        <v>218</v>
      </c>
      <c r="C670" s="2" t="s">
        <v>18</v>
      </c>
      <c r="D670" s="2" t="s">
        <v>2</v>
      </c>
      <c r="E670" s="2" t="s">
        <v>7</v>
      </c>
      <c r="F670" s="2" t="s">
        <v>895</v>
      </c>
      <c r="G670" s="2">
        <v>39.840000000000003</v>
      </c>
      <c r="H670" s="2">
        <v>8</v>
      </c>
      <c r="I670" s="3">
        <v>18.329999999999998</v>
      </c>
    </row>
    <row r="671" spans="1:9" x14ac:dyDescent="0.3">
      <c r="A671" s="4">
        <v>41923</v>
      </c>
      <c r="B671" s="5" t="s">
        <v>132</v>
      </c>
      <c r="C671" s="5" t="s">
        <v>160</v>
      </c>
      <c r="D671" s="5" t="s">
        <v>2</v>
      </c>
      <c r="E671" s="5" t="s">
        <v>15</v>
      </c>
      <c r="F671" s="5" t="s">
        <v>896</v>
      </c>
      <c r="G671" s="5">
        <v>3.9</v>
      </c>
      <c r="H671" s="5">
        <v>2</v>
      </c>
      <c r="I671" s="6">
        <v>1.52</v>
      </c>
    </row>
    <row r="672" spans="1:9" x14ac:dyDescent="0.3">
      <c r="A672" s="1">
        <v>41923</v>
      </c>
      <c r="B672" s="2" t="s">
        <v>132</v>
      </c>
      <c r="C672" s="2" t="s">
        <v>160</v>
      </c>
      <c r="D672" s="2" t="s">
        <v>2</v>
      </c>
      <c r="E672" s="2" t="s">
        <v>3</v>
      </c>
      <c r="F672" s="2" t="s">
        <v>897</v>
      </c>
      <c r="G672" s="2">
        <v>12.84</v>
      </c>
      <c r="H672" s="2">
        <v>3</v>
      </c>
      <c r="I672" s="3">
        <v>5.78</v>
      </c>
    </row>
    <row r="673" spans="1:9" x14ac:dyDescent="0.3">
      <c r="A673" s="4">
        <v>41923</v>
      </c>
      <c r="B673" s="5" t="s">
        <v>132</v>
      </c>
      <c r="C673" s="5" t="s">
        <v>160</v>
      </c>
      <c r="D673" s="5" t="s">
        <v>2</v>
      </c>
      <c r="E673" s="5" t="s">
        <v>3</v>
      </c>
      <c r="F673" s="5" t="s">
        <v>898</v>
      </c>
      <c r="G673" s="5">
        <v>15.84</v>
      </c>
      <c r="H673" s="5">
        <v>3</v>
      </c>
      <c r="I673" s="6">
        <v>7.13</v>
      </c>
    </row>
    <row r="674" spans="1:9" x14ac:dyDescent="0.3">
      <c r="A674" s="1">
        <v>41923</v>
      </c>
      <c r="B674" s="2" t="s">
        <v>132</v>
      </c>
      <c r="C674" s="2" t="s">
        <v>160</v>
      </c>
      <c r="D674" s="2" t="s">
        <v>25</v>
      </c>
      <c r="E674" s="2" t="s">
        <v>26</v>
      </c>
      <c r="F674" s="2" t="s">
        <v>899</v>
      </c>
      <c r="G674" s="2">
        <v>563.94000000000005</v>
      </c>
      <c r="H674" s="2">
        <v>3</v>
      </c>
      <c r="I674" s="3">
        <v>112.79</v>
      </c>
    </row>
    <row r="675" spans="1:9" x14ac:dyDescent="0.3">
      <c r="A675" s="4">
        <v>41923</v>
      </c>
      <c r="B675" s="5" t="s">
        <v>132</v>
      </c>
      <c r="C675" s="5" t="s">
        <v>160</v>
      </c>
      <c r="D675" s="5" t="s">
        <v>2</v>
      </c>
      <c r="E675" s="5" t="s">
        <v>9</v>
      </c>
      <c r="F675" s="5" t="s">
        <v>900</v>
      </c>
      <c r="G675" s="5">
        <v>62.94</v>
      </c>
      <c r="H675" s="5">
        <v>3</v>
      </c>
      <c r="I675" s="6">
        <v>11.96</v>
      </c>
    </row>
    <row r="676" spans="1:9" x14ac:dyDescent="0.3">
      <c r="A676" s="1">
        <v>41923</v>
      </c>
      <c r="B676" s="2" t="s">
        <v>132</v>
      </c>
      <c r="C676" s="2" t="s">
        <v>160</v>
      </c>
      <c r="D676" s="2" t="s">
        <v>2</v>
      </c>
      <c r="E676" s="2" t="s">
        <v>9</v>
      </c>
      <c r="F676" s="2" t="s">
        <v>380</v>
      </c>
      <c r="G676" s="2">
        <v>535.41</v>
      </c>
      <c r="H676" s="2">
        <v>3</v>
      </c>
      <c r="I676" s="3">
        <v>160.62</v>
      </c>
    </row>
    <row r="677" spans="1:9" x14ac:dyDescent="0.3">
      <c r="A677" s="4">
        <v>41954</v>
      </c>
      <c r="B677" s="5" t="s">
        <v>901</v>
      </c>
      <c r="C677" s="5" t="s">
        <v>53</v>
      </c>
      <c r="D677" s="5" t="s">
        <v>2</v>
      </c>
      <c r="E677" s="5" t="s">
        <v>9</v>
      </c>
      <c r="F677" s="5" t="s">
        <v>902</v>
      </c>
      <c r="G677" s="5">
        <v>665.88</v>
      </c>
      <c r="H677" s="5">
        <v>6</v>
      </c>
      <c r="I677" s="6">
        <v>13.32</v>
      </c>
    </row>
    <row r="678" spans="1:9" x14ac:dyDescent="0.3">
      <c r="A678" s="1">
        <v>41954</v>
      </c>
      <c r="B678" s="2" t="s">
        <v>903</v>
      </c>
      <c r="C678" s="2" t="s">
        <v>163</v>
      </c>
      <c r="D678" s="2" t="s">
        <v>2</v>
      </c>
      <c r="E678" s="2" t="s">
        <v>15</v>
      </c>
      <c r="F678" s="2" t="s">
        <v>904</v>
      </c>
      <c r="G678" s="2">
        <v>3.39</v>
      </c>
      <c r="H678" s="2">
        <v>1</v>
      </c>
      <c r="I678" s="3">
        <v>0.81</v>
      </c>
    </row>
    <row r="679" spans="1:9" x14ac:dyDescent="0.3">
      <c r="A679" s="4">
        <v>41954</v>
      </c>
      <c r="B679" s="5" t="s">
        <v>903</v>
      </c>
      <c r="C679" s="5" t="s">
        <v>163</v>
      </c>
      <c r="D679" s="5" t="s">
        <v>30</v>
      </c>
      <c r="E679" s="5" t="s">
        <v>31</v>
      </c>
      <c r="F679" s="5" t="s">
        <v>905</v>
      </c>
      <c r="G679" s="5">
        <v>559.98</v>
      </c>
      <c r="H679" s="5">
        <v>2</v>
      </c>
      <c r="I679" s="6">
        <v>56</v>
      </c>
    </row>
    <row r="680" spans="1:9" x14ac:dyDescent="0.3">
      <c r="A680" s="1">
        <v>41954</v>
      </c>
      <c r="B680" s="2" t="s">
        <v>903</v>
      </c>
      <c r="C680" s="2" t="s">
        <v>163</v>
      </c>
      <c r="D680" s="2" t="s">
        <v>25</v>
      </c>
      <c r="E680" s="2" t="s">
        <v>26</v>
      </c>
      <c r="F680" s="2" t="s">
        <v>906</v>
      </c>
      <c r="G680" s="2">
        <v>603.91999999999996</v>
      </c>
      <c r="H680" s="2">
        <v>5</v>
      </c>
      <c r="I680" s="3">
        <v>75.489999999999995</v>
      </c>
    </row>
    <row r="681" spans="1:9" x14ac:dyDescent="0.3">
      <c r="A681" s="4">
        <v>41954</v>
      </c>
      <c r="B681" s="5" t="s">
        <v>907</v>
      </c>
      <c r="C681" s="5" t="s">
        <v>1</v>
      </c>
      <c r="D681" s="5" t="s">
        <v>2</v>
      </c>
      <c r="E681" s="5" t="s">
        <v>11</v>
      </c>
      <c r="F681" s="5" t="s">
        <v>627</v>
      </c>
      <c r="G681" s="5">
        <v>896.99</v>
      </c>
      <c r="H681" s="5">
        <v>5</v>
      </c>
      <c r="I681" s="6">
        <v>-1480.03</v>
      </c>
    </row>
    <row r="682" spans="1:9" x14ac:dyDescent="0.3">
      <c r="A682" s="1">
        <v>41954</v>
      </c>
      <c r="B682" s="2" t="s">
        <v>907</v>
      </c>
      <c r="C682" s="2" t="s">
        <v>1</v>
      </c>
      <c r="D682" s="2" t="s">
        <v>2</v>
      </c>
      <c r="E682" s="2" t="s">
        <v>11</v>
      </c>
      <c r="F682" s="2" t="s">
        <v>908</v>
      </c>
      <c r="G682" s="2">
        <v>1.23</v>
      </c>
      <c r="H682" s="2">
        <v>1</v>
      </c>
      <c r="I682" s="3">
        <v>-1.97</v>
      </c>
    </row>
    <row r="683" spans="1:9" x14ac:dyDescent="0.3">
      <c r="A683" s="4">
        <v>41954</v>
      </c>
      <c r="B683" s="5" t="s">
        <v>907</v>
      </c>
      <c r="C683" s="5" t="s">
        <v>1</v>
      </c>
      <c r="D683" s="5" t="s">
        <v>2</v>
      </c>
      <c r="E683" s="5" t="s">
        <v>15</v>
      </c>
      <c r="F683" s="5" t="s">
        <v>909</v>
      </c>
      <c r="G683" s="5">
        <v>67.56</v>
      </c>
      <c r="H683" s="5">
        <v>3</v>
      </c>
      <c r="I683" s="6">
        <v>6.76</v>
      </c>
    </row>
    <row r="684" spans="1:9" x14ac:dyDescent="0.3">
      <c r="A684" s="1">
        <v>41954</v>
      </c>
      <c r="B684" s="2" t="s">
        <v>907</v>
      </c>
      <c r="C684" s="2" t="s">
        <v>1</v>
      </c>
      <c r="D684" s="2" t="s">
        <v>2</v>
      </c>
      <c r="E684" s="2" t="s">
        <v>3</v>
      </c>
      <c r="F684" s="2" t="s">
        <v>910</v>
      </c>
      <c r="G684" s="2">
        <v>21.72</v>
      </c>
      <c r="H684" s="2">
        <v>5</v>
      </c>
      <c r="I684" s="3">
        <v>7.87</v>
      </c>
    </row>
    <row r="685" spans="1:9" x14ac:dyDescent="0.3">
      <c r="A685" s="4">
        <v>41954</v>
      </c>
      <c r="B685" s="5" t="s">
        <v>907</v>
      </c>
      <c r="C685" s="5" t="s">
        <v>1</v>
      </c>
      <c r="D685" s="5" t="s">
        <v>2</v>
      </c>
      <c r="E685" s="5" t="s">
        <v>3</v>
      </c>
      <c r="F685" s="5" t="s">
        <v>911</v>
      </c>
      <c r="G685" s="5">
        <v>262.33999999999997</v>
      </c>
      <c r="H685" s="5">
        <v>8</v>
      </c>
      <c r="I685" s="6">
        <v>95.1</v>
      </c>
    </row>
    <row r="686" spans="1:9" x14ac:dyDescent="0.3">
      <c r="A686" s="1">
        <v>41954</v>
      </c>
      <c r="B686" s="2" t="s">
        <v>907</v>
      </c>
      <c r="C686" s="2" t="s">
        <v>1</v>
      </c>
      <c r="D686" s="2" t="s">
        <v>30</v>
      </c>
      <c r="E686" s="2" t="s">
        <v>31</v>
      </c>
      <c r="F686" s="2" t="s">
        <v>912</v>
      </c>
      <c r="G686" s="2">
        <v>148.47999999999999</v>
      </c>
      <c r="H686" s="2">
        <v>2</v>
      </c>
      <c r="I686" s="3">
        <v>16.7</v>
      </c>
    </row>
    <row r="687" spans="1:9" x14ac:dyDescent="0.3">
      <c r="A687" s="4">
        <v>41954</v>
      </c>
      <c r="B687" s="5" t="s">
        <v>907</v>
      </c>
      <c r="C687" s="5" t="s">
        <v>1</v>
      </c>
      <c r="D687" s="5" t="s">
        <v>30</v>
      </c>
      <c r="E687" s="5" t="s">
        <v>31</v>
      </c>
      <c r="F687" s="5" t="s">
        <v>913</v>
      </c>
      <c r="G687" s="5">
        <v>241.18</v>
      </c>
      <c r="H687" s="5">
        <v>3</v>
      </c>
      <c r="I687" s="6">
        <v>15.07</v>
      </c>
    </row>
    <row r="688" spans="1:9" x14ac:dyDescent="0.3">
      <c r="A688" s="1">
        <v>41954</v>
      </c>
      <c r="B688" s="2" t="s">
        <v>914</v>
      </c>
      <c r="C688" s="2" t="s">
        <v>18</v>
      </c>
      <c r="D688" s="2" t="s">
        <v>2</v>
      </c>
      <c r="E688" s="2" t="s">
        <v>15</v>
      </c>
      <c r="F688" s="2" t="s">
        <v>915</v>
      </c>
      <c r="G688" s="2">
        <v>30.48</v>
      </c>
      <c r="H688" s="2">
        <v>3</v>
      </c>
      <c r="I688" s="3">
        <v>7.92</v>
      </c>
    </row>
    <row r="689" spans="1:9" x14ac:dyDescent="0.3">
      <c r="A689" s="4">
        <v>41954</v>
      </c>
      <c r="B689" s="5" t="s">
        <v>914</v>
      </c>
      <c r="C689" s="5" t="s">
        <v>18</v>
      </c>
      <c r="D689" s="5" t="s">
        <v>25</v>
      </c>
      <c r="E689" s="5" t="s">
        <v>26</v>
      </c>
      <c r="F689" s="5" t="s">
        <v>916</v>
      </c>
      <c r="G689" s="5">
        <v>112.65</v>
      </c>
      <c r="H689" s="5">
        <v>1</v>
      </c>
      <c r="I689" s="6">
        <v>11.26</v>
      </c>
    </row>
    <row r="690" spans="1:9" x14ac:dyDescent="0.3">
      <c r="A690" s="1">
        <v>41954</v>
      </c>
      <c r="B690" s="2" t="s">
        <v>917</v>
      </c>
      <c r="C690" s="2" t="s">
        <v>14</v>
      </c>
      <c r="D690" s="2" t="s">
        <v>25</v>
      </c>
      <c r="E690" s="2" t="s">
        <v>38</v>
      </c>
      <c r="F690" s="2" t="s">
        <v>918</v>
      </c>
      <c r="G690" s="2">
        <v>23.97</v>
      </c>
      <c r="H690" s="2">
        <v>2</v>
      </c>
      <c r="I690" s="3">
        <v>7.79</v>
      </c>
    </row>
    <row r="691" spans="1:9" x14ac:dyDescent="0.3">
      <c r="A691" s="4">
        <v>41954</v>
      </c>
      <c r="B691" s="5" t="s">
        <v>917</v>
      </c>
      <c r="C691" s="5" t="s">
        <v>14</v>
      </c>
      <c r="D691" s="5" t="s">
        <v>25</v>
      </c>
      <c r="E691" s="5" t="s">
        <v>129</v>
      </c>
      <c r="F691" s="5" t="s">
        <v>919</v>
      </c>
      <c r="G691" s="5">
        <v>521.96</v>
      </c>
      <c r="H691" s="5">
        <v>4</v>
      </c>
      <c r="I691" s="6">
        <v>-250.54</v>
      </c>
    </row>
    <row r="692" spans="1:9" x14ac:dyDescent="0.3">
      <c r="A692" s="1">
        <v>41954</v>
      </c>
      <c r="B692" s="2" t="s">
        <v>571</v>
      </c>
      <c r="C692" s="2" t="s">
        <v>18</v>
      </c>
      <c r="D692" s="2" t="s">
        <v>30</v>
      </c>
      <c r="E692" s="2" t="s">
        <v>31</v>
      </c>
      <c r="F692" s="2" t="s">
        <v>379</v>
      </c>
      <c r="G692" s="2">
        <v>575.92999999999995</v>
      </c>
      <c r="H692" s="2">
        <v>9</v>
      </c>
      <c r="I692" s="3">
        <v>57.59</v>
      </c>
    </row>
    <row r="693" spans="1:9" x14ac:dyDescent="0.3">
      <c r="A693" s="4">
        <v>41954</v>
      </c>
      <c r="B693" s="5" t="s">
        <v>571</v>
      </c>
      <c r="C693" s="5" t="s">
        <v>18</v>
      </c>
      <c r="D693" s="5" t="s">
        <v>2</v>
      </c>
      <c r="E693" s="5" t="s">
        <v>133</v>
      </c>
      <c r="F693" s="5" t="s">
        <v>391</v>
      </c>
      <c r="G693" s="5">
        <v>7.78</v>
      </c>
      <c r="H693" s="5">
        <v>2</v>
      </c>
      <c r="I693" s="6">
        <v>2.02</v>
      </c>
    </row>
    <row r="694" spans="1:9" x14ac:dyDescent="0.3">
      <c r="A694" s="1">
        <v>41954</v>
      </c>
      <c r="B694" s="2" t="s">
        <v>571</v>
      </c>
      <c r="C694" s="2" t="s">
        <v>18</v>
      </c>
      <c r="D694" s="2" t="s">
        <v>2</v>
      </c>
      <c r="E694" s="2" t="s">
        <v>3</v>
      </c>
      <c r="F694" s="2" t="s">
        <v>920</v>
      </c>
      <c r="G694" s="2">
        <v>123.92</v>
      </c>
      <c r="H694" s="2">
        <v>4</v>
      </c>
      <c r="I694" s="3">
        <v>55.76</v>
      </c>
    </row>
    <row r="695" spans="1:9" x14ac:dyDescent="0.3">
      <c r="A695" s="4">
        <v>41954</v>
      </c>
      <c r="B695" s="5" t="s">
        <v>200</v>
      </c>
      <c r="C695" s="5" t="s">
        <v>62</v>
      </c>
      <c r="D695" s="5" t="s">
        <v>2</v>
      </c>
      <c r="E695" s="5" t="s">
        <v>133</v>
      </c>
      <c r="F695" s="5" t="s">
        <v>421</v>
      </c>
      <c r="G695" s="5">
        <v>22.98</v>
      </c>
      <c r="H695" s="5">
        <v>1</v>
      </c>
      <c r="I695" s="6">
        <v>6.89</v>
      </c>
    </row>
    <row r="696" spans="1:9" x14ac:dyDescent="0.3">
      <c r="A696" s="1">
        <v>41954</v>
      </c>
      <c r="B696" s="2" t="s">
        <v>200</v>
      </c>
      <c r="C696" s="2" t="s">
        <v>62</v>
      </c>
      <c r="D696" s="2" t="s">
        <v>30</v>
      </c>
      <c r="E696" s="2" t="s">
        <v>43</v>
      </c>
      <c r="F696" s="2" t="s">
        <v>652</v>
      </c>
      <c r="G696" s="2">
        <v>102.13</v>
      </c>
      <c r="H696" s="2">
        <v>7</v>
      </c>
      <c r="I696" s="3">
        <v>15.32</v>
      </c>
    </row>
    <row r="697" spans="1:9" x14ac:dyDescent="0.3">
      <c r="A697" s="4">
        <v>41954</v>
      </c>
      <c r="B697" s="5" t="s">
        <v>200</v>
      </c>
      <c r="C697" s="5" t="s">
        <v>62</v>
      </c>
      <c r="D697" s="5" t="s">
        <v>2</v>
      </c>
      <c r="E697" s="5" t="s">
        <v>11</v>
      </c>
      <c r="F697" s="5" t="s">
        <v>921</v>
      </c>
      <c r="G697" s="5">
        <v>2033.58</v>
      </c>
      <c r="H697" s="5">
        <v>2</v>
      </c>
      <c r="I697" s="6">
        <v>762.59</v>
      </c>
    </row>
    <row r="698" spans="1:9" x14ac:dyDescent="0.3">
      <c r="A698" s="1">
        <v>41954</v>
      </c>
      <c r="B698" s="2" t="s">
        <v>416</v>
      </c>
      <c r="C698" s="2" t="s">
        <v>6</v>
      </c>
      <c r="D698" s="2" t="s">
        <v>25</v>
      </c>
      <c r="E698" s="2" t="s">
        <v>38</v>
      </c>
      <c r="F698" s="2" t="s">
        <v>922</v>
      </c>
      <c r="G698" s="2">
        <v>10.98</v>
      </c>
      <c r="H698" s="2">
        <v>2</v>
      </c>
      <c r="I698" s="3">
        <v>-7.96</v>
      </c>
    </row>
    <row r="699" spans="1:9" x14ac:dyDescent="0.3">
      <c r="A699" s="4">
        <v>41954</v>
      </c>
      <c r="B699" s="5" t="s">
        <v>416</v>
      </c>
      <c r="C699" s="5" t="s">
        <v>6</v>
      </c>
      <c r="D699" s="5" t="s">
        <v>25</v>
      </c>
      <c r="E699" s="5" t="s">
        <v>26</v>
      </c>
      <c r="F699" s="5" t="s">
        <v>486</v>
      </c>
      <c r="G699" s="5">
        <v>797.94</v>
      </c>
      <c r="H699" s="5">
        <v>4</v>
      </c>
      <c r="I699" s="6">
        <v>-57</v>
      </c>
    </row>
    <row r="700" spans="1:9" x14ac:dyDescent="0.3">
      <c r="A700" s="1">
        <v>41954</v>
      </c>
      <c r="B700" s="2" t="s">
        <v>113</v>
      </c>
      <c r="C700" s="2" t="s">
        <v>80</v>
      </c>
      <c r="D700" s="2" t="s">
        <v>2</v>
      </c>
      <c r="E700" s="2" t="s">
        <v>3</v>
      </c>
      <c r="F700" s="2" t="s">
        <v>923</v>
      </c>
      <c r="G700" s="2">
        <v>46.35</v>
      </c>
      <c r="H700" s="2">
        <v>5</v>
      </c>
      <c r="I700" s="3">
        <v>21.78</v>
      </c>
    </row>
    <row r="701" spans="1:9" x14ac:dyDescent="0.3">
      <c r="A701" s="4">
        <v>41954</v>
      </c>
      <c r="B701" s="5" t="s">
        <v>113</v>
      </c>
      <c r="C701" s="5" t="s">
        <v>80</v>
      </c>
      <c r="D701" s="5" t="s">
        <v>2</v>
      </c>
      <c r="E701" s="5" t="s">
        <v>3</v>
      </c>
      <c r="F701" s="5" t="s">
        <v>924</v>
      </c>
      <c r="G701" s="5">
        <v>223.92</v>
      </c>
      <c r="H701" s="5">
        <v>4</v>
      </c>
      <c r="I701" s="6">
        <v>109.72</v>
      </c>
    </row>
    <row r="702" spans="1:9" x14ac:dyDescent="0.3">
      <c r="A702" s="1">
        <v>41954</v>
      </c>
      <c r="B702" s="2" t="s">
        <v>113</v>
      </c>
      <c r="C702" s="2" t="s">
        <v>80</v>
      </c>
      <c r="D702" s="2" t="s">
        <v>2</v>
      </c>
      <c r="E702" s="2" t="s">
        <v>144</v>
      </c>
      <c r="F702" s="2" t="s">
        <v>925</v>
      </c>
      <c r="G702" s="2">
        <v>7.3</v>
      </c>
      <c r="H702" s="2">
        <v>2</v>
      </c>
      <c r="I702" s="3">
        <v>2.19</v>
      </c>
    </row>
    <row r="703" spans="1:9" x14ac:dyDescent="0.3">
      <c r="A703" s="4">
        <v>41984</v>
      </c>
      <c r="B703" s="5" t="s">
        <v>926</v>
      </c>
      <c r="C703" s="5" t="s">
        <v>1</v>
      </c>
      <c r="D703" s="5" t="s">
        <v>2</v>
      </c>
      <c r="E703" s="5" t="s">
        <v>9</v>
      </c>
      <c r="F703" s="5" t="s">
        <v>927</v>
      </c>
      <c r="G703" s="5">
        <v>49.63</v>
      </c>
      <c r="H703" s="5">
        <v>4</v>
      </c>
      <c r="I703" s="6">
        <v>4.96</v>
      </c>
    </row>
    <row r="704" spans="1:9" x14ac:dyDescent="0.3">
      <c r="A704" s="1">
        <v>41984</v>
      </c>
      <c r="B704" s="2" t="s">
        <v>928</v>
      </c>
      <c r="C704" s="2" t="s">
        <v>18</v>
      </c>
      <c r="D704" s="2" t="s">
        <v>2</v>
      </c>
      <c r="E704" s="2" t="s">
        <v>3</v>
      </c>
      <c r="F704" s="2" t="s">
        <v>929</v>
      </c>
      <c r="G704" s="2">
        <v>11.96</v>
      </c>
      <c r="H704" s="2">
        <v>2</v>
      </c>
      <c r="I704" s="3">
        <v>5.86</v>
      </c>
    </row>
    <row r="705" spans="1:9" x14ac:dyDescent="0.3">
      <c r="A705" s="4">
        <v>41984</v>
      </c>
      <c r="B705" s="5" t="s">
        <v>928</v>
      </c>
      <c r="C705" s="5" t="s">
        <v>18</v>
      </c>
      <c r="D705" s="5" t="s">
        <v>25</v>
      </c>
      <c r="E705" s="5" t="s">
        <v>86</v>
      </c>
      <c r="F705" s="5" t="s">
        <v>930</v>
      </c>
      <c r="G705" s="5">
        <v>629.05999999999995</v>
      </c>
      <c r="H705" s="5">
        <v>3</v>
      </c>
      <c r="I705" s="6">
        <v>31.45</v>
      </c>
    </row>
    <row r="706" spans="1:9" x14ac:dyDescent="0.3">
      <c r="A706" s="1">
        <v>41984</v>
      </c>
      <c r="B706" s="2" t="s">
        <v>841</v>
      </c>
      <c r="C706" s="2" t="s">
        <v>121</v>
      </c>
      <c r="D706" s="2" t="s">
        <v>2</v>
      </c>
      <c r="E706" s="2" t="s">
        <v>15</v>
      </c>
      <c r="F706" s="2" t="s">
        <v>309</v>
      </c>
      <c r="G706" s="2">
        <v>7.87</v>
      </c>
      <c r="H706" s="2">
        <v>3</v>
      </c>
      <c r="I706" s="3">
        <v>0.89</v>
      </c>
    </row>
    <row r="707" spans="1:9" x14ac:dyDescent="0.3">
      <c r="A707" s="4">
        <v>41984</v>
      </c>
      <c r="B707" s="5" t="s">
        <v>931</v>
      </c>
      <c r="C707" s="5" t="s">
        <v>1</v>
      </c>
      <c r="D707" s="5" t="s">
        <v>2</v>
      </c>
      <c r="E707" s="5" t="s">
        <v>15</v>
      </c>
      <c r="F707" s="5" t="s">
        <v>932</v>
      </c>
      <c r="G707" s="5">
        <v>2.67</v>
      </c>
      <c r="H707" s="5">
        <v>1</v>
      </c>
      <c r="I707" s="6">
        <v>0.33</v>
      </c>
    </row>
    <row r="708" spans="1:9" x14ac:dyDescent="0.3">
      <c r="A708" s="1">
        <v>41984</v>
      </c>
      <c r="B708" s="2" t="s">
        <v>931</v>
      </c>
      <c r="C708" s="2" t="s">
        <v>1</v>
      </c>
      <c r="D708" s="2" t="s">
        <v>2</v>
      </c>
      <c r="E708" s="2" t="s">
        <v>144</v>
      </c>
      <c r="F708" s="2" t="s">
        <v>605</v>
      </c>
      <c r="G708" s="2">
        <v>16.66</v>
      </c>
      <c r="H708" s="2">
        <v>6</v>
      </c>
      <c r="I708" s="3">
        <v>-3.12</v>
      </c>
    </row>
    <row r="709" spans="1:9" x14ac:dyDescent="0.3">
      <c r="A709" s="4">
        <v>41984</v>
      </c>
      <c r="B709" s="5" t="s">
        <v>931</v>
      </c>
      <c r="C709" s="5" t="s">
        <v>1</v>
      </c>
      <c r="D709" s="5" t="s">
        <v>30</v>
      </c>
      <c r="E709" s="5" t="s">
        <v>43</v>
      </c>
      <c r="F709" s="5" t="s">
        <v>933</v>
      </c>
      <c r="G709" s="5">
        <v>79.510000000000005</v>
      </c>
      <c r="H709" s="5">
        <v>3</v>
      </c>
      <c r="I709" s="6">
        <v>20.87</v>
      </c>
    </row>
    <row r="710" spans="1:9" x14ac:dyDescent="0.3">
      <c r="A710" s="1">
        <v>41984</v>
      </c>
      <c r="B710" s="2" t="s">
        <v>931</v>
      </c>
      <c r="C710" s="2" t="s">
        <v>1</v>
      </c>
      <c r="D710" s="2" t="s">
        <v>2</v>
      </c>
      <c r="E710" s="2" t="s">
        <v>3</v>
      </c>
      <c r="F710" s="2" t="s">
        <v>613</v>
      </c>
      <c r="G710" s="2">
        <v>36.29</v>
      </c>
      <c r="H710" s="2">
        <v>7</v>
      </c>
      <c r="I710" s="3">
        <v>12.7</v>
      </c>
    </row>
    <row r="711" spans="1:9" x14ac:dyDescent="0.3">
      <c r="A711" s="4">
        <v>41984</v>
      </c>
      <c r="B711" s="5" t="s">
        <v>931</v>
      </c>
      <c r="C711" s="5" t="s">
        <v>1</v>
      </c>
      <c r="D711" s="5" t="s">
        <v>25</v>
      </c>
      <c r="E711" s="5" t="s">
        <v>129</v>
      </c>
      <c r="F711" s="5" t="s">
        <v>337</v>
      </c>
      <c r="G711" s="5">
        <v>67.989999999999995</v>
      </c>
      <c r="H711" s="5">
        <v>1</v>
      </c>
      <c r="I711" s="6">
        <v>-13</v>
      </c>
    </row>
    <row r="712" spans="1:9" x14ac:dyDescent="0.3">
      <c r="A712" s="1">
        <v>41984</v>
      </c>
      <c r="B712" s="2" t="s">
        <v>0</v>
      </c>
      <c r="C712" s="2" t="s">
        <v>1</v>
      </c>
      <c r="D712" s="2" t="s">
        <v>25</v>
      </c>
      <c r="E712" s="2" t="s">
        <v>38</v>
      </c>
      <c r="F712" s="2" t="s">
        <v>934</v>
      </c>
      <c r="G712" s="2">
        <v>25.13</v>
      </c>
      <c r="H712" s="2">
        <v>3</v>
      </c>
      <c r="I712" s="3">
        <v>-6.91</v>
      </c>
    </row>
    <row r="713" spans="1:9" x14ac:dyDescent="0.3">
      <c r="A713" s="4">
        <v>41984</v>
      </c>
      <c r="B713" s="5" t="s">
        <v>0</v>
      </c>
      <c r="C713" s="5" t="s">
        <v>1</v>
      </c>
      <c r="D713" s="5" t="s">
        <v>30</v>
      </c>
      <c r="E713" s="5" t="s">
        <v>43</v>
      </c>
      <c r="F713" s="5" t="s">
        <v>935</v>
      </c>
      <c r="G713" s="5">
        <v>127.98</v>
      </c>
      <c r="H713" s="5">
        <v>2</v>
      </c>
      <c r="I713" s="6">
        <v>25.6</v>
      </c>
    </row>
    <row r="714" spans="1:9" x14ac:dyDescent="0.3">
      <c r="A714" s="1">
        <v>41651</v>
      </c>
      <c r="B714" s="2" t="s">
        <v>834</v>
      </c>
      <c r="C714" s="2" t="s">
        <v>53</v>
      </c>
      <c r="D714" s="2" t="s">
        <v>25</v>
      </c>
      <c r="E714" s="2" t="s">
        <v>26</v>
      </c>
      <c r="F714" s="2" t="s">
        <v>936</v>
      </c>
      <c r="G714" s="2">
        <v>2807.84</v>
      </c>
      <c r="H714" s="2">
        <v>8</v>
      </c>
      <c r="I714" s="3">
        <v>673.88</v>
      </c>
    </row>
    <row r="715" spans="1:9" x14ac:dyDescent="0.3">
      <c r="A715" s="4">
        <v>41651</v>
      </c>
      <c r="B715" s="5" t="s">
        <v>834</v>
      </c>
      <c r="C715" s="5" t="s">
        <v>53</v>
      </c>
      <c r="D715" s="5" t="s">
        <v>2</v>
      </c>
      <c r="E715" s="5" t="s">
        <v>15</v>
      </c>
      <c r="F715" s="5" t="s">
        <v>937</v>
      </c>
      <c r="G715" s="5">
        <v>46.64</v>
      </c>
      <c r="H715" s="5">
        <v>4</v>
      </c>
      <c r="I715" s="6">
        <v>12.59</v>
      </c>
    </row>
    <row r="716" spans="1:9" x14ac:dyDescent="0.3">
      <c r="A716" s="1">
        <v>41651</v>
      </c>
      <c r="B716" s="2" t="s">
        <v>938</v>
      </c>
      <c r="C716" s="2" t="s">
        <v>18</v>
      </c>
      <c r="D716" s="2" t="s">
        <v>25</v>
      </c>
      <c r="E716" s="2" t="s">
        <v>38</v>
      </c>
      <c r="F716" s="2" t="s">
        <v>939</v>
      </c>
      <c r="G716" s="2">
        <v>58.2</v>
      </c>
      <c r="H716" s="2">
        <v>3</v>
      </c>
      <c r="I716" s="3">
        <v>28.52</v>
      </c>
    </row>
    <row r="717" spans="1:9" x14ac:dyDescent="0.3">
      <c r="A717" s="4">
        <v>41651</v>
      </c>
      <c r="B717" s="5" t="s">
        <v>940</v>
      </c>
      <c r="C717" s="5" t="s">
        <v>121</v>
      </c>
      <c r="D717" s="5" t="s">
        <v>30</v>
      </c>
      <c r="E717" s="5" t="s">
        <v>31</v>
      </c>
      <c r="F717" s="5" t="s">
        <v>941</v>
      </c>
      <c r="G717" s="5">
        <v>95.97</v>
      </c>
      <c r="H717" s="5">
        <v>4</v>
      </c>
      <c r="I717" s="6">
        <v>9.6</v>
      </c>
    </row>
    <row r="718" spans="1:9" x14ac:dyDescent="0.3">
      <c r="A718" s="1">
        <v>41651</v>
      </c>
      <c r="B718" s="2" t="s">
        <v>942</v>
      </c>
      <c r="C718" s="2" t="s">
        <v>127</v>
      </c>
      <c r="D718" s="2" t="s">
        <v>30</v>
      </c>
      <c r="E718" s="2" t="s">
        <v>290</v>
      </c>
      <c r="F718" s="2" t="s">
        <v>572</v>
      </c>
      <c r="G718" s="2">
        <v>659.99</v>
      </c>
      <c r="H718" s="2">
        <v>2</v>
      </c>
      <c r="I718" s="3">
        <v>110</v>
      </c>
    </row>
    <row r="719" spans="1:9" x14ac:dyDescent="0.3">
      <c r="A719" s="4">
        <v>41651</v>
      </c>
      <c r="B719" s="5" t="s">
        <v>942</v>
      </c>
      <c r="C719" s="5" t="s">
        <v>127</v>
      </c>
      <c r="D719" s="5" t="s">
        <v>25</v>
      </c>
      <c r="E719" s="5" t="s">
        <v>38</v>
      </c>
      <c r="F719" s="5" t="s">
        <v>943</v>
      </c>
      <c r="G719" s="5">
        <v>8.1300000000000008</v>
      </c>
      <c r="H719" s="5">
        <v>2</v>
      </c>
      <c r="I719" s="6">
        <v>1.42</v>
      </c>
    </row>
    <row r="720" spans="1:9" x14ac:dyDescent="0.3">
      <c r="A720" s="1">
        <v>41651</v>
      </c>
      <c r="B720" s="2" t="s">
        <v>942</v>
      </c>
      <c r="C720" s="2" t="s">
        <v>127</v>
      </c>
      <c r="D720" s="2" t="s">
        <v>2</v>
      </c>
      <c r="E720" s="2" t="s">
        <v>3</v>
      </c>
      <c r="F720" s="2" t="s">
        <v>944</v>
      </c>
      <c r="G720" s="2">
        <v>36.29</v>
      </c>
      <c r="H720" s="2">
        <v>7</v>
      </c>
      <c r="I720" s="3">
        <v>12.7</v>
      </c>
    </row>
    <row r="721" spans="1:9" x14ac:dyDescent="0.3">
      <c r="A721" s="4">
        <v>41651</v>
      </c>
      <c r="B721" s="5" t="s">
        <v>942</v>
      </c>
      <c r="C721" s="5" t="s">
        <v>127</v>
      </c>
      <c r="D721" s="5" t="s">
        <v>25</v>
      </c>
      <c r="E721" s="5" t="s">
        <v>26</v>
      </c>
      <c r="F721" s="5" t="s">
        <v>353</v>
      </c>
      <c r="G721" s="5">
        <v>909.72</v>
      </c>
      <c r="H721" s="5">
        <v>6</v>
      </c>
      <c r="I721" s="6">
        <v>-51.98</v>
      </c>
    </row>
    <row r="722" spans="1:9" x14ac:dyDescent="0.3">
      <c r="A722" s="1">
        <v>41651</v>
      </c>
      <c r="B722" s="2" t="s">
        <v>945</v>
      </c>
      <c r="C722" s="2" t="s">
        <v>1</v>
      </c>
      <c r="D722" s="2" t="s">
        <v>25</v>
      </c>
      <c r="E722" s="2" t="s">
        <v>26</v>
      </c>
      <c r="F722" s="2" t="s">
        <v>946</v>
      </c>
      <c r="G722" s="2">
        <v>674.06</v>
      </c>
      <c r="H722" s="2">
        <v>3</v>
      </c>
      <c r="I722" s="3">
        <v>-19.260000000000002</v>
      </c>
    </row>
    <row r="723" spans="1:9" x14ac:dyDescent="0.3">
      <c r="A723" s="4">
        <v>41651</v>
      </c>
      <c r="B723" s="5" t="s">
        <v>947</v>
      </c>
      <c r="C723" s="5" t="s">
        <v>181</v>
      </c>
      <c r="D723" s="5" t="s">
        <v>30</v>
      </c>
      <c r="E723" s="5" t="s">
        <v>31</v>
      </c>
      <c r="F723" s="5" t="s">
        <v>808</v>
      </c>
      <c r="G723" s="5">
        <v>271.89999999999998</v>
      </c>
      <c r="H723" s="5">
        <v>2</v>
      </c>
      <c r="I723" s="6">
        <v>78.849999999999994</v>
      </c>
    </row>
    <row r="724" spans="1:9" x14ac:dyDescent="0.3">
      <c r="A724" s="1">
        <v>41651</v>
      </c>
      <c r="B724" s="2" t="s">
        <v>947</v>
      </c>
      <c r="C724" s="2" t="s">
        <v>181</v>
      </c>
      <c r="D724" s="2" t="s">
        <v>25</v>
      </c>
      <c r="E724" s="2" t="s">
        <v>38</v>
      </c>
      <c r="F724" s="2" t="s">
        <v>948</v>
      </c>
      <c r="G724" s="2">
        <v>45.84</v>
      </c>
      <c r="H724" s="2">
        <v>3</v>
      </c>
      <c r="I724" s="3">
        <v>15.59</v>
      </c>
    </row>
    <row r="725" spans="1:9" x14ac:dyDescent="0.3">
      <c r="A725" s="4">
        <v>41651</v>
      </c>
      <c r="B725" s="5" t="s">
        <v>947</v>
      </c>
      <c r="C725" s="5" t="s">
        <v>181</v>
      </c>
      <c r="D725" s="5" t="s">
        <v>25</v>
      </c>
      <c r="E725" s="5" t="s">
        <v>38</v>
      </c>
      <c r="F725" s="5" t="s">
        <v>949</v>
      </c>
      <c r="G725" s="5">
        <v>9.82</v>
      </c>
      <c r="H725" s="5">
        <v>2</v>
      </c>
      <c r="I725" s="6">
        <v>3.24</v>
      </c>
    </row>
    <row r="726" spans="1:9" x14ac:dyDescent="0.3">
      <c r="A726" s="1">
        <v>41682</v>
      </c>
      <c r="B726" s="2" t="s">
        <v>950</v>
      </c>
      <c r="C726" s="2" t="s">
        <v>80</v>
      </c>
      <c r="D726" s="2" t="s">
        <v>30</v>
      </c>
      <c r="E726" s="2" t="s">
        <v>43</v>
      </c>
      <c r="F726" s="2" t="s">
        <v>951</v>
      </c>
      <c r="G726" s="2">
        <v>119.96</v>
      </c>
      <c r="H726" s="2">
        <v>4</v>
      </c>
      <c r="I726" s="3">
        <v>52.78</v>
      </c>
    </row>
    <row r="727" spans="1:9" x14ac:dyDescent="0.3">
      <c r="A727" s="4">
        <v>41682</v>
      </c>
      <c r="B727" s="5" t="s">
        <v>950</v>
      </c>
      <c r="C727" s="5" t="s">
        <v>80</v>
      </c>
      <c r="D727" s="5" t="s">
        <v>25</v>
      </c>
      <c r="E727" s="5" t="s">
        <v>129</v>
      </c>
      <c r="F727" s="5" t="s">
        <v>392</v>
      </c>
      <c r="G727" s="5">
        <v>883.92</v>
      </c>
      <c r="H727" s="5">
        <v>5</v>
      </c>
      <c r="I727" s="6">
        <v>-110.49</v>
      </c>
    </row>
    <row r="728" spans="1:9" x14ac:dyDescent="0.3">
      <c r="A728" s="1">
        <v>41682</v>
      </c>
      <c r="B728" s="2" t="s">
        <v>950</v>
      </c>
      <c r="C728" s="2" t="s">
        <v>80</v>
      </c>
      <c r="D728" s="2" t="s">
        <v>2</v>
      </c>
      <c r="E728" s="2" t="s">
        <v>11</v>
      </c>
      <c r="F728" s="2" t="s">
        <v>650</v>
      </c>
      <c r="G728" s="2">
        <v>46.72</v>
      </c>
      <c r="H728" s="2">
        <v>8</v>
      </c>
      <c r="I728" s="3">
        <v>15.77</v>
      </c>
    </row>
    <row r="729" spans="1:9" x14ac:dyDescent="0.3">
      <c r="A729" s="4">
        <v>41682</v>
      </c>
      <c r="B729" s="5" t="s">
        <v>952</v>
      </c>
      <c r="C729" s="5" t="s">
        <v>1</v>
      </c>
      <c r="D729" s="5" t="s">
        <v>25</v>
      </c>
      <c r="E729" s="5" t="s">
        <v>38</v>
      </c>
      <c r="F729" s="5" t="s">
        <v>953</v>
      </c>
      <c r="G729" s="5">
        <v>58.36</v>
      </c>
      <c r="H729" s="5">
        <v>5</v>
      </c>
      <c r="I729" s="6">
        <v>-24.8</v>
      </c>
    </row>
    <row r="730" spans="1:9" x14ac:dyDescent="0.3">
      <c r="A730" s="1">
        <v>41682</v>
      </c>
      <c r="B730" s="2" t="s">
        <v>952</v>
      </c>
      <c r="C730" s="2" t="s">
        <v>1</v>
      </c>
      <c r="D730" s="2" t="s">
        <v>2</v>
      </c>
      <c r="E730" s="2" t="s">
        <v>15</v>
      </c>
      <c r="F730" s="2" t="s">
        <v>860</v>
      </c>
      <c r="G730" s="2">
        <v>16.46</v>
      </c>
      <c r="H730" s="2">
        <v>7</v>
      </c>
      <c r="I730" s="3">
        <v>1.44</v>
      </c>
    </row>
    <row r="731" spans="1:9" x14ac:dyDescent="0.3">
      <c r="A731" s="4">
        <v>41682</v>
      </c>
      <c r="B731" s="5" t="s">
        <v>952</v>
      </c>
      <c r="C731" s="5" t="s">
        <v>1</v>
      </c>
      <c r="D731" s="5" t="s">
        <v>25</v>
      </c>
      <c r="E731" s="5" t="s">
        <v>38</v>
      </c>
      <c r="F731" s="5" t="s">
        <v>954</v>
      </c>
      <c r="G731" s="5">
        <v>39.96</v>
      </c>
      <c r="H731" s="5">
        <v>5</v>
      </c>
      <c r="I731" s="6">
        <v>-23.98</v>
      </c>
    </row>
    <row r="732" spans="1:9" x14ac:dyDescent="0.3">
      <c r="A732" s="1">
        <v>41682</v>
      </c>
      <c r="B732" s="2" t="s">
        <v>955</v>
      </c>
      <c r="C732" s="2" t="s">
        <v>127</v>
      </c>
      <c r="D732" s="2" t="s">
        <v>30</v>
      </c>
      <c r="E732" s="2" t="s">
        <v>43</v>
      </c>
      <c r="F732" s="2" t="s">
        <v>956</v>
      </c>
      <c r="G732" s="2">
        <v>119.8</v>
      </c>
      <c r="H732" s="2">
        <v>5</v>
      </c>
      <c r="I732" s="3">
        <v>29.95</v>
      </c>
    </row>
    <row r="733" spans="1:9" x14ac:dyDescent="0.3">
      <c r="A733" s="4">
        <v>41682</v>
      </c>
      <c r="B733" s="5" t="s">
        <v>957</v>
      </c>
      <c r="C733" s="5" t="s">
        <v>6</v>
      </c>
      <c r="D733" s="5" t="s">
        <v>2</v>
      </c>
      <c r="E733" s="5" t="s">
        <v>133</v>
      </c>
      <c r="F733" s="5" t="s">
        <v>351</v>
      </c>
      <c r="G733" s="5">
        <v>2.39</v>
      </c>
      <c r="H733" s="5">
        <v>1</v>
      </c>
      <c r="I733" s="6">
        <v>-6.34</v>
      </c>
    </row>
    <row r="734" spans="1:9" x14ac:dyDescent="0.3">
      <c r="A734" s="1">
        <v>41682</v>
      </c>
      <c r="B734" s="2" t="s">
        <v>850</v>
      </c>
      <c r="C734" s="2" t="s">
        <v>958</v>
      </c>
      <c r="D734" s="2" t="s">
        <v>25</v>
      </c>
      <c r="E734" s="2" t="s">
        <v>38</v>
      </c>
      <c r="F734" s="2" t="s">
        <v>959</v>
      </c>
      <c r="G734" s="2">
        <v>60.72</v>
      </c>
      <c r="H734" s="2">
        <v>3</v>
      </c>
      <c r="I734" s="3">
        <v>23.68</v>
      </c>
    </row>
    <row r="735" spans="1:9" x14ac:dyDescent="0.3">
      <c r="A735" s="4">
        <v>41682</v>
      </c>
      <c r="B735" s="5" t="s">
        <v>850</v>
      </c>
      <c r="C735" s="5" t="s">
        <v>958</v>
      </c>
      <c r="D735" s="5" t="s">
        <v>2</v>
      </c>
      <c r="E735" s="5" t="s">
        <v>3</v>
      </c>
      <c r="F735" s="5" t="s">
        <v>960</v>
      </c>
      <c r="G735" s="5">
        <v>146.82</v>
      </c>
      <c r="H735" s="5">
        <v>3</v>
      </c>
      <c r="I735" s="6">
        <v>73.41</v>
      </c>
    </row>
    <row r="736" spans="1:9" x14ac:dyDescent="0.3">
      <c r="A736" s="1">
        <v>41682</v>
      </c>
      <c r="B736" s="2" t="s">
        <v>850</v>
      </c>
      <c r="C736" s="2" t="s">
        <v>958</v>
      </c>
      <c r="D736" s="2" t="s">
        <v>25</v>
      </c>
      <c r="E736" s="2" t="s">
        <v>26</v>
      </c>
      <c r="F736" s="2" t="s">
        <v>870</v>
      </c>
      <c r="G736" s="2">
        <v>239.84</v>
      </c>
      <c r="H736" s="2">
        <v>8</v>
      </c>
      <c r="I736" s="3">
        <v>64.760000000000005</v>
      </c>
    </row>
    <row r="737" spans="1:9" x14ac:dyDescent="0.3">
      <c r="A737" s="4">
        <v>41682</v>
      </c>
      <c r="B737" s="5" t="s">
        <v>850</v>
      </c>
      <c r="C737" s="5" t="s">
        <v>958</v>
      </c>
      <c r="D737" s="5" t="s">
        <v>2</v>
      </c>
      <c r="E737" s="5" t="s">
        <v>7</v>
      </c>
      <c r="F737" s="5" t="s">
        <v>961</v>
      </c>
      <c r="G737" s="5">
        <v>15.66</v>
      </c>
      <c r="H737" s="5">
        <v>6</v>
      </c>
      <c r="I737" s="6">
        <v>7.2</v>
      </c>
    </row>
    <row r="738" spans="1:9" x14ac:dyDescent="0.3">
      <c r="A738" s="1">
        <v>41682</v>
      </c>
      <c r="B738" s="2" t="s">
        <v>962</v>
      </c>
      <c r="C738" s="2" t="s">
        <v>21</v>
      </c>
      <c r="D738" s="2" t="s">
        <v>30</v>
      </c>
      <c r="E738" s="2" t="s">
        <v>43</v>
      </c>
      <c r="F738" s="2" t="s">
        <v>963</v>
      </c>
      <c r="G738" s="2">
        <v>5.95</v>
      </c>
      <c r="H738" s="2">
        <v>1</v>
      </c>
      <c r="I738" s="3">
        <v>0.83</v>
      </c>
    </row>
    <row r="739" spans="1:9" x14ac:dyDescent="0.3">
      <c r="A739" s="4">
        <v>41682</v>
      </c>
      <c r="B739" s="5" t="s">
        <v>962</v>
      </c>
      <c r="C739" s="5" t="s">
        <v>21</v>
      </c>
      <c r="D739" s="5" t="s">
        <v>2</v>
      </c>
      <c r="E739" s="5" t="s">
        <v>3</v>
      </c>
      <c r="F739" s="5" t="s">
        <v>964</v>
      </c>
      <c r="G739" s="5">
        <v>15.24</v>
      </c>
      <c r="H739" s="5">
        <v>3</v>
      </c>
      <c r="I739" s="6">
        <v>7.16</v>
      </c>
    </row>
    <row r="740" spans="1:9" x14ac:dyDescent="0.3">
      <c r="A740" s="1">
        <v>41710</v>
      </c>
      <c r="B740" s="2" t="s">
        <v>965</v>
      </c>
      <c r="C740" s="2" t="s">
        <v>640</v>
      </c>
      <c r="D740" s="2" t="s">
        <v>30</v>
      </c>
      <c r="E740" s="2" t="s">
        <v>31</v>
      </c>
      <c r="F740" s="2" t="s">
        <v>966</v>
      </c>
      <c r="G740" s="2">
        <v>479.96</v>
      </c>
      <c r="H740" s="2">
        <v>4</v>
      </c>
      <c r="I740" s="3">
        <v>134.38999999999999</v>
      </c>
    </row>
    <row r="741" spans="1:9" x14ac:dyDescent="0.3">
      <c r="A741" s="4">
        <v>41710</v>
      </c>
      <c r="B741" s="5" t="s">
        <v>967</v>
      </c>
      <c r="C741" s="5" t="s">
        <v>90</v>
      </c>
      <c r="D741" s="5" t="s">
        <v>2</v>
      </c>
      <c r="E741" s="5" t="s">
        <v>3</v>
      </c>
      <c r="F741" s="5" t="s">
        <v>944</v>
      </c>
      <c r="G741" s="5">
        <v>25.92</v>
      </c>
      <c r="H741" s="5">
        <v>4</v>
      </c>
      <c r="I741" s="6">
        <v>12.44</v>
      </c>
    </row>
    <row r="742" spans="1:9" x14ac:dyDescent="0.3">
      <c r="A742" s="1">
        <v>41741</v>
      </c>
      <c r="B742" s="2" t="s">
        <v>968</v>
      </c>
      <c r="C742" s="2" t="s">
        <v>80</v>
      </c>
      <c r="D742" s="2" t="s">
        <v>30</v>
      </c>
      <c r="E742" s="2" t="s">
        <v>31</v>
      </c>
      <c r="F742" s="2" t="s">
        <v>806</v>
      </c>
      <c r="G742" s="2">
        <v>129.97999999999999</v>
      </c>
      <c r="H742" s="2">
        <v>2</v>
      </c>
      <c r="I742" s="3">
        <v>62.39</v>
      </c>
    </row>
    <row r="743" spans="1:9" x14ac:dyDescent="0.3">
      <c r="A743" s="4">
        <v>41771</v>
      </c>
      <c r="B743" s="5" t="s">
        <v>969</v>
      </c>
      <c r="C743" s="5" t="s">
        <v>253</v>
      </c>
      <c r="D743" s="5" t="s">
        <v>2</v>
      </c>
      <c r="E743" s="5" t="s">
        <v>15</v>
      </c>
      <c r="F743" s="5" t="s">
        <v>970</v>
      </c>
      <c r="G743" s="5">
        <v>1113.02</v>
      </c>
      <c r="H743" s="5">
        <v>8</v>
      </c>
      <c r="I743" s="6">
        <v>111.3</v>
      </c>
    </row>
    <row r="744" spans="1:9" x14ac:dyDescent="0.3">
      <c r="A744" s="1">
        <v>41771</v>
      </c>
      <c r="B744" s="2" t="s">
        <v>969</v>
      </c>
      <c r="C744" s="2" t="s">
        <v>253</v>
      </c>
      <c r="D744" s="2" t="s">
        <v>30</v>
      </c>
      <c r="E744" s="2" t="s">
        <v>31</v>
      </c>
      <c r="F744" s="2" t="s">
        <v>971</v>
      </c>
      <c r="G744" s="2">
        <v>167.97</v>
      </c>
      <c r="H744" s="2">
        <v>4</v>
      </c>
      <c r="I744" s="3">
        <v>62.99</v>
      </c>
    </row>
    <row r="745" spans="1:9" x14ac:dyDescent="0.3">
      <c r="A745" s="4">
        <v>41771</v>
      </c>
      <c r="B745" s="5" t="s">
        <v>972</v>
      </c>
      <c r="C745" s="5" t="s">
        <v>6</v>
      </c>
      <c r="D745" s="5" t="s">
        <v>2</v>
      </c>
      <c r="E745" s="5" t="s">
        <v>9</v>
      </c>
      <c r="F745" s="5" t="s">
        <v>216</v>
      </c>
      <c r="G745" s="5">
        <v>24.82</v>
      </c>
      <c r="H745" s="5">
        <v>2</v>
      </c>
      <c r="I745" s="6">
        <v>1.86</v>
      </c>
    </row>
    <row r="746" spans="1:9" x14ac:dyDescent="0.3">
      <c r="A746" s="1">
        <v>41771</v>
      </c>
      <c r="B746" s="2" t="s">
        <v>972</v>
      </c>
      <c r="C746" s="2" t="s">
        <v>6</v>
      </c>
      <c r="D746" s="2" t="s">
        <v>30</v>
      </c>
      <c r="E746" s="2" t="s">
        <v>43</v>
      </c>
      <c r="F746" s="2" t="s">
        <v>230</v>
      </c>
      <c r="G746" s="2">
        <v>408.74</v>
      </c>
      <c r="H746" s="2">
        <v>7</v>
      </c>
      <c r="I746" s="3">
        <v>76.64</v>
      </c>
    </row>
    <row r="747" spans="1:9" x14ac:dyDescent="0.3">
      <c r="A747" s="4">
        <v>41771</v>
      </c>
      <c r="B747" s="5" t="s">
        <v>973</v>
      </c>
      <c r="C747" s="5" t="s">
        <v>46</v>
      </c>
      <c r="D747" s="5" t="s">
        <v>2</v>
      </c>
      <c r="E747" s="5" t="s">
        <v>9</v>
      </c>
      <c r="F747" s="5" t="s">
        <v>974</v>
      </c>
      <c r="G747" s="5">
        <v>24.56</v>
      </c>
      <c r="H747" s="5">
        <v>2</v>
      </c>
      <c r="I747" s="6">
        <v>6.88</v>
      </c>
    </row>
    <row r="748" spans="1:9" x14ac:dyDescent="0.3">
      <c r="A748" s="1">
        <v>41771</v>
      </c>
      <c r="B748" s="2" t="s">
        <v>975</v>
      </c>
      <c r="C748" s="2" t="s">
        <v>14</v>
      </c>
      <c r="D748" s="2" t="s">
        <v>2</v>
      </c>
      <c r="E748" s="2" t="s">
        <v>114</v>
      </c>
      <c r="F748" s="2" t="s">
        <v>976</v>
      </c>
      <c r="G748" s="2">
        <v>348.49</v>
      </c>
      <c r="H748" s="2">
        <v>7</v>
      </c>
      <c r="I748" s="3">
        <v>117.61</v>
      </c>
    </row>
    <row r="749" spans="1:9" x14ac:dyDescent="0.3">
      <c r="A749" s="4">
        <v>41771</v>
      </c>
      <c r="B749" s="5" t="s">
        <v>975</v>
      </c>
      <c r="C749" s="5" t="s">
        <v>14</v>
      </c>
      <c r="D749" s="5" t="s">
        <v>2</v>
      </c>
      <c r="E749" s="5" t="s">
        <v>9</v>
      </c>
      <c r="F749" s="5" t="s">
        <v>109</v>
      </c>
      <c r="G749" s="5">
        <v>172.74</v>
      </c>
      <c r="H749" s="5">
        <v>4</v>
      </c>
      <c r="I749" s="6">
        <v>-30.23</v>
      </c>
    </row>
    <row r="750" spans="1:9" x14ac:dyDescent="0.3">
      <c r="A750" s="1">
        <v>41771</v>
      </c>
      <c r="B750" s="2" t="s">
        <v>817</v>
      </c>
      <c r="C750" s="2" t="s">
        <v>127</v>
      </c>
      <c r="D750" s="2" t="s">
        <v>2</v>
      </c>
      <c r="E750" s="2" t="s">
        <v>3</v>
      </c>
      <c r="F750" s="2" t="s">
        <v>911</v>
      </c>
      <c r="G750" s="2">
        <v>98.38</v>
      </c>
      <c r="H750" s="2">
        <v>3</v>
      </c>
      <c r="I750" s="3">
        <v>35.659999999999997</v>
      </c>
    </row>
    <row r="751" spans="1:9" x14ac:dyDescent="0.3">
      <c r="A751" s="4">
        <v>41771</v>
      </c>
      <c r="B751" s="5" t="s">
        <v>817</v>
      </c>
      <c r="C751" s="5" t="s">
        <v>127</v>
      </c>
      <c r="D751" s="5" t="s">
        <v>2</v>
      </c>
      <c r="E751" s="5" t="s">
        <v>11</v>
      </c>
      <c r="F751" s="5" t="s">
        <v>226</v>
      </c>
      <c r="G751" s="5">
        <v>29.94</v>
      </c>
      <c r="H751" s="5">
        <v>4</v>
      </c>
      <c r="I751" s="6">
        <v>-23.95</v>
      </c>
    </row>
    <row r="752" spans="1:9" x14ac:dyDescent="0.3">
      <c r="A752" s="1">
        <v>41771</v>
      </c>
      <c r="B752" s="2" t="s">
        <v>817</v>
      </c>
      <c r="C752" s="2" t="s">
        <v>127</v>
      </c>
      <c r="D752" s="2" t="s">
        <v>2</v>
      </c>
      <c r="E752" s="2" t="s">
        <v>3</v>
      </c>
      <c r="F752" s="2" t="s">
        <v>104</v>
      </c>
      <c r="G752" s="2">
        <v>17.47</v>
      </c>
      <c r="H752" s="2">
        <v>3</v>
      </c>
      <c r="I752" s="3">
        <v>5.68</v>
      </c>
    </row>
    <row r="753" spans="1:9" x14ac:dyDescent="0.3">
      <c r="A753" s="4">
        <v>41771</v>
      </c>
      <c r="B753" s="5" t="s">
        <v>817</v>
      </c>
      <c r="C753" s="5" t="s">
        <v>127</v>
      </c>
      <c r="D753" s="5" t="s">
        <v>30</v>
      </c>
      <c r="E753" s="5" t="s">
        <v>31</v>
      </c>
      <c r="F753" s="5" t="s">
        <v>977</v>
      </c>
      <c r="G753" s="5">
        <v>36.74</v>
      </c>
      <c r="H753" s="5">
        <v>1</v>
      </c>
      <c r="I753" s="6">
        <v>-9.18</v>
      </c>
    </row>
    <row r="754" spans="1:9" x14ac:dyDescent="0.3">
      <c r="A754" s="1">
        <v>41771</v>
      </c>
      <c r="B754" s="2" t="s">
        <v>817</v>
      </c>
      <c r="C754" s="2" t="s">
        <v>127</v>
      </c>
      <c r="D754" s="2" t="s">
        <v>30</v>
      </c>
      <c r="E754" s="2" t="s">
        <v>31</v>
      </c>
      <c r="F754" s="2" t="s">
        <v>978</v>
      </c>
      <c r="G754" s="2">
        <v>179.94</v>
      </c>
      <c r="H754" s="2">
        <v>2</v>
      </c>
      <c r="I754" s="3">
        <v>-44.99</v>
      </c>
    </row>
    <row r="755" spans="1:9" x14ac:dyDescent="0.3">
      <c r="A755" s="4">
        <v>41771</v>
      </c>
      <c r="B755" s="5" t="s">
        <v>979</v>
      </c>
      <c r="C755" s="5" t="s">
        <v>18</v>
      </c>
      <c r="D755" s="5" t="s">
        <v>2</v>
      </c>
      <c r="E755" s="5" t="s">
        <v>15</v>
      </c>
      <c r="F755" s="5" t="s">
        <v>684</v>
      </c>
      <c r="G755" s="5">
        <v>26.46</v>
      </c>
      <c r="H755" s="5">
        <v>9</v>
      </c>
      <c r="I755" s="6">
        <v>11.91</v>
      </c>
    </row>
    <row r="756" spans="1:9" x14ac:dyDescent="0.3">
      <c r="A756" s="1">
        <v>41771</v>
      </c>
      <c r="B756" s="2" t="s">
        <v>979</v>
      </c>
      <c r="C756" s="2" t="s">
        <v>18</v>
      </c>
      <c r="D756" s="2" t="s">
        <v>2</v>
      </c>
      <c r="E756" s="2" t="s">
        <v>3</v>
      </c>
      <c r="F756" s="2" t="s">
        <v>310</v>
      </c>
      <c r="G756" s="2">
        <v>49.12</v>
      </c>
      <c r="H756" s="2">
        <v>4</v>
      </c>
      <c r="I756" s="3">
        <v>23.09</v>
      </c>
    </row>
    <row r="757" spans="1:9" x14ac:dyDescent="0.3">
      <c r="A757" s="4">
        <v>41771</v>
      </c>
      <c r="B757" s="5" t="s">
        <v>979</v>
      </c>
      <c r="C757" s="5" t="s">
        <v>18</v>
      </c>
      <c r="D757" s="5" t="s">
        <v>2</v>
      </c>
      <c r="E757" s="5" t="s">
        <v>34</v>
      </c>
      <c r="F757" s="5" t="s">
        <v>679</v>
      </c>
      <c r="G757" s="5">
        <v>15</v>
      </c>
      <c r="H757" s="5">
        <v>3</v>
      </c>
      <c r="I757" s="6">
        <v>7.2</v>
      </c>
    </row>
    <row r="758" spans="1:9" x14ac:dyDescent="0.3">
      <c r="A758" s="1">
        <v>41771</v>
      </c>
      <c r="B758" s="2" t="s">
        <v>980</v>
      </c>
      <c r="C758" s="2" t="s">
        <v>18</v>
      </c>
      <c r="D758" s="2" t="s">
        <v>2</v>
      </c>
      <c r="E758" s="2" t="s">
        <v>133</v>
      </c>
      <c r="F758" s="2" t="s">
        <v>723</v>
      </c>
      <c r="G758" s="2">
        <v>250.26</v>
      </c>
      <c r="H758" s="2">
        <v>6</v>
      </c>
      <c r="I758" s="3">
        <v>72.58</v>
      </c>
    </row>
    <row r="759" spans="1:9" x14ac:dyDescent="0.3">
      <c r="A759" s="4">
        <v>41802</v>
      </c>
      <c r="B759" s="5" t="s">
        <v>981</v>
      </c>
      <c r="C759" s="5" t="s">
        <v>1</v>
      </c>
      <c r="D759" s="5" t="s">
        <v>25</v>
      </c>
      <c r="E759" s="5" t="s">
        <v>38</v>
      </c>
      <c r="F759" s="5" t="s">
        <v>954</v>
      </c>
      <c r="G759" s="5">
        <v>23.98</v>
      </c>
      <c r="H759" s="5">
        <v>3</v>
      </c>
      <c r="I759" s="6">
        <v>-14.39</v>
      </c>
    </row>
    <row r="760" spans="1:9" x14ac:dyDescent="0.3">
      <c r="A760" s="1">
        <v>41802</v>
      </c>
      <c r="B760" s="2" t="s">
        <v>982</v>
      </c>
      <c r="C760" s="2" t="s">
        <v>713</v>
      </c>
      <c r="D760" s="2" t="s">
        <v>2</v>
      </c>
      <c r="E760" s="2" t="s">
        <v>9</v>
      </c>
      <c r="F760" s="2" t="s">
        <v>983</v>
      </c>
      <c r="G760" s="2">
        <v>53.42</v>
      </c>
      <c r="H760" s="2">
        <v>3</v>
      </c>
      <c r="I760" s="3">
        <v>4.67</v>
      </c>
    </row>
    <row r="761" spans="1:9" x14ac:dyDescent="0.3">
      <c r="A761" s="4">
        <v>41802</v>
      </c>
      <c r="B761" s="5" t="s">
        <v>982</v>
      </c>
      <c r="C761" s="5" t="s">
        <v>713</v>
      </c>
      <c r="D761" s="5" t="s">
        <v>25</v>
      </c>
      <c r="E761" s="5" t="s">
        <v>86</v>
      </c>
      <c r="F761" s="5" t="s">
        <v>399</v>
      </c>
      <c r="G761" s="5">
        <v>275.49</v>
      </c>
      <c r="H761" s="5">
        <v>1</v>
      </c>
      <c r="I761" s="6">
        <v>-170.8</v>
      </c>
    </row>
    <row r="762" spans="1:9" x14ac:dyDescent="0.3">
      <c r="A762" s="1">
        <v>41802</v>
      </c>
      <c r="B762" s="2" t="s">
        <v>526</v>
      </c>
      <c r="C762" s="2" t="s">
        <v>6</v>
      </c>
      <c r="D762" s="2" t="s">
        <v>2</v>
      </c>
      <c r="E762" s="2" t="s">
        <v>133</v>
      </c>
      <c r="F762" s="2" t="s">
        <v>984</v>
      </c>
      <c r="G762" s="2">
        <v>14.02</v>
      </c>
      <c r="H762" s="2">
        <v>4</v>
      </c>
      <c r="I762" s="3">
        <v>-31.54</v>
      </c>
    </row>
    <row r="763" spans="1:9" x14ac:dyDescent="0.3">
      <c r="A763" s="4">
        <v>41802</v>
      </c>
      <c r="B763" s="5" t="s">
        <v>526</v>
      </c>
      <c r="C763" s="5" t="s">
        <v>6</v>
      </c>
      <c r="D763" s="5" t="s">
        <v>25</v>
      </c>
      <c r="E763" s="5" t="s">
        <v>86</v>
      </c>
      <c r="F763" s="5" t="s">
        <v>229</v>
      </c>
      <c r="G763" s="5">
        <v>214.95</v>
      </c>
      <c r="H763" s="5">
        <v>5</v>
      </c>
      <c r="I763" s="6">
        <v>-120.37</v>
      </c>
    </row>
    <row r="764" spans="1:9" x14ac:dyDescent="0.3">
      <c r="A764" s="1">
        <v>41802</v>
      </c>
      <c r="B764" s="2" t="s">
        <v>526</v>
      </c>
      <c r="C764" s="2" t="s">
        <v>6</v>
      </c>
      <c r="D764" s="2" t="s">
        <v>30</v>
      </c>
      <c r="E764" s="2" t="s">
        <v>31</v>
      </c>
      <c r="F764" s="2" t="s">
        <v>985</v>
      </c>
      <c r="G764" s="2">
        <v>35.04</v>
      </c>
      <c r="H764" s="2">
        <v>4</v>
      </c>
      <c r="I764" s="3">
        <v>-7.01</v>
      </c>
    </row>
    <row r="765" spans="1:9" x14ac:dyDescent="0.3">
      <c r="A765" s="4">
        <v>41802</v>
      </c>
      <c r="B765" s="5" t="s">
        <v>526</v>
      </c>
      <c r="C765" s="5" t="s">
        <v>6</v>
      </c>
      <c r="D765" s="5" t="s">
        <v>25</v>
      </c>
      <c r="E765" s="5" t="s">
        <v>38</v>
      </c>
      <c r="F765" s="5" t="s">
        <v>575</v>
      </c>
      <c r="G765" s="5">
        <v>10.78</v>
      </c>
      <c r="H765" s="5">
        <v>3</v>
      </c>
      <c r="I765" s="6">
        <v>-4.8499999999999996</v>
      </c>
    </row>
    <row r="766" spans="1:9" x14ac:dyDescent="0.3">
      <c r="A766" s="1">
        <v>41802</v>
      </c>
      <c r="B766" s="2" t="s">
        <v>526</v>
      </c>
      <c r="C766" s="2" t="s">
        <v>6</v>
      </c>
      <c r="D766" s="2" t="s">
        <v>2</v>
      </c>
      <c r="E766" s="2" t="s">
        <v>11</v>
      </c>
      <c r="F766" s="2" t="s">
        <v>986</v>
      </c>
      <c r="G766" s="2">
        <v>4.5999999999999996</v>
      </c>
      <c r="H766" s="2">
        <v>2</v>
      </c>
      <c r="I766" s="3">
        <v>-8.0500000000000007</v>
      </c>
    </row>
    <row r="767" spans="1:9" x14ac:dyDescent="0.3">
      <c r="A767" s="4">
        <v>41802</v>
      </c>
      <c r="B767" s="5" t="s">
        <v>526</v>
      </c>
      <c r="C767" s="5" t="s">
        <v>6</v>
      </c>
      <c r="D767" s="5" t="s">
        <v>2</v>
      </c>
      <c r="E767" s="5" t="s">
        <v>9</v>
      </c>
      <c r="F767" s="5" t="s">
        <v>987</v>
      </c>
      <c r="G767" s="5">
        <v>35.17</v>
      </c>
      <c r="H767" s="5">
        <v>2</v>
      </c>
      <c r="I767" s="6">
        <v>-8.35</v>
      </c>
    </row>
    <row r="768" spans="1:9" x14ac:dyDescent="0.3">
      <c r="A768" s="1">
        <v>41802</v>
      </c>
      <c r="B768" s="2" t="s">
        <v>246</v>
      </c>
      <c r="C768" s="2" t="s">
        <v>18</v>
      </c>
      <c r="D768" s="2" t="s">
        <v>2</v>
      </c>
      <c r="E768" s="2" t="s">
        <v>9</v>
      </c>
      <c r="F768" s="2" t="s">
        <v>988</v>
      </c>
      <c r="G768" s="2">
        <v>1261.33</v>
      </c>
      <c r="H768" s="2">
        <v>7</v>
      </c>
      <c r="I768" s="3">
        <v>327.95</v>
      </c>
    </row>
    <row r="769" spans="1:9" x14ac:dyDescent="0.3">
      <c r="A769" s="4">
        <v>41802</v>
      </c>
      <c r="B769" s="5" t="s">
        <v>869</v>
      </c>
      <c r="C769" s="5" t="s">
        <v>411</v>
      </c>
      <c r="D769" s="5" t="s">
        <v>2</v>
      </c>
      <c r="E769" s="5" t="s">
        <v>3</v>
      </c>
      <c r="F769" s="5" t="s">
        <v>435</v>
      </c>
      <c r="G769" s="5">
        <v>42.21</v>
      </c>
      <c r="H769" s="5">
        <v>2</v>
      </c>
      <c r="I769" s="6">
        <v>13.72</v>
      </c>
    </row>
    <row r="770" spans="1:9" x14ac:dyDescent="0.3">
      <c r="A770" s="1">
        <v>41832</v>
      </c>
      <c r="B770" s="2" t="s">
        <v>822</v>
      </c>
      <c r="C770" s="2" t="s">
        <v>46</v>
      </c>
      <c r="D770" s="2" t="s">
        <v>2</v>
      </c>
      <c r="E770" s="2" t="s">
        <v>3</v>
      </c>
      <c r="F770" s="2" t="s">
        <v>435</v>
      </c>
      <c r="G770" s="2">
        <v>105.52</v>
      </c>
      <c r="H770" s="2">
        <v>4</v>
      </c>
      <c r="I770" s="3">
        <v>48.54</v>
      </c>
    </row>
    <row r="771" spans="1:9" x14ac:dyDescent="0.3">
      <c r="A771" s="4">
        <v>41832</v>
      </c>
      <c r="B771" s="5" t="s">
        <v>989</v>
      </c>
      <c r="C771" s="5" t="s">
        <v>18</v>
      </c>
      <c r="D771" s="5" t="s">
        <v>2</v>
      </c>
      <c r="E771" s="5" t="s">
        <v>15</v>
      </c>
      <c r="F771" s="5" t="s">
        <v>990</v>
      </c>
      <c r="G771" s="5">
        <v>8.64</v>
      </c>
      <c r="H771" s="5">
        <v>3</v>
      </c>
      <c r="I771" s="6">
        <v>2.42</v>
      </c>
    </row>
    <row r="772" spans="1:9" x14ac:dyDescent="0.3">
      <c r="A772" s="1">
        <v>41832</v>
      </c>
      <c r="B772" s="2" t="s">
        <v>517</v>
      </c>
      <c r="C772" s="2" t="s">
        <v>62</v>
      </c>
      <c r="D772" s="2" t="s">
        <v>2</v>
      </c>
      <c r="E772" s="2" t="s">
        <v>9</v>
      </c>
      <c r="F772" s="2" t="s">
        <v>570</v>
      </c>
      <c r="G772" s="2">
        <v>269.36</v>
      </c>
      <c r="H772" s="2">
        <v>7</v>
      </c>
      <c r="I772" s="3">
        <v>70.03</v>
      </c>
    </row>
    <row r="773" spans="1:9" x14ac:dyDescent="0.3">
      <c r="A773" s="4">
        <v>41832</v>
      </c>
      <c r="B773" s="5" t="s">
        <v>991</v>
      </c>
      <c r="C773" s="5" t="s">
        <v>18</v>
      </c>
      <c r="D773" s="5" t="s">
        <v>2</v>
      </c>
      <c r="E773" s="5" t="s">
        <v>3</v>
      </c>
      <c r="F773" s="5" t="s">
        <v>992</v>
      </c>
      <c r="G773" s="5">
        <v>164.88</v>
      </c>
      <c r="H773" s="5">
        <v>3</v>
      </c>
      <c r="I773" s="6">
        <v>80.790000000000006</v>
      </c>
    </row>
    <row r="774" spans="1:9" x14ac:dyDescent="0.3">
      <c r="A774" s="1">
        <v>41863</v>
      </c>
      <c r="B774" s="2" t="s">
        <v>993</v>
      </c>
      <c r="C774" s="2" t="s">
        <v>1</v>
      </c>
      <c r="D774" s="2" t="s">
        <v>2</v>
      </c>
      <c r="E774" s="2" t="s">
        <v>9</v>
      </c>
      <c r="F774" s="2" t="s">
        <v>994</v>
      </c>
      <c r="G774" s="2">
        <v>60.42</v>
      </c>
      <c r="H774" s="2">
        <v>2</v>
      </c>
      <c r="I774" s="3">
        <v>6.04</v>
      </c>
    </row>
    <row r="775" spans="1:9" x14ac:dyDescent="0.3">
      <c r="A775" s="4">
        <v>41863</v>
      </c>
      <c r="B775" s="5" t="s">
        <v>995</v>
      </c>
      <c r="C775" s="5" t="s">
        <v>713</v>
      </c>
      <c r="D775" s="5" t="s">
        <v>2</v>
      </c>
      <c r="E775" s="5" t="s">
        <v>7</v>
      </c>
      <c r="F775" s="5" t="s">
        <v>820</v>
      </c>
      <c r="G775" s="5">
        <v>27.89</v>
      </c>
      <c r="H775" s="5">
        <v>7</v>
      </c>
      <c r="I775" s="6">
        <v>9.06</v>
      </c>
    </row>
    <row r="776" spans="1:9" x14ac:dyDescent="0.3">
      <c r="A776" s="1">
        <v>41863</v>
      </c>
      <c r="B776" s="2" t="s">
        <v>995</v>
      </c>
      <c r="C776" s="2" t="s">
        <v>713</v>
      </c>
      <c r="D776" s="2" t="s">
        <v>2</v>
      </c>
      <c r="E776" s="2" t="s">
        <v>11</v>
      </c>
      <c r="F776" s="2" t="s">
        <v>996</v>
      </c>
      <c r="G776" s="2">
        <v>6.46</v>
      </c>
      <c r="H776" s="2">
        <v>4</v>
      </c>
      <c r="I776" s="3">
        <v>-4.5199999999999996</v>
      </c>
    </row>
    <row r="777" spans="1:9" x14ac:dyDescent="0.3">
      <c r="A777" s="4">
        <v>41863</v>
      </c>
      <c r="B777" s="5" t="s">
        <v>995</v>
      </c>
      <c r="C777" s="5" t="s">
        <v>713</v>
      </c>
      <c r="D777" s="5" t="s">
        <v>30</v>
      </c>
      <c r="E777" s="5" t="s">
        <v>31</v>
      </c>
      <c r="F777" s="5" t="s">
        <v>997</v>
      </c>
      <c r="G777" s="5">
        <v>52.68</v>
      </c>
      <c r="H777" s="5">
        <v>3</v>
      </c>
      <c r="I777" s="6">
        <v>19.760000000000002</v>
      </c>
    </row>
    <row r="778" spans="1:9" x14ac:dyDescent="0.3">
      <c r="A778" s="1">
        <v>41863</v>
      </c>
      <c r="B778" s="2" t="s">
        <v>995</v>
      </c>
      <c r="C778" s="2" t="s">
        <v>713</v>
      </c>
      <c r="D778" s="2" t="s">
        <v>2</v>
      </c>
      <c r="E778" s="2" t="s">
        <v>144</v>
      </c>
      <c r="F778" s="2" t="s">
        <v>605</v>
      </c>
      <c r="G778" s="2">
        <v>13.88</v>
      </c>
      <c r="H778" s="2">
        <v>5</v>
      </c>
      <c r="I778" s="3">
        <v>-2.6</v>
      </c>
    </row>
    <row r="779" spans="1:9" x14ac:dyDescent="0.3">
      <c r="A779" s="4">
        <v>41863</v>
      </c>
      <c r="B779" s="5" t="s">
        <v>995</v>
      </c>
      <c r="C779" s="5" t="s">
        <v>713</v>
      </c>
      <c r="D779" s="5" t="s">
        <v>30</v>
      </c>
      <c r="E779" s="5" t="s">
        <v>43</v>
      </c>
      <c r="F779" s="5" t="s">
        <v>998</v>
      </c>
      <c r="G779" s="5">
        <v>103.92</v>
      </c>
      <c r="H779" s="5">
        <v>10</v>
      </c>
      <c r="I779" s="6">
        <v>-18.190000000000001</v>
      </c>
    </row>
    <row r="780" spans="1:9" x14ac:dyDescent="0.3">
      <c r="A780" s="1">
        <v>41863</v>
      </c>
      <c r="B780" s="2" t="s">
        <v>995</v>
      </c>
      <c r="C780" s="2" t="s">
        <v>713</v>
      </c>
      <c r="D780" s="2" t="s">
        <v>2</v>
      </c>
      <c r="E780" s="2" t="s">
        <v>7</v>
      </c>
      <c r="F780" s="2" t="s">
        <v>999</v>
      </c>
      <c r="G780" s="2">
        <v>11.52</v>
      </c>
      <c r="H780" s="2">
        <v>5</v>
      </c>
      <c r="I780" s="3">
        <v>3.74</v>
      </c>
    </row>
    <row r="781" spans="1:9" x14ac:dyDescent="0.3">
      <c r="A781" s="4">
        <v>41863</v>
      </c>
      <c r="B781" s="5" t="s">
        <v>995</v>
      </c>
      <c r="C781" s="5" t="s">
        <v>713</v>
      </c>
      <c r="D781" s="5" t="s">
        <v>2</v>
      </c>
      <c r="E781" s="5" t="s">
        <v>3</v>
      </c>
      <c r="F781" s="5" t="s">
        <v>1000</v>
      </c>
      <c r="G781" s="5">
        <v>10.37</v>
      </c>
      <c r="H781" s="5">
        <v>2</v>
      </c>
      <c r="I781" s="6">
        <v>3.63</v>
      </c>
    </row>
    <row r="782" spans="1:9" x14ac:dyDescent="0.3">
      <c r="A782" s="1">
        <v>41863</v>
      </c>
      <c r="B782" s="2" t="s">
        <v>995</v>
      </c>
      <c r="C782" s="2" t="s">
        <v>713</v>
      </c>
      <c r="D782" s="2" t="s">
        <v>2</v>
      </c>
      <c r="E782" s="2" t="s">
        <v>9</v>
      </c>
      <c r="F782" s="2" t="s">
        <v>217</v>
      </c>
      <c r="G782" s="2">
        <v>39.07</v>
      </c>
      <c r="H782" s="2">
        <v>3</v>
      </c>
      <c r="I782" s="3">
        <v>2.93</v>
      </c>
    </row>
    <row r="783" spans="1:9" x14ac:dyDescent="0.3">
      <c r="A783" s="4">
        <v>41863</v>
      </c>
      <c r="B783" s="5" t="s">
        <v>1001</v>
      </c>
      <c r="C783" s="5" t="s">
        <v>62</v>
      </c>
      <c r="D783" s="5" t="s">
        <v>2</v>
      </c>
      <c r="E783" s="5" t="s">
        <v>3</v>
      </c>
      <c r="F783" s="5" t="s">
        <v>1002</v>
      </c>
      <c r="G783" s="5">
        <v>45.68</v>
      </c>
      <c r="H783" s="5">
        <v>2</v>
      </c>
      <c r="I783" s="6">
        <v>21.01</v>
      </c>
    </row>
    <row r="784" spans="1:9" x14ac:dyDescent="0.3">
      <c r="A784" s="1">
        <v>41863</v>
      </c>
      <c r="B784" s="2" t="s">
        <v>1001</v>
      </c>
      <c r="C784" s="2" t="s">
        <v>62</v>
      </c>
      <c r="D784" s="2" t="s">
        <v>25</v>
      </c>
      <c r="E784" s="2" t="s">
        <v>26</v>
      </c>
      <c r="F784" s="2" t="s">
        <v>845</v>
      </c>
      <c r="G784" s="2">
        <v>603.91999999999996</v>
      </c>
      <c r="H784" s="2">
        <v>5</v>
      </c>
      <c r="I784" s="3">
        <v>45.29</v>
      </c>
    </row>
    <row r="785" spans="1:9" x14ac:dyDescent="0.3">
      <c r="A785" s="4">
        <v>41863</v>
      </c>
      <c r="B785" s="5" t="s">
        <v>1003</v>
      </c>
      <c r="C785" s="5" t="s">
        <v>18</v>
      </c>
      <c r="D785" s="5" t="s">
        <v>25</v>
      </c>
      <c r="E785" s="5" t="s">
        <v>38</v>
      </c>
      <c r="F785" s="5" t="s">
        <v>893</v>
      </c>
      <c r="G785" s="5">
        <v>39.880000000000003</v>
      </c>
      <c r="H785" s="5">
        <v>2</v>
      </c>
      <c r="I785" s="6">
        <v>11.17</v>
      </c>
    </row>
    <row r="786" spans="1:9" x14ac:dyDescent="0.3">
      <c r="A786" s="1">
        <v>41863</v>
      </c>
      <c r="B786" s="2" t="s">
        <v>1003</v>
      </c>
      <c r="C786" s="2" t="s">
        <v>18</v>
      </c>
      <c r="D786" s="2" t="s">
        <v>25</v>
      </c>
      <c r="E786" s="2" t="s">
        <v>38</v>
      </c>
      <c r="F786" s="2" t="s">
        <v>638</v>
      </c>
      <c r="G786" s="2">
        <v>79.44</v>
      </c>
      <c r="H786" s="2">
        <v>3</v>
      </c>
      <c r="I786" s="3">
        <v>28.6</v>
      </c>
    </row>
    <row r="787" spans="1:9" x14ac:dyDescent="0.3">
      <c r="A787" s="4">
        <v>41894</v>
      </c>
      <c r="B787" s="5" t="s">
        <v>76</v>
      </c>
      <c r="C787" s="5" t="s">
        <v>18</v>
      </c>
      <c r="D787" s="5" t="s">
        <v>2</v>
      </c>
      <c r="E787" s="5" t="s">
        <v>3</v>
      </c>
      <c r="F787" s="5" t="s">
        <v>1004</v>
      </c>
      <c r="G787" s="5">
        <v>34.68</v>
      </c>
      <c r="H787" s="5">
        <v>6</v>
      </c>
      <c r="I787" s="6">
        <v>16.989999999999998</v>
      </c>
    </row>
    <row r="788" spans="1:9" x14ac:dyDescent="0.3">
      <c r="A788" s="1">
        <v>41894</v>
      </c>
      <c r="B788" s="2" t="s">
        <v>1005</v>
      </c>
      <c r="C788" s="2" t="s">
        <v>253</v>
      </c>
      <c r="D788" s="2" t="s">
        <v>2</v>
      </c>
      <c r="E788" s="2" t="s">
        <v>9</v>
      </c>
      <c r="F788" s="2" t="s">
        <v>900</v>
      </c>
      <c r="G788" s="2">
        <v>100.7</v>
      </c>
      <c r="H788" s="2">
        <v>6</v>
      </c>
      <c r="I788" s="3">
        <v>-1.26</v>
      </c>
    </row>
    <row r="789" spans="1:9" x14ac:dyDescent="0.3">
      <c r="A789" s="4">
        <v>41894</v>
      </c>
      <c r="B789" s="5" t="s">
        <v>636</v>
      </c>
      <c r="C789" s="5" t="s">
        <v>1</v>
      </c>
      <c r="D789" s="5" t="s">
        <v>2</v>
      </c>
      <c r="E789" s="5" t="s">
        <v>3</v>
      </c>
      <c r="F789" s="5" t="s">
        <v>510</v>
      </c>
      <c r="G789" s="5">
        <v>10.69</v>
      </c>
      <c r="H789" s="5">
        <v>2</v>
      </c>
      <c r="I789" s="6">
        <v>3.74</v>
      </c>
    </row>
    <row r="790" spans="1:9" x14ac:dyDescent="0.3">
      <c r="A790" s="1">
        <v>41894</v>
      </c>
      <c r="B790" s="2" t="s">
        <v>636</v>
      </c>
      <c r="C790" s="2" t="s">
        <v>1</v>
      </c>
      <c r="D790" s="2" t="s">
        <v>2</v>
      </c>
      <c r="E790" s="2" t="s">
        <v>9</v>
      </c>
      <c r="F790" s="2" t="s">
        <v>1006</v>
      </c>
      <c r="G790" s="2">
        <v>237.1</v>
      </c>
      <c r="H790" s="2">
        <v>3</v>
      </c>
      <c r="I790" s="3">
        <v>20.75</v>
      </c>
    </row>
    <row r="791" spans="1:9" x14ac:dyDescent="0.3">
      <c r="A791" s="4">
        <v>41894</v>
      </c>
      <c r="B791" s="5" t="s">
        <v>433</v>
      </c>
      <c r="C791" s="5" t="s">
        <v>6</v>
      </c>
      <c r="D791" s="5" t="s">
        <v>2</v>
      </c>
      <c r="E791" s="5" t="s">
        <v>3</v>
      </c>
      <c r="F791" s="5" t="s">
        <v>1007</v>
      </c>
      <c r="G791" s="5">
        <v>8.4499999999999993</v>
      </c>
      <c r="H791" s="5">
        <v>2</v>
      </c>
      <c r="I791" s="6">
        <v>2.96</v>
      </c>
    </row>
    <row r="792" spans="1:9" x14ac:dyDescent="0.3">
      <c r="A792" s="1">
        <v>41894</v>
      </c>
      <c r="B792" s="2" t="s">
        <v>433</v>
      </c>
      <c r="C792" s="2" t="s">
        <v>6</v>
      </c>
      <c r="D792" s="2" t="s">
        <v>2</v>
      </c>
      <c r="E792" s="2" t="s">
        <v>133</v>
      </c>
      <c r="F792" s="2" t="s">
        <v>1008</v>
      </c>
      <c r="G792" s="2">
        <v>20.39</v>
      </c>
      <c r="H792" s="2">
        <v>2</v>
      </c>
      <c r="I792" s="3">
        <v>-53.01</v>
      </c>
    </row>
    <row r="793" spans="1:9" x14ac:dyDescent="0.3">
      <c r="A793" s="4">
        <v>41894</v>
      </c>
      <c r="B793" s="5" t="s">
        <v>989</v>
      </c>
      <c r="C793" s="5" t="s">
        <v>14</v>
      </c>
      <c r="D793" s="5" t="s">
        <v>2</v>
      </c>
      <c r="E793" s="5" t="s">
        <v>114</v>
      </c>
      <c r="F793" s="5" t="s">
        <v>574</v>
      </c>
      <c r="G793" s="5">
        <v>30.67</v>
      </c>
      <c r="H793" s="5">
        <v>3</v>
      </c>
      <c r="I793" s="6">
        <v>9.59</v>
      </c>
    </row>
    <row r="794" spans="1:9" x14ac:dyDescent="0.3">
      <c r="A794" s="1">
        <v>41894</v>
      </c>
      <c r="B794" s="2" t="s">
        <v>989</v>
      </c>
      <c r="C794" s="2" t="s">
        <v>14</v>
      </c>
      <c r="D794" s="2" t="s">
        <v>30</v>
      </c>
      <c r="E794" s="2" t="s">
        <v>290</v>
      </c>
      <c r="F794" s="2" t="s">
        <v>1009</v>
      </c>
      <c r="G794" s="2">
        <v>1079.98</v>
      </c>
      <c r="H794" s="2">
        <v>4</v>
      </c>
      <c r="I794" s="3">
        <v>126</v>
      </c>
    </row>
    <row r="795" spans="1:9" x14ac:dyDescent="0.3">
      <c r="A795" s="4">
        <v>41924</v>
      </c>
      <c r="B795" s="5" t="s">
        <v>1010</v>
      </c>
      <c r="C795" s="5" t="s">
        <v>80</v>
      </c>
      <c r="D795" s="5" t="s">
        <v>2</v>
      </c>
      <c r="E795" s="5" t="s">
        <v>3</v>
      </c>
      <c r="F795" s="5" t="s">
        <v>1011</v>
      </c>
      <c r="G795" s="5">
        <v>11.36</v>
      </c>
      <c r="H795" s="5">
        <v>2</v>
      </c>
      <c r="I795" s="6">
        <v>5.23</v>
      </c>
    </row>
    <row r="796" spans="1:9" x14ac:dyDescent="0.3">
      <c r="A796" s="1">
        <v>41924</v>
      </c>
      <c r="B796" s="2" t="s">
        <v>1010</v>
      </c>
      <c r="C796" s="2" t="s">
        <v>80</v>
      </c>
      <c r="D796" s="2" t="s">
        <v>2</v>
      </c>
      <c r="E796" s="2" t="s">
        <v>11</v>
      </c>
      <c r="F796" s="2" t="s">
        <v>1012</v>
      </c>
      <c r="G796" s="2">
        <v>106.34</v>
      </c>
      <c r="H796" s="2">
        <v>7</v>
      </c>
      <c r="I796" s="3">
        <v>37.22</v>
      </c>
    </row>
    <row r="797" spans="1:9" x14ac:dyDescent="0.3">
      <c r="A797" s="4">
        <v>41924</v>
      </c>
      <c r="B797" s="5" t="s">
        <v>1013</v>
      </c>
      <c r="C797" s="5" t="s">
        <v>268</v>
      </c>
      <c r="D797" s="5" t="s">
        <v>25</v>
      </c>
      <c r="E797" s="5" t="s">
        <v>26</v>
      </c>
      <c r="F797" s="5" t="s">
        <v>1014</v>
      </c>
      <c r="G797" s="5">
        <v>338.35</v>
      </c>
      <c r="H797" s="5">
        <v>3</v>
      </c>
      <c r="I797" s="6">
        <v>4.2300000000000004</v>
      </c>
    </row>
    <row r="798" spans="1:9" x14ac:dyDescent="0.3">
      <c r="A798" s="1">
        <v>41924</v>
      </c>
      <c r="B798" s="2" t="s">
        <v>1013</v>
      </c>
      <c r="C798" s="2" t="s">
        <v>268</v>
      </c>
      <c r="D798" s="2" t="s">
        <v>2</v>
      </c>
      <c r="E798" s="2" t="s">
        <v>3</v>
      </c>
      <c r="F798" s="2" t="s">
        <v>1015</v>
      </c>
      <c r="G798" s="2">
        <v>25.92</v>
      </c>
      <c r="H798" s="2">
        <v>4</v>
      </c>
      <c r="I798" s="3">
        <v>12.44</v>
      </c>
    </row>
    <row r="799" spans="1:9" x14ac:dyDescent="0.3">
      <c r="A799" s="4">
        <v>41924</v>
      </c>
      <c r="B799" s="5" t="s">
        <v>1013</v>
      </c>
      <c r="C799" s="5" t="s">
        <v>268</v>
      </c>
      <c r="D799" s="5" t="s">
        <v>2</v>
      </c>
      <c r="E799" s="5" t="s">
        <v>3</v>
      </c>
      <c r="F799" s="5" t="s">
        <v>1016</v>
      </c>
      <c r="G799" s="5">
        <v>91.36</v>
      </c>
      <c r="H799" s="5">
        <v>4</v>
      </c>
      <c r="I799" s="6">
        <v>42.03</v>
      </c>
    </row>
    <row r="800" spans="1:9" x14ac:dyDescent="0.3">
      <c r="A800" s="1">
        <v>41985</v>
      </c>
      <c r="B800" s="2" t="s">
        <v>632</v>
      </c>
      <c r="C800" s="2" t="s">
        <v>18</v>
      </c>
      <c r="D800" s="2" t="s">
        <v>25</v>
      </c>
      <c r="E800" s="2" t="s">
        <v>86</v>
      </c>
      <c r="F800" s="2" t="s">
        <v>1017</v>
      </c>
      <c r="G800" s="2">
        <v>764.69</v>
      </c>
      <c r="H800" s="2">
        <v>6</v>
      </c>
      <c r="I800" s="3">
        <v>95.59</v>
      </c>
    </row>
    <row r="801" spans="1:9" x14ac:dyDescent="0.3">
      <c r="A801" s="4">
        <v>41985</v>
      </c>
      <c r="B801" s="5" t="s">
        <v>632</v>
      </c>
      <c r="C801" s="5" t="s">
        <v>18</v>
      </c>
      <c r="D801" s="5" t="s">
        <v>25</v>
      </c>
      <c r="E801" s="5" t="s">
        <v>86</v>
      </c>
      <c r="F801" s="5" t="s">
        <v>1018</v>
      </c>
      <c r="G801" s="5">
        <v>3610.85</v>
      </c>
      <c r="H801" s="5">
        <v>12</v>
      </c>
      <c r="I801" s="6">
        <v>135.41</v>
      </c>
    </row>
    <row r="802" spans="1:9" x14ac:dyDescent="0.3">
      <c r="A802" s="1">
        <v>41985</v>
      </c>
      <c r="B802" s="2" t="s">
        <v>632</v>
      </c>
      <c r="C802" s="2" t="s">
        <v>18</v>
      </c>
      <c r="D802" s="2" t="s">
        <v>25</v>
      </c>
      <c r="E802" s="2" t="s">
        <v>129</v>
      </c>
      <c r="F802" s="2" t="s">
        <v>337</v>
      </c>
      <c r="G802" s="2">
        <v>254.97</v>
      </c>
      <c r="H802" s="2">
        <v>3</v>
      </c>
      <c r="I802" s="3">
        <v>12</v>
      </c>
    </row>
    <row r="803" spans="1:9" x14ac:dyDescent="0.3">
      <c r="A803" s="4">
        <v>41985</v>
      </c>
      <c r="B803" s="5" t="s">
        <v>854</v>
      </c>
      <c r="C803" s="5" t="s">
        <v>18</v>
      </c>
      <c r="D803" s="5" t="s">
        <v>25</v>
      </c>
      <c r="E803" s="5" t="s">
        <v>38</v>
      </c>
      <c r="F803" s="5" t="s">
        <v>1019</v>
      </c>
      <c r="G803" s="5">
        <v>43.31</v>
      </c>
      <c r="H803" s="5">
        <v>1</v>
      </c>
      <c r="I803" s="6">
        <v>4.33</v>
      </c>
    </row>
    <row r="804" spans="1:9" x14ac:dyDescent="0.3">
      <c r="A804" s="1">
        <v>41985</v>
      </c>
      <c r="B804" s="2" t="s">
        <v>1020</v>
      </c>
      <c r="C804" s="2" t="s">
        <v>1</v>
      </c>
      <c r="D804" s="2" t="s">
        <v>2</v>
      </c>
      <c r="E804" s="2" t="s">
        <v>11</v>
      </c>
      <c r="F804" s="2" t="s">
        <v>1021</v>
      </c>
      <c r="G804" s="2">
        <v>210.39</v>
      </c>
      <c r="H804" s="2">
        <v>2</v>
      </c>
      <c r="I804" s="3">
        <v>-336.63</v>
      </c>
    </row>
    <row r="805" spans="1:9" x14ac:dyDescent="0.3">
      <c r="A805" s="4">
        <v>41985</v>
      </c>
      <c r="B805" s="5" t="s">
        <v>1022</v>
      </c>
      <c r="C805" s="5" t="s">
        <v>18</v>
      </c>
      <c r="D805" s="5" t="s">
        <v>25</v>
      </c>
      <c r="E805" s="5" t="s">
        <v>38</v>
      </c>
      <c r="F805" s="5" t="s">
        <v>1023</v>
      </c>
      <c r="G805" s="5">
        <v>12.54</v>
      </c>
      <c r="H805" s="5">
        <v>3</v>
      </c>
      <c r="I805" s="6">
        <v>4.51</v>
      </c>
    </row>
    <row r="806" spans="1:9" x14ac:dyDescent="0.3">
      <c r="A806" s="1">
        <v>41985</v>
      </c>
      <c r="B806" s="2" t="s">
        <v>1022</v>
      </c>
      <c r="C806" s="2" t="s">
        <v>18</v>
      </c>
      <c r="D806" s="2" t="s">
        <v>2</v>
      </c>
      <c r="E806" s="2" t="s">
        <v>9</v>
      </c>
      <c r="F806" s="2" t="s">
        <v>1024</v>
      </c>
      <c r="G806" s="2">
        <v>8.94</v>
      </c>
      <c r="H806" s="2">
        <v>3</v>
      </c>
      <c r="I806" s="3">
        <v>0.63</v>
      </c>
    </row>
    <row r="807" spans="1:9" x14ac:dyDescent="0.3">
      <c r="A807" s="4">
        <v>41985</v>
      </c>
      <c r="B807" s="5" t="s">
        <v>1022</v>
      </c>
      <c r="C807" s="5" t="s">
        <v>18</v>
      </c>
      <c r="D807" s="5" t="s">
        <v>25</v>
      </c>
      <c r="E807" s="5" t="s">
        <v>38</v>
      </c>
      <c r="F807" s="5" t="s">
        <v>1025</v>
      </c>
      <c r="G807" s="5">
        <v>9.24</v>
      </c>
      <c r="H807" s="5">
        <v>3</v>
      </c>
      <c r="I807" s="6">
        <v>4.4400000000000004</v>
      </c>
    </row>
    <row r="808" spans="1:9" x14ac:dyDescent="0.3">
      <c r="A808" s="1">
        <v>41985</v>
      </c>
      <c r="B808" s="2" t="s">
        <v>1026</v>
      </c>
      <c r="C808" s="2" t="s">
        <v>58</v>
      </c>
      <c r="D808" s="2" t="s">
        <v>2</v>
      </c>
      <c r="E808" s="2" t="s">
        <v>114</v>
      </c>
      <c r="F808" s="2" t="s">
        <v>115</v>
      </c>
      <c r="G808" s="2">
        <v>23.47</v>
      </c>
      <c r="H808" s="2">
        <v>3</v>
      </c>
      <c r="I808" s="3">
        <v>7.63</v>
      </c>
    </row>
    <row r="809" spans="1:9" x14ac:dyDescent="0.3">
      <c r="A809" s="4">
        <v>42036</v>
      </c>
      <c r="B809" s="5" t="s">
        <v>352</v>
      </c>
      <c r="C809" s="5" t="s">
        <v>127</v>
      </c>
      <c r="D809" s="5" t="s">
        <v>2</v>
      </c>
      <c r="E809" s="5" t="s">
        <v>7</v>
      </c>
      <c r="F809" s="5" t="s">
        <v>1027</v>
      </c>
      <c r="G809" s="5">
        <v>23.68</v>
      </c>
      <c r="H809" s="5">
        <v>2</v>
      </c>
      <c r="I809" s="6">
        <v>8.8800000000000008</v>
      </c>
    </row>
    <row r="810" spans="1:9" x14ac:dyDescent="0.3">
      <c r="A810" s="1">
        <v>42036</v>
      </c>
      <c r="B810" s="2" t="s">
        <v>352</v>
      </c>
      <c r="C810" s="2" t="s">
        <v>127</v>
      </c>
      <c r="D810" s="2" t="s">
        <v>25</v>
      </c>
      <c r="E810" s="2" t="s">
        <v>129</v>
      </c>
      <c r="F810" s="2" t="s">
        <v>1028</v>
      </c>
      <c r="G810" s="2">
        <v>452.45</v>
      </c>
      <c r="H810" s="2">
        <v>5</v>
      </c>
      <c r="I810" s="3">
        <v>-244.32</v>
      </c>
    </row>
    <row r="811" spans="1:9" x14ac:dyDescent="0.3">
      <c r="A811" s="4">
        <v>42036</v>
      </c>
      <c r="B811" s="5" t="s">
        <v>352</v>
      </c>
      <c r="C811" s="5" t="s">
        <v>127</v>
      </c>
      <c r="D811" s="5" t="s">
        <v>30</v>
      </c>
      <c r="E811" s="5" t="s">
        <v>31</v>
      </c>
      <c r="F811" s="5" t="s">
        <v>1029</v>
      </c>
      <c r="G811" s="5">
        <v>62.98</v>
      </c>
      <c r="H811" s="5">
        <v>3</v>
      </c>
      <c r="I811" s="6">
        <v>-14.7</v>
      </c>
    </row>
    <row r="812" spans="1:9" x14ac:dyDescent="0.3">
      <c r="A812" s="1">
        <v>42036</v>
      </c>
      <c r="B812" s="2" t="s">
        <v>352</v>
      </c>
      <c r="C812" s="2" t="s">
        <v>127</v>
      </c>
      <c r="D812" s="2" t="s">
        <v>30</v>
      </c>
      <c r="E812" s="2" t="s">
        <v>625</v>
      </c>
      <c r="F812" s="2" t="s">
        <v>1030</v>
      </c>
      <c r="G812" s="2">
        <v>1188</v>
      </c>
      <c r="H812" s="2">
        <v>9</v>
      </c>
      <c r="I812" s="3">
        <v>-950.4</v>
      </c>
    </row>
    <row r="813" spans="1:9" x14ac:dyDescent="0.3">
      <c r="A813" s="4">
        <v>42036</v>
      </c>
      <c r="B813" s="5" t="s">
        <v>352</v>
      </c>
      <c r="C813" s="5" t="s">
        <v>127</v>
      </c>
      <c r="D813" s="5" t="s">
        <v>30</v>
      </c>
      <c r="E813" s="5" t="s">
        <v>43</v>
      </c>
      <c r="F813" s="5" t="s">
        <v>328</v>
      </c>
      <c r="G813" s="5">
        <v>89.58</v>
      </c>
      <c r="H813" s="5">
        <v>2</v>
      </c>
      <c r="I813" s="6">
        <v>4.4800000000000004</v>
      </c>
    </row>
    <row r="814" spans="1:9" x14ac:dyDescent="0.3">
      <c r="A814" s="1">
        <v>42036</v>
      </c>
      <c r="B814" s="2" t="s">
        <v>1031</v>
      </c>
      <c r="C814" s="2" t="s">
        <v>50</v>
      </c>
      <c r="D814" s="2" t="s">
        <v>2</v>
      </c>
      <c r="E814" s="2" t="s">
        <v>9</v>
      </c>
      <c r="F814" s="2" t="s">
        <v>1032</v>
      </c>
      <c r="G814" s="2">
        <v>85.52</v>
      </c>
      <c r="H814" s="2">
        <v>2</v>
      </c>
      <c r="I814" s="3">
        <v>22.24</v>
      </c>
    </row>
    <row r="815" spans="1:9" x14ac:dyDescent="0.3">
      <c r="A815" s="4">
        <v>42036</v>
      </c>
      <c r="B815" s="5" t="s">
        <v>1031</v>
      </c>
      <c r="C815" s="5" t="s">
        <v>50</v>
      </c>
      <c r="D815" s="5" t="s">
        <v>2</v>
      </c>
      <c r="E815" s="5" t="s">
        <v>15</v>
      </c>
      <c r="F815" s="5" t="s">
        <v>1033</v>
      </c>
      <c r="G815" s="5">
        <v>9.84</v>
      </c>
      <c r="H815" s="5">
        <v>3</v>
      </c>
      <c r="I815" s="6">
        <v>2.66</v>
      </c>
    </row>
    <row r="816" spans="1:9" x14ac:dyDescent="0.3">
      <c r="A816" s="1">
        <v>42036</v>
      </c>
      <c r="B816" s="2" t="s">
        <v>1031</v>
      </c>
      <c r="C816" s="2" t="s">
        <v>50</v>
      </c>
      <c r="D816" s="2" t="s">
        <v>2</v>
      </c>
      <c r="E816" s="2" t="s">
        <v>3</v>
      </c>
      <c r="F816" s="2" t="s">
        <v>1034</v>
      </c>
      <c r="G816" s="2">
        <v>20.04</v>
      </c>
      <c r="H816" s="2">
        <v>3</v>
      </c>
      <c r="I816" s="3">
        <v>9.6199999999999992</v>
      </c>
    </row>
    <row r="817" spans="1:9" x14ac:dyDescent="0.3">
      <c r="A817" s="4">
        <v>42064</v>
      </c>
      <c r="B817" s="5" t="s">
        <v>1035</v>
      </c>
      <c r="C817" s="5" t="s">
        <v>1</v>
      </c>
      <c r="D817" s="5" t="s">
        <v>2</v>
      </c>
      <c r="E817" s="5" t="s">
        <v>3</v>
      </c>
      <c r="F817" s="5" t="s">
        <v>579</v>
      </c>
      <c r="G817" s="5">
        <v>10.37</v>
      </c>
      <c r="H817" s="5">
        <v>2</v>
      </c>
      <c r="I817" s="6">
        <v>3.63</v>
      </c>
    </row>
    <row r="818" spans="1:9" x14ac:dyDescent="0.3">
      <c r="A818" s="1">
        <v>42064</v>
      </c>
      <c r="B818" s="2" t="s">
        <v>1036</v>
      </c>
      <c r="C818" s="2" t="s">
        <v>1</v>
      </c>
      <c r="D818" s="2" t="s">
        <v>30</v>
      </c>
      <c r="E818" s="2" t="s">
        <v>43</v>
      </c>
      <c r="F818" s="2" t="s">
        <v>1037</v>
      </c>
      <c r="G818" s="2">
        <v>398.4</v>
      </c>
      <c r="H818" s="2">
        <v>5</v>
      </c>
      <c r="I818" s="3">
        <v>84.66</v>
      </c>
    </row>
    <row r="819" spans="1:9" x14ac:dyDescent="0.3">
      <c r="A819" s="4">
        <v>42064</v>
      </c>
      <c r="B819" s="5" t="s">
        <v>1036</v>
      </c>
      <c r="C819" s="5" t="s">
        <v>1</v>
      </c>
      <c r="D819" s="5" t="s">
        <v>2</v>
      </c>
      <c r="E819" s="5" t="s">
        <v>15</v>
      </c>
      <c r="F819" s="5" t="s">
        <v>1038</v>
      </c>
      <c r="G819" s="5">
        <v>7.06</v>
      </c>
      <c r="H819" s="5">
        <v>3</v>
      </c>
      <c r="I819" s="6">
        <v>0.79</v>
      </c>
    </row>
    <row r="820" spans="1:9" x14ac:dyDescent="0.3">
      <c r="A820" s="1">
        <v>42064</v>
      </c>
      <c r="B820" s="2" t="s">
        <v>1036</v>
      </c>
      <c r="C820" s="2" t="s">
        <v>1</v>
      </c>
      <c r="D820" s="2" t="s">
        <v>25</v>
      </c>
      <c r="E820" s="2" t="s">
        <v>129</v>
      </c>
      <c r="F820" s="2" t="s">
        <v>392</v>
      </c>
      <c r="G820" s="2">
        <v>1352.4</v>
      </c>
      <c r="H820" s="2">
        <v>9</v>
      </c>
      <c r="I820" s="3">
        <v>-437.54</v>
      </c>
    </row>
    <row r="821" spans="1:9" x14ac:dyDescent="0.3">
      <c r="A821" s="4">
        <v>42095</v>
      </c>
      <c r="B821" s="5" t="s">
        <v>79</v>
      </c>
      <c r="C821" s="5" t="s">
        <v>359</v>
      </c>
      <c r="D821" s="5" t="s">
        <v>2</v>
      </c>
      <c r="E821" s="5" t="s">
        <v>11</v>
      </c>
      <c r="F821" s="5" t="s">
        <v>69</v>
      </c>
      <c r="G821" s="5">
        <v>32.340000000000003</v>
      </c>
      <c r="H821" s="5">
        <v>3</v>
      </c>
      <c r="I821" s="6">
        <v>15.52</v>
      </c>
    </row>
    <row r="822" spans="1:9" x14ac:dyDescent="0.3">
      <c r="A822" s="1">
        <v>42095</v>
      </c>
      <c r="B822" s="2" t="s">
        <v>79</v>
      </c>
      <c r="C822" s="2" t="s">
        <v>359</v>
      </c>
      <c r="D822" s="2" t="s">
        <v>2</v>
      </c>
      <c r="E822" s="2" t="s">
        <v>3</v>
      </c>
      <c r="F822" s="2" t="s">
        <v>361</v>
      </c>
      <c r="G822" s="2">
        <v>39.9</v>
      </c>
      <c r="H822" s="2">
        <v>5</v>
      </c>
      <c r="I822" s="3">
        <v>19.95</v>
      </c>
    </row>
    <row r="823" spans="1:9" x14ac:dyDescent="0.3">
      <c r="A823" s="4">
        <v>42095</v>
      </c>
      <c r="B823" s="5" t="s">
        <v>1039</v>
      </c>
      <c r="C823" s="5" t="s">
        <v>46</v>
      </c>
      <c r="D823" s="5" t="s">
        <v>25</v>
      </c>
      <c r="E823" s="5" t="s">
        <v>38</v>
      </c>
      <c r="F823" s="5" t="s">
        <v>301</v>
      </c>
      <c r="G823" s="5">
        <v>192.22</v>
      </c>
      <c r="H823" s="5">
        <v>14</v>
      </c>
      <c r="I823" s="6">
        <v>69.2</v>
      </c>
    </row>
    <row r="824" spans="1:9" x14ac:dyDescent="0.3">
      <c r="A824" s="1">
        <v>42125</v>
      </c>
      <c r="B824" s="2" t="s">
        <v>863</v>
      </c>
      <c r="C824" s="2" t="s">
        <v>62</v>
      </c>
      <c r="D824" s="2" t="s">
        <v>25</v>
      </c>
      <c r="E824" s="2" t="s">
        <v>26</v>
      </c>
      <c r="F824" s="2" t="s">
        <v>1040</v>
      </c>
      <c r="G824" s="2">
        <v>61.58</v>
      </c>
      <c r="H824" s="2">
        <v>1</v>
      </c>
      <c r="I824" s="3">
        <v>-6.93</v>
      </c>
    </row>
    <row r="825" spans="1:9" x14ac:dyDescent="0.3">
      <c r="A825" s="4">
        <v>42125</v>
      </c>
      <c r="B825" s="5" t="s">
        <v>350</v>
      </c>
      <c r="C825" s="5" t="s">
        <v>80</v>
      </c>
      <c r="D825" s="5" t="s">
        <v>2</v>
      </c>
      <c r="E825" s="5" t="s">
        <v>15</v>
      </c>
      <c r="F825" s="5" t="s">
        <v>1041</v>
      </c>
      <c r="G825" s="5">
        <v>59.52</v>
      </c>
      <c r="H825" s="5">
        <v>3</v>
      </c>
      <c r="I825" s="6">
        <v>15.48</v>
      </c>
    </row>
    <row r="826" spans="1:9" x14ac:dyDescent="0.3">
      <c r="A826" s="1">
        <v>42125</v>
      </c>
      <c r="B826" s="2" t="s">
        <v>350</v>
      </c>
      <c r="C826" s="2" t="s">
        <v>80</v>
      </c>
      <c r="D826" s="2" t="s">
        <v>2</v>
      </c>
      <c r="E826" s="2" t="s">
        <v>114</v>
      </c>
      <c r="F826" s="2" t="s">
        <v>401</v>
      </c>
      <c r="G826" s="2">
        <v>17.48</v>
      </c>
      <c r="H826" s="2">
        <v>2</v>
      </c>
      <c r="I826" s="3">
        <v>8.2200000000000006</v>
      </c>
    </row>
    <row r="827" spans="1:9" x14ac:dyDescent="0.3">
      <c r="A827" s="4">
        <v>42125</v>
      </c>
      <c r="B827" s="5" t="s">
        <v>350</v>
      </c>
      <c r="C827" s="5" t="s">
        <v>80</v>
      </c>
      <c r="D827" s="5" t="s">
        <v>2</v>
      </c>
      <c r="E827" s="5" t="s">
        <v>11</v>
      </c>
      <c r="F827" s="5" t="s">
        <v>516</v>
      </c>
      <c r="G827" s="5">
        <v>13.17</v>
      </c>
      <c r="H827" s="5">
        <v>2</v>
      </c>
      <c r="I827" s="6">
        <v>4.6100000000000003</v>
      </c>
    </row>
    <row r="828" spans="1:9" x14ac:dyDescent="0.3">
      <c r="A828" s="1">
        <v>42125</v>
      </c>
      <c r="B828" s="2" t="s">
        <v>1042</v>
      </c>
      <c r="C828" s="2" t="s">
        <v>18</v>
      </c>
      <c r="D828" s="2" t="s">
        <v>2</v>
      </c>
      <c r="E828" s="2" t="s">
        <v>133</v>
      </c>
      <c r="F828" s="2" t="s">
        <v>373</v>
      </c>
      <c r="G828" s="2">
        <v>87.36</v>
      </c>
      <c r="H828" s="2">
        <v>6</v>
      </c>
      <c r="I828" s="3">
        <v>23.59</v>
      </c>
    </row>
    <row r="829" spans="1:9" x14ac:dyDescent="0.3">
      <c r="A829" s="4">
        <v>42125</v>
      </c>
      <c r="B829" s="5" t="s">
        <v>1042</v>
      </c>
      <c r="C829" s="5" t="s">
        <v>18</v>
      </c>
      <c r="D829" s="5" t="s">
        <v>2</v>
      </c>
      <c r="E829" s="5" t="s">
        <v>11</v>
      </c>
      <c r="F829" s="5" t="s">
        <v>298</v>
      </c>
      <c r="G829" s="5">
        <v>56.16</v>
      </c>
      <c r="H829" s="5">
        <v>6</v>
      </c>
      <c r="I829" s="6">
        <v>17.55</v>
      </c>
    </row>
    <row r="830" spans="1:9" x14ac:dyDescent="0.3">
      <c r="A830" s="1">
        <v>42156</v>
      </c>
      <c r="B830" s="2" t="s">
        <v>681</v>
      </c>
      <c r="C830" s="2" t="s">
        <v>163</v>
      </c>
      <c r="D830" s="2" t="s">
        <v>2</v>
      </c>
      <c r="E830" s="2" t="s">
        <v>3</v>
      </c>
      <c r="F830" s="2" t="s">
        <v>1043</v>
      </c>
      <c r="G830" s="2">
        <v>29.6</v>
      </c>
      <c r="H830" s="2">
        <v>5</v>
      </c>
      <c r="I830" s="3">
        <v>9.25</v>
      </c>
    </row>
    <row r="831" spans="1:9" x14ac:dyDescent="0.3">
      <c r="A831" s="4">
        <v>42156</v>
      </c>
      <c r="B831" s="5" t="s">
        <v>681</v>
      </c>
      <c r="C831" s="5" t="s">
        <v>163</v>
      </c>
      <c r="D831" s="5" t="s">
        <v>2</v>
      </c>
      <c r="E831" s="5" t="s">
        <v>11</v>
      </c>
      <c r="F831" s="5" t="s">
        <v>280</v>
      </c>
      <c r="G831" s="5">
        <v>1.94</v>
      </c>
      <c r="H831" s="5">
        <v>2</v>
      </c>
      <c r="I831" s="6">
        <v>-1.36</v>
      </c>
    </row>
    <row r="832" spans="1:9" x14ac:dyDescent="0.3">
      <c r="A832" s="1">
        <v>42248</v>
      </c>
      <c r="B832" s="2" t="s">
        <v>1044</v>
      </c>
      <c r="C832" s="2" t="s">
        <v>24</v>
      </c>
      <c r="D832" s="2" t="s">
        <v>2</v>
      </c>
      <c r="E832" s="2" t="s">
        <v>3</v>
      </c>
      <c r="F832" s="2" t="s">
        <v>315</v>
      </c>
      <c r="G832" s="2">
        <v>106.32</v>
      </c>
      <c r="H832" s="2">
        <v>3</v>
      </c>
      <c r="I832" s="3">
        <v>49.97</v>
      </c>
    </row>
    <row r="833" spans="1:9" x14ac:dyDescent="0.3">
      <c r="A833" s="4">
        <v>42248</v>
      </c>
      <c r="B833" s="5" t="s">
        <v>1044</v>
      </c>
      <c r="C833" s="5" t="s">
        <v>24</v>
      </c>
      <c r="D833" s="5" t="s">
        <v>2</v>
      </c>
      <c r="E833" s="5" t="s">
        <v>133</v>
      </c>
      <c r="F833" s="5" t="s">
        <v>1045</v>
      </c>
      <c r="G833" s="5">
        <v>163.44</v>
      </c>
      <c r="H833" s="5">
        <v>3</v>
      </c>
      <c r="I833" s="6">
        <v>45.76</v>
      </c>
    </row>
    <row r="834" spans="1:9" x14ac:dyDescent="0.3">
      <c r="A834" s="1">
        <v>42248</v>
      </c>
      <c r="B834" s="2" t="s">
        <v>1044</v>
      </c>
      <c r="C834" s="2" t="s">
        <v>24</v>
      </c>
      <c r="D834" s="2" t="s">
        <v>2</v>
      </c>
      <c r="E834" s="2" t="s">
        <v>15</v>
      </c>
      <c r="F834" s="2" t="s">
        <v>1046</v>
      </c>
      <c r="G834" s="2">
        <v>42.76</v>
      </c>
      <c r="H834" s="2">
        <v>2</v>
      </c>
      <c r="I834" s="3">
        <v>11.12</v>
      </c>
    </row>
    <row r="835" spans="1:9" x14ac:dyDescent="0.3">
      <c r="A835" s="4">
        <v>42248</v>
      </c>
      <c r="B835" s="5" t="s">
        <v>1044</v>
      </c>
      <c r="C835" s="5" t="s">
        <v>24</v>
      </c>
      <c r="D835" s="5" t="s">
        <v>2</v>
      </c>
      <c r="E835" s="5" t="s">
        <v>3</v>
      </c>
      <c r="F835" s="5" t="s">
        <v>1047</v>
      </c>
      <c r="G835" s="5">
        <v>51.55</v>
      </c>
      <c r="H835" s="5">
        <v>5</v>
      </c>
      <c r="I835" s="6">
        <v>24.23</v>
      </c>
    </row>
    <row r="836" spans="1:9" x14ac:dyDescent="0.3">
      <c r="A836" s="1">
        <v>42278</v>
      </c>
      <c r="B836" s="2" t="s">
        <v>1048</v>
      </c>
      <c r="C836" s="2" t="s">
        <v>80</v>
      </c>
      <c r="D836" s="2" t="s">
        <v>25</v>
      </c>
      <c r="E836" s="2" t="s">
        <v>86</v>
      </c>
      <c r="F836" s="2" t="s">
        <v>1049</v>
      </c>
      <c r="G836" s="2">
        <v>1018.1</v>
      </c>
      <c r="H836" s="2">
        <v>4</v>
      </c>
      <c r="I836" s="3">
        <v>-373.3</v>
      </c>
    </row>
    <row r="837" spans="1:9" x14ac:dyDescent="0.3">
      <c r="A837" s="4">
        <v>42339</v>
      </c>
      <c r="B837" s="5" t="s">
        <v>1050</v>
      </c>
      <c r="C837" s="5" t="s">
        <v>50</v>
      </c>
      <c r="D837" s="5" t="s">
        <v>2</v>
      </c>
      <c r="E837" s="5" t="s">
        <v>9</v>
      </c>
      <c r="F837" s="5" t="s">
        <v>1051</v>
      </c>
      <c r="G837" s="5">
        <v>465.18</v>
      </c>
      <c r="H837" s="5">
        <v>3</v>
      </c>
      <c r="I837" s="6">
        <v>120.95</v>
      </c>
    </row>
    <row r="838" spans="1:9" x14ac:dyDescent="0.3">
      <c r="A838" s="1">
        <v>42339</v>
      </c>
      <c r="B838" s="2" t="s">
        <v>1052</v>
      </c>
      <c r="C838" s="2" t="s">
        <v>127</v>
      </c>
      <c r="D838" s="2" t="s">
        <v>2</v>
      </c>
      <c r="E838" s="2" t="s">
        <v>15</v>
      </c>
      <c r="F838" s="2" t="s">
        <v>140</v>
      </c>
      <c r="G838" s="2">
        <v>10.37</v>
      </c>
      <c r="H838" s="2">
        <v>2</v>
      </c>
      <c r="I838" s="3">
        <v>1.56</v>
      </c>
    </row>
    <row r="839" spans="1:9" x14ac:dyDescent="0.3">
      <c r="A839" s="4">
        <v>42339</v>
      </c>
      <c r="B839" s="5" t="s">
        <v>1052</v>
      </c>
      <c r="C839" s="5" t="s">
        <v>127</v>
      </c>
      <c r="D839" s="5" t="s">
        <v>30</v>
      </c>
      <c r="E839" s="5" t="s">
        <v>31</v>
      </c>
      <c r="F839" s="5" t="s">
        <v>32</v>
      </c>
      <c r="G839" s="5">
        <v>235.19</v>
      </c>
      <c r="H839" s="5">
        <v>2</v>
      </c>
      <c r="I839" s="6">
        <v>-43.12</v>
      </c>
    </row>
    <row r="840" spans="1:9" x14ac:dyDescent="0.3">
      <c r="A840" s="1">
        <v>42339</v>
      </c>
      <c r="B840" s="2" t="s">
        <v>1052</v>
      </c>
      <c r="C840" s="2" t="s">
        <v>127</v>
      </c>
      <c r="D840" s="2" t="s">
        <v>30</v>
      </c>
      <c r="E840" s="2" t="s">
        <v>31</v>
      </c>
      <c r="F840" s="2" t="s">
        <v>1053</v>
      </c>
      <c r="G840" s="2">
        <v>26.38</v>
      </c>
      <c r="H840" s="2">
        <v>4</v>
      </c>
      <c r="I840" s="3">
        <v>2.64</v>
      </c>
    </row>
    <row r="841" spans="1:9" x14ac:dyDescent="0.3">
      <c r="A841" s="4">
        <v>42339</v>
      </c>
      <c r="B841" s="5" t="s">
        <v>1052</v>
      </c>
      <c r="C841" s="5" t="s">
        <v>127</v>
      </c>
      <c r="D841" s="5" t="s">
        <v>30</v>
      </c>
      <c r="E841" s="5" t="s">
        <v>43</v>
      </c>
      <c r="F841" s="5" t="s">
        <v>1054</v>
      </c>
      <c r="G841" s="5">
        <v>10.38</v>
      </c>
      <c r="H841" s="5">
        <v>2</v>
      </c>
      <c r="I841" s="6">
        <v>2.21</v>
      </c>
    </row>
    <row r="842" spans="1:9" x14ac:dyDescent="0.3">
      <c r="A842" s="1">
        <v>42339</v>
      </c>
      <c r="B842" s="2" t="s">
        <v>1052</v>
      </c>
      <c r="C842" s="2" t="s">
        <v>127</v>
      </c>
      <c r="D842" s="2" t="s">
        <v>30</v>
      </c>
      <c r="E842" s="2" t="s">
        <v>31</v>
      </c>
      <c r="F842" s="2" t="s">
        <v>1055</v>
      </c>
      <c r="G842" s="2">
        <v>107.12</v>
      </c>
      <c r="H842" s="2">
        <v>3</v>
      </c>
      <c r="I842" s="3">
        <v>-21.42</v>
      </c>
    </row>
    <row r="843" spans="1:9" x14ac:dyDescent="0.3">
      <c r="A843" s="4">
        <v>42065</v>
      </c>
      <c r="B843" s="5" t="s">
        <v>1056</v>
      </c>
      <c r="C843" s="5" t="s">
        <v>767</v>
      </c>
      <c r="D843" s="5" t="s">
        <v>25</v>
      </c>
      <c r="E843" s="5" t="s">
        <v>38</v>
      </c>
      <c r="F843" s="5" t="s">
        <v>1057</v>
      </c>
      <c r="G843" s="5">
        <v>28.4</v>
      </c>
      <c r="H843" s="5">
        <v>2</v>
      </c>
      <c r="I843" s="6">
        <v>11.08</v>
      </c>
    </row>
    <row r="844" spans="1:9" x14ac:dyDescent="0.3">
      <c r="A844" s="1">
        <v>42065</v>
      </c>
      <c r="B844" s="2" t="s">
        <v>1056</v>
      </c>
      <c r="C844" s="2" t="s">
        <v>767</v>
      </c>
      <c r="D844" s="2" t="s">
        <v>30</v>
      </c>
      <c r="E844" s="2" t="s">
        <v>43</v>
      </c>
      <c r="F844" s="2" t="s">
        <v>1058</v>
      </c>
      <c r="G844" s="2">
        <v>149.97</v>
      </c>
      <c r="H844" s="2">
        <v>3</v>
      </c>
      <c r="I844" s="3">
        <v>50.99</v>
      </c>
    </row>
    <row r="845" spans="1:9" x14ac:dyDescent="0.3">
      <c r="A845" s="4">
        <v>42065</v>
      </c>
      <c r="B845" s="5" t="s">
        <v>1059</v>
      </c>
      <c r="C845" s="5" t="s">
        <v>18</v>
      </c>
      <c r="D845" s="5" t="s">
        <v>25</v>
      </c>
      <c r="E845" s="5" t="s">
        <v>38</v>
      </c>
      <c r="F845" s="5" t="s">
        <v>1060</v>
      </c>
      <c r="G845" s="5">
        <v>136.91999999999999</v>
      </c>
      <c r="H845" s="5">
        <v>4</v>
      </c>
      <c r="I845" s="6">
        <v>41.08</v>
      </c>
    </row>
    <row r="846" spans="1:9" x14ac:dyDescent="0.3">
      <c r="A846" s="1">
        <v>42065</v>
      </c>
      <c r="B846" s="2" t="s">
        <v>807</v>
      </c>
      <c r="C846" s="2" t="s">
        <v>375</v>
      </c>
      <c r="D846" s="2" t="s">
        <v>2</v>
      </c>
      <c r="E846" s="2" t="s">
        <v>11</v>
      </c>
      <c r="F846" s="2" t="s">
        <v>1061</v>
      </c>
      <c r="G846" s="2">
        <v>12.14</v>
      </c>
      <c r="H846" s="2">
        <v>3</v>
      </c>
      <c r="I846" s="3">
        <v>4.0999999999999996</v>
      </c>
    </row>
    <row r="847" spans="1:9" x14ac:dyDescent="0.3">
      <c r="A847" s="4">
        <v>42065</v>
      </c>
      <c r="B847" s="5" t="s">
        <v>431</v>
      </c>
      <c r="C847" s="5" t="s">
        <v>21</v>
      </c>
      <c r="D847" s="5" t="s">
        <v>2</v>
      </c>
      <c r="E847" s="5" t="s">
        <v>114</v>
      </c>
      <c r="F847" s="5" t="s">
        <v>115</v>
      </c>
      <c r="G847" s="5">
        <v>74.52</v>
      </c>
      <c r="H847" s="5">
        <v>9</v>
      </c>
      <c r="I847" s="6">
        <v>35.020000000000003</v>
      </c>
    </row>
    <row r="848" spans="1:9" x14ac:dyDescent="0.3">
      <c r="A848" s="1">
        <v>42065</v>
      </c>
      <c r="B848" s="2" t="s">
        <v>1062</v>
      </c>
      <c r="C848" s="2" t="s">
        <v>80</v>
      </c>
      <c r="D848" s="2" t="s">
        <v>25</v>
      </c>
      <c r="E848" s="2" t="s">
        <v>26</v>
      </c>
      <c r="F848" s="2" t="s">
        <v>1063</v>
      </c>
      <c r="G848" s="2">
        <v>90.88</v>
      </c>
      <c r="H848" s="2">
        <v>1</v>
      </c>
      <c r="I848" s="3">
        <v>15.15</v>
      </c>
    </row>
    <row r="849" spans="1:9" x14ac:dyDescent="0.3">
      <c r="A849" s="4">
        <v>42157</v>
      </c>
      <c r="B849" s="5" t="s">
        <v>352</v>
      </c>
      <c r="C849" s="5" t="s">
        <v>62</v>
      </c>
      <c r="D849" s="5" t="s">
        <v>2</v>
      </c>
      <c r="E849" s="5" t="s">
        <v>15</v>
      </c>
      <c r="F849" s="5" t="s">
        <v>1064</v>
      </c>
      <c r="G849" s="5">
        <v>5.28</v>
      </c>
      <c r="H849" s="5">
        <v>3</v>
      </c>
      <c r="I849" s="6">
        <v>1.53</v>
      </c>
    </row>
    <row r="850" spans="1:9" x14ac:dyDescent="0.3">
      <c r="A850" s="1">
        <v>42157</v>
      </c>
      <c r="B850" s="2" t="s">
        <v>515</v>
      </c>
      <c r="C850" s="2" t="s">
        <v>50</v>
      </c>
      <c r="D850" s="2" t="s">
        <v>25</v>
      </c>
      <c r="E850" s="2" t="s">
        <v>26</v>
      </c>
      <c r="F850" s="2" t="s">
        <v>1014</v>
      </c>
      <c r="G850" s="2">
        <v>1268.82</v>
      </c>
      <c r="H850" s="2">
        <v>9</v>
      </c>
      <c r="I850" s="3">
        <v>266.45</v>
      </c>
    </row>
    <row r="851" spans="1:9" x14ac:dyDescent="0.3">
      <c r="A851" s="4">
        <v>42157</v>
      </c>
      <c r="B851" s="5" t="s">
        <v>515</v>
      </c>
      <c r="C851" s="5" t="s">
        <v>50</v>
      </c>
      <c r="D851" s="5" t="s">
        <v>25</v>
      </c>
      <c r="E851" s="5" t="s">
        <v>129</v>
      </c>
      <c r="F851" s="5" t="s">
        <v>1065</v>
      </c>
      <c r="G851" s="5">
        <v>283.92</v>
      </c>
      <c r="H851" s="5">
        <v>4</v>
      </c>
      <c r="I851" s="6">
        <v>82.34</v>
      </c>
    </row>
    <row r="852" spans="1:9" x14ac:dyDescent="0.3">
      <c r="A852" s="1">
        <v>42157</v>
      </c>
      <c r="B852" s="2" t="s">
        <v>515</v>
      </c>
      <c r="C852" s="2" t="s">
        <v>50</v>
      </c>
      <c r="D852" s="2" t="s">
        <v>2</v>
      </c>
      <c r="E852" s="2" t="s">
        <v>15</v>
      </c>
      <c r="F852" s="2" t="s">
        <v>1066</v>
      </c>
      <c r="G852" s="2">
        <v>5.68</v>
      </c>
      <c r="H852" s="2">
        <v>2</v>
      </c>
      <c r="I852" s="3">
        <v>1.76</v>
      </c>
    </row>
    <row r="853" spans="1:9" x14ac:dyDescent="0.3">
      <c r="A853" s="4">
        <v>42157</v>
      </c>
      <c r="B853" s="5" t="s">
        <v>1067</v>
      </c>
      <c r="C853" s="5" t="s">
        <v>1</v>
      </c>
      <c r="D853" s="5" t="s">
        <v>2</v>
      </c>
      <c r="E853" s="5" t="s">
        <v>11</v>
      </c>
      <c r="F853" s="5" t="s">
        <v>1068</v>
      </c>
      <c r="G853" s="5">
        <v>2.93</v>
      </c>
      <c r="H853" s="5">
        <v>3</v>
      </c>
      <c r="I853" s="6">
        <v>-4.99</v>
      </c>
    </row>
    <row r="854" spans="1:9" x14ac:dyDescent="0.3">
      <c r="A854" s="1">
        <v>42157</v>
      </c>
      <c r="B854" s="2" t="s">
        <v>1067</v>
      </c>
      <c r="C854" s="2" t="s">
        <v>1</v>
      </c>
      <c r="D854" s="2" t="s">
        <v>30</v>
      </c>
      <c r="E854" s="2" t="s">
        <v>43</v>
      </c>
      <c r="F854" s="2" t="s">
        <v>1069</v>
      </c>
      <c r="G854" s="2">
        <v>18.53</v>
      </c>
      <c r="H854" s="2">
        <v>2</v>
      </c>
      <c r="I854" s="3">
        <v>4.4000000000000004</v>
      </c>
    </row>
    <row r="855" spans="1:9" x14ac:dyDescent="0.3">
      <c r="A855" s="4">
        <v>42157</v>
      </c>
      <c r="B855" s="5" t="s">
        <v>1067</v>
      </c>
      <c r="C855" s="5" t="s">
        <v>1</v>
      </c>
      <c r="D855" s="5" t="s">
        <v>2</v>
      </c>
      <c r="E855" s="5" t="s">
        <v>9</v>
      </c>
      <c r="F855" s="5" t="s">
        <v>415</v>
      </c>
      <c r="G855" s="5">
        <v>670.75</v>
      </c>
      <c r="H855" s="5">
        <v>3</v>
      </c>
      <c r="I855" s="6">
        <v>-125.77</v>
      </c>
    </row>
    <row r="856" spans="1:9" x14ac:dyDescent="0.3">
      <c r="A856" s="1">
        <v>42157</v>
      </c>
      <c r="B856" s="2" t="s">
        <v>1070</v>
      </c>
      <c r="C856" s="2" t="s">
        <v>46</v>
      </c>
      <c r="D856" s="2" t="s">
        <v>2</v>
      </c>
      <c r="E856" s="2" t="s">
        <v>9</v>
      </c>
      <c r="F856" s="2" t="s">
        <v>1071</v>
      </c>
      <c r="G856" s="2">
        <v>146.72999999999999</v>
      </c>
      <c r="H856" s="2">
        <v>3</v>
      </c>
      <c r="I856" s="3">
        <v>2.93</v>
      </c>
    </row>
    <row r="857" spans="1:9" x14ac:dyDescent="0.3">
      <c r="A857" s="4">
        <v>42157</v>
      </c>
      <c r="B857" s="5" t="s">
        <v>1070</v>
      </c>
      <c r="C857" s="5" t="s">
        <v>46</v>
      </c>
      <c r="D857" s="5" t="s">
        <v>2</v>
      </c>
      <c r="E857" s="5" t="s">
        <v>3</v>
      </c>
      <c r="F857" s="5" t="s">
        <v>1072</v>
      </c>
      <c r="G857" s="5">
        <v>29.9</v>
      </c>
      <c r="H857" s="5">
        <v>5</v>
      </c>
      <c r="I857" s="6">
        <v>13.46</v>
      </c>
    </row>
    <row r="858" spans="1:9" x14ac:dyDescent="0.3">
      <c r="A858" s="1">
        <v>42187</v>
      </c>
      <c r="B858" s="2" t="s">
        <v>1073</v>
      </c>
      <c r="C858" s="2" t="s">
        <v>46</v>
      </c>
      <c r="D858" s="2" t="s">
        <v>2</v>
      </c>
      <c r="E858" s="2" t="s">
        <v>114</v>
      </c>
      <c r="F858" s="2" t="s">
        <v>976</v>
      </c>
      <c r="G858" s="2">
        <v>311.14999999999998</v>
      </c>
      <c r="H858" s="2">
        <v>5</v>
      </c>
      <c r="I858" s="3">
        <v>146.24</v>
      </c>
    </row>
    <row r="859" spans="1:9" x14ac:dyDescent="0.3">
      <c r="A859" s="4">
        <v>42187</v>
      </c>
      <c r="B859" s="5" t="s">
        <v>1073</v>
      </c>
      <c r="C859" s="5" t="s">
        <v>46</v>
      </c>
      <c r="D859" s="5" t="s">
        <v>2</v>
      </c>
      <c r="E859" s="5" t="s">
        <v>3</v>
      </c>
      <c r="F859" s="5" t="s">
        <v>212</v>
      </c>
      <c r="G859" s="5">
        <v>12.96</v>
      </c>
      <c r="H859" s="5">
        <v>2</v>
      </c>
      <c r="I859" s="6">
        <v>6.35</v>
      </c>
    </row>
    <row r="860" spans="1:9" x14ac:dyDescent="0.3">
      <c r="A860" s="1">
        <v>42218</v>
      </c>
      <c r="B860" s="2" t="s">
        <v>671</v>
      </c>
      <c r="C860" s="2" t="s">
        <v>127</v>
      </c>
      <c r="D860" s="2" t="s">
        <v>30</v>
      </c>
      <c r="E860" s="2" t="s">
        <v>31</v>
      </c>
      <c r="F860" s="2" t="s">
        <v>669</v>
      </c>
      <c r="G860" s="2">
        <v>107.98</v>
      </c>
      <c r="H860" s="2">
        <v>3</v>
      </c>
      <c r="I860" s="3">
        <v>-27</v>
      </c>
    </row>
    <row r="861" spans="1:9" x14ac:dyDescent="0.3">
      <c r="A861" s="4">
        <v>42218</v>
      </c>
      <c r="B861" s="5" t="s">
        <v>416</v>
      </c>
      <c r="C861" s="5" t="s">
        <v>729</v>
      </c>
      <c r="D861" s="5" t="s">
        <v>2</v>
      </c>
      <c r="E861" s="5" t="s">
        <v>3</v>
      </c>
      <c r="F861" s="5" t="s">
        <v>1074</v>
      </c>
      <c r="G861" s="5">
        <v>9.5399999999999991</v>
      </c>
      <c r="H861" s="5">
        <v>2</v>
      </c>
      <c r="I861" s="6">
        <v>4.29</v>
      </c>
    </row>
    <row r="862" spans="1:9" x14ac:dyDescent="0.3">
      <c r="A862" s="1">
        <v>42218</v>
      </c>
      <c r="B862" s="2" t="s">
        <v>416</v>
      </c>
      <c r="C862" s="2" t="s">
        <v>729</v>
      </c>
      <c r="D862" s="2" t="s">
        <v>2</v>
      </c>
      <c r="E862" s="2" t="s">
        <v>34</v>
      </c>
      <c r="F862" s="2" t="s">
        <v>1075</v>
      </c>
      <c r="G862" s="2">
        <v>5.81</v>
      </c>
      <c r="H862" s="2">
        <v>1</v>
      </c>
      <c r="I862" s="3">
        <v>1.8</v>
      </c>
    </row>
    <row r="863" spans="1:9" x14ac:dyDescent="0.3">
      <c r="A863" s="4">
        <v>42218</v>
      </c>
      <c r="B863" s="5" t="s">
        <v>416</v>
      </c>
      <c r="C863" s="5" t="s">
        <v>729</v>
      </c>
      <c r="D863" s="5" t="s">
        <v>2</v>
      </c>
      <c r="E863" s="5" t="s">
        <v>15</v>
      </c>
      <c r="F863" s="5" t="s">
        <v>1076</v>
      </c>
      <c r="G863" s="5">
        <v>5.76</v>
      </c>
      <c r="H863" s="5">
        <v>2</v>
      </c>
      <c r="I863" s="6">
        <v>1.73</v>
      </c>
    </row>
    <row r="864" spans="1:9" x14ac:dyDescent="0.3">
      <c r="A864" s="1">
        <v>42249</v>
      </c>
      <c r="B864" s="2" t="s">
        <v>1077</v>
      </c>
      <c r="C864" s="2" t="s">
        <v>1</v>
      </c>
      <c r="D864" s="2" t="s">
        <v>30</v>
      </c>
      <c r="E864" s="2" t="s">
        <v>43</v>
      </c>
      <c r="F864" s="2" t="s">
        <v>44</v>
      </c>
      <c r="G864" s="2">
        <v>20.8</v>
      </c>
      <c r="H864" s="2">
        <v>2</v>
      </c>
      <c r="I864" s="3">
        <v>6.5</v>
      </c>
    </row>
    <row r="865" spans="1:9" x14ac:dyDescent="0.3">
      <c r="A865" s="4">
        <v>42249</v>
      </c>
      <c r="B865" s="5" t="s">
        <v>1078</v>
      </c>
      <c r="C865" s="5" t="s">
        <v>1</v>
      </c>
      <c r="D865" s="5" t="s">
        <v>2</v>
      </c>
      <c r="E865" s="5" t="s">
        <v>7</v>
      </c>
      <c r="F865" s="5" t="s">
        <v>403</v>
      </c>
      <c r="G865" s="5">
        <v>40.1</v>
      </c>
      <c r="H865" s="5">
        <v>4</v>
      </c>
      <c r="I865" s="6">
        <v>13.53</v>
      </c>
    </row>
    <row r="866" spans="1:9" x14ac:dyDescent="0.3">
      <c r="A866" s="1">
        <v>42249</v>
      </c>
      <c r="B866" s="2" t="s">
        <v>1078</v>
      </c>
      <c r="C866" s="2" t="s">
        <v>1</v>
      </c>
      <c r="D866" s="2" t="s">
        <v>25</v>
      </c>
      <c r="E866" s="2" t="s">
        <v>38</v>
      </c>
      <c r="F866" s="2" t="s">
        <v>718</v>
      </c>
      <c r="G866" s="2">
        <v>40.78</v>
      </c>
      <c r="H866" s="2">
        <v>2</v>
      </c>
      <c r="I866" s="3">
        <v>-30.59</v>
      </c>
    </row>
    <row r="867" spans="1:9" x14ac:dyDescent="0.3">
      <c r="A867" s="4">
        <v>42249</v>
      </c>
      <c r="B867" s="5" t="s">
        <v>1079</v>
      </c>
      <c r="C867" s="5" t="s">
        <v>18</v>
      </c>
      <c r="D867" s="5" t="s">
        <v>25</v>
      </c>
      <c r="E867" s="5" t="s">
        <v>26</v>
      </c>
      <c r="F867" s="5" t="s">
        <v>746</v>
      </c>
      <c r="G867" s="5">
        <v>203.92</v>
      </c>
      <c r="H867" s="5">
        <v>5</v>
      </c>
      <c r="I867" s="6">
        <v>22.94</v>
      </c>
    </row>
    <row r="868" spans="1:9" x14ac:dyDescent="0.3">
      <c r="A868" s="1">
        <v>42249</v>
      </c>
      <c r="B868" s="2" t="s">
        <v>786</v>
      </c>
      <c r="C868" s="2" t="s">
        <v>6</v>
      </c>
      <c r="D868" s="2" t="s">
        <v>30</v>
      </c>
      <c r="E868" s="2" t="s">
        <v>43</v>
      </c>
      <c r="F868" s="2" t="s">
        <v>260</v>
      </c>
      <c r="G868" s="2">
        <v>479.95</v>
      </c>
      <c r="H868" s="2">
        <v>6</v>
      </c>
      <c r="I868" s="3">
        <v>89.99</v>
      </c>
    </row>
    <row r="869" spans="1:9" x14ac:dyDescent="0.3">
      <c r="A869" s="4">
        <v>42279</v>
      </c>
      <c r="B869" s="5" t="s">
        <v>975</v>
      </c>
      <c r="C869" s="5" t="s">
        <v>14</v>
      </c>
      <c r="D869" s="5" t="s">
        <v>2</v>
      </c>
      <c r="E869" s="5" t="s">
        <v>9</v>
      </c>
      <c r="F869" s="5" t="s">
        <v>1080</v>
      </c>
      <c r="G869" s="5">
        <v>77.239999999999995</v>
      </c>
      <c r="H869" s="5">
        <v>5</v>
      </c>
      <c r="I869" s="6">
        <v>7.72</v>
      </c>
    </row>
    <row r="870" spans="1:9" x14ac:dyDescent="0.3">
      <c r="A870" s="1">
        <v>42007</v>
      </c>
      <c r="B870" s="2" t="s">
        <v>1081</v>
      </c>
      <c r="C870" s="2" t="s">
        <v>21</v>
      </c>
      <c r="D870" s="2" t="s">
        <v>2</v>
      </c>
      <c r="E870" s="2" t="s">
        <v>11</v>
      </c>
      <c r="F870" s="2" t="s">
        <v>1082</v>
      </c>
      <c r="G870" s="2">
        <v>58.72</v>
      </c>
      <c r="H870" s="2">
        <v>4</v>
      </c>
      <c r="I870" s="3">
        <v>27.01</v>
      </c>
    </row>
    <row r="871" spans="1:9" x14ac:dyDescent="0.3">
      <c r="A871" s="4">
        <v>42007</v>
      </c>
      <c r="B871" s="5" t="s">
        <v>1083</v>
      </c>
      <c r="C871" s="5" t="s">
        <v>18</v>
      </c>
      <c r="D871" s="5" t="s">
        <v>30</v>
      </c>
      <c r="E871" s="5" t="s">
        <v>31</v>
      </c>
      <c r="F871" s="5" t="s">
        <v>425</v>
      </c>
      <c r="G871" s="5">
        <v>15.98</v>
      </c>
      <c r="H871" s="5">
        <v>2</v>
      </c>
      <c r="I871" s="6">
        <v>1.2</v>
      </c>
    </row>
    <row r="872" spans="1:9" x14ac:dyDescent="0.3">
      <c r="A872" s="1">
        <v>42007</v>
      </c>
      <c r="B872" s="2" t="s">
        <v>1083</v>
      </c>
      <c r="C872" s="2" t="s">
        <v>18</v>
      </c>
      <c r="D872" s="2" t="s">
        <v>25</v>
      </c>
      <c r="E872" s="2" t="s">
        <v>26</v>
      </c>
      <c r="F872" s="2" t="s">
        <v>1040</v>
      </c>
      <c r="G872" s="2">
        <v>184.75</v>
      </c>
      <c r="H872" s="2">
        <v>3</v>
      </c>
      <c r="I872" s="3">
        <v>-20.78</v>
      </c>
    </row>
    <row r="873" spans="1:9" x14ac:dyDescent="0.3">
      <c r="A873" s="4">
        <v>42007</v>
      </c>
      <c r="B873" s="5" t="s">
        <v>834</v>
      </c>
      <c r="C873" s="5" t="s">
        <v>14</v>
      </c>
      <c r="D873" s="5" t="s">
        <v>2</v>
      </c>
      <c r="E873" s="5" t="s">
        <v>133</v>
      </c>
      <c r="F873" s="5" t="s">
        <v>1084</v>
      </c>
      <c r="G873" s="5">
        <v>3.55</v>
      </c>
      <c r="H873" s="5">
        <v>2</v>
      </c>
      <c r="I873" s="6">
        <v>0.44</v>
      </c>
    </row>
    <row r="874" spans="1:9" x14ac:dyDescent="0.3">
      <c r="A874" s="1">
        <v>42007</v>
      </c>
      <c r="B874" s="2" t="s">
        <v>154</v>
      </c>
      <c r="C874" s="2" t="s">
        <v>1</v>
      </c>
      <c r="D874" s="2" t="s">
        <v>2</v>
      </c>
      <c r="E874" s="2" t="s">
        <v>15</v>
      </c>
      <c r="F874" s="2" t="s">
        <v>1085</v>
      </c>
      <c r="G874" s="2">
        <v>55.33</v>
      </c>
      <c r="H874" s="2">
        <v>2</v>
      </c>
      <c r="I874" s="3">
        <v>6.22</v>
      </c>
    </row>
    <row r="875" spans="1:9" x14ac:dyDescent="0.3">
      <c r="A875" s="4">
        <v>42007</v>
      </c>
      <c r="B875" s="5" t="s">
        <v>154</v>
      </c>
      <c r="C875" s="5" t="s">
        <v>1</v>
      </c>
      <c r="D875" s="5" t="s">
        <v>25</v>
      </c>
      <c r="E875" s="5" t="s">
        <v>129</v>
      </c>
      <c r="F875" s="5" t="s">
        <v>1086</v>
      </c>
      <c r="G875" s="5">
        <v>1228</v>
      </c>
      <c r="H875" s="5">
        <v>6</v>
      </c>
      <c r="I875" s="6">
        <v>-36.119999999999997</v>
      </c>
    </row>
    <row r="876" spans="1:9" x14ac:dyDescent="0.3">
      <c r="A876" s="1">
        <v>42007</v>
      </c>
      <c r="B876" s="2" t="s">
        <v>1087</v>
      </c>
      <c r="C876" s="2" t="s">
        <v>1</v>
      </c>
      <c r="D876" s="2" t="s">
        <v>30</v>
      </c>
      <c r="E876" s="2" t="s">
        <v>31</v>
      </c>
      <c r="F876" s="2" t="s">
        <v>1088</v>
      </c>
      <c r="G876" s="2">
        <v>95.84</v>
      </c>
      <c r="H876" s="2">
        <v>4</v>
      </c>
      <c r="I876" s="3">
        <v>34.74</v>
      </c>
    </row>
    <row r="877" spans="1:9" x14ac:dyDescent="0.3">
      <c r="A877" s="4">
        <v>42038</v>
      </c>
      <c r="B877" s="5" t="s">
        <v>1089</v>
      </c>
      <c r="C877" s="5" t="s">
        <v>62</v>
      </c>
      <c r="D877" s="5" t="s">
        <v>25</v>
      </c>
      <c r="E877" s="5" t="s">
        <v>86</v>
      </c>
      <c r="F877" s="5" t="s">
        <v>838</v>
      </c>
      <c r="G877" s="5">
        <v>787.53</v>
      </c>
      <c r="H877" s="5">
        <v>3</v>
      </c>
      <c r="I877" s="6">
        <v>165.38</v>
      </c>
    </row>
    <row r="878" spans="1:9" x14ac:dyDescent="0.3">
      <c r="A878" s="1">
        <v>42038</v>
      </c>
      <c r="B878" s="2" t="s">
        <v>1090</v>
      </c>
      <c r="C878" s="2" t="s">
        <v>283</v>
      </c>
      <c r="D878" s="2" t="s">
        <v>2</v>
      </c>
      <c r="E878" s="2" t="s">
        <v>15</v>
      </c>
      <c r="F878" s="2" t="s">
        <v>915</v>
      </c>
      <c r="G878" s="2">
        <v>10.16</v>
      </c>
      <c r="H878" s="2">
        <v>1</v>
      </c>
      <c r="I878" s="3">
        <v>2.64</v>
      </c>
    </row>
    <row r="879" spans="1:9" x14ac:dyDescent="0.3">
      <c r="A879" s="4">
        <v>42038</v>
      </c>
      <c r="B879" s="5" t="s">
        <v>1090</v>
      </c>
      <c r="C879" s="5" t="s">
        <v>283</v>
      </c>
      <c r="D879" s="5" t="s">
        <v>2</v>
      </c>
      <c r="E879" s="5" t="s">
        <v>114</v>
      </c>
      <c r="F879" s="5" t="s">
        <v>1091</v>
      </c>
      <c r="G879" s="5">
        <v>101.88</v>
      </c>
      <c r="H879" s="5">
        <v>6</v>
      </c>
      <c r="I879" s="6">
        <v>50.94</v>
      </c>
    </row>
    <row r="880" spans="1:9" x14ac:dyDescent="0.3">
      <c r="A880" s="1">
        <v>42127</v>
      </c>
      <c r="B880" s="2" t="s">
        <v>981</v>
      </c>
      <c r="C880" s="2" t="s">
        <v>80</v>
      </c>
      <c r="D880" s="2" t="s">
        <v>2</v>
      </c>
      <c r="E880" s="2" t="s">
        <v>114</v>
      </c>
      <c r="F880" s="2" t="s">
        <v>115</v>
      </c>
      <c r="G880" s="2">
        <v>29.34</v>
      </c>
      <c r="H880" s="2">
        <v>3</v>
      </c>
      <c r="I880" s="3">
        <v>14.67</v>
      </c>
    </row>
    <row r="881" spans="1:9" x14ac:dyDescent="0.3">
      <c r="A881" s="4">
        <v>42127</v>
      </c>
      <c r="B881" s="5" t="s">
        <v>981</v>
      </c>
      <c r="C881" s="5" t="s">
        <v>80</v>
      </c>
      <c r="D881" s="5" t="s">
        <v>25</v>
      </c>
      <c r="E881" s="5" t="s">
        <v>26</v>
      </c>
      <c r="F881" s="5" t="s">
        <v>91</v>
      </c>
      <c r="G881" s="5">
        <v>383.61</v>
      </c>
      <c r="H881" s="5">
        <v>7</v>
      </c>
      <c r="I881" s="6">
        <v>63.93</v>
      </c>
    </row>
    <row r="882" spans="1:9" x14ac:dyDescent="0.3">
      <c r="A882" s="1">
        <v>42127</v>
      </c>
      <c r="B882" s="2" t="s">
        <v>981</v>
      </c>
      <c r="C882" s="2" t="s">
        <v>80</v>
      </c>
      <c r="D882" s="2" t="s">
        <v>2</v>
      </c>
      <c r="E882" s="2" t="s">
        <v>9</v>
      </c>
      <c r="F882" s="2" t="s">
        <v>1092</v>
      </c>
      <c r="G882" s="2">
        <v>563.4</v>
      </c>
      <c r="H882" s="2">
        <v>4</v>
      </c>
      <c r="I882" s="3">
        <v>67.61</v>
      </c>
    </row>
    <row r="883" spans="1:9" x14ac:dyDescent="0.3">
      <c r="A883" s="4">
        <v>42127</v>
      </c>
      <c r="B883" s="5" t="s">
        <v>1093</v>
      </c>
      <c r="C883" s="5" t="s">
        <v>283</v>
      </c>
      <c r="D883" s="5" t="s">
        <v>30</v>
      </c>
      <c r="E883" s="5" t="s">
        <v>31</v>
      </c>
      <c r="F883" s="5" t="s">
        <v>825</v>
      </c>
      <c r="G883" s="5">
        <v>23.92</v>
      </c>
      <c r="H883" s="5">
        <v>2</v>
      </c>
      <c r="I883" s="6">
        <v>6.7</v>
      </c>
    </row>
    <row r="884" spans="1:9" x14ac:dyDescent="0.3">
      <c r="A884" s="1">
        <v>42127</v>
      </c>
      <c r="B884" s="2" t="s">
        <v>1093</v>
      </c>
      <c r="C884" s="2" t="s">
        <v>283</v>
      </c>
      <c r="D884" s="2" t="s">
        <v>2</v>
      </c>
      <c r="E884" s="2" t="s">
        <v>133</v>
      </c>
      <c r="F884" s="2" t="s">
        <v>351</v>
      </c>
      <c r="G884" s="2">
        <v>60.69</v>
      </c>
      <c r="H884" s="2">
        <v>7</v>
      </c>
      <c r="I884" s="3">
        <v>16.39</v>
      </c>
    </row>
    <row r="885" spans="1:9" x14ac:dyDescent="0.3">
      <c r="A885" s="4">
        <v>42127</v>
      </c>
      <c r="B885" s="5" t="s">
        <v>955</v>
      </c>
      <c r="C885" s="5" t="s">
        <v>14</v>
      </c>
      <c r="D885" s="5" t="s">
        <v>30</v>
      </c>
      <c r="E885" s="5" t="s">
        <v>31</v>
      </c>
      <c r="F885" s="5" t="s">
        <v>1094</v>
      </c>
      <c r="G885" s="5">
        <v>466.16</v>
      </c>
      <c r="H885" s="5">
        <v>7</v>
      </c>
      <c r="I885" s="6">
        <v>-93.23</v>
      </c>
    </row>
    <row r="886" spans="1:9" x14ac:dyDescent="0.3">
      <c r="A886" s="1">
        <v>42127</v>
      </c>
      <c r="B886" s="2" t="s">
        <v>955</v>
      </c>
      <c r="C886" s="2" t="s">
        <v>14</v>
      </c>
      <c r="D886" s="2" t="s">
        <v>30</v>
      </c>
      <c r="E886" s="2" t="s">
        <v>43</v>
      </c>
      <c r="F886" s="2" t="s">
        <v>867</v>
      </c>
      <c r="G886" s="2">
        <v>10.31</v>
      </c>
      <c r="H886" s="2">
        <v>1</v>
      </c>
      <c r="I886" s="3">
        <v>-1.29</v>
      </c>
    </row>
    <row r="887" spans="1:9" x14ac:dyDescent="0.3">
      <c r="A887" s="4">
        <v>42127</v>
      </c>
      <c r="B887" s="5" t="s">
        <v>955</v>
      </c>
      <c r="C887" s="5" t="s">
        <v>14</v>
      </c>
      <c r="D887" s="5" t="s">
        <v>2</v>
      </c>
      <c r="E887" s="5" t="s">
        <v>11</v>
      </c>
      <c r="F887" s="5" t="s">
        <v>1095</v>
      </c>
      <c r="G887" s="5">
        <v>2.56</v>
      </c>
      <c r="H887" s="5">
        <v>3</v>
      </c>
      <c r="I887" s="6">
        <v>-1.79</v>
      </c>
    </row>
    <row r="888" spans="1:9" x14ac:dyDescent="0.3">
      <c r="A888" s="1">
        <v>42127</v>
      </c>
      <c r="B888" s="2" t="s">
        <v>1096</v>
      </c>
      <c r="C888" s="2" t="s">
        <v>14</v>
      </c>
      <c r="D888" s="2" t="s">
        <v>25</v>
      </c>
      <c r="E888" s="2" t="s">
        <v>26</v>
      </c>
      <c r="F888" s="2" t="s">
        <v>412</v>
      </c>
      <c r="G888" s="2">
        <v>99.37</v>
      </c>
      <c r="H888" s="2">
        <v>2</v>
      </c>
      <c r="I888" s="3">
        <v>-7.1</v>
      </c>
    </row>
    <row r="889" spans="1:9" x14ac:dyDescent="0.3">
      <c r="A889" s="4">
        <v>42127</v>
      </c>
      <c r="B889" s="5" t="s">
        <v>1096</v>
      </c>
      <c r="C889" s="5" t="s">
        <v>14</v>
      </c>
      <c r="D889" s="5" t="s">
        <v>25</v>
      </c>
      <c r="E889" s="5" t="s">
        <v>38</v>
      </c>
      <c r="F889" s="5" t="s">
        <v>1097</v>
      </c>
      <c r="G889" s="5">
        <v>33.57</v>
      </c>
      <c r="H889" s="5">
        <v>2</v>
      </c>
      <c r="I889" s="6">
        <v>-5.45</v>
      </c>
    </row>
    <row r="890" spans="1:9" x14ac:dyDescent="0.3">
      <c r="A890" s="1">
        <v>42127</v>
      </c>
      <c r="B890" s="2" t="s">
        <v>1098</v>
      </c>
      <c r="C890" s="2" t="s">
        <v>1</v>
      </c>
      <c r="D890" s="2" t="s">
        <v>30</v>
      </c>
      <c r="E890" s="2" t="s">
        <v>31</v>
      </c>
      <c r="F890" s="2" t="s">
        <v>1099</v>
      </c>
      <c r="G890" s="2">
        <v>31.92</v>
      </c>
      <c r="H890" s="2">
        <v>2</v>
      </c>
      <c r="I890" s="3">
        <v>2.39</v>
      </c>
    </row>
    <row r="891" spans="1:9" x14ac:dyDescent="0.3">
      <c r="A891" s="4">
        <v>42127</v>
      </c>
      <c r="B891" s="5" t="s">
        <v>1100</v>
      </c>
      <c r="C891" s="5" t="s">
        <v>6</v>
      </c>
      <c r="D891" s="5" t="s">
        <v>2</v>
      </c>
      <c r="E891" s="5" t="s">
        <v>34</v>
      </c>
      <c r="F891" s="5" t="s">
        <v>254</v>
      </c>
      <c r="G891" s="5">
        <v>7.1</v>
      </c>
      <c r="H891" s="5">
        <v>6</v>
      </c>
      <c r="I891" s="6">
        <v>2.4900000000000002</v>
      </c>
    </row>
    <row r="892" spans="1:9" x14ac:dyDescent="0.3">
      <c r="A892" s="1">
        <v>42127</v>
      </c>
      <c r="B892" s="2" t="s">
        <v>695</v>
      </c>
      <c r="C892" s="2" t="s">
        <v>6</v>
      </c>
      <c r="D892" s="2" t="s">
        <v>2</v>
      </c>
      <c r="E892" s="2" t="s">
        <v>11</v>
      </c>
      <c r="F892" s="2" t="s">
        <v>598</v>
      </c>
      <c r="G892" s="2">
        <v>11.21</v>
      </c>
      <c r="H892" s="2">
        <v>2</v>
      </c>
      <c r="I892" s="3">
        <v>-16.82</v>
      </c>
    </row>
    <row r="893" spans="1:9" x14ac:dyDescent="0.3">
      <c r="A893" s="4">
        <v>42127</v>
      </c>
      <c r="B893" s="5" t="s">
        <v>695</v>
      </c>
      <c r="C893" s="5" t="s">
        <v>6</v>
      </c>
      <c r="D893" s="5" t="s">
        <v>25</v>
      </c>
      <c r="E893" s="5" t="s">
        <v>38</v>
      </c>
      <c r="F893" s="5" t="s">
        <v>167</v>
      </c>
      <c r="G893" s="5">
        <v>4.71</v>
      </c>
      <c r="H893" s="5">
        <v>2</v>
      </c>
      <c r="I893" s="6">
        <v>-1.88</v>
      </c>
    </row>
    <row r="894" spans="1:9" x14ac:dyDescent="0.3">
      <c r="A894" s="1">
        <v>42127</v>
      </c>
      <c r="B894" s="2" t="s">
        <v>695</v>
      </c>
      <c r="C894" s="2" t="s">
        <v>6</v>
      </c>
      <c r="D894" s="2" t="s">
        <v>2</v>
      </c>
      <c r="E894" s="2" t="s">
        <v>133</v>
      </c>
      <c r="F894" s="2" t="s">
        <v>1101</v>
      </c>
      <c r="G894" s="2">
        <v>180.98</v>
      </c>
      <c r="H894" s="2">
        <v>5</v>
      </c>
      <c r="I894" s="3">
        <v>-470.55</v>
      </c>
    </row>
    <row r="895" spans="1:9" x14ac:dyDescent="0.3">
      <c r="A895" s="4">
        <v>42127</v>
      </c>
      <c r="B895" s="5" t="s">
        <v>695</v>
      </c>
      <c r="C895" s="5" t="s">
        <v>6</v>
      </c>
      <c r="D895" s="5" t="s">
        <v>2</v>
      </c>
      <c r="E895" s="5" t="s">
        <v>9</v>
      </c>
      <c r="F895" s="5" t="s">
        <v>994</v>
      </c>
      <c r="G895" s="5">
        <v>60.42</v>
      </c>
      <c r="H895" s="5">
        <v>2</v>
      </c>
      <c r="I895" s="6">
        <v>6.04</v>
      </c>
    </row>
    <row r="896" spans="1:9" x14ac:dyDescent="0.3">
      <c r="A896" s="1">
        <v>42158</v>
      </c>
      <c r="B896" s="2" t="s">
        <v>1102</v>
      </c>
      <c r="C896" s="2" t="s">
        <v>18</v>
      </c>
      <c r="D896" s="2" t="s">
        <v>25</v>
      </c>
      <c r="E896" s="2" t="s">
        <v>38</v>
      </c>
      <c r="F896" s="2" t="s">
        <v>1103</v>
      </c>
      <c r="G896" s="2">
        <v>435.26</v>
      </c>
      <c r="H896" s="2">
        <v>7</v>
      </c>
      <c r="I896" s="3">
        <v>95.76</v>
      </c>
    </row>
    <row r="897" spans="1:9" x14ac:dyDescent="0.3">
      <c r="A897" s="4">
        <v>42158</v>
      </c>
      <c r="B897" s="5" t="s">
        <v>1102</v>
      </c>
      <c r="C897" s="5" t="s">
        <v>18</v>
      </c>
      <c r="D897" s="5" t="s">
        <v>30</v>
      </c>
      <c r="E897" s="5" t="s">
        <v>290</v>
      </c>
      <c r="F897" s="5" t="s">
        <v>1104</v>
      </c>
      <c r="G897" s="5">
        <v>1119.98</v>
      </c>
      <c r="H897" s="5">
        <v>2</v>
      </c>
      <c r="I897" s="6">
        <v>377.99</v>
      </c>
    </row>
    <row r="898" spans="1:9" x14ac:dyDescent="0.3">
      <c r="A898" s="1">
        <v>42188</v>
      </c>
      <c r="B898" s="2" t="s">
        <v>1105</v>
      </c>
      <c r="C898" s="2" t="s">
        <v>50</v>
      </c>
      <c r="D898" s="2" t="s">
        <v>30</v>
      </c>
      <c r="E898" s="2" t="s">
        <v>43</v>
      </c>
      <c r="F898" s="2" t="s">
        <v>1106</v>
      </c>
      <c r="G898" s="2">
        <v>119.85</v>
      </c>
      <c r="H898" s="2">
        <v>3</v>
      </c>
      <c r="I898" s="3">
        <v>52.73</v>
      </c>
    </row>
    <row r="899" spans="1:9" x14ac:dyDescent="0.3">
      <c r="A899" s="4">
        <v>42188</v>
      </c>
      <c r="B899" s="5" t="s">
        <v>1105</v>
      </c>
      <c r="C899" s="5" t="s">
        <v>50</v>
      </c>
      <c r="D899" s="5" t="s">
        <v>2</v>
      </c>
      <c r="E899" s="5" t="s">
        <v>11</v>
      </c>
      <c r="F899" s="5" t="s">
        <v>1107</v>
      </c>
      <c r="G899" s="5">
        <v>30.44</v>
      </c>
      <c r="H899" s="5">
        <v>2</v>
      </c>
      <c r="I899" s="6">
        <v>14.92</v>
      </c>
    </row>
    <row r="900" spans="1:9" x14ac:dyDescent="0.3">
      <c r="A900" s="1">
        <v>42188</v>
      </c>
      <c r="B900" s="2" t="s">
        <v>1105</v>
      </c>
      <c r="C900" s="2" t="s">
        <v>50</v>
      </c>
      <c r="D900" s="2" t="s">
        <v>2</v>
      </c>
      <c r="E900" s="2" t="s">
        <v>11</v>
      </c>
      <c r="F900" s="2" t="s">
        <v>372</v>
      </c>
      <c r="G900" s="2">
        <v>69.28</v>
      </c>
      <c r="H900" s="2">
        <v>2</v>
      </c>
      <c r="I900" s="3">
        <v>33.25</v>
      </c>
    </row>
    <row r="901" spans="1:9" x14ac:dyDescent="0.3">
      <c r="A901" s="4">
        <v>42188</v>
      </c>
      <c r="B901" s="5" t="s">
        <v>1105</v>
      </c>
      <c r="C901" s="5" t="s">
        <v>50</v>
      </c>
      <c r="D901" s="5" t="s">
        <v>30</v>
      </c>
      <c r="E901" s="5" t="s">
        <v>31</v>
      </c>
      <c r="F901" s="5" t="s">
        <v>1108</v>
      </c>
      <c r="G901" s="5">
        <v>587.97</v>
      </c>
      <c r="H901" s="5">
        <v>3</v>
      </c>
      <c r="I901" s="6">
        <v>170.51</v>
      </c>
    </row>
    <row r="902" spans="1:9" x14ac:dyDescent="0.3">
      <c r="A902" s="1">
        <v>42219</v>
      </c>
      <c r="B902" s="2" t="s">
        <v>1109</v>
      </c>
      <c r="C902" s="2" t="s">
        <v>53</v>
      </c>
      <c r="D902" s="2" t="s">
        <v>25</v>
      </c>
      <c r="E902" s="2" t="s">
        <v>129</v>
      </c>
      <c r="F902" s="2" t="s">
        <v>1110</v>
      </c>
      <c r="G902" s="2">
        <v>512.94000000000005</v>
      </c>
      <c r="H902" s="2">
        <v>3</v>
      </c>
      <c r="I902" s="3">
        <v>97.46</v>
      </c>
    </row>
    <row r="903" spans="1:9" x14ac:dyDescent="0.3">
      <c r="A903" s="4">
        <v>42219</v>
      </c>
      <c r="B903" s="5" t="s">
        <v>1109</v>
      </c>
      <c r="C903" s="5" t="s">
        <v>53</v>
      </c>
      <c r="D903" s="5" t="s">
        <v>25</v>
      </c>
      <c r="E903" s="5" t="s">
        <v>26</v>
      </c>
      <c r="F903" s="5" t="s">
        <v>1111</v>
      </c>
      <c r="G903" s="5">
        <v>860.93</v>
      </c>
      <c r="H903" s="5">
        <v>7</v>
      </c>
      <c r="I903" s="6">
        <v>189.4</v>
      </c>
    </row>
    <row r="904" spans="1:9" x14ac:dyDescent="0.3">
      <c r="A904" s="1">
        <v>42219</v>
      </c>
      <c r="B904" s="2" t="s">
        <v>1109</v>
      </c>
      <c r="C904" s="2" t="s">
        <v>53</v>
      </c>
      <c r="D904" s="2" t="s">
        <v>30</v>
      </c>
      <c r="E904" s="2" t="s">
        <v>31</v>
      </c>
      <c r="F904" s="2" t="s">
        <v>1112</v>
      </c>
      <c r="G904" s="2">
        <v>769.95</v>
      </c>
      <c r="H904" s="2">
        <v>5</v>
      </c>
      <c r="I904" s="3">
        <v>223.29</v>
      </c>
    </row>
    <row r="905" spans="1:9" x14ac:dyDescent="0.3">
      <c r="A905" s="4">
        <v>42219</v>
      </c>
      <c r="B905" s="5" t="s">
        <v>1109</v>
      </c>
      <c r="C905" s="5" t="s">
        <v>53</v>
      </c>
      <c r="D905" s="5" t="s">
        <v>2</v>
      </c>
      <c r="E905" s="5" t="s">
        <v>15</v>
      </c>
      <c r="F905" s="5" t="s">
        <v>1113</v>
      </c>
      <c r="G905" s="5">
        <v>14.98</v>
      </c>
      <c r="H905" s="5">
        <v>1</v>
      </c>
      <c r="I905" s="6">
        <v>4.49</v>
      </c>
    </row>
    <row r="906" spans="1:9" x14ac:dyDescent="0.3">
      <c r="A906" s="1">
        <v>42219</v>
      </c>
      <c r="B906" s="2" t="s">
        <v>1109</v>
      </c>
      <c r="C906" s="2" t="s">
        <v>53</v>
      </c>
      <c r="D906" s="2" t="s">
        <v>25</v>
      </c>
      <c r="E906" s="2" t="s">
        <v>38</v>
      </c>
      <c r="F906" s="2" t="s">
        <v>1103</v>
      </c>
      <c r="G906" s="2">
        <v>373.08</v>
      </c>
      <c r="H906" s="2">
        <v>6</v>
      </c>
      <c r="I906" s="3">
        <v>82.08</v>
      </c>
    </row>
    <row r="907" spans="1:9" x14ac:dyDescent="0.3">
      <c r="A907" s="4">
        <v>42219</v>
      </c>
      <c r="B907" s="5" t="s">
        <v>1114</v>
      </c>
      <c r="C907" s="5" t="s">
        <v>80</v>
      </c>
      <c r="D907" s="5" t="s">
        <v>2</v>
      </c>
      <c r="E907" s="5" t="s">
        <v>3</v>
      </c>
      <c r="F907" s="5" t="s">
        <v>1115</v>
      </c>
      <c r="G907" s="5">
        <v>19.440000000000001</v>
      </c>
      <c r="H907" s="5">
        <v>3</v>
      </c>
      <c r="I907" s="6">
        <v>9.33</v>
      </c>
    </row>
    <row r="908" spans="1:9" x14ac:dyDescent="0.3">
      <c r="A908" s="1">
        <v>42219</v>
      </c>
      <c r="B908" s="2" t="s">
        <v>783</v>
      </c>
      <c r="C908" s="2" t="s">
        <v>163</v>
      </c>
      <c r="D908" s="2" t="s">
        <v>2</v>
      </c>
      <c r="E908" s="2" t="s">
        <v>15</v>
      </c>
      <c r="F908" s="2" t="s">
        <v>22</v>
      </c>
      <c r="G908" s="2">
        <v>3.41</v>
      </c>
      <c r="H908" s="2">
        <v>1</v>
      </c>
      <c r="I908" s="3">
        <v>0.89</v>
      </c>
    </row>
    <row r="909" spans="1:9" x14ac:dyDescent="0.3">
      <c r="A909" s="4">
        <v>42219</v>
      </c>
      <c r="B909" s="5" t="s">
        <v>431</v>
      </c>
      <c r="C909" s="5" t="s">
        <v>6</v>
      </c>
      <c r="D909" s="5" t="s">
        <v>2</v>
      </c>
      <c r="E909" s="5" t="s">
        <v>11</v>
      </c>
      <c r="F909" s="5" t="s">
        <v>1116</v>
      </c>
      <c r="G909" s="5">
        <v>8.57</v>
      </c>
      <c r="H909" s="5">
        <v>3</v>
      </c>
      <c r="I909" s="6">
        <v>-14.57</v>
      </c>
    </row>
    <row r="910" spans="1:9" x14ac:dyDescent="0.3">
      <c r="A910" s="1">
        <v>42250</v>
      </c>
      <c r="B910" s="2" t="s">
        <v>1117</v>
      </c>
      <c r="C910" s="2" t="s">
        <v>1</v>
      </c>
      <c r="D910" s="2" t="s">
        <v>30</v>
      </c>
      <c r="E910" s="2" t="s">
        <v>43</v>
      </c>
      <c r="F910" s="2" t="s">
        <v>540</v>
      </c>
      <c r="G910" s="2">
        <v>113.52</v>
      </c>
      <c r="H910" s="2">
        <v>5</v>
      </c>
      <c r="I910" s="3">
        <v>29.8</v>
      </c>
    </row>
    <row r="911" spans="1:9" x14ac:dyDescent="0.3">
      <c r="A911" s="4">
        <v>42250</v>
      </c>
      <c r="B911" s="5" t="s">
        <v>1117</v>
      </c>
      <c r="C911" s="5" t="s">
        <v>1</v>
      </c>
      <c r="D911" s="5" t="s">
        <v>30</v>
      </c>
      <c r="E911" s="5" t="s">
        <v>31</v>
      </c>
      <c r="F911" s="5" t="s">
        <v>978</v>
      </c>
      <c r="G911" s="5">
        <v>359.88</v>
      </c>
      <c r="H911" s="5">
        <v>3</v>
      </c>
      <c r="I911" s="6">
        <v>22.49</v>
      </c>
    </row>
    <row r="912" spans="1:9" x14ac:dyDescent="0.3">
      <c r="A912" s="1">
        <v>42250</v>
      </c>
      <c r="B912" s="2" t="s">
        <v>1118</v>
      </c>
      <c r="C912" s="2" t="s">
        <v>121</v>
      </c>
      <c r="D912" s="2" t="s">
        <v>2</v>
      </c>
      <c r="E912" s="2" t="s">
        <v>7</v>
      </c>
      <c r="F912" s="2" t="s">
        <v>488</v>
      </c>
      <c r="G912" s="2">
        <v>4.6100000000000003</v>
      </c>
      <c r="H912" s="2">
        <v>2</v>
      </c>
      <c r="I912" s="3">
        <v>1.67</v>
      </c>
    </row>
    <row r="913" spans="1:9" x14ac:dyDescent="0.3">
      <c r="A913" s="4">
        <v>42280</v>
      </c>
      <c r="B913" s="5" t="s">
        <v>693</v>
      </c>
      <c r="C913" s="5" t="s">
        <v>1</v>
      </c>
      <c r="D913" s="5" t="s">
        <v>2</v>
      </c>
      <c r="E913" s="5" t="s">
        <v>11</v>
      </c>
      <c r="F913" s="5" t="s">
        <v>1119</v>
      </c>
      <c r="G913" s="5">
        <v>1.1100000000000001</v>
      </c>
      <c r="H913" s="5">
        <v>2</v>
      </c>
      <c r="I913" s="6">
        <v>-1.89</v>
      </c>
    </row>
    <row r="914" spans="1:9" x14ac:dyDescent="0.3">
      <c r="A914" s="1">
        <v>42280</v>
      </c>
      <c r="B914" s="2" t="s">
        <v>202</v>
      </c>
      <c r="C914" s="2" t="s">
        <v>958</v>
      </c>
      <c r="D914" s="2" t="s">
        <v>2</v>
      </c>
      <c r="E914" s="2" t="s">
        <v>9</v>
      </c>
      <c r="F914" s="2" t="s">
        <v>676</v>
      </c>
      <c r="G914" s="2">
        <v>89.82</v>
      </c>
      <c r="H914" s="2">
        <v>6</v>
      </c>
      <c r="I914" s="3">
        <v>25.15</v>
      </c>
    </row>
    <row r="915" spans="1:9" x14ac:dyDescent="0.3">
      <c r="A915" s="4">
        <v>42341</v>
      </c>
      <c r="B915" s="5" t="s">
        <v>1120</v>
      </c>
      <c r="C915" s="5" t="s">
        <v>58</v>
      </c>
      <c r="D915" s="5" t="s">
        <v>2</v>
      </c>
      <c r="E915" s="5" t="s">
        <v>114</v>
      </c>
      <c r="F915" s="5" t="s">
        <v>750</v>
      </c>
      <c r="G915" s="5">
        <v>8.69</v>
      </c>
      <c r="H915" s="5">
        <v>3</v>
      </c>
      <c r="I915" s="6">
        <v>2.93</v>
      </c>
    </row>
    <row r="916" spans="1:9" x14ac:dyDescent="0.3">
      <c r="A916" s="1">
        <v>42341</v>
      </c>
      <c r="B916" s="2" t="s">
        <v>1120</v>
      </c>
      <c r="C916" s="2" t="s">
        <v>58</v>
      </c>
      <c r="D916" s="2" t="s">
        <v>25</v>
      </c>
      <c r="E916" s="2" t="s">
        <v>38</v>
      </c>
      <c r="F916" s="2" t="s">
        <v>1121</v>
      </c>
      <c r="G916" s="2">
        <v>30.88</v>
      </c>
      <c r="H916" s="2">
        <v>4</v>
      </c>
      <c r="I916" s="3">
        <v>3.86</v>
      </c>
    </row>
    <row r="917" spans="1:9" x14ac:dyDescent="0.3">
      <c r="A917" s="4">
        <v>42341</v>
      </c>
      <c r="B917" s="5" t="s">
        <v>1120</v>
      </c>
      <c r="C917" s="5" t="s">
        <v>58</v>
      </c>
      <c r="D917" s="5" t="s">
        <v>25</v>
      </c>
      <c r="E917" s="5" t="s">
        <v>38</v>
      </c>
      <c r="F917" s="5" t="s">
        <v>1122</v>
      </c>
      <c r="G917" s="5">
        <v>6.41</v>
      </c>
      <c r="H917" s="5">
        <v>3</v>
      </c>
      <c r="I917" s="6">
        <v>1.44</v>
      </c>
    </row>
    <row r="918" spans="1:9" x14ac:dyDescent="0.3">
      <c r="A918" s="1">
        <v>42341</v>
      </c>
      <c r="B918" s="2" t="s">
        <v>1123</v>
      </c>
      <c r="C918" s="2" t="s">
        <v>121</v>
      </c>
      <c r="D918" s="2" t="s">
        <v>2</v>
      </c>
      <c r="E918" s="2" t="s">
        <v>7</v>
      </c>
      <c r="F918" s="2" t="s">
        <v>196</v>
      </c>
      <c r="G918" s="2">
        <v>5.04</v>
      </c>
      <c r="H918" s="2">
        <v>2</v>
      </c>
      <c r="I918" s="3">
        <v>1.76</v>
      </c>
    </row>
    <row r="919" spans="1:9" x14ac:dyDescent="0.3">
      <c r="A919" s="4">
        <v>42039</v>
      </c>
      <c r="B919" s="5" t="s">
        <v>1124</v>
      </c>
      <c r="C919" s="5" t="s">
        <v>1</v>
      </c>
      <c r="D919" s="5" t="s">
        <v>2</v>
      </c>
      <c r="E919" s="5" t="s">
        <v>133</v>
      </c>
      <c r="F919" s="5" t="s">
        <v>1125</v>
      </c>
      <c r="G919" s="5">
        <v>32.19</v>
      </c>
      <c r="H919" s="5">
        <v>2</v>
      </c>
      <c r="I919" s="6">
        <v>-80.48</v>
      </c>
    </row>
    <row r="920" spans="1:9" x14ac:dyDescent="0.3">
      <c r="A920" s="1">
        <v>42039</v>
      </c>
      <c r="B920" s="2" t="s">
        <v>1124</v>
      </c>
      <c r="C920" s="2" t="s">
        <v>1</v>
      </c>
      <c r="D920" s="2" t="s">
        <v>30</v>
      </c>
      <c r="E920" s="2" t="s">
        <v>43</v>
      </c>
      <c r="F920" s="2" t="s">
        <v>743</v>
      </c>
      <c r="G920" s="2">
        <v>50.12</v>
      </c>
      <c r="H920" s="2">
        <v>7</v>
      </c>
      <c r="I920" s="3">
        <v>-0.63</v>
      </c>
    </row>
    <row r="921" spans="1:9" x14ac:dyDescent="0.3">
      <c r="A921" s="4">
        <v>42039</v>
      </c>
      <c r="B921" s="5" t="s">
        <v>1124</v>
      </c>
      <c r="C921" s="5" t="s">
        <v>1</v>
      </c>
      <c r="D921" s="5" t="s">
        <v>30</v>
      </c>
      <c r="E921" s="5" t="s">
        <v>43</v>
      </c>
      <c r="F921" s="5" t="s">
        <v>1126</v>
      </c>
      <c r="G921" s="5">
        <v>47.98</v>
      </c>
      <c r="H921" s="5">
        <v>3</v>
      </c>
      <c r="I921" s="6">
        <v>1.8</v>
      </c>
    </row>
    <row r="922" spans="1:9" x14ac:dyDescent="0.3">
      <c r="A922" s="1">
        <v>42039</v>
      </c>
      <c r="B922" s="2" t="s">
        <v>1127</v>
      </c>
      <c r="C922" s="2" t="s">
        <v>1</v>
      </c>
      <c r="D922" s="2" t="s">
        <v>2</v>
      </c>
      <c r="E922" s="2" t="s">
        <v>11</v>
      </c>
      <c r="F922" s="2" t="s">
        <v>1128</v>
      </c>
      <c r="G922" s="2">
        <v>9.16</v>
      </c>
      <c r="H922" s="2">
        <v>3</v>
      </c>
      <c r="I922" s="3">
        <v>-13.73</v>
      </c>
    </row>
    <row r="923" spans="1:9" x14ac:dyDescent="0.3">
      <c r="A923" s="4">
        <v>42039</v>
      </c>
      <c r="B923" s="5" t="s">
        <v>1129</v>
      </c>
      <c r="C923" s="5" t="s">
        <v>18</v>
      </c>
      <c r="D923" s="5" t="s">
        <v>30</v>
      </c>
      <c r="E923" s="5" t="s">
        <v>625</v>
      </c>
      <c r="F923" s="5" t="s">
        <v>1130</v>
      </c>
      <c r="G923" s="5">
        <v>71.98</v>
      </c>
      <c r="H923" s="5">
        <v>3</v>
      </c>
      <c r="I923" s="6">
        <v>24.29</v>
      </c>
    </row>
    <row r="924" spans="1:9" x14ac:dyDescent="0.3">
      <c r="A924" s="1">
        <v>42039</v>
      </c>
      <c r="B924" s="2" t="s">
        <v>1102</v>
      </c>
      <c r="C924" s="2" t="s">
        <v>253</v>
      </c>
      <c r="D924" s="2" t="s">
        <v>30</v>
      </c>
      <c r="E924" s="2" t="s">
        <v>31</v>
      </c>
      <c r="F924" s="2" t="s">
        <v>997</v>
      </c>
      <c r="G924" s="2">
        <v>87.8</v>
      </c>
      <c r="H924" s="2">
        <v>5</v>
      </c>
      <c r="I924" s="3">
        <v>32.93</v>
      </c>
    </row>
    <row r="925" spans="1:9" x14ac:dyDescent="0.3">
      <c r="A925" s="4">
        <v>42098</v>
      </c>
      <c r="B925" s="5" t="s">
        <v>707</v>
      </c>
      <c r="C925" s="5" t="s">
        <v>80</v>
      </c>
      <c r="D925" s="5" t="s">
        <v>2</v>
      </c>
      <c r="E925" s="5" t="s">
        <v>15</v>
      </c>
      <c r="F925" s="5" t="s">
        <v>338</v>
      </c>
      <c r="G925" s="5">
        <v>11.16</v>
      </c>
      <c r="H925" s="5">
        <v>2</v>
      </c>
      <c r="I925" s="6">
        <v>4.3499999999999996</v>
      </c>
    </row>
    <row r="926" spans="1:9" x14ac:dyDescent="0.3">
      <c r="A926" s="1">
        <v>42098</v>
      </c>
      <c r="B926" s="2" t="s">
        <v>707</v>
      </c>
      <c r="C926" s="2" t="s">
        <v>80</v>
      </c>
      <c r="D926" s="2" t="s">
        <v>25</v>
      </c>
      <c r="E926" s="2" t="s">
        <v>38</v>
      </c>
      <c r="F926" s="2" t="s">
        <v>1131</v>
      </c>
      <c r="G926" s="2">
        <v>108.4</v>
      </c>
      <c r="H926" s="2">
        <v>2</v>
      </c>
      <c r="I926" s="3">
        <v>22.76</v>
      </c>
    </row>
    <row r="927" spans="1:9" x14ac:dyDescent="0.3">
      <c r="A927" s="4">
        <v>42098</v>
      </c>
      <c r="B927" s="5" t="s">
        <v>707</v>
      </c>
      <c r="C927" s="5" t="s">
        <v>80</v>
      </c>
      <c r="D927" s="5" t="s">
        <v>2</v>
      </c>
      <c r="E927" s="5" t="s">
        <v>11</v>
      </c>
      <c r="F927" s="5" t="s">
        <v>1132</v>
      </c>
      <c r="G927" s="5">
        <v>82.34</v>
      </c>
      <c r="H927" s="5">
        <v>3</v>
      </c>
      <c r="I927" s="6">
        <v>27.79</v>
      </c>
    </row>
    <row r="928" spans="1:9" x14ac:dyDescent="0.3">
      <c r="A928" s="1">
        <v>42098</v>
      </c>
      <c r="B928" s="2" t="s">
        <v>707</v>
      </c>
      <c r="C928" s="2" t="s">
        <v>80</v>
      </c>
      <c r="D928" s="2" t="s">
        <v>2</v>
      </c>
      <c r="E928" s="2" t="s">
        <v>11</v>
      </c>
      <c r="F928" s="2" t="s">
        <v>1095</v>
      </c>
      <c r="G928" s="2">
        <v>9.09</v>
      </c>
      <c r="H928" s="2">
        <v>4</v>
      </c>
      <c r="I928" s="3">
        <v>3.29</v>
      </c>
    </row>
    <row r="929" spans="1:9" x14ac:dyDescent="0.3">
      <c r="A929" s="4">
        <v>42098</v>
      </c>
      <c r="B929" s="5" t="s">
        <v>302</v>
      </c>
      <c r="C929" s="5" t="s">
        <v>160</v>
      </c>
      <c r="D929" s="5" t="s">
        <v>2</v>
      </c>
      <c r="E929" s="5" t="s">
        <v>133</v>
      </c>
      <c r="F929" s="5" t="s">
        <v>1133</v>
      </c>
      <c r="G929" s="5">
        <v>644.08000000000004</v>
      </c>
      <c r="H929" s="5">
        <v>2</v>
      </c>
      <c r="I929" s="6">
        <v>107.35</v>
      </c>
    </row>
    <row r="930" spans="1:9" x14ac:dyDescent="0.3">
      <c r="A930" s="1">
        <v>42098</v>
      </c>
      <c r="B930" s="2" t="s">
        <v>302</v>
      </c>
      <c r="C930" s="2" t="s">
        <v>160</v>
      </c>
      <c r="D930" s="2" t="s">
        <v>2</v>
      </c>
      <c r="E930" s="2" t="s">
        <v>34</v>
      </c>
      <c r="F930" s="2" t="s">
        <v>56</v>
      </c>
      <c r="G930" s="2">
        <v>5.84</v>
      </c>
      <c r="H930" s="2">
        <v>2</v>
      </c>
      <c r="I930" s="3">
        <v>2.63</v>
      </c>
    </row>
    <row r="931" spans="1:9" x14ac:dyDescent="0.3">
      <c r="A931" s="4">
        <v>42098</v>
      </c>
      <c r="B931" s="5" t="s">
        <v>302</v>
      </c>
      <c r="C931" s="5" t="s">
        <v>160</v>
      </c>
      <c r="D931" s="5" t="s">
        <v>2</v>
      </c>
      <c r="E931" s="5" t="s">
        <v>11</v>
      </c>
      <c r="F931" s="5" t="s">
        <v>1134</v>
      </c>
      <c r="G931" s="5">
        <v>12.76</v>
      </c>
      <c r="H931" s="5">
        <v>2</v>
      </c>
      <c r="I931" s="6">
        <v>5.87</v>
      </c>
    </row>
    <row r="932" spans="1:9" x14ac:dyDescent="0.3">
      <c r="A932" s="1">
        <v>42098</v>
      </c>
      <c r="B932" s="2" t="s">
        <v>302</v>
      </c>
      <c r="C932" s="2" t="s">
        <v>160</v>
      </c>
      <c r="D932" s="2" t="s">
        <v>30</v>
      </c>
      <c r="E932" s="2" t="s">
        <v>31</v>
      </c>
      <c r="F932" s="2" t="s">
        <v>985</v>
      </c>
      <c r="G932" s="2">
        <v>10.95</v>
      </c>
      <c r="H932" s="2">
        <v>1</v>
      </c>
      <c r="I932" s="3">
        <v>0.44</v>
      </c>
    </row>
    <row r="933" spans="1:9" x14ac:dyDescent="0.3">
      <c r="A933" s="4">
        <v>42098</v>
      </c>
      <c r="B933" s="5" t="s">
        <v>302</v>
      </c>
      <c r="C933" s="5" t="s">
        <v>160</v>
      </c>
      <c r="D933" s="5" t="s">
        <v>30</v>
      </c>
      <c r="E933" s="5" t="s">
        <v>290</v>
      </c>
      <c r="F933" s="5" t="s">
        <v>291</v>
      </c>
      <c r="G933" s="5">
        <v>599.98</v>
      </c>
      <c r="H933" s="5">
        <v>2</v>
      </c>
      <c r="I933" s="6">
        <v>209.99</v>
      </c>
    </row>
    <row r="934" spans="1:9" x14ac:dyDescent="0.3">
      <c r="A934" s="1">
        <v>42128</v>
      </c>
      <c r="B934" s="2" t="s">
        <v>1135</v>
      </c>
      <c r="C934" s="2" t="s">
        <v>411</v>
      </c>
      <c r="D934" s="2" t="s">
        <v>2</v>
      </c>
      <c r="E934" s="2" t="s">
        <v>11</v>
      </c>
      <c r="F934" s="2" t="s">
        <v>1021</v>
      </c>
      <c r="G934" s="2">
        <v>157.79</v>
      </c>
      <c r="H934" s="2">
        <v>1</v>
      </c>
      <c r="I934" s="3">
        <v>-115.72</v>
      </c>
    </row>
    <row r="935" spans="1:9" x14ac:dyDescent="0.3">
      <c r="A935" s="4">
        <v>42128</v>
      </c>
      <c r="B935" s="5" t="s">
        <v>402</v>
      </c>
      <c r="C935" s="5" t="s">
        <v>14</v>
      </c>
      <c r="D935" s="5" t="s">
        <v>2</v>
      </c>
      <c r="E935" s="5" t="s">
        <v>133</v>
      </c>
      <c r="F935" s="5" t="s">
        <v>984</v>
      </c>
      <c r="G935" s="5">
        <v>98.11</v>
      </c>
      <c r="H935" s="5">
        <v>7</v>
      </c>
      <c r="I935" s="6">
        <v>18.399999999999999</v>
      </c>
    </row>
    <row r="936" spans="1:9" x14ac:dyDescent="0.3">
      <c r="A936" s="1">
        <v>42128</v>
      </c>
      <c r="B936" s="2" t="s">
        <v>402</v>
      </c>
      <c r="C936" s="2" t="s">
        <v>14</v>
      </c>
      <c r="D936" s="2" t="s">
        <v>2</v>
      </c>
      <c r="E936" s="2" t="s">
        <v>9</v>
      </c>
      <c r="F936" s="2" t="s">
        <v>787</v>
      </c>
      <c r="G936" s="2">
        <v>563.80999999999995</v>
      </c>
      <c r="H936" s="2">
        <v>4</v>
      </c>
      <c r="I936" s="3">
        <v>21.14</v>
      </c>
    </row>
    <row r="937" spans="1:9" x14ac:dyDescent="0.3">
      <c r="A937" s="4">
        <v>42128</v>
      </c>
      <c r="B937" s="5" t="s">
        <v>402</v>
      </c>
      <c r="C937" s="5" t="s">
        <v>14</v>
      </c>
      <c r="D937" s="5" t="s">
        <v>2</v>
      </c>
      <c r="E937" s="5" t="s">
        <v>11</v>
      </c>
      <c r="F937" s="5" t="s">
        <v>1136</v>
      </c>
      <c r="G937" s="5">
        <v>10.43</v>
      </c>
      <c r="H937" s="5">
        <v>4</v>
      </c>
      <c r="I937" s="6">
        <v>-6.95</v>
      </c>
    </row>
    <row r="938" spans="1:9" x14ac:dyDescent="0.3">
      <c r="A938" s="1">
        <v>42128</v>
      </c>
      <c r="B938" s="2" t="s">
        <v>402</v>
      </c>
      <c r="C938" s="2" t="s">
        <v>14</v>
      </c>
      <c r="D938" s="2" t="s">
        <v>25</v>
      </c>
      <c r="E938" s="2" t="s">
        <v>38</v>
      </c>
      <c r="F938" s="2" t="s">
        <v>840</v>
      </c>
      <c r="G938" s="2">
        <v>547.14</v>
      </c>
      <c r="H938" s="2">
        <v>4</v>
      </c>
      <c r="I938" s="3">
        <v>-68.39</v>
      </c>
    </row>
    <row r="939" spans="1:9" x14ac:dyDescent="0.3">
      <c r="A939" s="4">
        <v>42128</v>
      </c>
      <c r="B939" s="5" t="s">
        <v>402</v>
      </c>
      <c r="C939" s="5" t="s">
        <v>14</v>
      </c>
      <c r="D939" s="5" t="s">
        <v>30</v>
      </c>
      <c r="E939" s="5" t="s">
        <v>31</v>
      </c>
      <c r="F939" s="5" t="s">
        <v>1137</v>
      </c>
      <c r="G939" s="5">
        <v>14.85</v>
      </c>
      <c r="H939" s="5">
        <v>5</v>
      </c>
      <c r="I939" s="6">
        <v>-3.22</v>
      </c>
    </row>
    <row r="940" spans="1:9" x14ac:dyDescent="0.3">
      <c r="A940" s="1">
        <v>42128</v>
      </c>
      <c r="B940" s="2" t="s">
        <v>402</v>
      </c>
      <c r="C940" s="2" t="s">
        <v>14</v>
      </c>
      <c r="D940" s="2" t="s">
        <v>30</v>
      </c>
      <c r="E940" s="2" t="s">
        <v>31</v>
      </c>
      <c r="F940" s="2" t="s">
        <v>1029</v>
      </c>
      <c r="G940" s="2">
        <v>41.99</v>
      </c>
      <c r="H940" s="2">
        <v>2</v>
      </c>
      <c r="I940" s="3">
        <v>-9.8000000000000007</v>
      </c>
    </row>
    <row r="941" spans="1:9" x14ac:dyDescent="0.3">
      <c r="A941" s="4">
        <v>42128</v>
      </c>
      <c r="B941" s="5" t="s">
        <v>402</v>
      </c>
      <c r="C941" s="5" t="s">
        <v>14</v>
      </c>
      <c r="D941" s="5" t="s">
        <v>25</v>
      </c>
      <c r="E941" s="5" t="s">
        <v>38</v>
      </c>
      <c r="F941" s="5" t="s">
        <v>1138</v>
      </c>
      <c r="G941" s="5">
        <v>7.58</v>
      </c>
      <c r="H941" s="5">
        <v>1</v>
      </c>
      <c r="I941" s="6">
        <v>2.37</v>
      </c>
    </row>
    <row r="942" spans="1:9" x14ac:dyDescent="0.3">
      <c r="A942" s="1">
        <v>42128</v>
      </c>
      <c r="B942" s="2" t="s">
        <v>402</v>
      </c>
      <c r="C942" s="2" t="s">
        <v>14</v>
      </c>
      <c r="D942" s="2" t="s">
        <v>25</v>
      </c>
      <c r="E942" s="2" t="s">
        <v>129</v>
      </c>
      <c r="F942" s="2" t="s">
        <v>481</v>
      </c>
      <c r="G942" s="2">
        <v>352.45</v>
      </c>
      <c r="H942" s="2">
        <v>5</v>
      </c>
      <c r="I942" s="3">
        <v>-211.47</v>
      </c>
    </row>
    <row r="943" spans="1:9" x14ac:dyDescent="0.3">
      <c r="A943" s="4">
        <v>42128</v>
      </c>
      <c r="B943" s="5" t="s">
        <v>678</v>
      </c>
      <c r="C943" s="5" t="s">
        <v>14</v>
      </c>
      <c r="D943" s="5" t="s">
        <v>2</v>
      </c>
      <c r="E943" s="5" t="s">
        <v>7</v>
      </c>
      <c r="F943" s="5" t="s">
        <v>820</v>
      </c>
      <c r="G943" s="5">
        <v>23.9</v>
      </c>
      <c r="H943" s="5">
        <v>6</v>
      </c>
      <c r="I943" s="6">
        <v>7.77</v>
      </c>
    </row>
    <row r="944" spans="1:9" x14ac:dyDescent="0.3">
      <c r="A944" s="1">
        <v>42128</v>
      </c>
      <c r="B944" s="2" t="s">
        <v>1139</v>
      </c>
      <c r="C944" s="2" t="s">
        <v>18</v>
      </c>
      <c r="D944" s="2" t="s">
        <v>25</v>
      </c>
      <c r="E944" s="2" t="s">
        <v>26</v>
      </c>
      <c r="F944" s="2" t="s">
        <v>715</v>
      </c>
      <c r="G944" s="2">
        <v>892.22</v>
      </c>
      <c r="H944" s="2">
        <v>3</v>
      </c>
      <c r="I944" s="3">
        <v>89.22</v>
      </c>
    </row>
    <row r="945" spans="1:9" x14ac:dyDescent="0.3">
      <c r="A945" s="4">
        <v>42128</v>
      </c>
      <c r="B945" s="5" t="s">
        <v>1140</v>
      </c>
      <c r="C945" s="5" t="s">
        <v>62</v>
      </c>
      <c r="D945" s="5" t="s">
        <v>30</v>
      </c>
      <c r="E945" s="5" t="s">
        <v>43</v>
      </c>
      <c r="F945" s="5" t="s">
        <v>568</v>
      </c>
      <c r="G945" s="5">
        <v>239.94</v>
      </c>
      <c r="H945" s="5">
        <v>6</v>
      </c>
      <c r="I945" s="6">
        <v>26.39</v>
      </c>
    </row>
    <row r="946" spans="1:9" x14ac:dyDescent="0.3">
      <c r="A946" s="1">
        <v>42128</v>
      </c>
      <c r="B946" s="2" t="s">
        <v>1140</v>
      </c>
      <c r="C946" s="2" t="s">
        <v>62</v>
      </c>
      <c r="D946" s="2" t="s">
        <v>2</v>
      </c>
      <c r="E946" s="2" t="s">
        <v>15</v>
      </c>
      <c r="F946" s="2" t="s">
        <v>1141</v>
      </c>
      <c r="G946" s="2">
        <v>23.84</v>
      </c>
      <c r="H946" s="2">
        <v>8</v>
      </c>
      <c r="I946" s="3">
        <v>6.44</v>
      </c>
    </row>
    <row r="947" spans="1:9" x14ac:dyDescent="0.3">
      <c r="A947" s="4">
        <v>42159</v>
      </c>
      <c r="B947" s="5" t="s">
        <v>1142</v>
      </c>
      <c r="C947" s="5" t="s">
        <v>1</v>
      </c>
      <c r="D947" s="5" t="s">
        <v>2</v>
      </c>
      <c r="E947" s="5" t="s">
        <v>15</v>
      </c>
      <c r="F947" s="5" t="s">
        <v>42</v>
      </c>
      <c r="G947" s="5">
        <v>42.05</v>
      </c>
      <c r="H947" s="5">
        <v>9</v>
      </c>
      <c r="I947" s="6">
        <v>5.26</v>
      </c>
    </row>
    <row r="948" spans="1:9" x14ac:dyDescent="0.3">
      <c r="A948" s="1">
        <v>42159</v>
      </c>
      <c r="B948" s="2" t="s">
        <v>1142</v>
      </c>
      <c r="C948" s="2" t="s">
        <v>1</v>
      </c>
      <c r="D948" s="2" t="s">
        <v>30</v>
      </c>
      <c r="E948" s="2" t="s">
        <v>43</v>
      </c>
      <c r="F948" s="2" t="s">
        <v>864</v>
      </c>
      <c r="G948" s="2">
        <v>25.49</v>
      </c>
      <c r="H948" s="2">
        <v>2</v>
      </c>
      <c r="I948" s="3">
        <v>4.46</v>
      </c>
    </row>
    <row r="949" spans="1:9" x14ac:dyDescent="0.3">
      <c r="A949" s="4">
        <v>42159</v>
      </c>
      <c r="B949" s="5" t="s">
        <v>1142</v>
      </c>
      <c r="C949" s="5" t="s">
        <v>1</v>
      </c>
      <c r="D949" s="5" t="s">
        <v>2</v>
      </c>
      <c r="E949" s="5" t="s">
        <v>11</v>
      </c>
      <c r="F949" s="5" t="s">
        <v>986</v>
      </c>
      <c r="G949" s="5">
        <v>6.9</v>
      </c>
      <c r="H949" s="5">
        <v>3</v>
      </c>
      <c r="I949" s="6">
        <v>-12.08</v>
      </c>
    </row>
    <row r="950" spans="1:9" x14ac:dyDescent="0.3">
      <c r="A950" s="1">
        <v>42159</v>
      </c>
      <c r="B950" s="2" t="s">
        <v>1142</v>
      </c>
      <c r="C950" s="2" t="s">
        <v>1</v>
      </c>
      <c r="D950" s="2" t="s">
        <v>2</v>
      </c>
      <c r="E950" s="2" t="s">
        <v>11</v>
      </c>
      <c r="F950" s="2" t="s">
        <v>220</v>
      </c>
      <c r="G950" s="2">
        <v>9.65</v>
      </c>
      <c r="H950" s="2">
        <v>6</v>
      </c>
      <c r="I950" s="3">
        <v>-16.88</v>
      </c>
    </row>
    <row r="951" spans="1:9" x14ac:dyDescent="0.3">
      <c r="A951" s="4">
        <v>42159</v>
      </c>
      <c r="B951" s="5" t="s">
        <v>1142</v>
      </c>
      <c r="C951" s="5" t="s">
        <v>1</v>
      </c>
      <c r="D951" s="5" t="s">
        <v>2</v>
      </c>
      <c r="E951" s="5" t="s">
        <v>3</v>
      </c>
      <c r="F951" s="5" t="s">
        <v>505</v>
      </c>
      <c r="G951" s="5">
        <v>7.97</v>
      </c>
      <c r="H951" s="5">
        <v>2</v>
      </c>
      <c r="I951" s="6">
        <v>2.89</v>
      </c>
    </row>
    <row r="952" spans="1:9" x14ac:dyDescent="0.3">
      <c r="A952" s="1">
        <v>42159</v>
      </c>
      <c r="B952" s="2" t="s">
        <v>492</v>
      </c>
      <c r="C952" s="2" t="s">
        <v>121</v>
      </c>
      <c r="D952" s="2" t="s">
        <v>2</v>
      </c>
      <c r="E952" s="2" t="s">
        <v>3</v>
      </c>
      <c r="F952" s="2" t="s">
        <v>527</v>
      </c>
      <c r="G952" s="2">
        <v>47.95</v>
      </c>
      <c r="H952" s="2">
        <v>3</v>
      </c>
      <c r="I952" s="3">
        <v>16.18</v>
      </c>
    </row>
    <row r="953" spans="1:9" x14ac:dyDescent="0.3">
      <c r="A953" s="4">
        <v>42189</v>
      </c>
      <c r="B953" s="5" t="s">
        <v>307</v>
      </c>
      <c r="C953" s="5" t="s">
        <v>1</v>
      </c>
      <c r="D953" s="5" t="s">
        <v>2</v>
      </c>
      <c r="E953" s="5" t="s">
        <v>133</v>
      </c>
      <c r="F953" s="5" t="s">
        <v>1143</v>
      </c>
      <c r="G953" s="5">
        <v>463.25</v>
      </c>
      <c r="H953" s="5">
        <v>8</v>
      </c>
      <c r="I953" s="6">
        <v>-1181.28</v>
      </c>
    </row>
    <row r="954" spans="1:9" x14ac:dyDescent="0.3">
      <c r="A954" s="1">
        <v>42189</v>
      </c>
      <c r="B954" s="2" t="s">
        <v>307</v>
      </c>
      <c r="C954" s="2" t="s">
        <v>1</v>
      </c>
      <c r="D954" s="2" t="s">
        <v>30</v>
      </c>
      <c r="E954" s="2" t="s">
        <v>43</v>
      </c>
      <c r="F954" s="2" t="s">
        <v>1144</v>
      </c>
      <c r="G954" s="2">
        <v>383.95</v>
      </c>
      <c r="H954" s="2">
        <v>6</v>
      </c>
      <c r="I954" s="3">
        <v>47.99</v>
      </c>
    </row>
    <row r="955" spans="1:9" x14ac:dyDescent="0.3">
      <c r="A955" s="4">
        <v>42189</v>
      </c>
      <c r="B955" s="5" t="s">
        <v>1145</v>
      </c>
      <c r="C955" s="5" t="s">
        <v>14</v>
      </c>
      <c r="D955" s="5" t="s">
        <v>2</v>
      </c>
      <c r="E955" s="5" t="s">
        <v>15</v>
      </c>
      <c r="F955" s="5" t="s">
        <v>1146</v>
      </c>
      <c r="G955" s="5">
        <v>11.74</v>
      </c>
      <c r="H955" s="5">
        <v>3</v>
      </c>
      <c r="I955" s="6">
        <v>1.03</v>
      </c>
    </row>
    <row r="956" spans="1:9" x14ac:dyDescent="0.3">
      <c r="A956" s="1">
        <v>42189</v>
      </c>
      <c r="B956" s="2" t="s">
        <v>834</v>
      </c>
      <c r="C956" s="2" t="s">
        <v>80</v>
      </c>
      <c r="D956" s="2" t="s">
        <v>2</v>
      </c>
      <c r="E956" s="2" t="s">
        <v>3</v>
      </c>
      <c r="F956" s="2" t="s">
        <v>1147</v>
      </c>
      <c r="G956" s="2">
        <v>25.92</v>
      </c>
      <c r="H956" s="2">
        <v>4</v>
      </c>
      <c r="I956" s="3">
        <v>12.44</v>
      </c>
    </row>
    <row r="957" spans="1:9" x14ac:dyDescent="0.3">
      <c r="A957" s="4">
        <v>42189</v>
      </c>
      <c r="B957" s="5" t="s">
        <v>834</v>
      </c>
      <c r="C957" s="5" t="s">
        <v>80</v>
      </c>
      <c r="D957" s="5" t="s">
        <v>2</v>
      </c>
      <c r="E957" s="5" t="s">
        <v>9</v>
      </c>
      <c r="F957" s="5" t="s">
        <v>878</v>
      </c>
      <c r="G957" s="5">
        <v>22.58</v>
      </c>
      <c r="H957" s="5">
        <v>2</v>
      </c>
      <c r="I957" s="6">
        <v>5.87</v>
      </c>
    </row>
    <row r="958" spans="1:9" x14ac:dyDescent="0.3">
      <c r="A958" s="1">
        <v>42251</v>
      </c>
      <c r="B958" s="2" t="s">
        <v>263</v>
      </c>
      <c r="C958" s="2" t="s">
        <v>18</v>
      </c>
      <c r="D958" s="2" t="s">
        <v>25</v>
      </c>
      <c r="E958" s="2" t="s">
        <v>86</v>
      </c>
      <c r="F958" s="2" t="s">
        <v>1148</v>
      </c>
      <c r="G958" s="2">
        <v>369.91</v>
      </c>
      <c r="H958" s="2">
        <v>3</v>
      </c>
      <c r="I958" s="3">
        <v>-13.87</v>
      </c>
    </row>
    <row r="959" spans="1:9" x14ac:dyDescent="0.3">
      <c r="A959" s="4">
        <v>42251</v>
      </c>
      <c r="B959" s="5" t="s">
        <v>1149</v>
      </c>
      <c r="C959" s="5" t="s">
        <v>80</v>
      </c>
      <c r="D959" s="5" t="s">
        <v>2</v>
      </c>
      <c r="E959" s="5" t="s">
        <v>9</v>
      </c>
      <c r="F959" s="5" t="s">
        <v>478</v>
      </c>
      <c r="G959" s="5">
        <v>17.940000000000001</v>
      </c>
      <c r="H959" s="5">
        <v>3</v>
      </c>
      <c r="I959" s="6">
        <v>3.05</v>
      </c>
    </row>
    <row r="960" spans="1:9" x14ac:dyDescent="0.3">
      <c r="A960" s="1">
        <v>42251</v>
      </c>
      <c r="B960" s="2" t="s">
        <v>1150</v>
      </c>
      <c r="C960" s="2" t="s">
        <v>300</v>
      </c>
      <c r="D960" s="2" t="s">
        <v>2</v>
      </c>
      <c r="E960" s="2" t="s">
        <v>133</v>
      </c>
      <c r="F960" s="2" t="s">
        <v>1151</v>
      </c>
      <c r="G960" s="2">
        <v>370.14</v>
      </c>
      <c r="H960" s="2">
        <v>3</v>
      </c>
      <c r="I960" s="3">
        <v>144.35</v>
      </c>
    </row>
    <row r="961" spans="1:9" x14ac:dyDescent="0.3">
      <c r="A961" s="4">
        <v>42281</v>
      </c>
      <c r="B961" s="5" t="s">
        <v>1005</v>
      </c>
      <c r="C961" s="5" t="s">
        <v>18</v>
      </c>
      <c r="D961" s="5" t="s">
        <v>2</v>
      </c>
      <c r="E961" s="5" t="s">
        <v>11</v>
      </c>
      <c r="F961" s="5" t="s">
        <v>1152</v>
      </c>
      <c r="G961" s="5">
        <v>12.83</v>
      </c>
      <c r="H961" s="5">
        <v>2</v>
      </c>
      <c r="I961" s="6">
        <v>4.33</v>
      </c>
    </row>
    <row r="962" spans="1:9" x14ac:dyDescent="0.3">
      <c r="A962" s="1">
        <v>42281</v>
      </c>
      <c r="B962" s="2" t="s">
        <v>1153</v>
      </c>
      <c r="C962" s="2" t="s">
        <v>80</v>
      </c>
      <c r="D962" s="2" t="s">
        <v>2</v>
      </c>
      <c r="E962" s="2" t="s">
        <v>9</v>
      </c>
      <c r="F962" s="2" t="s">
        <v>1154</v>
      </c>
      <c r="G962" s="2">
        <v>142.04</v>
      </c>
      <c r="H962" s="2">
        <v>4</v>
      </c>
      <c r="I962" s="3">
        <v>38.35</v>
      </c>
    </row>
    <row r="963" spans="1:9" x14ac:dyDescent="0.3">
      <c r="A963" s="4">
        <v>42281</v>
      </c>
      <c r="B963" s="5" t="s">
        <v>1153</v>
      </c>
      <c r="C963" s="5" t="s">
        <v>80</v>
      </c>
      <c r="D963" s="5" t="s">
        <v>2</v>
      </c>
      <c r="E963" s="5" t="s">
        <v>15</v>
      </c>
      <c r="F963" s="5" t="s">
        <v>1155</v>
      </c>
      <c r="G963" s="5">
        <v>14.67</v>
      </c>
      <c r="H963" s="5">
        <v>3</v>
      </c>
      <c r="I963" s="6">
        <v>6.01</v>
      </c>
    </row>
    <row r="964" spans="1:9" x14ac:dyDescent="0.3">
      <c r="A964" s="1">
        <v>42312</v>
      </c>
      <c r="B964" s="2" t="s">
        <v>267</v>
      </c>
      <c r="C964" s="2" t="s">
        <v>80</v>
      </c>
      <c r="D964" s="2" t="s">
        <v>30</v>
      </c>
      <c r="E964" s="2" t="s">
        <v>43</v>
      </c>
      <c r="F964" s="2" t="s">
        <v>540</v>
      </c>
      <c r="G964" s="2">
        <v>85.14</v>
      </c>
      <c r="H964" s="2">
        <v>3</v>
      </c>
      <c r="I964" s="3">
        <v>34.909999999999997</v>
      </c>
    </row>
    <row r="965" spans="1:9" x14ac:dyDescent="0.3">
      <c r="A965" s="4">
        <v>42312</v>
      </c>
      <c r="B965" s="5" t="s">
        <v>267</v>
      </c>
      <c r="C965" s="5" t="s">
        <v>80</v>
      </c>
      <c r="D965" s="5" t="s">
        <v>30</v>
      </c>
      <c r="E965" s="5" t="s">
        <v>31</v>
      </c>
      <c r="F965" s="5" t="s">
        <v>1156</v>
      </c>
      <c r="G965" s="5">
        <v>21.99</v>
      </c>
      <c r="H965" s="5">
        <v>1</v>
      </c>
      <c r="I965" s="6">
        <v>10.56</v>
      </c>
    </row>
    <row r="966" spans="1:9" x14ac:dyDescent="0.3">
      <c r="A966" s="1">
        <v>42312</v>
      </c>
      <c r="B966" s="2" t="s">
        <v>267</v>
      </c>
      <c r="C966" s="2" t="s">
        <v>80</v>
      </c>
      <c r="D966" s="2" t="s">
        <v>2</v>
      </c>
      <c r="E966" s="2" t="s">
        <v>133</v>
      </c>
      <c r="F966" s="2" t="s">
        <v>1157</v>
      </c>
      <c r="G966" s="2">
        <v>406.6</v>
      </c>
      <c r="H966" s="2">
        <v>5</v>
      </c>
      <c r="I966" s="3">
        <v>113.85</v>
      </c>
    </row>
    <row r="967" spans="1:9" x14ac:dyDescent="0.3">
      <c r="A967" s="4">
        <v>42312</v>
      </c>
      <c r="B967" s="5" t="s">
        <v>634</v>
      </c>
      <c r="C967" s="5" t="s">
        <v>58</v>
      </c>
      <c r="D967" s="5" t="s">
        <v>25</v>
      </c>
      <c r="E967" s="5" t="s">
        <v>38</v>
      </c>
      <c r="F967" s="5" t="s">
        <v>1158</v>
      </c>
      <c r="G967" s="5">
        <v>67.36</v>
      </c>
      <c r="H967" s="5">
        <v>2</v>
      </c>
      <c r="I967" s="6">
        <v>10.1</v>
      </c>
    </row>
    <row r="968" spans="1:9" x14ac:dyDescent="0.3">
      <c r="A968" s="1">
        <v>42312</v>
      </c>
      <c r="B968" s="2" t="s">
        <v>634</v>
      </c>
      <c r="C968" s="2" t="s">
        <v>58</v>
      </c>
      <c r="D968" s="2" t="s">
        <v>25</v>
      </c>
      <c r="E968" s="2" t="s">
        <v>38</v>
      </c>
      <c r="F968" s="2" t="s">
        <v>1159</v>
      </c>
      <c r="G968" s="2">
        <v>54.53</v>
      </c>
      <c r="H968" s="2">
        <v>3</v>
      </c>
      <c r="I968" s="3">
        <v>14.31</v>
      </c>
    </row>
    <row r="969" spans="1:9" x14ac:dyDescent="0.3">
      <c r="A969" s="4">
        <v>42312</v>
      </c>
      <c r="B969" s="5" t="s">
        <v>1160</v>
      </c>
      <c r="C969" s="5" t="s">
        <v>18</v>
      </c>
      <c r="D969" s="5" t="s">
        <v>30</v>
      </c>
      <c r="E969" s="5" t="s">
        <v>290</v>
      </c>
      <c r="F969" s="5" t="s">
        <v>1161</v>
      </c>
      <c r="G969" s="5">
        <v>639.97</v>
      </c>
      <c r="H969" s="5">
        <v>4</v>
      </c>
      <c r="I969" s="6">
        <v>215.99</v>
      </c>
    </row>
    <row r="970" spans="1:9" x14ac:dyDescent="0.3">
      <c r="A970" s="1">
        <v>42312</v>
      </c>
      <c r="B970" s="2" t="s">
        <v>1160</v>
      </c>
      <c r="C970" s="2" t="s">
        <v>18</v>
      </c>
      <c r="D970" s="2" t="s">
        <v>2</v>
      </c>
      <c r="E970" s="2" t="s">
        <v>3</v>
      </c>
      <c r="F970" s="2" t="s">
        <v>315</v>
      </c>
      <c r="G970" s="2">
        <v>52.76</v>
      </c>
      <c r="H970" s="2">
        <v>2</v>
      </c>
      <c r="I970" s="3">
        <v>24.27</v>
      </c>
    </row>
    <row r="971" spans="1:9" x14ac:dyDescent="0.3">
      <c r="A971" s="4">
        <v>42342</v>
      </c>
      <c r="B971" s="5" t="s">
        <v>1162</v>
      </c>
      <c r="C971" s="5" t="s">
        <v>62</v>
      </c>
      <c r="D971" s="5" t="s">
        <v>2</v>
      </c>
      <c r="E971" s="5" t="s">
        <v>9</v>
      </c>
      <c r="F971" s="5" t="s">
        <v>1163</v>
      </c>
      <c r="G971" s="5">
        <v>40.74</v>
      </c>
      <c r="H971" s="5">
        <v>3</v>
      </c>
      <c r="I971" s="6">
        <v>0.41</v>
      </c>
    </row>
    <row r="972" spans="1:9" x14ac:dyDescent="0.3">
      <c r="A972" s="1">
        <v>42009</v>
      </c>
      <c r="B972" s="2" t="s">
        <v>1164</v>
      </c>
      <c r="C972" s="2" t="s">
        <v>18</v>
      </c>
      <c r="D972" s="2" t="s">
        <v>30</v>
      </c>
      <c r="E972" s="2" t="s">
        <v>31</v>
      </c>
      <c r="F972" s="2" t="s">
        <v>1165</v>
      </c>
      <c r="G972" s="2">
        <v>88.75</v>
      </c>
      <c r="H972" s="2">
        <v>3</v>
      </c>
      <c r="I972" s="3">
        <v>11.09</v>
      </c>
    </row>
    <row r="973" spans="1:9" x14ac:dyDescent="0.3">
      <c r="A973" s="4">
        <v>42009</v>
      </c>
      <c r="B973" s="5" t="s">
        <v>1166</v>
      </c>
      <c r="C973" s="5" t="s">
        <v>58</v>
      </c>
      <c r="D973" s="5" t="s">
        <v>25</v>
      </c>
      <c r="E973" s="5" t="s">
        <v>38</v>
      </c>
      <c r="F973" s="5" t="s">
        <v>108</v>
      </c>
      <c r="G973" s="5">
        <v>63.55</v>
      </c>
      <c r="H973" s="5">
        <v>3</v>
      </c>
      <c r="I973" s="6">
        <v>14.3</v>
      </c>
    </row>
    <row r="974" spans="1:9" x14ac:dyDescent="0.3">
      <c r="A974" s="1">
        <v>42009</v>
      </c>
      <c r="B974" s="2" t="s">
        <v>1166</v>
      </c>
      <c r="C974" s="2" t="s">
        <v>58</v>
      </c>
      <c r="D974" s="2" t="s">
        <v>2</v>
      </c>
      <c r="E974" s="2" t="s">
        <v>144</v>
      </c>
      <c r="F974" s="2" t="s">
        <v>1167</v>
      </c>
      <c r="G974" s="2">
        <v>41.38</v>
      </c>
      <c r="H974" s="2">
        <v>3</v>
      </c>
      <c r="I974" s="3">
        <v>4.6500000000000004</v>
      </c>
    </row>
    <row r="975" spans="1:9" x14ac:dyDescent="0.3">
      <c r="A975" s="4">
        <v>42009</v>
      </c>
      <c r="B975" s="5" t="s">
        <v>1166</v>
      </c>
      <c r="C975" s="5" t="s">
        <v>58</v>
      </c>
      <c r="D975" s="5" t="s">
        <v>2</v>
      </c>
      <c r="E975" s="5" t="s">
        <v>15</v>
      </c>
      <c r="F975" s="5" t="s">
        <v>1168</v>
      </c>
      <c r="G975" s="5">
        <v>172.7</v>
      </c>
      <c r="H975" s="5">
        <v>6</v>
      </c>
      <c r="I975" s="6">
        <v>10.79</v>
      </c>
    </row>
    <row r="976" spans="1:9" x14ac:dyDescent="0.3">
      <c r="A976" s="1">
        <v>42009</v>
      </c>
      <c r="B976" s="2" t="s">
        <v>822</v>
      </c>
      <c r="C976" s="2" t="s">
        <v>18</v>
      </c>
      <c r="D976" s="2" t="s">
        <v>2</v>
      </c>
      <c r="E976" s="2" t="s">
        <v>11</v>
      </c>
      <c r="F976" s="2" t="s">
        <v>1107</v>
      </c>
      <c r="G976" s="2">
        <v>12.18</v>
      </c>
      <c r="H976" s="2">
        <v>1</v>
      </c>
      <c r="I976" s="3">
        <v>4.41</v>
      </c>
    </row>
    <row r="977" spans="1:9" x14ac:dyDescent="0.3">
      <c r="A977" s="4">
        <v>42009</v>
      </c>
      <c r="B977" s="5" t="s">
        <v>822</v>
      </c>
      <c r="C977" s="5" t="s">
        <v>18</v>
      </c>
      <c r="D977" s="5" t="s">
        <v>2</v>
      </c>
      <c r="E977" s="5" t="s">
        <v>9</v>
      </c>
      <c r="F977" s="5" t="s">
        <v>274</v>
      </c>
      <c r="G977" s="5">
        <v>37.32</v>
      </c>
      <c r="H977" s="5">
        <v>3</v>
      </c>
      <c r="I977" s="6">
        <v>10.45</v>
      </c>
    </row>
    <row r="978" spans="1:9" x14ac:dyDescent="0.3">
      <c r="A978" s="1">
        <v>42009</v>
      </c>
      <c r="B978" s="2" t="s">
        <v>822</v>
      </c>
      <c r="C978" s="2" t="s">
        <v>18</v>
      </c>
      <c r="D978" s="2" t="s">
        <v>2</v>
      </c>
      <c r="E978" s="2" t="s">
        <v>144</v>
      </c>
      <c r="F978" s="2" t="s">
        <v>1169</v>
      </c>
      <c r="G978" s="2">
        <v>35.06</v>
      </c>
      <c r="H978" s="2">
        <v>2</v>
      </c>
      <c r="I978" s="3">
        <v>10.52</v>
      </c>
    </row>
    <row r="979" spans="1:9" x14ac:dyDescent="0.3">
      <c r="A979" s="4">
        <v>42040</v>
      </c>
      <c r="B979" s="5" t="s">
        <v>1170</v>
      </c>
      <c r="C979" s="5" t="s">
        <v>1</v>
      </c>
      <c r="D979" s="5" t="s">
        <v>2</v>
      </c>
      <c r="E979" s="5" t="s">
        <v>7</v>
      </c>
      <c r="F979" s="5" t="s">
        <v>606</v>
      </c>
      <c r="G979" s="5">
        <v>8.86</v>
      </c>
      <c r="H979" s="5">
        <v>3</v>
      </c>
      <c r="I979" s="6">
        <v>2.99</v>
      </c>
    </row>
    <row r="980" spans="1:9" x14ac:dyDescent="0.3">
      <c r="A980" s="1">
        <v>42040</v>
      </c>
      <c r="B980" s="2" t="s">
        <v>1170</v>
      </c>
      <c r="C980" s="2" t="s">
        <v>1</v>
      </c>
      <c r="D980" s="2" t="s">
        <v>30</v>
      </c>
      <c r="E980" s="2" t="s">
        <v>31</v>
      </c>
      <c r="F980" s="2" t="s">
        <v>831</v>
      </c>
      <c r="G980" s="2">
        <v>158.38</v>
      </c>
      <c r="H980" s="2">
        <v>3</v>
      </c>
      <c r="I980" s="3">
        <v>13.86</v>
      </c>
    </row>
    <row r="981" spans="1:9" x14ac:dyDescent="0.3">
      <c r="A981" s="4">
        <v>42068</v>
      </c>
      <c r="B981" s="5" t="s">
        <v>1171</v>
      </c>
      <c r="C981" s="5" t="s">
        <v>18</v>
      </c>
      <c r="D981" s="5" t="s">
        <v>25</v>
      </c>
      <c r="E981" s="5" t="s">
        <v>38</v>
      </c>
      <c r="F981" s="5" t="s">
        <v>94</v>
      </c>
      <c r="G981" s="5">
        <v>665.88</v>
      </c>
      <c r="H981" s="5">
        <v>6</v>
      </c>
      <c r="I981" s="6">
        <v>106.54</v>
      </c>
    </row>
    <row r="982" spans="1:9" x14ac:dyDescent="0.3">
      <c r="A982" s="1">
        <v>42068</v>
      </c>
      <c r="B982" s="2" t="s">
        <v>282</v>
      </c>
      <c r="C982" s="2" t="s">
        <v>14</v>
      </c>
      <c r="D982" s="2" t="s">
        <v>2</v>
      </c>
      <c r="E982" s="2" t="s">
        <v>15</v>
      </c>
      <c r="F982" s="2" t="s">
        <v>1172</v>
      </c>
      <c r="G982" s="2">
        <v>59.9</v>
      </c>
      <c r="H982" s="2">
        <v>2</v>
      </c>
      <c r="I982" s="3">
        <v>14.23</v>
      </c>
    </row>
    <row r="983" spans="1:9" x14ac:dyDescent="0.3">
      <c r="A983" s="4">
        <v>42068</v>
      </c>
      <c r="B983" s="5" t="s">
        <v>282</v>
      </c>
      <c r="C983" s="5" t="s">
        <v>14</v>
      </c>
      <c r="D983" s="5" t="s">
        <v>2</v>
      </c>
      <c r="E983" s="5" t="s">
        <v>133</v>
      </c>
      <c r="F983" s="5" t="s">
        <v>1173</v>
      </c>
      <c r="G983" s="5">
        <v>23.7</v>
      </c>
      <c r="H983" s="5">
        <v>2</v>
      </c>
      <c r="I983" s="6">
        <v>6.52</v>
      </c>
    </row>
    <row r="984" spans="1:9" x14ac:dyDescent="0.3">
      <c r="A984" s="1">
        <v>42068</v>
      </c>
      <c r="B984" s="2" t="s">
        <v>282</v>
      </c>
      <c r="C984" s="2" t="s">
        <v>14</v>
      </c>
      <c r="D984" s="2" t="s">
        <v>2</v>
      </c>
      <c r="E984" s="2" t="s">
        <v>3</v>
      </c>
      <c r="F984" s="2" t="s">
        <v>1174</v>
      </c>
      <c r="G984" s="2">
        <v>7.97</v>
      </c>
      <c r="H984" s="2">
        <v>2</v>
      </c>
      <c r="I984" s="3">
        <v>2.89</v>
      </c>
    </row>
    <row r="985" spans="1:9" x14ac:dyDescent="0.3">
      <c r="A985" s="4">
        <v>42068</v>
      </c>
      <c r="B985" s="5" t="s">
        <v>282</v>
      </c>
      <c r="C985" s="5" t="s">
        <v>14</v>
      </c>
      <c r="D985" s="5" t="s">
        <v>2</v>
      </c>
      <c r="E985" s="5" t="s">
        <v>133</v>
      </c>
      <c r="F985" s="5" t="s">
        <v>525</v>
      </c>
      <c r="G985" s="5">
        <v>18.2</v>
      </c>
      <c r="H985" s="5">
        <v>7</v>
      </c>
      <c r="I985" s="6">
        <v>2.0499999999999998</v>
      </c>
    </row>
    <row r="986" spans="1:9" x14ac:dyDescent="0.3">
      <c r="A986" s="1">
        <v>42068</v>
      </c>
      <c r="B986" s="2" t="s">
        <v>282</v>
      </c>
      <c r="C986" s="2" t="s">
        <v>14</v>
      </c>
      <c r="D986" s="2" t="s">
        <v>30</v>
      </c>
      <c r="E986" s="2" t="s">
        <v>43</v>
      </c>
      <c r="F986" s="2" t="s">
        <v>731</v>
      </c>
      <c r="G986" s="2">
        <v>27.55</v>
      </c>
      <c r="H986" s="2">
        <v>3</v>
      </c>
      <c r="I986" s="3">
        <v>-0.34</v>
      </c>
    </row>
    <row r="987" spans="1:9" x14ac:dyDescent="0.3">
      <c r="A987" s="4">
        <v>42068</v>
      </c>
      <c r="B987" s="5" t="s">
        <v>282</v>
      </c>
      <c r="C987" s="5" t="s">
        <v>14</v>
      </c>
      <c r="D987" s="5" t="s">
        <v>25</v>
      </c>
      <c r="E987" s="5" t="s">
        <v>26</v>
      </c>
      <c r="F987" s="5" t="s">
        <v>1175</v>
      </c>
      <c r="G987" s="5">
        <v>844.12</v>
      </c>
      <c r="H987" s="5">
        <v>6</v>
      </c>
      <c r="I987" s="6">
        <v>-36.18</v>
      </c>
    </row>
    <row r="988" spans="1:9" x14ac:dyDescent="0.3">
      <c r="A988" s="1">
        <v>42068</v>
      </c>
      <c r="B988" s="2" t="s">
        <v>282</v>
      </c>
      <c r="C988" s="2" t="s">
        <v>14</v>
      </c>
      <c r="D988" s="2" t="s">
        <v>2</v>
      </c>
      <c r="E988" s="2" t="s">
        <v>9</v>
      </c>
      <c r="F988" s="2" t="s">
        <v>456</v>
      </c>
      <c r="G988" s="2">
        <v>76.75</v>
      </c>
      <c r="H988" s="2">
        <v>3</v>
      </c>
      <c r="I988" s="3">
        <v>-9.59</v>
      </c>
    </row>
    <row r="989" spans="1:9" x14ac:dyDescent="0.3">
      <c r="A989" s="4">
        <v>42068</v>
      </c>
      <c r="B989" s="5" t="s">
        <v>1176</v>
      </c>
      <c r="C989" s="5" t="s">
        <v>18</v>
      </c>
      <c r="D989" s="5" t="s">
        <v>2</v>
      </c>
      <c r="E989" s="5" t="s">
        <v>15</v>
      </c>
      <c r="F989" s="5" t="s">
        <v>1038</v>
      </c>
      <c r="G989" s="5">
        <v>8.82</v>
      </c>
      <c r="H989" s="5">
        <v>3</v>
      </c>
      <c r="I989" s="6">
        <v>2.56</v>
      </c>
    </row>
    <row r="990" spans="1:9" x14ac:dyDescent="0.3">
      <c r="A990" s="1">
        <v>42068</v>
      </c>
      <c r="B990" s="2" t="s">
        <v>1176</v>
      </c>
      <c r="C990" s="2" t="s">
        <v>18</v>
      </c>
      <c r="D990" s="2" t="s">
        <v>2</v>
      </c>
      <c r="E990" s="2" t="s">
        <v>11</v>
      </c>
      <c r="F990" s="2" t="s">
        <v>1177</v>
      </c>
      <c r="G990" s="2">
        <v>62.5</v>
      </c>
      <c r="H990" s="2">
        <v>2</v>
      </c>
      <c r="I990" s="3">
        <v>21.87</v>
      </c>
    </row>
    <row r="991" spans="1:9" x14ac:dyDescent="0.3">
      <c r="A991" s="4">
        <v>42068</v>
      </c>
      <c r="B991" s="5" t="s">
        <v>1176</v>
      </c>
      <c r="C991" s="5" t="s">
        <v>18</v>
      </c>
      <c r="D991" s="5" t="s">
        <v>30</v>
      </c>
      <c r="E991" s="5" t="s">
        <v>43</v>
      </c>
      <c r="F991" s="5" t="s">
        <v>628</v>
      </c>
      <c r="G991" s="5">
        <v>339.96</v>
      </c>
      <c r="H991" s="5">
        <v>4</v>
      </c>
      <c r="I991" s="6">
        <v>122.39</v>
      </c>
    </row>
    <row r="992" spans="1:9" x14ac:dyDescent="0.3">
      <c r="A992" s="1">
        <v>42068</v>
      </c>
      <c r="B992" s="2" t="s">
        <v>1176</v>
      </c>
      <c r="C992" s="2" t="s">
        <v>18</v>
      </c>
      <c r="D992" s="2" t="s">
        <v>2</v>
      </c>
      <c r="E992" s="2" t="s">
        <v>11</v>
      </c>
      <c r="F992" s="2" t="s">
        <v>1178</v>
      </c>
      <c r="G992" s="2">
        <v>49.57</v>
      </c>
      <c r="H992" s="2">
        <v>2</v>
      </c>
      <c r="I992" s="3">
        <v>17.350000000000001</v>
      </c>
    </row>
    <row r="993" spans="1:9" x14ac:dyDescent="0.3">
      <c r="A993" s="4">
        <v>42068</v>
      </c>
      <c r="B993" s="5" t="s">
        <v>707</v>
      </c>
      <c r="C993" s="5" t="s">
        <v>18</v>
      </c>
      <c r="D993" s="5" t="s">
        <v>2</v>
      </c>
      <c r="E993" s="5" t="s">
        <v>11</v>
      </c>
      <c r="F993" s="5" t="s">
        <v>1179</v>
      </c>
      <c r="G993" s="5">
        <v>13.85</v>
      </c>
      <c r="H993" s="5">
        <v>3</v>
      </c>
      <c r="I993" s="6">
        <v>5.19</v>
      </c>
    </row>
    <row r="994" spans="1:9" x14ac:dyDescent="0.3">
      <c r="A994" s="1">
        <v>42099</v>
      </c>
      <c r="B994" s="2" t="s">
        <v>1180</v>
      </c>
      <c r="C994" s="2" t="s">
        <v>80</v>
      </c>
      <c r="D994" s="2" t="s">
        <v>25</v>
      </c>
      <c r="E994" s="2" t="s">
        <v>38</v>
      </c>
      <c r="F994" s="2" t="s">
        <v>1181</v>
      </c>
      <c r="G994" s="2">
        <v>26.8</v>
      </c>
      <c r="H994" s="2">
        <v>2</v>
      </c>
      <c r="I994" s="3">
        <v>12.86</v>
      </c>
    </row>
    <row r="995" spans="1:9" x14ac:dyDescent="0.3">
      <c r="A995" s="4">
        <v>42099</v>
      </c>
      <c r="B995" s="5" t="s">
        <v>484</v>
      </c>
      <c r="C995" s="5" t="s">
        <v>6</v>
      </c>
      <c r="D995" s="5" t="s">
        <v>25</v>
      </c>
      <c r="E995" s="5" t="s">
        <v>38</v>
      </c>
      <c r="F995" s="5" t="s">
        <v>1182</v>
      </c>
      <c r="G995" s="5">
        <v>22.29</v>
      </c>
      <c r="H995" s="5">
        <v>7</v>
      </c>
      <c r="I995" s="6">
        <v>-8.92</v>
      </c>
    </row>
    <row r="996" spans="1:9" x14ac:dyDescent="0.3">
      <c r="A996" s="1">
        <v>42099</v>
      </c>
      <c r="B996" s="2" t="s">
        <v>190</v>
      </c>
      <c r="C996" s="2" t="s">
        <v>1</v>
      </c>
      <c r="D996" s="2" t="s">
        <v>30</v>
      </c>
      <c r="E996" s="2" t="s">
        <v>31</v>
      </c>
      <c r="F996" s="2" t="s">
        <v>1183</v>
      </c>
      <c r="G996" s="2">
        <v>946.34</v>
      </c>
      <c r="H996" s="2">
        <v>7</v>
      </c>
      <c r="I996" s="3">
        <v>118.29</v>
      </c>
    </row>
    <row r="997" spans="1:9" x14ac:dyDescent="0.3">
      <c r="A997" s="4">
        <v>42099</v>
      </c>
      <c r="B997" s="5" t="s">
        <v>1184</v>
      </c>
      <c r="C997" s="5" t="s">
        <v>283</v>
      </c>
      <c r="D997" s="5" t="s">
        <v>2</v>
      </c>
      <c r="E997" s="5" t="s">
        <v>15</v>
      </c>
      <c r="F997" s="5" t="s">
        <v>320</v>
      </c>
      <c r="G997" s="5">
        <v>125.93</v>
      </c>
      <c r="H997" s="5">
        <v>7</v>
      </c>
      <c r="I997" s="6">
        <v>35.26</v>
      </c>
    </row>
    <row r="998" spans="1:9" x14ac:dyDescent="0.3">
      <c r="A998" s="1">
        <v>42190</v>
      </c>
      <c r="B998" s="2" t="s">
        <v>1185</v>
      </c>
      <c r="C998" s="2" t="s">
        <v>1</v>
      </c>
      <c r="D998" s="2" t="s">
        <v>25</v>
      </c>
      <c r="E998" s="2" t="s">
        <v>86</v>
      </c>
      <c r="F998" s="2" t="s">
        <v>1186</v>
      </c>
      <c r="G998" s="2">
        <v>244.01</v>
      </c>
      <c r="H998" s="2">
        <v>2</v>
      </c>
      <c r="I998" s="3">
        <v>-31.37</v>
      </c>
    </row>
    <row r="999" spans="1:9" x14ac:dyDescent="0.3">
      <c r="A999" s="4">
        <v>42190</v>
      </c>
      <c r="B999" s="5" t="s">
        <v>1185</v>
      </c>
      <c r="C999" s="5" t="s">
        <v>1</v>
      </c>
      <c r="D999" s="5" t="s">
        <v>2</v>
      </c>
      <c r="E999" s="5" t="s">
        <v>3</v>
      </c>
      <c r="F999" s="5" t="s">
        <v>174</v>
      </c>
      <c r="G999" s="5">
        <v>15.94</v>
      </c>
      <c r="H999" s="5">
        <v>4</v>
      </c>
      <c r="I999" s="6">
        <v>5.38</v>
      </c>
    </row>
    <row r="1000" spans="1:9" x14ac:dyDescent="0.3">
      <c r="A1000" s="1">
        <v>42190</v>
      </c>
      <c r="B1000" s="2" t="s">
        <v>710</v>
      </c>
      <c r="C1000" s="2" t="s">
        <v>24</v>
      </c>
      <c r="D1000" s="2" t="s">
        <v>2</v>
      </c>
      <c r="E1000" s="2" t="s">
        <v>3</v>
      </c>
      <c r="F1000" s="2" t="s">
        <v>1187</v>
      </c>
      <c r="G1000" s="2">
        <v>45.68</v>
      </c>
      <c r="H1000" s="2">
        <v>2</v>
      </c>
      <c r="I1000" s="3">
        <v>21.01</v>
      </c>
    </row>
    <row r="1001" spans="1:9" x14ac:dyDescent="0.3">
      <c r="A1001" s="4">
        <v>42221</v>
      </c>
      <c r="B1001" s="5" t="s">
        <v>1031</v>
      </c>
      <c r="C1001" s="5" t="s">
        <v>127</v>
      </c>
      <c r="D1001" s="5" t="s">
        <v>25</v>
      </c>
      <c r="E1001" s="5" t="s">
        <v>38</v>
      </c>
      <c r="F1001" s="5" t="s">
        <v>305</v>
      </c>
      <c r="G1001" s="5">
        <v>8.35</v>
      </c>
      <c r="H1001" s="5">
        <v>6</v>
      </c>
      <c r="I1001" s="6">
        <v>1.25</v>
      </c>
    </row>
    <row r="1002" spans="1:9" x14ac:dyDescent="0.3">
      <c r="A1002" s="1">
        <v>42221</v>
      </c>
      <c r="B1002" s="2" t="s">
        <v>1056</v>
      </c>
      <c r="C1002" s="2" t="s">
        <v>713</v>
      </c>
      <c r="D1002" s="2" t="s">
        <v>2</v>
      </c>
      <c r="E1002" s="2" t="s">
        <v>15</v>
      </c>
      <c r="F1002" s="2" t="s">
        <v>213</v>
      </c>
      <c r="G1002" s="2">
        <v>5.25</v>
      </c>
      <c r="H1002" s="2">
        <v>2</v>
      </c>
      <c r="I1002" s="3">
        <v>0.59</v>
      </c>
    </row>
    <row r="1003" spans="1:9" x14ac:dyDescent="0.3">
      <c r="A1003" s="4">
        <v>42221</v>
      </c>
      <c r="B1003" s="5" t="s">
        <v>705</v>
      </c>
      <c r="C1003" s="5" t="s">
        <v>359</v>
      </c>
      <c r="D1003" s="5" t="s">
        <v>2</v>
      </c>
      <c r="E1003" s="5" t="s">
        <v>11</v>
      </c>
      <c r="F1003" s="5" t="s">
        <v>317</v>
      </c>
      <c r="G1003" s="5">
        <v>43.98</v>
      </c>
      <c r="H1003" s="5">
        <v>2</v>
      </c>
      <c r="I1003" s="6">
        <v>21.99</v>
      </c>
    </row>
    <row r="1004" spans="1:9" x14ac:dyDescent="0.3">
      <c r="A1004" s="1">
        <v>42221</v>
      </c>
      <c r="B1004" s="2" t="s">
        <v>705</v>
      </c>
      <c r="C1004" s="2" t="s">
        <v>359</v>
      </c>
      <c r="D1004" s="2" t="s">
        <v>30</v>
      </c>
      <c r="E1004" s="2" t="s">
        <v>31</v>
      </c>
      <c r="F1004" s="2" t="s">
        <v>1188</v>
      </c>
      <c r="G1004" s="2">
        <v>377.97</v>
      </c>
      <c r="H1004" s="2">
        <v>3</v>
      </c>
      <c r="I1004" s="3">
        <v>105.83</v>
      </c>
    </row>
    <row r="1005" spans="1:9" x14ac:dyDescent="0.3">
      <c r="A1005" s="4">
        <v>42221</v>
      </c>
      <c r="B1005" s="5" t="s">
        <v>705</v>
      </c>
      <c r="C1005" s="5" t="s">
        <v>359</v>
      </c>
      <c r="D1005" s="5" t="s">
        <v>25</v>
      </c>
      <c r="E1005" s="5" t="s">
        <v>38</v>
      </c>
      <c r="F1005" s="5" t="s">
        <v>347</v>
      </c>
      <c r="G1005" s="5">
        <v>123.96</v>
      </c>
      <c r="H1005" s="5">
        <v>3</v>
      </c>
      <c r="I1005" s="6">
        <v>11.16</v>
      </c>
    </row>
    <row r="1006" spans="1:9" x14ac:dyDescent="0.3">
      <c r="A1006" s="1">
        <v>42221</v>
      </c>
      <c r="B1006" s="2" t="s">
        <v>1189</v>
      </c>
      <c r="C1006" s="2" t="s">
        <v>80</v>
      </c>
      <c r="D1006" s="2" t="s">
        <v>2</v>
      </c>
      <c r="E1006" s="2" t="s">
        <v>3</v>
      </c>
      <c r="F1006" s="2" t="s">
        <v>889</v>
      </c>
      <c r="G1006" s="2">
        <v>37.94</v>
      </c>
      <c r="H1006" s="2">
        <v>2</v>
      </c>
      <c r="I1006" s="3">
        <v>18.21</v>
      </c>
    </row>
    <row r="1007" spans="1:9" x14ac:dyDescent="0.3">
      <c r="A1007" s="4">
        <v>42221</v>
      </c>
      <c r="B1007" s="5" t="s">
        <v>1190</v>
      </c>
      <c r="C1007" s="5" t="s">
        <v>80</v>
      </c>
      <c r="D1007" s="5" t="s">
        <v>25</v>
      </c>
      <c r="E1007" s="5" t="s">
        <v>38</v>
      </c>
      <c r="F1007" s="5" t="s">
        <v>108</v>
      </c>
      <c r="G1007" s="5">
        <v>79.44</v>
      </c>
      <c r="H1007" s="5">
        <v>3</v>
      </c>
      <c r="I1007" s="6">
        <v>30.19</v>
      </c>
    </row>
    <row r="1008" spans="1:9" x14ac:dyDescent="0.3">
      <c r="A1008" s="1">
        <v>42221</v>
      </c>
      <c r="B1008" s="2" t="s">
        <v>1190</v>
      </c>
      <c r="C1008" s="2" t="s">
        <v>80</v>
      </c>
      <c r="D1008" s="2" t="s">
        <v>2</v>
      </c>
      <c r="E1008" s="2" t="s">
        <v>144</v>
      </c>
      <c r="F1008" s="2" t="s">
        <v>730</v>
      </c>
      <c r="G1008" s="2">
        <v>357.93</v>
      </c>
      <c r="H1008" s="2">
        <v>3</v>
      </c>
      <c r="I1008" s="3">
        <v>7.16</v>
      </c>
    </row>
    <row r="1009" spans="1:9" x14ac:dyDescent="0.3">
      <c r="A1009" s="4">
        <v>42221</v>
      </c>
      <c r="B1009" s="5" t="s">
        <v>1190</v>
      </c>
      <c r="C1009" s="5" t="s">
        <v>80</v>
      </c>
      <c r="D1009" s="5" t="s">
        <v>25</v>
      </c>
      <c r="E1009" s="5" t="s">
        <v>26</v>
      </c>
      <c r="F1009" s="5" t="s">
        <v>412</v>
      </c>
      <c r="G1009" s="5">
        <v>127.76</v>
      </c>
      <c r="H1009" s="5">
        <v>2</v>
      </c>
      <c r="I1009" s="6">
        <v>21.29</v>
      </c>
    </row>
    <row r="1010" spans="1:9" x14ac:dyDescent="0.3">
      <c r="A1010" s="1">
        <v>42221</v>
      </c>
      <c r="B1010" s="2" t="s">
        <v>1190</v>
      </c>
      <c r="C1010" s="2" t="s">
        <v>80</v>
      </c>
      <c r="D1010" s="2" t="s">
        <v>30</v>
      </c>
      <c r="E1010" s="2" t="s">
        <v>290</v>
      </c>
      <c r="F1010" s="2" t="s">
        <v>563</v>
      </c>
      <c r="G1010" s="2">
        <v>2799.94</v>
      </c>
      <c r="H1010" s="2">
        <v>7</v>
      </c>
      <c r="I1010" s="3">
        <v>1014.98</v>
      </c>
    </row>
    <row r="1011" spans="1:9" x14ac:dyDescent="0.3">
      <c r="A1011" s="4">
        <v>42221</v>
      </c>
      <c r="B1011" s="5" t="s">
        <v>1190</v>
      </c>
      <c r="C1011" s="5" t="s">
        <v>80</v>
      </c>
      <c r="D1011" s="5" t="s">
        <v>2</v>
      </c>
      <c r="E1011" s="5" t="s">
        <v>3</v>
      </c>
      <c r="F1011" s="5" t="s">
        <v>1191</v>
      </c>
      <c r="G1011" s="5">
        <v>19.440000000000001</v>
      </c>
      <c r="H1011" s="5">
        <v>3</v>
      </c>
      <c r="I1011" s="6">
        <v>9.33</v>
      </c>
    </row>
    <row r="1012" spans="1:9" x14ac:dyDescent="0.3">
      <c r="A1012" s="1">
        <v>42252</v>
      </c>
      <c r="B1012" s="2" t="s">
        <v>504</v>
      </c>
      <c r="C1012" s="2" t="s">
        <v>24</v>
      </c>
      <c r="D1012" s="2" t="s">
        <v>2</v>
      </c>
      <c r="E1012" s="2" t="s">
        <v>11</v>
      </c>
      <c r="F1012" s="2" t="s">
        <v>858</v>
      </c>
      <c r="G1012" s="2">
        <v>48.81</v>
      </c>
      <c r="H1012" s="2">
        <v>3</v>
      </c>
      <c r="I1012" s="3">
        <v>23.92</v>
      </c>
    </row>
    <row r="1013" spans="1:9" x14ac:dyDescent="0.3">
      <c r="A1013" s="4">
        <v>42282</v>
      </c>
      <c r="B1013" s="5" t="s">
        <v>457</v>
      </c>
      <c r="C1013" s="5" t="s">
        <v>6</v>
      </c>
      <c r="D1013" s="5" t="s">
        <v>2</v>
      </c>
      <c r="E1013" s="5" t="s">
        <v>133</v>
      </c>
      <c r="F1013" s="5" t="s">
        <v>1192</v>
      </c>
      <c r="G1013" s="5">
        <v>70.97</v>
      </c>
      <c r="H1013" s="5">
        <v>5</v>
      </c>
      <c r="I1013" s="6">
        <v>-191.62</v>
      </c>
    </row>
    <row r="1014" spans="1:9" x14ac:dyDescent="0.3">
      <c r="A1014" s="1">
        <v>42282</v>
      </c>
      <c r="B1014" s="2" t="s">
        <v>457</v>
      </c>
      <c r="C1014" s="2" t="s">
        <v>6</v>
      </c>
      <c r="D1014" s="2" t="s">
        <v>2</v>
      </c>
      <c r="E1014" s="2" t="s">
        <v>15</v>
      </c>
      <c r="F1014" s="2" t="s">
        <v>548</v>
      </c>
      <c r="G1014" s="2">
        <v>36.78</v>
      </c>
      <c r="H1014" s="2">
        <v>2</v>
      </c>
      <c r="I1014" s="3">
        <v>3.68</v>
      </c>
    </row>
    <row r="1015" spans="1:9" x14ac:dyDescent="0.3">
      <c r="A1015" s="4">
        <v>42282</v>
      </c>
      <c r="B1015" s="5" t="s">
        <v>1193</v>
      </c>
      <c r="C1015" s="5" t="s">
        <v>163</v>
      </c>
      <c r="D1015" s="5" t="s">
        <v>30</v>
      </c>
      <c r="E1015" s="5" t="s">
        <v>43</v>
      </c>
      <c r="F1015" s="5" t="s">
        <v>652</v>
      </c>
      <c r="G1015" s="5">
        <v>46.69</v>
      </c>
      <c r="H1015" s="5">
        <v>4</v>
      </c>
      <c r="I1015" s="6">
        <v>-2.92</v>
      </c>
    </row>
    <row r="1016" spans="1:9" x14ac:dyDescent="0.3">
      <c r="A1016" s="1">
        <v>42313</v>
      </c>
      <c r="B1016" s="2" t="s">
        <v>1194</v>
      </c>
      <c r="C1016" s="2" t="s">
        <v>253</v>
      </c>
      <c r="D1016" s="2" t="s">
        <v>25</v>
      </c>
      <c r="E1016" s="2" t="s">
        <v>26</v>
      </c>
      <c r="F1016" s="2" t="s">
        <v>1195</v>
      </c>
      <c r="G1016" s="2">
        <v>191.97</v>
      </c>
      <c r="H1016" s="2">
        <v>7</v>
      </c>
      <c r="I1016" s="3">
        <v>16.8</v>
      </c>
    </row>
    <row r="1017" spans="1:9" x14ac:dyDescent="0.3">
      <c r="A1017" s="4">
        <v>42343</v>
      </c>
      <c r="B1017" s="5" t="s">
        <v>1196</v>
      </c>
      <c r="C1017" s="5" t="s">
        <v>18</v>
      </c>
      <c r="D1017" s="5" t="s">
        <v>2</v>
      </c>
      <c r="E1017" s="5" t="s">
        <v>3</v>
      </c>
      <c r="F1017" s="5" t="s">
        <v>1197</v>
      </c>
      <c r="G1017" s="5">
        <v>12.84</v>
      </c>
      <c r="H1017" s="5">
        <v>3</v>
      </c>
      <c r="I1017" s="6">
        <v>5.78</v>
      </c>
    </row>
    <row r="1018" spans="1:9" x14ac:dyDescent="0.3">
      <c r="A1018" s="1">
        <v>42343</v>
      </c>
      <c r="B1018" s="2" t="s">
        <v>1196</v>
      </c>
      <c r="C1018" s="2" t="s">
        <v>18</v>
      </c>
      <c r="D1018" s="2" t="s">
        <v>2</v>
      </c>
      <c r="E1018" s="2" t="s">
        <v>3</v>
      </c>
      <c r="F1018" s="2" t="s">
        <v>1198</v>
      </c>
      <c r="G1018" s="2">
        <v>25.68</v>
      </c>
      <c r="H1018" s="2">
        <v>6</v>
      </c>
      <c r="I1018" s="3">
        <v>11.56</v>
      </c>
    </row>
    <row r="1019" spans="1:9" x14ac:dyDescent="0.3">
      <c r="A1019" s="4">
        <v>42343</v>
      </c>
      <c r="B1019" s="5" t="s">
        <v>609</v>
      </c>
      <c r="C1019" s="5" t="s">
        <v>163</v>
      </c>
      <c r="D1019" s="5" t="s">
        <v>30</v>
      </c>
      <c r="E1019" s="5" t="s">
        <v>31</v>
      </c>
      <c r="F1019" s="5" t="s">
        <v>1188</v>
      </c>
      <c r="G1019" s="5">
        <v>201.58</v>
      </c>
      <c r="H1019" s="5">
        <v>2</v>
      </c>
      <c r="I1019" s="6">
        <v>20.16</v>
      </c>
    </row>
    <row r="1020" spans="1:9" x14ac:dyDescent="0.3">
      <c r="A1020" s="1">
        <v>42343</v>
      </c>
      <c r="B1020" s="2" t="s">
        <v>1199</v>
      </c>
      <c r="C1020" s="2" t="s">
        <v>80</v>
      </c>
      <c r="D1020" s="2" t="s">
        <v>2</v>
      </c>
      <c r="E1020" s="2" t="s">
        <v>9</v>
      </c>
      <c r="F1020" s="2" t="s">
        <v>877</v>
      </c>
      <c r="G1020" s="2">
        <v>36.630000000000003</v>
      </c>
      <c r="H1020" s="2">
        <v>3</v>
      </c>
      <c r="I1020" s="3">
        <v>9.89</v>
      </c>
    </row>
    <row r="1021" spans="1:9" x14ac:dyDescent="0.3">
      <c r="A1021" s="4">
        <v>42343</v>
      </c>
      <c r="B1021" s="5" t="s">
        <v>1200</v>
      </c>
      <c r="C1021" s="5" t="s">
        <v>62</v>
      </c>
      <c r="D1021" s="5" t="s">
        <v>2</v>
      </c>
      <c r="E1021" s="5" t="s">
        <v>11</v>
      </c>
      <c r="F1021" s="5" t="s">
        <v>612</v>
      </c>
      <c r="G1021" s="5">
        <v>14.59</v>
      </c>
      <c r="H1021" s="5">
        <v>3</v>
      </c>
      <c r="I1021" s="6">
        <v>4.92</v>
      </c>
    </row>
    <row r="1022" spans="1:9" x14ac:dyDescent="0.3">
      <c r="A1022" s="1">
        <v>42343</v>
      </c>
      <c r="B1022" s="2" t="s">
        <v>1201</v>
      </c>
      <c r="C1022" s="2" t="s">
        <v>1</v>
      </c>
      <c r="D1022" s="2" t="s">
        <v>25</v>
      </c>
      <c r="E1022" s="2" t="s">
        <v>38</v>
      </c>
      <c r="F1022" s="2" t="s">
        <v>922</v>
      </c>
      <c r="G1022" s="2">
        <v>21.97</v>
      </c>
      <c r="H1022" s="2">
        <v>4</v>
      </c>
      <c r="I1022" s="3">
        <v>-15.93</v>
      </c>
    </row>
    <row r="1023" spans="1:9" x14ac:dyDescent="0.3">
      <c r="A1023" s="4">
        <v>42343</v>
      </c>
      <c r="B1023" s="5" t="s">
        <v>1201</v>
      </c>
      <c r="C1023" s="5" t="s">
        <v>1</v>
      </c>
      <c r="D1023" s="5" t="s">
        <v>30</v>
      </c>
      <c r="E1023" s="5" t="s">
        <v>31</v>
      </c>
      <c r="F1023" s="5" t="s">
        <v>1202</v>
      </c>
      <c r="G1023" s="5">
        <v>619.15</v>
      </c>
      <c r="H1023" s="5">
        <v>6</v>
      </c>
      <c r="I1023" s="6">
        <v>69.650000000000006</v>
      </c>
    </row>
    <row r="1024" spans="1:9" x14ac:dyDescent="0.3">
      <c r="A1024" s="1">
        <v>42343</v>
      </c>
      <c r="B1024" s="2" t="s">
        <v>1201</v>
      </c>
      <c r="C1024" s="2" t="s">
        <v>1</v>
      </c>
      <c r="D1024" s="2" t="s">
        <v>2</v>
      </c>
      <c r="E1024" s="2" t="s">
        <v>3</v>
      </c>
      <c r="F1024" s="2" t="s">
        <v>1002</v>
      </c>
      <c r="G1024" s="2">
        <v>127.9</v>
      </c>
      <c r="H1024" s="2">
        <v>7</v>
      </c>
      <c r="I1024" s="3">
        <v>41.57</v>
      </c>
    </row>
    <row r="1025" spans="1:9" x14ac:dyDescent="0.3">
      <c r="A1025" s="4">
        <v>42010</v>
      </c>
      <c r="B1025" s="5" t="s">
        <v>192</v>
      </c>
      <c r="C1025" s="5" t="s">
        <v>1</v>
      </c>
      <c r="D1025" s="5" t="s">
        <v>2</v>
      </c>
      <c r="E1025" s="5" t="s">
        <v>11</v>
      </c>
      <c r="F1025" s="5" t="s">
        <v>1203</v>
      </c>
      <c r="G1025" s="5">
        <v>5.73</v>
      </c>
      <c r="H1025" s="5">
        <v>8</v>
      </c>
      <c r="I1025" s="6">
        <v>-9.16</v>
      </c>
    </row>
    <row r="1026" spans="1:9" x14ac:dyDescent="0.3">
      <c r="A1026" s="1">
        <v>42010</v>
      </c>
      <c r="B1026" s="2" t="s">
        <v>192</v>
      </c>
      <c r="C1026" s="2" t="s">
        <v>1</v>
      </c>
      <c r="D1026" s="2" t="s">
        <v>2</v>
      </c>
      <c r="E1026" s="2" t="s">
        <v>3</v>
      </c>
      <c r="F1026" s="2" t="s">
        <v>1204</v>
      </c>
      <c r="G1026" s="2">
        <v>42.24</v>
      </c>
      <c r="H1026" s="2">
        <v>10</v>
      </c>
      <c r="I1026" s="3">
        <v>13.2</v>
      </c>
    </row>
    <row r="1027" spans="1:9" x14ac:dyDescent="0.3">
      <c r="A1027" s="4">
        <v>42010</v>
      </c>
      <c r="B1027" s="5" t="s">
        <v>120</v>
      </c>
      <c r="C1027" s="5" t="s">
        <v>160</v>
      </c>
      <c r="D1027" s="5" t="s">
        <v>30</v>
      </c>
      <c r="E1027" s="5" t="s">
        <v>31</v>
      </c>
      <c r="F1027" s="5" t="s">
        <v>824</v>
      </c>
      <c r="G1027" s="5">
        <v>299.98</v>
      </c>
      <c r="H1027" s="5">
        <v>2</v>
      </c>
      <c r="I1027" s="6">
        <v>83.99</v>
      </c>
    </row>
    <row r="1028" spans="1:9" x14ac:dyDescent="0.3">
      <c r="A1028" s="1">
        <v>42010</v>
      </c>
      <c r="B1028" s="2" t="s">
        <v>120</v>
      </c>
      <c r="C1028" s="2" t="s">
        <v>160</v>
      </c>
      <c r="D1028" s="2" t="s">
        <v>2</v>
      </c>
      <c r="E1028" s="2" t="s">
        <v>11</v>
      </c>
      <c r="F1028" s="2" t="s">
        <v>153</v>
      </c>
      <c r="G1028" s="2">
        <v>403.68</v>
      </c>
      <c r="H1028" s="2">
        <v>6</v>
      </c>
      <c r="I1028" s="3">
        <v>181.66</v>
      </c>
    </row>
    <row r="1029" spans="1:9" x14ac:dyDescent="0.3">
      <c r="A1029" s="4">
        <v>42010</v>
      </c>
      <c r="B1029" s="5" t="s">
        <v>120</v>
      </c>
      <c r="C1029" s="5" t="s">
        <v>160</v>
      </c>
      <c r="D1029" s="5" t="s">
        <v>30</v>
      </c>
      <c r="E1029" s="5" t="s">
        <v>31</v>
      </c>
      <c r="F1029" s="5" t="s">
        <v>1205</v>
      </c>
      <c r="G1029" s="5">
        <v>41.9</v>
      </c>
      <c r="H1029" s="5">
        <v>2</v>
      </c>
      <c r="I1029" s="6">
        <v>11.73</v>
      </c>
    </row>
    <row r="1030" spans="1:9" x14ac:dyDescent="0.3">
      <c r="A1030" s="1">
        <v>42010</v>
      </c>
      <c r="B1030" s="2" t="s">
        <v>120</v>
      </c>
      <c r="C1030" s="2" t="s">
        <v>160</v>
      </c>
      <c r="D1030" s="2" t="s">
        <v>2</v>
      </c>
      <c r="E1030" s="2" t="s">
        <v>7</v>
      </c>
      <c r="F1030" s="2" t="s">
        <v>1206</v>
      </c>
      <c r="G1030" s="2">
        <v>28.91</v>
      </c>
      <c r="H1030" s="2">
        <v>7</v>
      </c>
      <c r="I1030" s="3">
        <v>13.3</v>
      </c>
    </row>
    <row r="1031" spans="1:9" x14ac:dyDescent="0.3">
      <c r="A1031" s="4">
        <v>42010</v>
      </c>
      <c r="B1031" s="5" t="s">
        <v>1207</v>
      </c>
      <c r="C1031" s="5" t="s">
        <v>18</v>
      </c>
      <c r="D1031" s="5" t="s">
        <v>2</v>
      </c>
      <c r="E1031" s="5" t="s">
        <v>3</v>
      </c>
      <c r="F1031" s="5" t="s">
        <v>739</v>
      </c>
      <c r="G1031" s="5">
        <v>11.76</v>
      </c>
      <c r="H1031" s="5">
        <v>2</v>
      </c>
      <c r="I1031" s="6">
        <v>5.76</v>
      </c>
    </row>
    <row r="1032" spans="1:9" x14ac:dyDescent="0.3">
      <c r="A1032" s="1">
        <v>42100</v>
      </c>
      <c r="B1032" s="2" t="s">
        <v>607</v>
      </c>
      <c r="C1032" s="2" t="s">
        <v>62</v>
      </c>
      <c r="D1032" s="2" t="s">
        <v>2</v>
      </c>
      <c r="E1032" s="2" t="s">
        <v>7</v>
      </c>
      <c r="F1032" s="2" t="s">
        <v>606</v>
      </c>
      <c r="G1032" s="2">
        <v>7.38</v>
      </c>
      <c r="H1032" s="2">
        <v>2</v>
      </c>
      <c r="I1032" s="3">
        <v>3.47</v>
      </c>
    </row>
    <row r="1033" spans="1:9" x14ac:dyDescent="0.3">
      <c r="A1033" s="4">
        <v>42100</v>
      </c>
      <c r="B1033" s="5" t="s">
        <v>607</v>
      </c>
      <c r="C1033" s="5" t="s">
        <v>62</v>
      </c>
      <c r="D1033" s="5" t="s">
        <v>2</v>
      </c>
      <c r="E1033" s="5" t="s">
        <v>15</v>
      </c>
      <c r="F1033" s="5" t="s">
        <v>221</v>
      </c>
      <c r="G1033" s="5">
        <v>9.26</v>
      </c>
      <c r="H1033" s="5">
        <v>2</v>
      </c>
      <c r="I1033" s="6">
        <v>3.06</v>
      </c>
    </row>
    <row r="1034" spans="1:9" x14ac:dyDescent="0.3">
      <c r="A1034" s="1">
        <v>42100</v>
      </c>
      <c r="B1034" s="2" t="s">
        <v>843</v>
      </c>
      <c r="C1034" s="2" t="s">
        <v>80</v>
      </c>
      <c r="D1034" s="2" t="s">
        <v>2</v>
      </c>
      <c r="E1034" s="2" t="s">
        <v>3</v>
      </c>
      <c r="F1034" s="2" t="s">
        <v>1208</v>
      </c>
      <c r="G1034" s="2">
        <v>30.44</v>
      </c>
      <c r="H1034" s="2">
        <v>4</v>
      </c>
      <c r="I1034" s="3">
        <v>14.31</v>
      </c>
    </row>
    <row r="1035" spans="1:9" x14ac:dyDescent="0.3">
      <c r="A1035" s="4">
        <v>42100</v>
      </c>
      <c r="B1035" s="5" t="s">
        <v>843</v>
      </c>
      <c r="C1035" s="5" t="s">
        <v>80</v>
      </c>
      <c r="D1035" s="5" t="s">
        <v>25</v>
      </c>
      <c r="E1035" s="5" t="s">
        <v>38</v>
      </c>
      <c r="F1035" s="5" t="s">
        <v>1209</v>
      </c>
      <c r="G1035" s="5">
        <v>35.28</v>
      </c>
      <c r="H1035" s="5">
        <v>3</v>
      </c>
      <c r="I1035" s="6">
        <v>12</v>
      </c>
    </row>
    <row r="1036" spans="1:9" x14ac:dyDescent="0.3">
      <c r="A1036" s="1">
        <v>42100</v>
      </c>
      <c r="B1036" s="2" t="s">
        <v>1210</v>
      </c>
      <c r="C1036" s="2" t="s">
        <v>18</v>
      </c>
      <c r="D1036" s="2" t="s">
        <v>30</v>
      </c>
      <c r="E1036" s="2" t="s">
        <v>43</v>
      </c>
      <c r="F1036" s="2" t="s">
        <v>266</v>
      </c>
      <c r="G1036" s="2">
        <v>119.98</v>
      </c>
      <c r="H1036" s="2">
        <v>2</v>
      </c>
      <c r="I1036" s="3">
        <v>35.99</v>
      </c>
    </row>
    <row r="1037" spans="1:9" x14ac:dyDescent="0.3">
      <c r="A1037" s="4">
        <v>42100</v>
      </c>
      <c r="B1037" s="5" t="s">
        <v>1210</v>
      </c>
      <c r="C1037" s="5" t="s">
        <v>18</v>
      </c>
      <c r="D1037" s="5" t="s">
        <v>30</v>
      </c>
      <c r="E1037" s="5" t="s">
        <v>43</v>
      </c>
      <c r="F1037" s="5" t="s">
        <v>1211</v>
      </c>
      <c r="G1037" s="5">
        <v>989.97</v>
      </c>
      <c r="H1037" s="5">
        <v>3</v>
      </c>
      <c r="I1037" s="6">
        <v>395.99</v>
      </c>
    </row>
    <row r="1038" spans="1:9" x14ac:dyDescent="0.3">
      <c r="A1038" s="1">
        <v>42130</v>
      </c>
      <c r="B1038" s="2" t="s">
        <v>1120</v>
      </c>
      <c r="C1038" s="2" t="s">
        <v>80</v>
      </c>
      <c r="D1038" s="2" t="s">
        <v>25</v>
      </c>
      <c r="E1038" s="2" t="s">
        <v>26</v>
      </c>
      <c r="F1038" s="2" t="s">
        <v>899</v>
      </c>
      <c r="G1038" s="2">
        <v>1522.64</v>
      </c>
      <c r="H1038" s="2">
        <v>9</v>
      </c>
      <c r="I1038" s="3">
        <v>169.18</v>
      </c>
    </row>
    <row r="1039" spans="1:9" x14ac:dyDescent="0.3">
      <c r="A1039" s="4">
        <v>42130</v>
      </c>
      <c r="B1039" s="5" t="s">
        <v>1212</v>
      </c>
      <c r="C1039" s="5" t="s">
        <v>90</v>
      </c>
      <c r="D1039" s="5" t="s">
        <v>2</v>
      </c>
      <c r="E1039" s="5" t="s">
        <v>3</v>
      </c>
      <c r="F1039" s="5" t="s">
        <v>1213</v>
      </c>
      <c r="G1039" s="5">
        <v>10.56</v>
      </c>
      <c r="H1039" s="5">
        <v>2</v>
      </c>
      <c r="I1039" s="6">
        <v>4.75</v>
      </c>
    </row>
    <row r="1040" spans="1:9" x14ac:dyDescent="0.3">
      <c r="A1040" s="1">
        <v>42191</v>
      </c>
      <c r="B1040" s="2" t="s">
        <v>1214</v>
      </c>
      <c r="C1040" s="2" t="s">
        <v>18</v>
      </c>
      <c r="D1040" s="2" t="s">
        <v>2</v>
      </c>
      <c r="E1040" s="2" t="s">
        <v>11</v>
      </c>
      <c r="F1040" s="2" t="s">
        <v>1215</v>
      </c>
      <c r="G1040" s="2">
        <v>7.52</v>
      </c>
      <c r="H1040" s="2">
        <v>5</v>
      </c>
      <c r="I1040" s="3">
        <v>2.63</v>
      </c>
    </row>
    <row r="1041" spans="1:9" x14ac:dyDescent="0.3">
      <c r="A1041" s="4">
        <v>42191</v>
      </c>
      <c r="B1041" s="5" t="s">
        <v>354</v>
      </c>
      <c r="C1041" s="5" t="s">
        <v>14</v>
      </c>
      <c r="D1041" s="5" t="s">
        <v>2</v>
      </c>
      <c r="E1041" s="5" t="s">
        <v>11</v>
      </c>
      <c r="F1041" s="5" t="s">
        <v>1128</v>
      </c>
      <c r="G1041" s="5">
        <v>18.309999999999999</v>
      </c>
      <c r="H1041" s="5">
        <v>4</v>
      </c>
      <c r="I1041" s="6">
        <v>-12.21</v>
      </c>
    </row>
    <row r="1042" spans="1:9" x14ac:dyDescent="0.3">
      <c r="A1042" s="1">
        <v>42191</v>
      </c>
      <c r="B1042" s="2" t="s">
        <v>354</v>
      </c>
      <c r="C1042" s="2" t="s">
        <v>14</v>
      </c>
      <c r="D1042" s="2" t="s">
        <v>2</v>
      </c>
      <c r="E1042" s="2" t="s">
        <v>3</v>
      </c>
      <c r="F1042" s="2" t="s">
        <v>491</v>
      </c>
      <c r="G1042" s="2">
        <v>25.92</v>
      </c>
      <c r="H1042" s="2">
        <v>5</v>
      </c>
      <c r="I1042" s="3">
        <v>9.07</v>
      </c>
    </row>
    <row r="1043" spans="1:9" x14ac:dyDescent="0.3">
      <c r="A1043" s="4">
        <v>42191</v>
      </c>
      <c r="B1043" s="5" t="s">
        <v>354</v>
      </c>
      <c r="C1043" s="5" t="s">
        <v>14</v>
      </c>
      <c r="D1043" s="5" t="s">
        <v>2</v>
      </c>
      <c r="E1043" s="5" t="s">
        <v>15</v>
      </c>
      <c r="F1043" s="5" t="s">
        <v>932</v>
      </c>
      <c r="G1043" s="5">
        <v>8.02</v>
      </c>
      <c r="H1043" s="5">
        <v>3</v>
      </c>
      <c r="I1043" s="6">
        <v>1</v>
      </c>
    </row>
    <row r="1044" spans="1:9" x14ac:dyDescent="0.3">
      <c r="A1044" s="1">
        <v>42222</v>
      </c>
      <c r="B1044" s="2" t="s">
        <v>1216</v>
      </c>
      <c r="C1044" s="2" t="s">
        <v>6</v>
      </c>
      <c r="D1044" s="2" t="s">
        <v>30</v>
      </c>
      <c r="E1044" s="2" t="s">
        <v>43</v>
      </c>
      <c r="F1044" s="2" t="s">
        <v>1217</v>
      </c>
      <c r="G1044" s="2">
        <v>2.38</v>
      </c>
      <c r="H1044" s="2">
        <v>3</v>
      </c>
      <c r="I1044" s="3">
        <v>0.74</v>
      </c>
    </row>
    <row r="1045" spans="1:9" x14ac:dyDescent="0.3">
      <c r="A1045" s="4">
        <v>42222</v>
      </c>
      <c r="B1045" s="5" t="s">
        <v>1216</v>
      </c>
      <c r="C1045" s="5" t="s">
        <v>6</v>
      </c>
      <c r="D1045" s="5" t="s">
        <v>2</v>
      </c>
      <c r="E1045" s="5" t="s">
        <v>133</v>
      </c>
      <c r="F1045" s="5" t="s">
        <v>1133</v>
      </c>
      <c r="G1045" s="5">
        <v>143.13</v>
      </c>
      <c r="H1045" s="5">
        <v>2</v>
      </c>
      <c r="I1045" s="6">
        <v>-393.6</v>
      </c>
    </row>
    <row r="1046" spans="1:9" x14ac:dyDescent="0.3">
      <c r="A1046" s="1">
        <v>42222</v>
      </c>
      <c r="B1046" s="2" t="s">
        <v>1039</v>
      </c>
      <c r="C1046" s="2" t="s">
        <v>58</v>
      </c>
      <c r="D1046" s="2" t="s">
        <v>2</v>
      </c>
      <c r="E1046" s="2" t="s">
        <v>3</v>
      </c>
      <c r="F1046" s="2" t="s">
        <v>1218</v>
      </c>
      <c r="G1046" s="2">
        <v>173.49</v>
      </c>
      <c r="H1046" s="2">
        <v>7</v>
      </c>
      <c r="I1046" s="3">
        <v>54.22</v>
      </c>
    </row>
    <row r="1047" spans="1:9" x14ac:dyDescent="0.3">
      <c r="A1047" s="4">
        <v>42222</v>
      </c>
      <c r="B1047" s="5" t="s">
        <v>1039</v>
      </c>
      <c r="C1047" s="5" t="s">
        <v>58</v>
      </c>
      <c r="D1047" s="5" t="s">
        <v>2</v>
      </c>
      <c r="E1047" s="5" t="s">
        <v>9</v>
      </c>
      <c r="F1047" s="5" t="s">
        <v>1219</v>
      </c>
      <c r="G1047" s="5">
        <v>516.96</v>
      </c>
      <c r="H1047" s="5">
        <v>4</v>
      </c>
      <c r="I1047" s="6">
        <v>-6.46</v>
      </c>
    </row>
    <row r="1048" spans="1:9" x14ac:dyDescent="0.3">
      <c r="A1048" s="1">
        <v>42222</v>
      </c>
      <c r="B1048" s="2" t="s">
        <v>1039</v>
      </c>
      <c r="C1048" s="2" t="s">
        <v>58</v>
      </c>
      <c r="D1048" s="2" t="s">
        <v>25</v>
      </c>
      <c r="E1048" s="2" t="s">
        <v>38</v>
      </c>
      <c r="F1048" s="2" t="s">
        <v>1220</v>
      </c>
      <c r="G1048" s="2">
        <v>173.21</v>
      </c>
      <c r="H1048" s="2">
        <v>7</v>
      </c>
      <c r="I1048" s="3">
        <v>45.47</v>
      </c>
    </row>
    <row r="1049" spans="1:9" x14ac:dyDescent="0.3">
      <c r="A1049" s="4">
        <v>42222</v>
      </c>
      <c r="B1049" s="5" t="s">
        <v>1039</v>
      </c>
      <c r="C1049" s="5" t="s">
        <v>58</v>
      </c>
      <c r="D1049" s="5" t="s">
        <v>2</v>
      </c>
      <c r="E1049" s="5" t="s">
        <v>15</v>
      </c>
      <c r="F1049" s="5" t="s">
        <v>1221</v>
      </c>
      <c r="G1049" s="5">
        <v>4.45</v>
      </c>
      <c r="H1049" s="5">
        <v>2</v>
      </c>
      <c r="I1049" s="6">
        <v>0.33</v>
      </c>
    </row>
    <row r="1050" spans="1:9" x14ac:dyDescent="0.3">
      <c r="A1050" s="1">
        <v>42222</v>
      </c>
      <c r="B1050" s="2" t="s">
        <v>1039</v>
      </c>
      <c r="C1050" s="2" t="s">
        <v>58</v>
      </c>
      <c r="D1050" s="2" t="s">
        <v>2</v>
      </c>
      <c r="E1050" s="2" t="s">
        <v>7</v>
      </c>
      <c r="F1050" s="2" t="s">
        <v>1222</v>
      </c>
      <c r="G1050" s="2">
        <v>9</v>
      </c>
      <c r="H1050" s="2">
        <v>3</v>
      </c>
      <c r="I1050" s="3">
        <v>3.15</v>
      </c>
    </row>
    <row r="1051" spans="1:9" x14ac:dyDescent="0.3">
      <c r="A1051" s="4">
        <v>42222</v>
      </c>
      <c r="B1051" s="5" t="s">
        <v>1039</v>
      </c>
      <c r="C1051" s="5" t="s">
        <v>58</v>
      </c>
      <c r="D1051" s="5" t="s">
        <v>2</v>
      </c>
      <c r="E1051" s="5" t="s">
        <v>3</v>
      </c>
      <c r="F1051" s="5" t="s">
        <v>1223</v>
      </c>
      <c r="G1051" s="5">
        <v>42.24</v>
      </c>
      <c r="H1051" s="5">
        <v>10</v>
      </c>
      <c r="I1051" s="6">
        <v>13.2</v>
      </c>
    </row>
    <row r="1052" spans="1:9" x14ac:dyDescent="0.3">
      <c r="A1052" s="1">
        <v>42222</v>
      </c>
      <c r="B1052" s="2" t="s">
        <v>1039</v>
      </c>
      <c r="C1052" s="2" t="s">
        <v>58</v>
      </c>
      <c r="D1052" s="2" t="s">
        <v>2</v>
      </c>
      <c r="E1052" s="2" t="s">
        <v>11</v>
      </c>
      <c r="F1052" s="2" t="s">
        <v>727</v>
      </c>
      <c r="G1052" s="2">
        <v>18.260000000000002</v>
      </c>
      <c r="H1052" s="2">
        <v>2</v>
      </c>
      <c r="I1052" s="3">
        <v>-13.39</v>
      </c>
    </row>
    <row r="1053" spans="1:9" x14ac:dyDescent="0.3">
      <c r="A1053" s="4">
        <v>42253</v>
      </c>
      <c r="B1053" s="5" t="s">
        <v>1224</v>
      </c>
      <c r="C1053" s="5" t="s">
        <v>46</v>
      </c>
      <c r="D1053" s="5" t="s">
        <v>2</v>
      </c>
      <c r="E1053" s="5" t="s">
        <v>11</v>
      </c>
      <c r="F1053" s="5" t="s">
        <v>458</v>
      </c>
      <c r="G1053" s="5">
        <v>113.1</v>
      </c>
      <c r="H1053" s="5">
        <v>3</v>
      </c>
      <c r="I1053" s="6">
        <v>56.55</v>
      </c>
    </row>
    <row r="1054" spans="1:9" x14ac:dyDescent="0.3">
      <c r="A1054" s="1">
        <v>42253</v>
      </c>
      <c r="B1054" s="2" t="s">
        <v>294</v>
      </c>
      <c r="C1054" s="2" t="s">
        <v>160</v>
      </c>
      <c r="D1054" s="2" t="s">
        <v>2</v>
      </c>
      <c r="E1054" s="2" t="s">
        <v>3</v>
      </c>
      <c r="F1054" s="2" t="s">
        <v>453</v>
      </c>
      <c r="G1054" s="2">
        <v>12.96</v>
      </c>
      <c r="H1054" s="2">
        <v>2</v>
      </c>
      <c r="I1054" s="3">
        <v>6.22</v>
      </c>
    </row>
    <row r="1055" spans="1:9" x14ac:dyDescent="0.3">
      <c r="A1055" s="4">
        <v>42253</v>
      </c>
      <c r="B1055" s="5" t="s">
        <v>1225</v>
      </c>
      <c r="C1055" s="5" t="s">
        <v>268</v>
      </c>
      <c r="D1055" s="5" t="s">
        <v>25</v>
      </c>
      <c r="E1055" s="5" t="s">
        <v>38</v>
      </c>
      <c r="F1055" s="5" t="s">
        <v>191</v>
      </c>
      <c r="G1055" s="5">
        <v>355.36</v>
      </c>
      <c r="H1055" s="5">
        <v>4</v>
      </c>
      <c r="I1055" s="6">
        <v>92.39</v>
      </c>
    </row>
    <row r="1056" spans="1:9" x14ac:dyDescent="0.3">
      <c r="A1056" s="1">
        <v>42253</v>
      </c>
      <c r="B1056" s="2" t="s">
        <v>1225</v>
      </c>
      <c r="C1056" s="2" t="s">
        <v>268</v>
      </c>
      <c r="D1056" s="2" t="s">
        <v>30</v>
      </c>
      <c r="E1056" s="2" t="s">
        <v>31</v>
      </c>
      <c r="F1056" s="2" t="s">
        <v>1226</v>
      </c>
      <c r="G1056" s="2">
        <v>140.38</v>
      </c>
      <c r="H1056" s="2">
        <v>3</v>
      </c>
      <c r="I1056" s="3">
        <v>8.77</v>
      </c>
    </row>
    <row r="1057" spans="1:9" x14ac:dyDescent="0.3">
      <c r="A1057" s="4">
        <v>42253</v>
      </c>
      <c r="B1057" s="5" t="s">
        <v>1227</v>
      </c>
      <c r="C1057" s="5" t="s">
        <v>58</v>
      </c>
      <c r="D1057" s="5" t="s">
        <v>2</v>
      </c>
      <c r="E1057" s="5" t="s">
        <v>11</v>
      </c>
      <c r="F1057" s="5" t="s">
        <v>414</v>
      </c>
      <c r="G1057" s="5">
        <v>64.2</v>
      </c>
      <c r="H1057" s="5">
        <v>5</v>
      </c>
      <c r="I1057" s="6">
        <v>-42.8</v>
      </c>
    </row>
    <row r="1058" spans="1:9" x14ac:dyDescent="0.3">
      <c r="A1058" s="1">
        <v>42253</v>
      </c>
      <c r="B1058" s="2" t="s">
        <v>1227</v>
      </c>
      <c r="C1058" s="2" t="s">
        <v>58</v>
      </c>
      <c r="D1058" s="2" t="s">
        <v>2</v>
      </c>
      <c r="E1058" s="2" t="s">
        <v>11</v>
      </c>
      <c r="F1058" s="2" t="s">
        <v>1228</v>
      </c>
      <c r="G1058" s="2">
        <v>38.520000000000003</v>
      </c>
      <c r="H1058" s="2">
        <v>3</v>
      </c>
      <c r="I1058" s="3">
        <v>-26.96</v>
      </c>
    </row>
    <row r="1059" spans="1:9" x14ac:dyDescent="0.3">
      <c r="A1059" s="4">
        <v>42253</v>
      </c>
      <c r="B1059" s="5" t="s">
        <v>1227</v>
      </c>
      <c r="C1059" s="5" t="s">
        <v>58</v>
      </c>
      <c r="D1059" s="5" t="s">
        <v>30</v>
      </c>
      <c r="E1059" s="5" t="s">
        <v>43</v>
      </c>
      <c r="F1059" s="5" t="s">
        <v>1229</v>
      </c>
      <c r="G1059" s="5">
        <v>72.599999999999994</v>
      </c>
      <c r="H1059" s="5">
        <v>5</v>
      </c>
      <c r="I1059" s="6">
        <v>-8.17</v>
      </c>
    </row>
    <row r="1060" spans="1:9" x14ac:dyDescent="0.3">
      <c r="A1060" s="1">
        <v>42314</v>
      </c>
      <c r="B1060" s="2" t="s">
        <v>1230</v>
      </c>
      <c r="C1060" s="2" t="s">
        <v>203</v>
      </c>
      <c r="D1060" s="2" t="s">
        <v>30</v>
      </c>
      <c r="E1060" s="2" t="s">
        <v>43</v>
      </c>
      <c r="F1060" s="2" t="s">
        <v>743</v>
      </c>
      <c r="G1060" s="2">
        <v>53.7</v>
      </c>
      <c r="H1060" s="2">
        <v>6</v>
      </c>
      <c r="I1060" s="3">
        <v>10.199999999999999</v>
      </c>
    </row>
    <row r="1061" spans="1:9" x14ac:dyDescent="0.3">
      <c r="A1061" s="4">
        <v>42314</v>
      </c>
      <c r="B1061" s="5" t="s">
        <v>1230</v>
      </c>
      <c r="C1061" s="5" t="s">
        <v>203</v>
      </c>
      <c r="D1061" s="5" t="s">
        <v>2</v>
      </c>
      <c r="E1061" s="5" t="s">
        <v>11</v>
      </c>
      <c r="F1061" s="5" t="s">
        <v>1231</v>
      </c>
      <c r="G1061" s="5">
        <v>36.26</v>
      </c>
      <c r="H1061" s="5">
        <v>7</v>
      </c>
      <c r="I1061" s="6">
        <v>16.68</v>
      </c>
    </row>
    <row r="1062" spans="1:9" x14ac:dyDescent="0.3">
      <c r="A1062" s="1">
        <v>42314</v>
      </c>
      <c r="B1062" s="2" t="s">
        <v>1230</v>
      </c>
      <c r="C1062" s="2" t="s">
        <v>203</v>
      </c>
      <c r="D1062" s="2" t="s">
        <v>2</v>
      </c>
      <c r="E1062" s="2" t="s">
        <v>15</v>
      </c>
      <c r="F1062" s="2" t="s">
        <v>909</v>
      </c>
      <c r="G1062" s="2">
        <v>56.3</v>
      </c>
      <c r="H1062" s="2">
        <v>2</v>
      </c>
      <c r="I1062" s="3">
        <v>15.76</v>
      </c>
    </row>
    <row r="1063" spans="1:9" x14ac:dyDescent="0.3">
      <c r="A1063" s="4">
        <v>42314</v>
      </c>
      <c r="B1063" s="5" t="s">
        <v>1230</v>
      </c>
      <c r="C1063" s="5" t="s">
        <v>203</v>
      </c>
      <c r="D1063" s="5" t="s">
        <v>2</v>
      </c>
      <c r="E1063" s="5" t="s">
        <v>3</v>
      </c>
      <c r="F1063" s="5" t="s">
        <v>1232</v>
      </c>
      <c r="G1063" s="5">
        <v>32.4</v>
      </c>
      <c r="H1063" s="5">
        <v>5</v>
      </c>
      <c r="I1063" s="6">
        <v>15.55</v>
      </c>
    </row>
    <row r="1064" spans="1:9" x14ac:dyDescent="0.3">
      <c r="A1064" s="1">
        <v>42314</v>
      </c>
      <c r="B1064" s="2" t="s">
        <v>1230</v>
      </c>
      <c r="C1064" s="2" t="s">
        <v>203</v>
      </c>
      <c r="D1064" s="2" t="s">
        <v>25</v>
      </c>
      <c r="E1064" s="2" t="s">
        <v>38</v>
      </c>
      <c r="F1064" s="2" t="s">
        <v>1233</v>
      </c>
      <c r="G1064" s="2">
        <v>29.16</v>
      </c>
      <c r="H1064" s="2">
        <v>2</v>
      </c>
      <c r="I1064" s="3">
        <v>10.79</v>
      </c>
    </row>
    <row r="1065" spans="1:9" x14ac:dyDescent="0.3">
      <c r="A1065" s="4">
        <v>42314</v>
      </c>
      <c r="B1065" s="5" t="s">
        <v>1234</v>
      </c>
      <c r="C1065" s="5" t="s">
        <v>58</v>
      </c>
      <c r="D1065" s="5" t="s">
        <v>25</v>
      </c>
      <c r="E1065" s="5" t="s">
        <v>26</v>
      </c>
      <c r="F1065" s="5" t="s">
        <v>1235</v>
      </c>
      <c r="G1065" s="5">
        <v>1123.92</v>
      </c>
      <c r="H1065" s="5">
        <v>5</v>
      </c>
      <c r="I1065" s="6">
        <v>-182.64</v>
      </c>
    </row>
    <row r="1066" spans="1:9" x14ac:dyDescent="0.3">
      <c r="A1066" s="1">
        <v>42314</v>
      </c>
      <c r="B1066" s="2" t="s">
        <v>1234</v>
      </c>
      <c r="C1066" s="2" t="s">
        <v>58</v>
      </c>
      <c r="D1066" s="2" t="s">
        <v>30</v>
      </c>
      <c r="E1066" s="2" t="s">
        <v>31</v>
      </c>
      <c r="F1066" s="2" t="s">
        <v>1236</v>
      </c>
      <c r="G1066" s="2">
        <v>249.58</v>
      </c>
      <c r="H1066" s="2">
        <v>2</v>
      </c>
      <c r="I1066" s="3">
        <v>31.2</v>
      </c>
    </row>
    <row r="1067" spans="1:9" x14ac:dyDescent="0.3">
      <c r="A1067" s="4">
        <v>42314</v>
      </c>
      <c r="B1067" s="5" t="s">
        <v>1234</v>
      </c>
      <c r="C1067" s="5" t="s">
        <v>58</v>
      </c>
      <c r="D1067" s="5" t="s">
        <v>25</v>
      </c>
      <c r="E1067" s="5" t="s">
        <v>38</v>
      </c>
      <c r="F1067" s="5" t="s">
        <v>733</v>
      </c>
      <c r="G1067" s="5">
        <v>48.67</v>
      </c>
      <c r="H1067" s="5">
        <v>3</v>
      </c>
      <c r="I1067" s="6">
        <v>7.3</v>
      </c>
    </row>
    <row r="1068" spans="1:9" x14ac:dyDescent="0.3">
      <c r="A1068" s="1">
        <v>42314</v>
      </c>
      <c r="B1068" s="2" t="s">
        <v>1234</v>
      </c>
      <c r="C1068" s="2" t="s">
        <v>58</v>
      </c>
      <c r="D1068" s="2" t="s">
        <v>2</v>
      </c>
      <c r="E1068" s="2" t="s">
        <v>15</v>
      </c>
      <c r="F1068" s="2" t="s">
        <v>686</v>
      </c>
      <c r="G1068" s="2">
        <v>60.77</v>
      </c>
      <c r="H1068" s="2">
        <v>2</v>
      </c>
      <c r="I1068" s="3">
        <v>7.6</v>
      </c>
    </row>
    <row r="1069" spans="1:9" x14ac:dyDescent="0.3">
      <c r="A1069" s="4">
        <v>42314</v>
      </c>
      <c r="B1069" s="5" t="s">
        <v>1234</v>
      </c>
      <c r="C1069" s="5" t="s">
        <v>58</v>
      </c>
      <c r="D1069" s="5" t="s">
        <v>2</v>
      </c>
      <c r="E1069" s="5" t="s">
        <v>11</v>
      </c>
      <c r="F1069" s="5" t="s">
        <v>63</v>
      </c>
      <c r="G1069" s="5">
        <v>78.599999999999994</v>
      </c>
      <c r="H1069" s="5">
        <v>5</v>
      </c>
      <c r="I1069" s="6">
        <v>-62.88</v>
      </c>
    </row>
    <row r="1070" spans="1:9" x14ac:dyDescent="0.3">
      <c r="A1070" s="1">
        <v>42314</v>
      </c>
      <c r="B1070" s="2" t="s">
        <v>1234</v>
      </c>
      <c r="C1070" s="2" t="s">
        <v>58</v>
      </c>
      <c r="D1070" s="2" t="s">
        <v>2</v>
      </c>
      <c r="E1070" s="2" t="s">
        <v>11</v>
      </c>
      <c r="F1070" s="2" t="s">
        <v>1237</v>
      </c>
      <c r="G1070" s="2">
        <v>3.77</v>
      </c>
      <c r="H1070" s="2">
        <v>2</v>
      </c>
      <c r="I1070" s="3">
        <v>-3.14</v>
      </c>
    </row>
    <row r="1071" spans="1:9" x14ac:dyDescent="0.3">
      <c r="A1071" s="4">
        <v>42314</v>
      </c>
      <c r="B1071" s="5" t="s">
        <v>1234</v>
      </c>
      <c r="C1071" s="5" t="s">
        <v>58</v>
      </c>
      <c r="D1071" s="5" t="s">
        <v>2</v>
      </c>
      <c r="E1071" s="5" t="s">
        <v>9</v>
      </c>
      <c r="F1071" s="5" t="s">
        <v>1238</v>
      </c>
      <c r="G1071" s="5">
        <v>1036.6199999999999</v>
      </c>
      <c r="H1071" s="5">
        <v>2</v>
      </c>
      <c r="I1071" s="6">
        <v>51.83</v>
      </c>
    </row>
    <row r="1072" spans="1:9" x14ac:dyDescent="0.3">
      <c r="A1072" s="1">
        <v>42314</v>
      </c>
      <c r="B1072" s="2" t="s">
        <v>1234</v>
      </c>
      <c r="C1072" s="2" t="s">
        <v>58</v>
      </c>
      <c r="D1072" s="2" t="s">
        <v>2</v>
      </c>
      <c r="E1072" s="2" t="s">
        <v>9</v>
      </c>
      <c r="F1072" s="2" t="s">
        <v>787</v>
      </c>
      <c r="G1072" s="2">
        <v>563.80999999999995</v>
      </c>
      <c r="H1072" s="2">
        <v>4</v>
      </c>
      <c r="I1072" s="3">
        <v>21.14</v>
      </c>
    </row>
    <row r="1073" spans="1:9" x14ac:dyDescent="0.3">
      <c r="A1073" s="4">
        <v>42344</v>
      </c>
      <c r="B1073" s="5" t="s">
        <v>1239</v>
      </c>
      <c r="C1073" s="5" t="s">
        <v>14</v>
      </c>
      <c r="D1073" s="5" t="s">
        <v>2</v>
      </c>
      <c r="E1073" s="5" t="s">
        <v>3</v>
      </c>
      <c r="F1073" s="5" t="s">
        <v>1115</v>
      </c>
      <c r="G1073" s="5">
        <v>20.74</v>
      </c>
      <c r="H1073" s="5">
        <v>4</v>
      </c>
      <c r="I1073" s="6">
        <v>7.26</v>
      </c>
    </row>
    <row r="1074" spans="1:9" x14ac:dyDescent="0.3">
      <c r="A1074" s="1">
        <v>42344</v>
      </c>
      <c r="B1074" s="2" t="s">
        <v>1239</v>
      </c>
      <c r="C1074" s="2" t="s">
        <v>14</v>
      </c>
      <c r="D1074" s="2" t="s">
        <v>25</v>
      </c>
      <c r="E1074" s="2" t="s">
        <v>38</v>
      </c>
      <c r="F1074" s="2" t="s">
        <v>1240</v>
      </c>
      <c r="G1074" s="2">
        <v>43.3</v>
      </c>
      <c r="H1074" s="2">
        <v>2</v>
      </c>
      <c r="I1074" s="3">
        <v>4.33</v>
      </c>
    </row>
    <row r="1075" spans="1:9" x14ac:dyDescent="0.3">
      <c r="A1075" s="4">
        <v>42344</v>
      </c>
      <c r="B1075" s="5" t="s">
        <v>1241</v>
      </c>
      <c r="C1075" s="5" t="s">
        <v>50</v>
      </c>
      <c r="D1075" s="5" t="s">
        <v>2</v>
      </c>
      <c r="E1075" s="5" t="s">
        <v>9</v>
      </c>
      <c r="F1075" s="5" t="s">
        <v>478</v>
      </c>
      <c r="G1075" s="5">
        <v>29.9</v>
      </c>
      <c r="H1075" s="5">
        <v>5</v>
      </c>
      <c r="I1075" s="6">
        <v>5.08</v>
      </c>
    </row>
    <row r="1076" spans="1:9" x14ac:dyDescent="0.3">
      <c r="A1076" s="1">
        <v>42344</v>
      </c>
      <c r="B1076" s="2" t="s">
        <v>1242</v>
      </c>
      <c r="C1076" s="2" t="s">
        <v>58</v>
      </c>
      <c r="D1076" s="2" t="s">
        <v>30</v>
      </c>
      <c r="E1076" s="2" t="s">
        <v>31</v>
      </c>
      <c r="F1076" s="2" t="s">
        <v>1029</v>
      </c>
      <c r="G1076" s="2">
        <v>55.98</v>
      </c>
      <c r="H1076" s="2">
        <v>2</v>
      </c>
      <c r="I1076" s="3">
        <v>4.2</v>
      </c>
    </row>
    <row r="1077" spans="1:9" x14ac:dyDescent="0.3">
      <c r="A1077" s="4">
        <v>42344</v>
      </c>
      <c r="B1077" s="5" t="s">
        <v>648</v>
      </c>
      <c r="C1077" s="5" t="s">
        <v>283</v>
      </c>
      <c r="D1077" s="5" t="s">
        <v>2</v>
      </c>
      <c r="E1077" s="5" t="s">
        <v>9</v>
      </c>
      <c r="F1077" s="5" t="s">
        <v>974</v>
      </c>
      <c r="G1077" s="5">
        <v>24.56</v>
      </c>
      <c r="H1077" s="5">
        <v>2</v>
      </c>
      <c r="I1077" s="6">
        <v>6.88</v>
      </c>
    </row>
    <row r="1078" spans="1:9" x14ac:dyDescent="0.3">
      <c r="A1078" s="1">
        <v>42042</v>
      </c>
      <c r="B1078" s="2" t="s">
        <v>175</v>
      </c>
      <c r="C1078" s="2" t="s">
        <v>1</v>
      </c>
      <c r="D1078" s="2" t="s">
        <v>2</v>
      </c>
      <c r="E1078" s="2" t="s">
        <v>133</v>
      </c>
      <c r="F1078" s="2" t="s">
        <v>876</v>
      </c>
      <c r="G1078" s="2">
        <v>32.78</v>
      </c>
      <c r="H1078" s="2">
        <v>4</v>
      </c>
      <c r="I1078" s="3">
        <v>-85.24</v>
      </c>
    </row>
    <row r="1079" spans="1:9" x14ac:dyDescent="0.3">
      <c r="A1079" s="4">
        <v>42042</v>
      </c>
      <c r="B1079" s="5" t="s">
        <v>1243</v>
      </c>
      <c r="C1079" s="5" t="s">
        <v>6</v>
      </c>
      <c r="D1079" s="5" t="s">
        <v>25</v>
      </c>
      <c r="E1079" s="5" t="s">
        <v>26</v>
      </c>
      <c r="F1079" s="5" t="s">
        <v>1244</v>
      </c>
      <c r="G1079" s="5">
        <v>408.42</v>
      </c>
      <c r="H1079" s="5">
        <v>2</v>
      </c>
      <c r="I1079" s="6">
        <v>-5.83</v>
      </c>
    </row>
    <row r="1080" spans="1:9" x14ac:dyDescent="0.3">
      <c r="A1080" s="1">
        <v>42042</v>
      </c>
      <c r="B1080" s="2" t="s">
        <v>1243</v>
      </c>
      <c r="C1080" s="2" t="s">
        <v>6</v>
      </c>
      <c r="D1080" s="2" t="s">
        <v>25</v>
      </c>
      <c r="E1080" s="2" t="s">
        <v>26</v>
      </c>
      <c r="F1080" s="2" t="s">
        <v>1245</v>
      </c>
      <c r="G1080" s="2">
        <v>382.12</v>
      </c>
      <c r="H1080" s="2">
        <v>6</v>
      </c>
      <c r="I1080" s="3">
        <v>-92.8</v>
      </c>
    </row>
    <row r="1081" spans="1:9" x14ac:dyDescent="0.3">
      <c r="A1081" s="4">
        <v>42042</v>
      </c>
      <c r="B1081" s="5" t="s">
        <v>1243</v>
      </c>
      <c r="C1081" s="5" t="s">
        <v>6</v>
      </c>
      <c r="D1081" s="5" t="s">
        <v>2</v>
      </c>
      <c r="E1081" s="5" t="s">
        <v>9</v>
      </c>
      <c r="F1081" s="5" t="s">
        <v>1246</v>
      </c>
      <c r="G1081" s="5">
        <v>68.599999999999994</v>
      </c>
      <c r="H1081" s="5">
        <v>5</v>
      </c>
      <c r="I1081" s="6">
        <v>6</v>
      </c>
    </row>
    <row r="1082" spans="1:9" x14ac:dyDescent="0.3">
      <c r="A1082" s="1">
        <v>42042</v>
      </c>
      <c r="B1082" s="2" t="s">
        <v>1243</v>
      </c>
      <c r="C1082" s="2" t="s">
        <v>6</v>
      </c>
      <c r="D1082" s="2" t="s">
        <v>2</v>
      </c>
      <c r="E1082" s="2" t="s">
        <v>9</v>
      </c>
      <c r="F1082" s="2" t="s">
        <v>829</v>
      </c>
      <c r="G1082" s="2">
        <v>435.5</v>
      </c>
      <c r="H1082" s="2">
        <v>3</v>
      </c>
      <c r="I1082" s="3">
        <v>48.99</v>
      </c>
    </row>
    <row r="1083" spans="1:9" x14ac:dyDescent="0.3">
      <c r="A1083" s="4">
        <v>42042</v>
      </c>
      <c r="B1083" s="5" t="s">
        <v>1243</v>
      </c>
      <c r="C1083" s="5" t="s">
        <v>6</v>
      </c>
      <c r="D1083" s="5" t="s">
        <v>2</v>
      </c>
      <c r="E1083" s="5" t="s">
        <v>3</v>
      </c>
      <c r="F1083" s="5" t="s">
        <v>542</v>
      </c>
      <c r="G1083" s="5">
        <v>11.17</v>
      </c>
      <c r="H1083" s="5">
        <v>2</v>
      </c>
      <c r="I1083" s="6">
        <v>3.77</v>
      </c>
    </row>
    <row r="1084" spans="1:9" x14ac:dyDescent="0.3">
      <c r="A1084" s="1">
        <v>42042</v>
      </c>
      <c r="B1084" s="2" t="s">
        <v>1247</v>
      </c>
      <c r="C1084" s="2" t="s">
        <v>58</v>
      </c>
      <c r="D1084" s="2" t="s">
        <v>2</v>
      </c>
      <c r="E1084" s="2" t="s">
        <v>3</v>
      </c>
      <c r="F1084" s="2" t="s">
        <v>315</v>
      </c>
      <c r="G1084" s="2">
        <v>11.95</v>
      </c>
      <c r="H1084" s="2">
        <v>3</v>
      </c>
      <c r="I1084" s="3">
        <v>4.03</v>
      </c>
    </row>
    <row r="1085" spans="1:9" x14ac:dyDescent="0.3">
      <c r="A1085" s="4">
        <v>42042</v>
      </c>
      <c r="B1085" s="5" t="s">
        <v>1247</v>
      </c>
      <c r="C1085" s="5" t="s">
        <v>58</v>
      </c>
      <c r="D1085" s="5" t="s">
        <v>2</v>
      </c>
      <c r="E1085" s="5" t="s">
        <v>3</v>
      </c>
      <c r="F1085" s="5" t="s">
        <v>212</v>
      </c>
      <c r="G1085" s="5">
        <v>15.55</v>
      </c>
      <c r="H1085" s="5">
        <v>3</v>
      </c>
      <c r="I1085" s="6">
        <v>5.64</v>
      </c>
    </row>
    <row r="1086" spans="1:9" x14ac:dyDescent="0.3">
      <c r="A1086" s="1">
        <v>42042</v>
      </c>
      <c r="B1086" s="2" t="s">
        <v>863</v>
      </c>
      <c r="C1086" s="2" t="s">
        <v>80</v>
      </c>
      <c r="D1086" s="2" t="s">
        <v>2</v>
      </c>
      <c r="E1086" s="2" t="s">
        <v>3</v>
      </c>
      <c r="F1086" s="2" t="s">
        <v>206</v>
      </c>
      <c r="G1086" s="2">
        <v>19.440000000000001</v>
      </c>
      <c r="H1086" s="2">
        <v>3</v>
      </c>
      <c r="I1086" s="3">
        <v>9.33</v>
      </c>
    </row>
    <row r="1087" spans="1:9" x14ac:dyDescent="0.3">
      <c r="A1087" s="4">
        <v>42042</v>
      </c>
      <c r="B1087" s="5" t="s">
        <v>1078</v>
      </c>
      <c r="C1087" s="5" t="s">
        <v>121</v>
      </c>
      <c r="D1087" s="5" t="s">
        <v>30</v>
      </c>
      <c r="E1087" s="5" t="s">
        <v>31</v>
      </c>
      <c r="F1087" s="5" t="s">
        <v>912</v>
      </c>
      <c r="G1087" s="5">
        <v>74.239999999999995</v>
      </c>
      <c r="H1087" s="5">
        <v>1</v>
      </c>
      <c r="I1087" s="6">
        <v>8.35</v>
      </c>
    </row>
    <row r="1088" spans="1:9" x14ac:dyDescent="0.3">
      <c r="A1088" s="1">
        <v>42042</v>
      </c>
      <c r="B1088" s="2" t="s">
        <v>1078</v>
      </c>
      <c r="C1088" s="2" t="s">
        <v>121</v>
      </c>
      <c r="D1088" s="2" t="s">
        <v>25</v>
      </c>
      <c r="E1088" s="2" t="s">
        <v>38</v>
      </c>
      <c r="F1088" s="2" t="s">
        <v>1248</v>
      </c>
      <c r="G1088" s="2">
        <v>159.84</v>
      </c>
      <c r="H1088" s="2">
        <v>10</v>
      </c>
      <c r="I1088" s="3">
        <v>45.95</v>
      </c>
    </row>
    <row r="1089" spans="1:9" x14ac:dyDescent="0.3">
      <c r="A1089" s="4">
        <v>42042</v>
      </c>
      <c r="B1089" s="5" t="s">
        <v>1078</v>
      </c>
      <c r="C1089" s="5" t="s">
        <v>121</v>
      </c>
      <c r="D1089" s="5" t="s">
        <v>2</v>
      </c>
      <c r="E1089" s="5" t="s">
        <v>11</v>
      </c>
      <c r="F1089" s="5" t="s">
        <v>93</v>
      </c>
      <c r="G1089" s="5">
        <v>2.89</v>
      </c>
      <c r="H1089" s="5">
        <v>2</v>
      </c>
      <c r="I1089" s="6">
        <v>-2.31</v>
      </c>
    </row>
    <row r="1090" spans="1:9" x14ac:dyDescent="0.3">
      <c r="A1090" s="1">
        <v>42042</v>
      </c>
      <c r="B1090" s="2" t="s">
        <v>1078</v>
      </c>
      <c r="C1090" s="2" t="s">
        <v>121</v>
      </c>
      <c r="D1090" s="2" t="s">
        <v>2</v>
      </c>
      <c r="E1090" s="2" t="s">
        <v>3</v>
      </c>
      <c r="F1090" s="2" t="s">
        <v>1249</v>
      </c>
      <c r="G1090" s="2">
        <v>9.39</v>
      </c>
      <c r="H1090" s="2">
        <v>2</v>
      </c>
      <c r="I1090" s="3">
        <v>3.29</v>
      </c>
    </row>
    <row r="1091" spans="1:9" x14ac:dyDescent="0.3">
      <c r="A1091" s="4">
        <v>42070</v>
      </c>
      <c r="B1091" s="5" t="s">
        <v>1250</v>
      </c>
      <c r="C1091" s="5" t="s">
        <v>24</v>
      </c>
      <c r="D1091" s="5" t="s">
        <v>25</v>
      </c>
      <c r="E1091" s="5" t="s">
        <v>26</v>
      </c>
      <c r="F1091" s="5" t="s">
        <v>1251</v>
      </c>
      <c r="G1091" s="5">
        <v>70.98</v>
      </c>
      <c r="H1091" s="5">
        <v>1</v>
      </c>
      <c r="I1091" s="6">
        <v>4.97</v>
      </c>
    </row>
    <row r="1092" spans="1:9" x14ac:dyDescent="0.3">
      <c r="A1092" s="1">
        <v>42070</v>
      </c>
      <c r="B1092" s="2" t="s">
        <v>1250</v>
      </c>
      <c r="C1092" s="2" t="s">
        <v>24</v>
      </c>
      <c r="D1092" s="2" t="s">
        <v>2</v>
      </c>
      <c r="E1092" s="2" t="s">
        <v>7</v>
      </c>
      <c r="F1092" s="2" t="s">
        <v>438</v>
      </c>
      <c r="G1092" s="2">
        <v>294.93</v>
      </c>
      <c r="H1092" s="2">
        <v>3</v>
      </c>
      <c r="I1092" s="3">
        <v>144.52000000000001</v>
      </c>
    </row>
    <row r="1093" spans="1:9" x14ac:dyDescent="0.3">
      <c r="A1093" s="4">
        <v>42070</v>
      </c>
      <c r="B1093" s="5" t="s">
        <v>816</v>
      </c>
      <c r="C1093" s="5" t="s">
        <v>14</v>
      </c>
      <c r="D1093" s="5" t="s">
        <v>25</v>
      </c>
      <c r="E1093" s="5" t="s">
        <v>38</v>
      </c>
      <c r="F1093" s="5" t="s">
        <v>1252</v>
      </c>
      <c r="G1093" s="5">
        <v>168.46</v>
      </c>
      <c r="H1093" s="5">
        <v>2</v>
      </c>
      <c r="I1093" s="6">
        <v>-29.48</v>
      </c>
    </row>
    <row r="1094" spans="1:9" x14ac:dyDescent="0.3">
      <c r="A1094" s="1">
        <v>42070</v>
      </c>
      <c r="B1094" s="2" t="s">
        <v>816</v>
      </c>
      <c r="C1094" s="2" t="s">
        <v>14</v>
      </c>
      <c r="D1094" s="2" t="s">
        <v>2</v>
      </c>
      <c r="E1094" s="2" t="s">
        <v>3</v>
      </c>
      <c r="F1094" s="2" t="s">
        <v>1253</v>
      </c>
      <c r="G1094" s="2">
        <v>6.72</v>
      </c>
      <c r="H1094" s="2">
        <v>2</v>
      </c>
      <c r="I1094" s="3">
        <v>2.44</v>
      </c>
    </row>
    <row r="1095" spans="1:9" x14ac:dyDescent="0.3">
      <c r="A1095" s="4">
        <v>42070</v>
      </c>
      <c r="B1095" s="5" t="s">
        <v>816</v>
      </c>
      <c r="C1095" s="5" t="s">
        <v>14</v>
      </c>
      <c r="D1095" s="5" t="s">
        <v>25</v>
      </c>
      <c r="E1095" s="5" t="s">
        <v>38</v>
      </c>
      <c r="F1095" s="5" t="s">
        <v>1254</v>
      </c>
      <c r="G1095" s="5">
        <v>282.89</v>
      </c>
      <c r="H1095" s="5">
        <v>9</v>
      </c>
      <c r="I1095" s="6">
        <v>56.58</v>
      </c>
    </row>
    <row r="1096" spans="1:9" x14ac:dyDescent="0.3">
      <c r="A1096" s="1">
        <v>42101</v>
      </c>
      <c r="B1096" s="2" t="s">
        <v>1255</v>
      </c>
      <c r="C1096" s="2" t="s">
        <v>53</v>
      </c>
      <c r="D1096" s="2" t="s">
        <v>30</v>
      </c>
      <c r="E1096" s="2" t="s">
        <v>31</v>
      </c>
      <c r="F1096" s="2" t="s">
        <v>1256</v>
      </c>
      <c r="G1096" s="2">
        <v>1099.96</v>
      </c>
      <c r="H1096" s="2">
        <v>4</v>
      </c>
      <c r="I1096" s="3">
        <v>285.99</v>
      </c>
    </row>
    <row r="1097" spans="1:9" x14ac:dyDescent="0.3">
      <c r="A1097" s="4">
        <v>42101</v>
      </c>
      <c r="B1097" s="5" t="s">
        <v>1257</v>
      </c>
      <c r="C1097" s="5" t="s">
        <v>80</v>
      </c>
      <c r="D1097" s="5" t="s">
        <v>2</v>
      </c>
      <c r="E1097" s="5" t="s">
        <v>15</v>
      </c>
      <c r="F1097" s="5" t="s">
        <v>1258</v>
      </c>
      <c r="G1097" s="5">
        <v>15.48</v>
      </c>
      <c r="H1097" s="5">
        <v>3</v>
      </c>
      <c r="I1097" s="6">
        <v>4.49</v>
      </c>
    </row>
    <row r="1098" spans="1:9" x14ac:dyDescent="0.3">
      <c r="A1098" s="1">
        <v>42101</v>
      </c>
      <c r="B1098" s="2" t="s">
        <v>1259</v>
      </c>
      <c r="C1098" s="2" t="s">
        <v>18</v>
      </c>
      <c r="D1098" s="2" t="s">
        <v>2</v>
      </c>
      <c r="E1098" s="2" t="s">
        <v>11</v>
      </c>
      <c r="F1098" s="2" t="s">
        <v>1116</v>
      </c>
      <c r="G1098" s="2">
        <v>22.85</v>
      </c>
      <c r="H1098" s="2">
        <v>2</v>
      </c>
      <c r="I1098" s="3">
        <v>7.43</v>
      </c>
    </row>
    <row r="1099" spans="1:9" x14ac:dyDescent="0.3">
      <c r="A1099" s="4">
        <v>42131</v>
      </c>
      <c r="B1099" s="5" t="s">
        <v>511</v>
      </c>
      <c r="C1099" s="5" t="s">
        <v>121</v>
      </c>
      <c r="D1099" s="5" t="s">
        <v>25</v>
      </c>
      <c r="E1099" s="5" t="s">
        <v>38</v>
      </c>
      <c r="F1099" s="5" t="s">
        <v>1260</v>
      </c>
      <c r="G1099" s="5">
        <v>4.93</v>
      </c>
      <c r="H1099" s="5">
        <v>2</v>
      </c>
      <c r="I1099" s="6">
        <v>0.74</v>
      </c>
    </row>
    <row r="1100" spans="1:9" x14ac:dyDescent="0.3">
      <c r="A1100" s="1">
        <v>42131</v>
      </c>
      <c r="B1100" s="2" t="s">
        <v>511</v>
      </c>
      <c r="C1100" s="2" t="s">
        <v>121</v>
      </c>
      <c r="D1100" s="2" t="s">
        <v>2</v>
      </c>
      <c r="E1100" s="2" t="s">
        <v>11</v>
      </c>
      <c r="F1100" s="2" t="s">
        <v>93</v>
      </c>
      <c r="G1100" s="2">
        <v>7.23</v>
      </c>
      <c r="H1100" s="2">
        <v>5</v>
      </c>
      <c r="I1100" s="3">
        <v>-5.78</v>
      </c>
    </row>
    <row r="1101" spans="1:9" x14ac:dyDescent="0.3">
      <c r="A1101" s="4">
        <v>42131</v>
      </c>
      <c r="B1101" s="5" t="s">
        <v>1261</v>
      </c>
      <c r="C1101" s="5" t="s">
        <v>160</v>
      </c>
      <c r="D1101" s="5" t="s">
        <v>2</v>
      </c>
      <c r="E1101" s="5" t="s">
        <v>11</v>
      </c>
      <c r="F1101" s="5" t="s">
        <v>1262</v>
      </c>
      <c r="G1101" s="5">
        <v>19</v>
      </c>
      <c r="H1101" s="5">
        <v>5</v>
      </c>
      <c r="I1101" s="6">
        <v>8.93</v>
      </c>
    </row>
    <row r="1102" spans="1:9" x14ac:dyDescent="0.3">
      <c r="A1102" s="1">
        <v>42131</v>
      </c>
      <c r="B1102" s="2" t="s">
        <v>1263</v>
      </c>
      <c r="C1102" s="2" t="s">
        <v>14</v>
      </c>
      <c r="D1102" s="2" t="s">
        <v>30</v>
      </c>
      <c r="E1102" s="2" t="s">
        <v>43</v>
      </c>
      <c r="F1102" s="2" t="s">
        <v>1264</v>
      </c>
      <c r="G1102" s="2">
        <v>34.799999999999997</v>
      </c>
      <c r="H1102" s="2">
        <v>3</v>
      </c>
      <c r="I1102" s="3">
        <v>2.1800000000000002</v>
      </c>
    </row>
    <row r="1103" spans="1:9" x14ac:dyDescent="0.3">
      <c r="A1103" s="4">
        <v>42131</v>
      </c>
      <c r="B1103" s="5" t="s">
        <v>1263</v>
      </c>
      <c r="C1103" s="5" t="s">
        <v>14</v>
      </c>
      <c r="D1103" s="5" t="s">
        <v>2</v>
      </c>
      <c r="E1103" s="5" t="s">
        <v>9</v>
      </c>
      <c r="F1103" s="5" t="s">
        <v>81</v>
      </c>
      <c r="G1103" s="5">
        <v>38.979999999999997</v>
      </c>
      <c r="H1103" s="5">
        <v>3</v>
      </c>
      <c r="I1103" s="6">
        <v>-2.44</v>
      </c>
    </row>
    <row r="1104" spans="1:9" x14ac:dyDescent="0.3">
      <c r="A1104" s="1">
        <v>42131</v>
      </c>
      <c r="B1104" s="2" t="s">
        <v>246</v>
      </c>
      <c r="C1104" s="2" t="s">
        <v>121</v>
      </c>
      <c r="D1104" s="2" t="s">
        <v>25</v>
      </c>
      <c r="E1104" s="2" t="s">
        <v>38</v>
      </c>
      <c r="F1104" s="2" t="s">
        <v>1260</v>
      </c>
      <c r="G1104" s="2">
        <v>4.93</v>
      </c>
      <c r="H1104" s="2">
        <v>2</v>
      </c>
      <c r="I1104" s="3">
        <v>0.74</v>
      </c>
    </row>
    <row r="1105" spans="1:9" x14ac:dyDescent="0.3">
      <c r="A1105" s="4">
        <v>42131</v>
      </c>
      <c r="B1105" s="5" t="s">
        <v>246</v>
      </c>
      <c r="C1105" s="5" t="s">
        <v>121</v>
      </c>
      <c r="D1105" s="5" t="s">
        <v>2</v>
      </c>
      <c r="E1105" s="5" t="s">
        <v>7</v>
      </c>
      <c r="F1105" s="5" t="s">
        <v>8</v>
      </c>
      <c r="G1105" s="5">
        <v>11.78</v>
      </c>
      <c r="H1105" s="5">
        <v>3</v>
      </c>
      <c r="I1105" s="6">
        <v>4.2699999999999996</v>
      </c>
    </row>
    <row r="1106" spans="1:9" x14ac:dyDescent="0.3">
      <c r="A1106" s="1">
        <v>42162</v>
      </c>
      <c r="B1106" s="2" t="s">
        <v>1265</v>
      </c>
      <c r="C1106" s="2" t="s">
        <v>80</v>
      </c>
      <c r="D1106" s="2" t="s">
        <v>25</v>
      </c>
      <c r="E1106" s="2" t="s">
        <v>38</v>
      </c>
      <c r="F1106" s="2" t="s">
        <v>393</v>
      </c>
      <c r="G1106" s="2">
        <v>13.96</v>
      </c>
      <c r="H1106" s="2">
        <v>2</v>
      </c>
      <c r="I1106" s="3">
        <v>6.7</v>
      </c>
    </row>
    <row r="1107" spans="1:9" x14ac:dyDescent="0.3">
      <c r="A1107" s="4">
        <v>42162</v>
      </c>
      <c r="B1107" s="5" t="s">
        <v>1265</v>
      </c>
      <c r="C1107" s="5" t="s">
        <v>80</v>
      </c>
      <c r="D1107" s="5" t="s">
        <v>25</v>
      </c>
      <c r="E1107" s="5" t="s">
        <v>38</v>
      </c>
      <c r="F1107" s="5" t="s">
        <v>48</v>
      </c>
      <c r="G1107" s="5">
        <v>155.82</v>
      </c>
      <c r="H1107" s="5">
        <v>3</v>
      </c>
      <c r="I1107" s="6">
        <v>63.89</v>
      </c>
    </row>
    <row r="1108" spans="1:9" x14ac:dyDescent="0.3">
      <c r="A1108" s="1">
        <v>42162</v>
      </c>
      <c r="B1108" s="2" t="s">
        <v>1265</v>
      </c>
      <c r="C1108" s="2" t="s">
        <v>80</v>
      </c>
      <c r="D1108" s="2" t="s">
        <v>30</v>
      </c>
      <c r="E1108" s="2" t="s">
        <v>31</v>
      </c>
      <c r="F1108" s="2" t="s">
        <v>1266</v>
      </c>
      <c r="G1108" s="2">
        <v>124.95</v>
      </c>
      <c r="H1108" s="2">
        <v>5</v>
      </c>
      <c r="I1108" s="3">
        <v>2.5</v>
      </c>
    </row>
    <row r="1109" spans="1:9" x14ac:dyDescent="0.3">
      <c r="A1109" s="4">
        <v>42162</v>
      </c>
      <c r="B1109" s="5" t="s">
        <v>1265</v>
      </c>
      <c r="C1109" s="5" t="s">
        <v>80</v>
      </c>
      <c r="D1109" s="5" t="s">
        <v>2</v>
      </c>
      <c r="E1109" s="5" t="s">
        <v>9</v>
      </c>
      <c r="F1109" s="5" t="s">
        <v>1267</v>
      </c>
      <c r="G1109" s="5">
        <v>601.65</v>
      </c>
      <c r="H1109" s="5">
        <v>5</v>
      </c>
      <c r="I1109" s="6">
        <v>156.43</v>
      </c>
    </row>
    <row r="1110" spans="1:9" x14ac:dyDescent="0.3">
      <c r="A1110" s="1">
        <v>42162</v>
      </c>
      <c r="B1110" s="2" t="s">
        <v>690</v>
      </c>
      <c r="C1110" s="2" t="s">
        <v>181</v>
      </c>
      <c r="D1110" s="2" t="s">
        <v>25</v>
      </c>
      <c r="E1110" s="2" t="s">
        <v>129</v>
      </c>
      <c r="F1110" s="2" t="s">
        <v>1268</v>
      </c>
      <c r="G1110" s="2">
        <v>301.95999999999998</v>
      </c>
      <c r="H1110" s="2">
        <v>2</v>
      </c>
      <c r="I1110" s="3">
        <v>60.39</v>
      </c>
    </row>
    <row r="1111" spans="1:9" x14ac:dyDescent="0.3">
      <c r="A1111" s="4">
        <v>42162</v>
      </c>
      <c r="B1111" s="5" t="s">
        <v>1079</v>
      </c>
      <c r="C1111" s="5" t="s">
        <v>18</v>
      </c>
      <c r="D1111" s="5" t="s">
        <v>25</v>
      </c>
      <c r="E1111" s="5" t="s">
        <v>26</v>
      </c>
      <c r="F1111" s="5" t="s">
        <v>1269</v>
      </c>
      <c r="G1111" s="5">
        <v>170.35</v>
      </c>
      <c r="H1111" s="5">
        <v>3</v>
      </c>
      <c r="I1111" s="6">
        <v>-17.04</v>
      </c>
    </row>
    <row r="1112" spans="1:9" x14ac:dyDescent="0.3">
      <c r="A1112" s="1">
        <v>42162</v>
      </c>
      <c r="B1112" s="2" t="s">
        <v>511</v>
      </c>
      <c r="C1112" s="2" t="s">
        <v>77</v>
      </c>
      <c r="D1112" s="2" t="s">
        <v>2</v>
      </c>
      <c r="E1112" s="2" t="s">
        <v>15</v>
      </c>
      <c r="F1112" s="2" t="s">
        <v>1270</v>
      </c>
      <c r="G1112" s="2">
        <v>11.12</v>
      </c>
      <c r="H1112" s="2">
        <v>4</v>
      </c>
      <c r="I1112" s="3">
        <v>2.89</v>
      </c>
    </row>
    <row r="1113" spans="1:9" x14ac:dyDescent="0.3">
      <c r="A1113" s="4">
        <v>42223</v>
      </c>
      <c r="B1113" s="5" t="s">
        <v>1271</v>
      </c>
      <c r="C1113" s="5" t="s">
        <v>1</v>
      </c>
      <c r="D1113" s="5" t="s">
        <v>2</v>
      </c>
      <c r="E1113" s="5" t="s">
        <v>3</v>
      </c>
      <c r="F1113" s="5" t="s">
        <v>185</v>
      </c>
      <c r="G1113" s="5">
        <v>21.12</v>
      </c>
      <c r="H1113" s="5">
        <v>5</v>
      </c>
      <c r="I1113" s="6">
        <v>6.6</v>
      </c>
    </row>
    <row r="1114" spans="1:9" x14ac:dyDescent="0.3">
      <c r="A1114" s="1">
        <v>42254</v>
      </c>
      <c r="B1114" s="2" t="s">
        <v>1031</v>
      </c>
      <c r="C1114" s="2" t="s">
        <v>181</v>
      </c>
      <c r="D1114" s="2" t="s">
        <v>2</v>
      </c>
      <c r="E1114" s="2" t="s">
        <v>3</v>
      </c>
      <c r="F1114" s="2" t="s">
        <v>1272</v>
      </c>
      <c r="G1114" s="2">
        <v>6.58</v>
      </c>
      <c r="H1114" s="2">
        <v>2</v>
      </c>
      <c r="I1114" s="3">
        <v>3.03</v>
      </c>
    </row>
    <row r="1115" spans="1:9" x14ac:dyDescent="0.3">
      <c r="A1115" s="4">
        <v>42254</v>
      </c>
      <c r="B1115" s="5" t="s">
        <v>1031</v>
      </c>
      <c r="C1115" s="5" t="s">
        <v>181</v>
      </c>
      <c r="D1115" s="5" t="s">
        <v>2</v>
      </c>
      <c r="E1115" s="5" t="s">
        <v>11</v>
      </c>
      <c r="F1115" s="5" t="s">
        <v>472</v>
      </c>
      <c r="G1115" s="5">
        <v>122.94</v>
      </c>
      <c r="H1115" s="5">
        <v>3</v>
      </c>
      <c r="I1115" s="6">
        <v>59.01</v>
      </c>
    </row>
    <row r="1116" spans="1:9" x14ac:dyDescent="0.3">
      <c r="A1116" s="1">
        <v>42254</v>
      </c>
      <c r="B1116" s="2" t="s">
        <v>311</v>
      </c>
      <c r="C1116" s="2" t="s">
        <v>411</v>
      </c>
      <c r="D1116" s="2" t="s">
        <v>2</v>
      </c>
      <c r="E1116" s="2" t="s">
        <v>15</v>
      </c>
      <c r="F1116" s="2" t="s">
        <v>1273</v>
      </c>
      <c r="G1116" s="2">
        <v>5.16</v>
      </c>
      <c r="H1116" s="2">
        <v>3</v>
      </c>
      <c r="I1116" s="3">
        <v>0.84</v>
      </c>
    </row>
    <row r="1117" spans="1:9" x14ac:dyDescent="0.3">
      <c r="A1117" s="4">
        <v>42254</v>
      </c>
      <c r="B1117" s="5" t="s">
        <v>1274</v>
      </c>
      <c r="C1117" s="5" t="s">
        <v>958</v>
      </c>
      <c r="D1117" s="5" t="s">
        <v>2</v>
      </c>
      <c r="E1117" s="5" t="s">
        <v>34</v>
      </c>
      <c r="F1117" s="5" t="s">
        <v>1275</v>
      </c>
      <c r="G1117" s="5">
        <v>15.8</v>
      </c>
      <c r="H1117" s="5">
        <v>4</v>
      </c>
      <c r="I1117" s="6">
        <v>5.0599999999999996</v>
      </c>
    </row>
    <row r="1118" spans="1:9" x14ac:dyDescent="0.3">
      <c r="A1118" s="1">
        <v>42254</v>
      </c>
      <c r="B1118" s="2" t="s">
        <v>1274</v>
      </c>
      <c r="C1118" s="2" t="s">
        <v>958</v>
      </c>
      <c r="D1118" s="2" t="s">
        <v>30</v>
      </c>
      <c r="E1118" s="2" t="s">
        <v>625</v>
      </c>
      <c r="F1118" s="2" t="s">
        <v>1276</v>
      </c>
      <c r="G1118" s="2">
        <v>464.97</v>
      </c>
      <c r="H1118" s="2">
        <v>3</v>
      </c>
      <c r="I1118" s="3">
        <v>209.24</v>
      </c>
    </row>
    <row r="1119" spans="1:9" x14ac:dyDescent="0.3">
      <c r="A1119" s="4">
        <v>42254</v>
      </c>
      <c r="B1119" s="5" t="s">
        <v>1274</v>
      </c>
      <c r="C1119" s="5" t="s">
        <v>958</v>
      </c>
      <c r="D1119" s="5" t="s">
        <v>25</v>
      </c>
      <c r="E1119" s="5" t="s">
        <v>38</v>
      </c>
      <c r="F1119" s="5" t="s">
        <v>1277</v>
      </c>
      <c r="G1119" s="5">
        <v>181.96</v>
      </c>
      <c r="H1119" s="5">
        <v>2</v>
      </c>
      <c r="I1119" s="6">
        <v>20.02</v>
      </c>
    </row>
    <row r="1120" spans="1:9" x14ac:dyDescent="0.3">
      <c r="A1120" s="1">
        <v>42254</v>
      </c>
      <c r="B1120" s="2" t="s">
        <v>1274</v>
      </c>
      <c r="C1120" s="2" t="s">
        <v>958</v>
      </c>
      <c r="D1120" s="2" t="s">
        <v>2</v>
      </c>
      <c r="E1120" s="2" t="s">
        <v>7</v>
      </c>
      <c r="F1120" s="2" t="s">
        <v>1278</v>
      </c>
      <c r="G1120" s="2">
        <v>12.39</v>
      </c>
      <c r="H1120" s="2">
        <v>3</v>
      </c>
      <c r="I1120" s="3">
        <v>5.7</v>
      </c>
    </row>
    <row r="1121" spans="1:9" x14ac:dyDescent="0.3">
      <c r="A1121" s="4">
        <v>42254</v>
      </c>
      <c r="B1121" s="5" t="s">
        <v>1274</v>
      </c>
      <c r="C1121" s="5" t="s">
        <v>958</v>
      </c>
      <c r="D1121" s="5" t="s">
        <v>2</v>
      </c>
      <c r="E1121" s="5" t="s">
        <v>11</v>
      </c>
      <c r="F1121" s="5" t="s">
        <v>598</v>
      </c>
      <c r="G1121" s="5">
        <v>84.09</v>
      </c>
      <c r="H1121" s="5">
        <v>3</v>
      </c>
      <c r="I1121" s="6">
        <v>42.05</v>
      </c>
    </row>
    <row r="1122" spans="1:9" x14ac:dyDescent="0.3">
      <c r="A1122" s="1">
        <v>42254</v>
      </c>
      <c r="B1122" s="2" t="s">
        <v>1274</v>
      </c>
      <c r="C1122" s="2" t="s">
        <v>958</v>
      </c>
      <c r="D1122" s="2" t="s">
        <v>2</v>
      </c>
      <c r="E1122" s="2" t="s">
        <v>15</v>
      </c>
      <c r="F1122" s="2" t="s">
        <v>286</v>
      </c>
      <c r="G1122" s="2">
        <v>79.36</v>
      </c>
      <c r="H1122" s="2">
        <v>4</v>
      </c>
      <c r="I1122" s="3">
        <v>32.54</v>
      </c>
    </row>
    <row r="1123" spans="1:9" x14ac:dyDescent="0.3">
      <c r="A1123" s="4">
        <v>42254</v>
      </c>
      <c r="B1123" s="5" t="s">
        <v>1274</v>
      </c>
      <c r="C1123" s="5" t="s">
        <v>958</v>
      </c>
      <c r="D1123" s="5" t="s">
        <v>2</v>
      </c>
      <c r="E1123" s="5" t="s">
        <v>11</v>
      </c>
      <c r="F1123" s="5" t="s">
        <v>1279</v>
      </c>
      <c r="G1123" s="5">
        <v>153.36000000000001</v>
      </c>
      <c r="H1123" s="5">
        <v>9</v>
      </c>
      <c r="I1123" s="6">
        <v>70.55</v>
      </c>
    </row>
    <row r="1124" spans="1:9" x14ac:dyDescent="0.3">
      <c r="A1124" s="1">
        <v>42254</v>
      </c>
      <c r="B1124" s="2" t="s">
        <v>1274</v>
      </c>
      <c r="C1124" s="2" t="s">
        <v>958</v>
      </c>
      <c r="D1124" s="2" t="s">
        <v>2</v>
      </c>
      <c r="E1124" s="2" t="s">
        <v>11</v>
      </c>
      <c r="F1124" s="2" t="s">
        <v>1280</v>
      </c>
      <c r="G1124" s="2">
        <v>43.68</v>
      </c>
      <c r="H1124" s="2">
        <v>6</v>
      </c>
      <c r="I1124" s="3">
        <v>21.4</v>
      </c>
    </row>
    <row r="1125" spans="1:9" x14ac:dyDescent="0.3">
      <c r="A1125" s="4">
        <v>42254</v>
      </c>
      <c r="B1125" s="5" t="s">
        <v>1274</v>
      </c>
      <c r="C1125" s="5" t="s">
        <v>958</v>
      </c>
      <c r="D1125" s="5" t="s">
        <v>2</v>
      </c>
      <c r="E1125" s="5" t="s">
        <v>9</v>
      </c>
      <c r="F1125" s="5" t="s">
        <v>1281</v>
      </c>
      <c r="G1125" s="5">
        <v>98.21</v>
      </c>
      <c r="H1125" s="5">
        <v>7</v>
      </c>
      <c r="I1125" s="6">
        <v>28.48</v>
      </c>
    </row>
    <row r="1126" spans="1:9" x14ac:dyDescent="0.3">
      <c r="A1126" s="1">
        <v>42254</v>
      </c>
      <c r="B1126" s="2" t="s">
        <v>957</v>
      </c>
      <c r="C1126" s="2" t="s">
        <v>14</v>
      </c>
      <c r="D1126" s="2" t="s">
        <v>30</v>
      </c>
      <c r="E1126" s="2" t="s">
        <v>31</v>
      </c>
      <c r="F1126" s="2" t="s">
        <v>1282</v>
      </c>
      <c r="G1126" s="2">
        <v>269.98</v>
      </c>
      <c r="H1126" s="2">
        <v>3</v>
      </c>
      <c r="I1126" s="3">
        <v>40.5</v>
      </c>
    </row>
    <row r="1127" spans="1:9" x14ac:dyDescent="0.3">
      <c r="A1127" s="4">
        <v>42254</v>
      </c>
      <c r="B1127" s="5" t="s">
        <v>277</v>
      </c>
      <c r="C1127" s="5" t="s">
        <v>1</v>
      </c>
      <c r="D1127" s="5" t="s">
        <v>2</v>
      </c>
      <c r="E1127" s="5" t="s">
        <v>133</v>
      </c>
      <c r="F1127" s="5" t="s">
        <v>1283</v>
      </c>
      <c r="G1127" s="5">
        <v>48.63</v>
      </c>
      <c r="H1127" s="5">
        <v>2</v>
      </c>
      <c r="I1127" s="6">
        <v>-121.58</v>
      </c>
    </row>
    <row r="1128" spans="1:9" x14ac:dyDescent="0.3">
      <c r="A1128" s="1">
        <v>42284</v>
      </c>
      <c r="B1128" s="2" t="s">
        <v>444</v>
      </c>
      <c r="C1128" s="2" t="s">
        <v>253</v>
      </c>
      <c r="D1128" s="2" t="s">
        <v>2</v>
      </c>
      <c r="E1128" s="2" t="s">
        <v>11</v>
      </c>
      <c r="F1128" s="2" t="s">
        <v>1284</v>
      </c>
      <c r="G1128" s="2">
        <v>3.37</v>
      </c>
      <c r="H1128" s="2">
        <v>3</v>
      </c>
      <c r="I1128" s="3">
        <v>-2.2400000000000002</v>
      </c>
    </row>
    <row r="1129" spans="1:9" x14ac:dyDescent="0.3">
      <c r="A1129" s="4">
        <v>42284</v>
      </c>
      <c r="B1129" s="5" t="s">
        <v>1098</v>
      </c>
      <c r="C1129" s="5" t="s">
        <v>18</v>
      </c>
      <c r="D1129" s="5" t="s">
        <v>2</v>
      </c>
      <c r="E1129" s="5" t="s">
        <v>11</v>
      </c>
      <c r="F1129" s="5" t="s">
        <v>226</v>
      </c>
      <c r="G1129" s="5">
        <v>39.92</v>
      </c>
      <c r="H1129" s="5">
        <v>2</v>
      </c>
      <c r="I1129" s="6">
        <v>12.97</v>
      </c>
    </row>
    <row r="1130" spans="1:9" x14ac:dyDescent="0.3">
      <c r="A1130" s="1">
        <v>42315</v>
      </c>
      <c r="B1130" s="2" t="s">
        <v>1285</v>
      </c>
      <c r="C1130" s="2" t="s">
        <v>14</v>
      </c>
      <c r="D1130" s="2" t="s">
        <v>25</v>
      </c>
      <c r="E1130" s="2" t="s">
        <v>38</v>
      </c>
      <c r="F1130" s="2" t="s">
        <v>1286</v>
      </c>
      <c r="G1130" s="2">
        <v>289.8</v>
      </c>
      <c r="H1130" s="2">
        <v>7</v>
      </c>
      <c r="I1130" s="3">
        <v>36.229999999999997</v>
      </c>
    </row>
    <row r="1131" spans="1:9" x14ac:dyDescent="0.3">
      <c r="A1131" s="4">
        <v>42315</v>
      </c>
      <c r="B1131" s="5" t="s">
        <v>1285</v>
      </c>
      <c r="C1131" s="5" t="s">
        <v>14</v>
      </c>
      <c r="D1131" s="5" t="s">
        <v>2</v>
      </c>
      <c r="E1131" s="5" t="s">
        <v>11</v>
      </c>
      <c r="F1131" s="5" t="s">
        <v>1119</v>
      </c>
      <c r="G1131" s="5">
        <v>2.5</v>
      </c>
      <c r="H1131" s="5">
        <v>3</v>
      </c>
      <c r="I1131" s="6">
        <v>-2</v>
      </c>
    </row>
    <row r="1132" spans="1:9" x14ac:dyDescent="0.3">
      <c r="A1132" s="1">
        <v>42315</v>
      </c>
      <c r="B1132" s="2" t="s">
        <v>1285</v>
      </c>
      <c r="C1132" s="2" t="s">
        <v>14</v>
      </c>
      <c r="D1132" s="2" t="s">
        <v>2</v>
      </c>
      <c r="E1132" s="2" t="s">
        <v>11</v>
      </c>
      <c r="F1132" s="2" t="s">
        <v>1287</v>
      </c>
      <c r="G1132" s="2">
        <v>6.48</v>
      </c>
      <c r="H1132" s="2">
        <v>4</v>
      </c>
      <c r="I1132" s="3">
        <v>-4.75</v>
      </c>
    </row>
    <row r="1133" spans="1:9" x14ac:dyDescent="0.3">
      <c r="A1133" s="4">
        <v>42315</v>
      </c>
      <c r="B1133" s="5" t="s">
        <v>1285</v>
      </c>
      <c r="C1133" s="5" t="s">
        <v>14</v>
      </c>
      <c r="D1133" s="5" t="s">
        <v>25</v>
      </c>
      <c r="E1133" s="5" t="s">
        <v>26</v>
      </c>
      <c r="F1133" s="5" t="s">
        <v>1288</v>
      </c>
      <c r="G1133" s="5">
        <v>341.49</v>
      </c>
      <c r="H1133" s="5">
        <v>8</v>
      </c>
      <c r="I1133" s="6">
        <v>-73.180000000000007</v>
      </c>
    </row>
    <row r="1134" spans="1:9" x14ac:dyDescent="0.3">
      <c r="A1134" s="1">
        <v>42315</v>
      </c>
      <c r="B1134" s="2" t="s">
        <v>1285</v>
      </c>
      <c r="C1134" s="2" t="s">
        <v>14</v>
      </c>
      <c r="D1134" s="2" t="s">
        <v>2</v>
      </c>
      <c r="E1134" s="2" t="s">
        <v>15</v>
      </c>
      <c r="F1134" s="2" t="s">
        <v>1270</v>
      </c>
      <c r="G1134" s="2">
        <v>11.12</v>
      </c>
      <c r="H1134" s="2">
        <v>5</v>
      </c>
      <c r="I1134" s="3">
        <v>0.83</v>
      </c>
    </row>
    <row r="1135" spans="1:9" x14ac:dyDescent="0.3">
      <c r="A1135" s="4">
        <v>42315</v>
      </c>
      <c r="B1135" s="5" t="s">
        <v>1285</v>
      </c>
      <c r="C1135" s="5" t="s">
        <v>14</v>
      </c>
      <c r="D1135" s="5" t="s">
        <v>25</v>
      </c>
      <c r="E1135" s="5" t="s">
        <v>38</v>
      </c>
      <c r="F1135" s="5" t="s">
        <v>815</v>
      </c>
      <c r="G1135" s="5">
        <v>25.34</v>
      </c>
      <c r="H1135" s="5">
        <v>6</v>
      </c>
      <c r="I1135" s="6">
        <v>3.48</v>
      </c>
    </row>
    <row r="1136" spans="1:9" x14ac:dyDescent="0.3">
      <c r="A1136" s="1">
        <v>42315</v>
      </c>
      <c r="B1136" s="2" t="s">
        <v>105</v>
      </c>
      <c r="C1136" s="2" t="s">
        <v>62</v>
      </c>
      <c r="D1136" s="2" t="s">
        <v>2</v>
      </c>
      <c r="E1136" s="2" t="s">
        <v>3</v>
      </c>
      <c r="F1136" s="2" t="s">
        <v>1289</v>
      </c>
      <c r="G1136" s="2">
        <v>29.97</v>
      </c>
      <c r="H1136" s="2">
        <v>3</v>
      </c>
      <c r="I1136" s="3">
        <v>13.49</v>
      </c>
    </row>
    <row r="1137" spans="1:9" x14ac:dyDescent="0.3">
      <c r="A1137" s="4">
        <v>42315</v>
      </c>
      <c r="B1137" s="5" t="s">
        <v>105</v>
      </c>
      <c r="C1137" s="5" t="s">
        <v>62</v>
      </c>
      <c r="D1137" s="5" t="s">
        <v>2</v>
      </c>
      <c r="E1137" s="5" t="s">
        <v>11</v>
      </c>
      <c r="F1137" s="5" t="s">
        <v>472</v>
      </c>
      <c r="G1137" s="5">
        <v>98.35</v>
      </c>
      <c r="H1137" s="5">
        <v>3</v>
      </c>
      <c r="I1137" s="6">
        <v>34.42</v>
      </c>
    </row>
    <row r="1138" spans="1:9" x14ac:dyDescent="0.3">
      <c r="A1138" s="1">
        <v>42315</v>
      </c>
      <c r="B1138" s="2" t="s">
        <v>1290</v>
      </c>
      <c r="C1138" s="2" t="s">
        <v>50</v>
      </c>
      <c r="D1138" s="2" t="s">
        <v>25</v>
      </c>
      <c r="E1138" s="2" t="s">
        <v>86</v>
      </c>
      <c r="F1138" s="2" t="s">
        <v>1291</v>
      </c>
      <c r="G1138" s="2">
        <v>199.84</v>
      </c>
      <c r="H1138" s="2">
        <v>4</v>
      </c>
      <c r="I1138" s="3">
        <v>-37.11</v>
      </c>
    </row>
    <row r="1139" spans="1:9" x14ac:dyDescent="0.3">
      <c r="A1139" s="4">
        <v>42315</v>
      </c>
      <c r="B1139" s="5" t="s">
        <v>1290</v>
      </c>
      <c r="C1139" s="5" t="s">
        <v>50</v>
      </c>
      <c r="D1139" s="5" t="s">
        <v>30</v>
      </c>
      <c r="E1139" s="5" t="s">
        <v>31</v>
      </c>
      <c r="F1139" s="5" t="s">
        <v>341</v>
      </c>
      <c r="G1139" s="5">
        <v>716</v>
      </c>
      <c r="H1139" s="5">
        <v>2</v>
      </c>
      <c r="I1139" s="6">
        <v>193.32</v>
      </c>
    </row>
    <row r="1140" spans="1:9" x14ac:dyDescent="0.3">
      <c r="A1140" s="1">
        <v>42315</v>
      </c>
      <c r="B1140" s="2" t="s">
        <v>1290</v>
      </c>
      <c r="C1140" s="2" t="s">
        <v>50</v>
      </c>
      <c r="D1140" s="2" t="s">
        <v>2</v>
      </c>
      <c r="E1140" s="2" t="s">
        <v>11</v>
      </c>
      <c r="F1140" s="2" t="s">
        <v>1292</v>
      </c>
      <c r="G1140" s="2">
        <v>221.06</v>
      </c>
      <c r="H1140" s="2">
        <v>7</v>
      </c>
      <c r="I1140" s="3">
        <v>103.9</v>
      </c>
    </row>
    <row r="1141" spans="1:9" x14ac:dyDescent="0.3">
      <c r="A1141" s="4">
        <v>42345</v>
      </c>
      <c r="B1141" s="5" t="s">
        <v>979</v>
      </c>
      <c r="C1141" s="5" t="s">
        <v>6</v>
      </c>
      <c r="D1141" s="5" t="s">
        <v>25</v>
      </c>
      <c r="E1141" s="5" t="s">
        <v>26</v>
      </c>
      <c r="F1141" s="5" t="s">
        <v>149</v>
      </c>
      <c r="G1141" s="5">
        <v>383.61</v>
      </c>
      <c r="H1141" s="5">
        <v>9</v>
      </c>
      <c r="I1141" s="6">
        <v>-5.48</v>
      </c>
    </row>
    <row r="1142" spans="1:9" x14ac:dyDescent="0.3">
      <c r="A1142" s="1">
        <v>42345</v>
      </c>
      <c r="B1142" s="2" t="s">
        <v>979</v>
      </c>
      <c r="C1142" s="2" t="s">
        <v>6</v>
      </c>
      <c r="D1142" s="2" t="s">
        <v>30</v>
      </c>
      <c r="E1142" s="2" t="s">
        <v>31</v>
      </c>
      <c r="F1142" s="2" t="s">
        <v>912</v>
      </c>
      <c r="G1142" s="2">
        <v>148.47999999999999</v>
      </c>
      <c r="H1142" s="2">
        <v>2</v>
      </c>
      <c r="I1142" s="3">
        <v>16.7</v>
      </c>
    </row>
    <row r="1143" spans="1:9" x14ac:dyDescent="0.3">
      <c r="A1143" s="4">
        <v>42345</v>
      </c>
      <c r="B1143" s="5" t="s">
        <v>979</v>
      </c>
      <c r="C1143" s="5" t="s">
        <v>6</v>
      </c>
      <c r="D1143" s="5" t="s">
        <v>30</v>
      </c>
      <c r="E1143" s="5" t="s">
        <v>31</v>
      </c>
      <c r="F1143" s="5" t="s">
        <v>1293</v>
      </c>
      <c r="G1143" s="5">
        <v>537.54</v>
      </c>
      <c r="H1143" s="5">
        <v>7</v>
      </c>
      <c r="I1143" s="6">
        <v>53.75</v>
      </c>
    </row>
    <row r="1144" spans="1:9" x14ac:dyDescent="0.3">
      <c r="A1144" s="1">
        <v>42345</v>
      </c>
      <c r="B1144" s="2" t="s">
        <v>979</v>
      </c>
      <c r="C1144" s="2" t="s">
        <v>6</v>
      </c>
      <c r="D1144" s="2" t="s">
        <v>2</v>
      </c>
      <c r="E1144" s="2" t="s">
        <v>11</v>
      </c>
      <c r="F1144" s="2" t="s">
        <v>498</v>
      </c>
      <c r="G1144" s="2">
        <v>1.93</v>
      </c>
      <c r="H1144" s="2">
        <v>2</v>
      </c>
      <c r="I1144" s="3">
        <v>-2.99</v>
      </c>
    </row>
    <row r="1145" spans="1:9" x14ac:dyDescent="0.3">
      <c r="A1145" s="4">
        <v>42345</v>
      </c>
      <c r="B1145" s="5" t="s">
        <v>979</v>
      </c>
      <c r="C1145" s="5" t="s">
        <v>6</v>
      </c>
      <c r="D1145" s="5" t="s">
        <v>2</v>
      </c>
      <c r="E1145" s="5" t="s">
        <v>15</v>
      </c>
      <c r="F1145" s="5" t="s">
        <v>990</v>
      </c>
      <c r="G1145" s="5">
        <v>6.91</v>
      </c>
      <c r="H1145" s="5">
        <v>3</v>
      </c>
      <c r="I1145" s="6">
        <v>0.69</v>
      </c>
    </row>
    <row r="1146" spans="1:9" x14ac:dyDescent="0.3">
      <c r="A1146" s="1">
        <v>42345</v>
      </c>
      <c r="B1146" s="2" t="s">
        <v>979</v>
      </c>
      <c r="C1146" s="2" t="s">
        <v>6</v>
      </c>
      <c r="D1146" s="2" t="s">
        <v>25</v>
      </c>
      <c r="E1146" s="2" t="s">
        <v>38</v>
      </c>
      <c r="F1146" s="2" t="s">
        <v>939</v>
      </c>
      <c r="G1146" s="2">
        <v>7.76</v>
      </c>
      <c r="H1146" s="2">
        <v>1</v>
      </c>
      <c r="I1146" s="3">
        <v>-2.13</v>
      </c>
    </row>
    <row r="1147" spans="1:9" x14ac:dyDescent="0.3">
      <c r="A1147" s="4">
        <v>42345</v>
      </c>
      <c r="B1147" s="5" t="s">
        <v>979</v>
      </c>
      <c r="C1147" s="5" t="s">
        <v>6</v>
      </c>
      <c r="D1147" s="5" t="s">
        <v>30</v>
      </c>
      <c r="E1147" s="5" t="s">
        <v>31</v>
      </c>
      <c r="F1147" s="5" t="s">
        <v>1294</v>
      </c>
      <c r="G1147" s="5">
        <v>659.17</v>
      </c>
      <c r="H1147" s="5">
        <v>4</v>
      </c>
      <c r="I1147" s="6">
        <v>49.44</v>
      </c>
    </row>
    <row r="1148" spans="1:9" x14ac:dyDescent="0.3">
      <c r="A1148" s="1">
        <v>42345</v>
      </c>
      <c r="B1148" s="2" t="s">
        <v>1295</v>
      </c>
      <c r="C1148" s="2" t="s">
        <v>1</v>
      </c>
      <c r="D1148" s="2" t="s">
        <v>30</v>
      </c>
      <c r="E1148" s="2" t="s">
        <v>31</v>
      </c>
      <c r="F1148" s="2" t="s">
        <v>1293</v>
      </c>
      <c r="G1148" s="2">
        <v>307.17</v>
      </c>
      <c r="H1148" s="2">
        <v>4</v>
      </c>
      <c r="I1148" s="3">
        <v>30.72</v>
      </c>
    </row>
    <row r="1149" spans="1:9" x14ac:dyDescent="0.3">
      <c r="A1149" s="4">
        <v>42012</v>
      </c>
      <c r="B1149" s="5" t="s">
        <v>258</v>
      </c>
      <c r="C1149" s="5" t="s">
        <v>18</v>
      </c>
      <c r="D1149" s="5" t="s">
        <v>2</v>
      </c>
      <c r="E1149" s="5" t="s">
        <v>15</v>
      </c>
      <c r="F1149" s="5" t="s">
        <v>844</v>
      </c>
      <c r="G1149" s="5">
        <v>6.72</v>
      </c>
      <c r="H1149" s="5">
        <v>4</v>
      </c>
      <c r="I1149" s="6">
        <v>3.36</v>
      </c>
    </row>
    <row r="1150" spans="1:9" x14ac:dyDescent="0.3">
      <c r="A1150" s="1">
        <v>42012</v>
      </c>
      <c r="B1150" s="2" t="s">
        <v>258</v>
      </c>
      <c r="C1150" s="2" t="s">
        <v>18</v>
      </c>
      <c r="D1150" s="2" t="s">
        <v>25</v>
      </c>
      <c r="E1150" s="2" t="s">
        <v>86</v>
      </c>
      <c r="F1150" s="2" t="s">
        <v>87</v>
      </c>
      <c r="G1150" s="2">
        <v>1004.98</v>
      </c>
      <c r="H1150" s="2">
        <v>6</v>
      </c>
      <c r="I1150" s="3">
        <v>-175.87</v>
      </c>
    </row>
    <row r="1151" spans="1:9" x14ac:dyDescent="0.3">
      <c r="A1151" s="4">
        <v>42043</v>
      </c>
      <c r="B1151" s="5" t="s">
        <v>1296</v>
      </c>
      <c r="C1151" s="5" t="s">
        <v>62</v>
      </c>
      <c r="D1151" s="5" t="s">
        <v>2</v>
      </c>
      <c r="E1151" s="5" t="s">
        <v>11</v>
      </c>
      <c r="F1151" s="5" t="s">
        <v>1297</v>
      </c>
      <c r="G1151" s="5">
        <v>6.37</v>
      </c>
      <c r="H1151" s="5">
        <v>2</v>
      </c>
      <c r="I1151" s="6">
        <v>2.15</v>
      </c>
    </row>
    <row r="1152" spans="1:9" x14ac:dyDescent="0.3">
      <c r="A1152" s="1">
        <v>42043</v>
      </c>
      <c r="B1152" s="2" t="s">
        <v>1296</v>
      </c>
      <c r="C1152" s="2" t="s">
        <v>62</v>
      </c>
      <c r="D1152" s="2" t="s">
        <v>30</v>
      </c>
      <c r="E1152" s="2" t="s">
        <v>625</v>
      </c>
      <c r="F1152" s="2" t="s">
        <v>1298</v>
      </c>
      <c r="G1152" s="2">
        <v>558.4</v>
      </c>
      <c r="H1152" s="2">
        <v>2</v>
      </c>
      <c r="I1152" s="3">
        <v>41.88</v>
      </c>
    </row>
    <row r="1153" spans="1:9" x14ac:dyDescent="0.3">
      <c r="A1153" s="4">
        <v>42043</v>
      </c>
      <c r="B1153" s="5" t="s">
        <v>1299</v>
      </c>
      <c r="C1153" s="5" t="s">
        <v>1300</v>
      </c>
      <c r="D1153" s="5" t="s">
        <v>30</v>
      </c>
      <c r="E1153" s="5" t="s">
        <v>31</v>
      </c>
      <c r="F1153" s="5" t="s">
        <v>1301</v>
      </c>
      <c r="G1153" s="5">
        <v>128.85</v>
      </c>
      <c r="H1153" s="5">
        <v>3</v>
      </c>
      <c r="I1153" s="6">
        <v>3.87</v>
      </c>
    </row>
    <row r="1154" spans="1:9" x14ac:dyDescent="0.3">
      <c r="A1154" s="1">
        <v>42043</v>
      </c>
      <c r="B1154" s="2" t="s">
        <v>1299</v>
      </c>
      <c r="C1154" s="2" t="s">
        <v>1300</v>
      </c>
      <c r="D1154" s="2" t="s">
        <v>2</v>
      </c>
      <c r="E1154" s="2" t="s">
        <v>3</v>
      </c>
      <c r="F1154" s="2" t="s">
        <v>1253</v>
      </c>
      <c r="G1154" s="2">
        <v>8.4</v>
      </c>
      <c r="H1154" s="2">
        <v>2</v>
      </c>
      <c r="I1154" s="3">
        <v>4.12</v>
      </c>
    </row>
    <row r="1155" spans="1:9" x14ac:dyDescent="0.3">
      <c r="A1155" s="4">
        <v>42043</v>
      </c>
      <c r="B1155" s="5" t="s">
        <v>1299</v>
      </c>
      <c r="C1155" s="5" t="s">
        <v>1300</v>
      </c>
      <c r="D1155" s="5" t="s">
        <v>30</v>
      </c>
      <c r="E1155" s="5" t="s">
        <v>43</v>
      </c>
      <c r="F1155" s="5" t="s">
        <v>560</v>
      </c>
      <c r="G1155" s="5">
        <v>199.98</v>
      </c>
      <c r="H1155" s="5">
        <v>2</v>
      </c>
      <c r="I1155" s="6">
        <v>83.99</v>
      </c>
    </row>
    <row r="1156" spans="1:9" x14ac:dyDescent="0.3">
      <c r="A1156" s="1">
        <v>42043</v>
      </c>
      <c r="B1156" s="2" t="s">
        <v>1299</v>
      </c>
      <c r="C1156" s="2" t="s">
        <v>1300</v>
      </c>
      <c r="D1156" s="2" t="s">
        <v>25</v>
      </c>
      <c r="E1156" s="2" t="s">
        <v>26</v>
      </c>
      <c r="F1156" s="2" t="s">
        <v>1302</v>
      </c>
      <c r="G1156" s="2">
        <v>110.98</v>
      </c>
      <c r="H1156" s="2">
        <v>1</v>
      </c>
      <c r="I1156" s="3">
        <v>15.54</v>
      </c>
    </row>
    <row r="1157" spans="1:9" x14ac:dyDescent="0.3">
      <c r="A1157" s="4">
        <v>42043</v>
      </c>
      <c r="B1157" s="5" t="s">
        <v>1303</v>
      </c>
      <c r="C1157" s="5" t="s">
        <v>713</v>
      </c>
      <c r="D1157" s="5" t="s">
        <v>25</v>
      </c>
      <c r="E1157" s="5" t="s">
        <v>86</v>
      </c>
      <c r="F1157" s="5" t="s">
        <v>323</v>
      </c>
      <c r="G1157" s="5">
        <v>277.5</v>
      </c>
      <c r="H1157" s="5">
        <v>4</v>
      </c>
      <c r="I1157" s="6">
        <v>-188.7</v>
      </c>
    </row>
    <row r="1158" spans="1:9" x14ac:dyDescent="0.3">
      <c r="A1158" s="1">
        <v>42132</v>
      </c>
      <c r="B1158" s="2" t="s">
        <v>190</v>
      </c>
      <c r="C1158" s="2" t="s">
        <v>1</v>
      </c>
      <c r="D1158" s="2" t="s">
        <v>2</v>
      </c>
      <c r="E1158" s="2" t="s">
        <v>9</v>
      </c>
      <c r="F1158" s="2" t="s">
        <v>478</v>
      </c>
      <c r="G1158" s="2">
        <v>33.49</v>
      </c>
      <c r="H1158" s="2">
        <v>7</v>
      </c>
      <c r="I1158" s="3">
        <v>-1.26</v>
      </c>
    </row>
    <row r="1159" spans="1:9" x14ac:dyDescent="0.3">
      <c r="A1159" s="4">
        <v>42132</v>
      </c>
      <c r="B1159" s="5" t="s">
        <v>190</v>
      </c>
      <c r="C1159" s="5" t="s">
        <v>1</v>
      </c>
      <c r="D1159" s="5" t="s">
        <v>2</v>
      </c>
      <c r="E1159" s="5" t="s">
        <v>144</v>
      </c>
      <c r="F1159" s="5" t="s">
        <v>742</v>
      </c>
      <c r="G1159" s="5">
        <v>23.04</v>
      </c>
      <c r="H1159" s="5">
        <v>3</v>
      </c>
      <c r="I1159" s="6">
        <v>-4.9000000000000004</v>
      </c>
    </row>
    <row r="1160" spans="1:9" x14ac:dyDescent="0.3">
      <c r="A1160" s="1">
        <v>42132</v>
      </c>
      <c r="B1160" s="2" t="s">
        <v>190</v>
      </c>
      <c r="C1160" s="2" t="s">
        <v>1</v>
      </c>
      <c r="D1160" s="2" t="s">
        <v>2</v>
      </c>
      <c r="E1160" s="2" t="s">
        <v>11</v>
      </c>
      <c r="F1160" s="2" t="s">
        <v>839</v>
      </c>
      <c r="G1160" s="2">
        <v>1.36</v>
      </c>
      <c r="H1160" s="2">
        <v>1</v>
      </c>
      <c r="I1160" s="3">
        <v>-2.1800000000000002</v>
      </c>
    </row>
    <row r="1161" spans="1:9" x14ac:dyDescent="0.3">
      <c r="A1161" s="4">
        <v>42132</v>
      </c>
      <c r="B1161" s="5" t="s">
        <v>190</v>
      </c>
      <c r="C1161" s="5" t="s">
        <v>1</v>
      </c>
      <c r="D1161" s="5" t="s">
        <v>25</v>
      </c>
      <c r="E1161" s="5" t="s">
        <v>38</v>
      </c>
      <c r="F1161" s="5" t="s">
        <v>1304</v>
      </c>
      <c r="G1161" s="5">
        <v>14.76</v>
      </c>
      <c r="H1161" s="5">
        <v>5</v>
      </c>
      <c r="I1161" s="6">
        <v>-11.44</v>
      </c>
    </row>
    <row r="1162" spans="1:9" x14ac:dyDescent="0.3">
      <c r="A1162" s="1">
        <v>42163</v>
      </c>
      <c r="B1162" s="2" t="s">
        <v>1077</v>
      </c>
      <c r="C1162" s="2" t="s">
        <v>1</v>
      </c>
      <c r="D1162" s="2" t="s">
        <v>2</v>
      </c>
      <c r="E1162" s="2" t="s">
        <v>3</v>
      </c>
      <c r="F1162" s="2" t="s">
        <v>1305</v>
      </c>
      <c r="G1162" s="2">
        <v>27.22</v>
      </c>
      <c r="H1162" s="2">
        <v>3</v>
      </c>
      <c r="I1162" s="3">
        <v>9.8699999999999992</v>
      </c>
    </row>
    <row r="1163" spans="1:9" x14ac:dyDescent="0.3">
      <c r="A1163" s="4">
        <v>42163</v>
      </c>
      <c r="B1163" s="5" t="s">
        <v>1306</v>
      </c>
      <c r="C1163" s="5" t="s">
        <v>1</v>
      </c>
      <c r="D1163" s="5" t="s">
        <v>2</v>
      </c>
      <c r="E1163" s="5" t="s">
        <v>7</v>
      </c>
      <c r="F1163" s="5" t="s">
        <v>1027</v>
      </c>
      <c r="G1163" s="5">
        <v>35.520000000000003</v>
      </c>
      <c r="H1163" s="5">
        <v>3</v>
      </c>
      <c r="I1163" s="6">
        <v>13.32</v>
      </c>
    </row>
    <row r="1164" spans="1:9" x14ac:dyDescent="0.3">
      <c r="A1164" s="1">
        <v>42163</v>
      </c>
      <c r="B1164" s="2" t="s">
        <v>1306</v>
      </c>
      <c r="C1164" s="2" t="s">
        <v>1</v>
      </c>
      <c r="D1164" s="2" t="s">
        <v>2</v>
      </c>
      <c r="E1164" s="2" t="s">
        <v>11</v>
      </c>
      <c r="F1164" s="2" t="s">
        <v>591</v>
      </c>
      <c r="G1164" s="2">
        <v>6.23</v>
      </c>
      <c r="H1164" s="2">
        <v>5</v>
      </c>
      <c r="I1164" s="3">
        <v>-9.66</v>
      </c>
    </row>
    <row r="1165" spans="1:9" x14ac:dyDescent="0.3">
      <c r="A1165" s="4">
        <v>42163</v>
      </c>
      <c r="B1165" s="5" t="s">
        <v>1306</v>
      </c>
      <c r="C1165" s="5" t="s">
        <v>1</v>
      </c>
      <c r="D1165" s="5" t="s">
        <v>2</v>
      </c>
      <c r="E1165" s="5" t="s">
        <v>3</v>
      </c>
      <c r="F1165" s="5" t="s">
        <v>1307</v>
      </c>
      <c r="G1165" s="5">
        <v>56.7</v>
      </c>
      <c r="H1165" s="5">
        <v>2</v>
      </c>
      <c r="I1165" s="6">
        <v>19.14</v>
      </c>
    </row>
    <row r="1166" spans="1:9" x14ac:dyDescent="0.3">
      <c r="A1166" s="1">
        <v>42163</v>
      </c>
      <c r="B1166" s="2" t="s">
        <v>1306</v>
      </c>
      <c r="C1166" s="2" t="s">
        <v>1</v>
      </c>
      <c r="D1166" s="2" t="s">
        <v>25</v>
      </c>
      <c r="E1166" s="2" t="s">
        <v>129</v>
      </c>
      <c r="F1166" s="2" t="s">
        <v>1308</v>
      </c>
      <c r="G1166" s="2">
        <v>369.2</v>
      </c>
      <c r="H1166" s="2">
        <v>3</v>
      </c>
      <c r="I1166" s="3">
        <v>-114.02</v>
      </c>
    </row>
    <row r="1167" spans="1:9" x14ac:dyDescent="0.3">
      <c r="A1167" s="4">
        <v>42193</v>
      </c>
      <c r="B1167" s="5" t="s">
        <v>1117</v>
      </c>
      <c r="C1167" s="5" t="s">
        <v>268</v>
      </c>
      <c r="D1167" s="5" t="s">
        <v>2</v>
      </c>
      <c r="E1167" s="5" t="s">
        <v>11</v>
      </c>
      <c r="F1167" s="5" t="s">
        <v>879</v>
      </c>
      <c r="G1167" s="5">
        <v>3.3</v>
      </c>
      <c r="H1167" s="5">
        <v>1</v>
      </c>
      <c r="I1167" s="6">
        <v>1.1200000000000001</v>
      </c>
    </row>
    <row r="1168" spans="1:9" x14ac:dyDescent="0.3">
      <c r="A1168" s="1">
        <v>42193</v>
      </c>
      <c r="B1168" s="2" t="s">
        <v>1309</v>
      </c>
      <c r="C1168" s="2" t="s">
        <v>18</v>
      </c>
      <c r="D1168" s="2" t="s">
        <v>2</v>
      </c>
      <c r="E1168" s="2" t="s">
        <v>11</v>
      </c>
      <c r="F1168" s="2" t="s">
        <v>1310</v>
      </c>
      <c r="G1168" s="2">
        <v>19.149999999999999</v>
      </c>
      <c r="H1168" s="2">
        <v>3</v>
      </c>
      <c r="I1168" s="3">
        <v>6.46</v>
      </c>
    </row>
    <row r="1169" spans="1:9" x14ac:dyDescent="0.3">
      <c r="A1169" s="4">
        <v>42193</v>
      </c>
      <c r="B1169" s="5" t="s">
        <v>1311</v>
      </c>
      <c r="C1169" s="5" t="s">
        <v>90</v>
      </c>
      <c r="D1169" s="5" t="s">
        <v>2</v>
      </c>
      <c r="E1169" s="5" t="s">
        <v>11</v>
      </c>
      <c r="F1169" s="5" t="s">
        <v>1312</v>
      </c>
      <c r="G1169" s="5">
        <v>28.4</v>
      </c>
      <c r="H1169" s="5">
        <v>4</v>
      </c>
      <c r="I1169" s="6">
        <v>13.06</v>
      </c>
    </row>
    <row r="1170" spans="1:9" x14ac:dyDescent="0.3">
      <c r="A1170" s="1">
        <v>42193</v>
      </c>
      <c r="B1170" s="2" t="s">
        <v>1311</v>
      </c>
      <c r="C1170" s="2" t="s">
        <v>90</v>
      </c>
      <c r="D1170" s="2" t="s">
        <v>25</v>
      </c>
      <c r="E1170" s="2" t="s">
        <v>38</v>
      </c>
      <c r="F1170" s="2" t="s">
        <v>1313</v>
      </c>
      <c r="G1170" s="2">
        <v>212.94</v>
      </c>
      <c r="H1170" s="2">
        <v>3</v>
      </c>
      <c r="I1170" s="3">
        <v>34.07</v>
      </c>
    </row>
    <row r="1171" spans="1:9" x14ac:dyDescent="0.3">
      <c r="A1171" s="4">
        <v>42193</v>
      </c>
      <c r="B1171" s="5" t="s">
        <v>1001</v>
      </c>
      <c r="C1171" s="5" t="s">
        <v>14</v>
      </c>
      <c r="D1171" s="5" t="s">
        <v>2</v>
      </c>
      <c r="E1171" s="5" t="s">
        <v>15</v>
      </c>
      <c r="F1171" s="5" t="s">
        <v>219</v>
      </c>
      <c r="G1171" s="5">
        <v>106.8</v>
      </c>
      <c r="H1171" s="5">
        <v>10</v>
      </c>
      <c r="I1171" s="6">
        <v>10.68</v>
      </c>
    </row>
    <row r="1172" spans="1:9" x14ac:dyDescent="0.3">
      <c r="A1172" s="1">
        <v>42193</v>
      </c>
      <c r="B1172" s="2" t="s">
        <v>1117</v>
      </c>
      <c r="C1172" s="2" t="s">
        <v>958</v>
      </c>
      <c r="D1172" s="2" t="s">
        <v>2</v>
      </c>
      <c r="E1172" s="2" t="s">
        <v>133</v>
      </c>
      <c r="F1172" s="2" t="s">
        <v>1314</v>
      </c>
      <c r="G1172" s="2">
        <v>77.58</v>
      </c>
      <c r="H1172" s="2">
        <v>9</v>
      </c>
      <c r="I1172" s="3">
        <v>20.170000000000002</v>
      </c>
    </row>
    <row r="1173" spans="1:9" x14ac:dyDescent="0.3">
      <c r="A1173" s="4">
        <v>42193</v>
      </c>
      <c r="B1173" s="5" t="s">
        <v>1315</v>
      </c>
      <c r="C1173" s="5" t="s">
        <v>46</v>
      </c>
      <c r="D1173" s="5" t="s">
        <v>30</v>
      </c>
      <c r="E1173" s="5" t="s">
        <v>31</v>
      </c>
      <c r="F1173" s="5" t="s">
        <v>1316</v>
      </c>
      <c r="G1173" s="5">
        <v>494.97</v>
      </c>
      <c r="H1173" s="5">
        <v>3</v>
      </c>
      <c r="I1173" s="6">
        <v>148.49</v>
      </c>
    </row>
    <row r="1174" spans="1:9" x14ac:dyDescent="0.3">
      <c r="A1174" s="1">
        <v>42193</v>
      </c>
      <c r="B1174" s="2" t="s">
        <v>1315</v>
      </c>
      <c r="C1174" s="2" t="s">
        <v>46</v>
      </c>
      <c r="D1174" s="2" t="s">
        <v>2</v>
      </c>
      <c r="E1174" s="2" t="s">
        <v>7</v>
      </c>
      <c r="F1174" s="2" t="s">
        <v>1317</v>
      </c>
      <c r="G1174" s="2">
        <v>25.06</v>
      </c>
      <c r="H1174" s="2">
        <v>2</v>
      </c>
      <c r="I1174" s="3">
        <v>11.78</v>
      </c>
    </row>
    <row r="1175" spans="1:9" x14ac:dyDescent="0.3">
      <c r="A1175" s="4">
        <v>42224</v>
      </c>
      <c r="B1175" s="5" t="s">
        <v>1142</v>
      </c>
      <c r="C1175" s="5" t="s">
        <v>18</v>
      </c>
      <c r="D1175" s="5" t="s">
        <v>2</v>
      </c>
      <c r="E1175" s="5" t="s">
        <v>11</v>
      </c>
      <c r="F1175" s="5" t="s">
        <v>879</v>
      </c>
      <c r="G1175" s="5">
        <v>6.61</v>
      </c>
      <c r="H1175" s="5">
        <v>2</v>
      </c>
      <c r="I1175" s="6">
        <v>2.23</v>
      </c>
    </row>
    <row r="1176" spans="1:9" x14ac:dyDescent="0.3">
      <c r="A1176" s="1">
        <v>42224</v>
      </c>
      <c r="B1176" s="2" t="s">
        <v>1142</v>
      </c>
      <c r="C1176" s="2" t="s">
        <v>18</v>
      </c>
      <c r="D1176" s="2" t="s">
        <v>2</v>
      </c>
      <c r="E1176" s="2" t="s">
        <v>11</v>
      </c>
      <c r="F1176" s="2" t="s">
        <v>404</v>
      </c>
      <c r="G1176" s="2">
        <v>7.28</v>
      </c>
      <c r="H1176" s="2">
        <v>2</v>
      </c>
      <c r="I1176" s="3">
        <v>2.73</v>
      </c>
    </row>
    <row r="1177" spans="1:9" x14ac:dyDescent="0.3">
      <c r="A1177" s="4">
        <v>42224</v>
      </c>
      <c r="B1177" s="5" t="s">
        <v>1142</v>
      </c>
      <c r="C1177" s="5" t="s">
        <v>18</v>
      </c>
      <c r="D1177" s="5" t="s">
        <v>25</v>
      </c>
      <c r="E1177" s="5" t="s">
        <v>26</v>
      </c>
      <c r="F1177" s="5" t="s">
        <v>1318</v>
      </c>
      <c r="G1177" s="5">
        <v>144.78</v>
      </c>
      <c r="H1177" s="5">
        <v>1</v>
      </c>
      <c r="I1177" s="6">
        <v>10.86</v>
      </c>
    </row>
    <row r="1178" spans="1:9" x14ac:dyDescent="0.3">
      <c r="A1178" s="1">
        <v>42224</v>
      </c>
      <c r="B1178" s="2" t="s">
        <v>1319</v>
      </c>
      <c r="C1178" s="2" t="s">
        <v>181</v>
      </c>
      <c r="D1178" s="2" t="s">
        <v>2</v>
      </c>
      <c r="E1178" s="2" t="s">
        <v>15</v>
      </c>
      <c r="F1178" s="2" t="s">
        <v>1320</v>
      </c>
      <c r="G1178" s="2">
        <v>39.659999999999997</v>
      </c>
      <c r="H1178" s="2">
        <v>2</v>
      </c>
      <c r="I1178" s="3">
        <v>11.9</v>
      </c>
    </row>
    <row r="1179" spans="1:9" x14ac:dyDescent="0.3">
      <c r="A1179" s="4">
        <v>42224</v>
      </c>
      <c r="B1179" s="5" t="s">
        <v>1319</v>
      </c>
      <c r="C1179" s="5" t="s">
        <v>181</v>
      </c>
      <c r="D1179" s="5" t="s">
        <v>2</v>
      </c>
      <c r="E1179" s="5" t="s">
        <v>133</v>
      </c>
      <c r="F1179" s="5" t="s">
        <v>1321</v>
      </c>
      <c r="G1179" s="5">
        <v>113.92</v>
      </c>
      <c r="H1179" s="5">
        <v>2</v>
      </c>
      <c r="I1179" s="6">
        <v>33.04</v>
      </c>
    </row>
    <row r="1180" spans="1:9" x14ac:dyDescent="0.3">
      <c r="A1180" s="1">
        <v>42224</v>
      </c>
      <c r="B1180" s="2" t="s">
        <v>1319</v>
      </c>
      <c r="C1180" s="2" t="s">
        <v>181</v>
      </c>
      <c r="D1180" s="2" t="s">
        <v>2</v>
      </c>
      <c r="E1180" s="2" t="s">
        <v>11</v>
      </c>
      <c r="F1180" s="2" t="s">
        <v>1322</v>
      </c>
      <c r="G1180" s="2">
        <v>447.86</v>
      </c>
      <c r="H1180" s="2">
        <v>7</v>
      </c>
      <c r="I1180" s="3">
        <v>210.49</v>
      </c>
    </row>
    <row r="1181" spans="1:9" x14ac:dyDescent="0.3">
      <c r="A1181" s="4">
        <v>42224</v>
      </c>
      <c r="B1181" s="5" t="s">
        <v>184</v>
      </c>
      <c r="C1181" s="5" t="s">
        <v>80</v>
      </c>
      <c r="D1181" s="5" t="s">
        <v>30</v>
      </c>
      <c r="E1181" s="5" t="s">
        <v>43</v>
      </c>
      <c r="F1181" s="5" t="s">
        <v>194</v>
      </c>
      <c r="G1181" s="5">
        <v>79.989999999999995</v>
      </c>
      <c r="H1181" s="5">
        <v>1</v>
      </c>
      <c r="I1181" s="6">
        <v>28.8</v>
      </c>
    </row>
    <row r="1182" spans="1:9" x14ac:dyDescent="0.3">
      <c r="A1182" s="1">
        <v>42255</v>
      </c>
      <c r="B1182" s="2" t="s">
        <v>1323</v>
      </c>
      <c r="C1182" s="2" t="s">
        <v>160</v>
      </c>
      <c r="D1182" s="2" t="s">
        <v>2</v>
      </c>
      <c r="E1182" s="2" t="s">
        <v>15</v>
      </c>
      <c r="F1182" s="2" t="s">
        <v>1324</v>
      </c>
      <c r="G1182" s="2">
        <v>2.2000000000000002</v>
      </c>
      <c r="H1182" s="2">
        <v>1</v>
      </c>
      <c r="I1182" s="3">
        <v>0.97</v>
      </c>
    </row>
    <row r="1183" spans="1:9" x14ac:dyDescent="0.3">
      <c r="A1183" s="4">
        <v>42255</v>
      </c>
      <c r="B1183" s="5" t="s">
        <v>1323</v>
      </c>
      <c r="C1183" s="5" t="s">
        <v>160</v>
      </c>
      <c r="D1183" s="5" t="s">
        <v>25</v>
      </c>
      <c r="E1183" s="5" t="s">
        <v>86</v>
      </c>
      <c r="F1183" s="5" t="s">
        <v>259</v>
      </c>
      <c r="G1183" s="5">
        <v>622.45000000000005</v>
      </c>
      <c r="H1183" s="5">
        <v>5</v>
      </c>
      <c r="I1183" s="6">
        <v>136.94</v>
      </c>
    </row>
    <row r="1184" spans="1:9" x14ac:dyDescent="0.3">
      <c r="A1184" s="1">
        <v>42255</v>
      </c>
      <c r="B1184" s="2" t="s">
        <v>1323</v>
      </c>
      <c r="C1184" s="2" t="s">
        <v>160</v>
      </c>
      <c r="D1184" s="2" t="s">
        <v>2</v>
      </c>
      <c r="E1184" s="2" t="s">
        <v>9</v>
      </c>
      <c r="F1184" s="2" t="s">
        <v>987</v>
      </c>
      <c r="G1184" s="2">
        <v>21.98</v>
      </c>
      <c r="H1184" s="2">
        <v>1</v>
      </c>
      <c r="I1184" s="3">
        <v>0.22</v>
      </c>
    </row>
    <row r="1185" spans="1:9" x14ac:dyDescent="0.3">
      <c r="A1185" s="4">
        <v>42255</v>
      </c>
      <c r="B1185" s="5" t="s">
        <v>1325</v>
      </c>
      <c r="C1185" s="5" t="s">
        <v>80</v>
      </c>
      <c r="D1185" s="5" t="s">
        <v>30</v>
      </c>
      <c r="E1185" s="5" t="s">
        <v>31</v>
      </c>
      <c r="F1185" s="5" t="s">
        <v>1112</v>
      </c>
      <c r="G1185" s="5">
        <v>307.98</v>
      </c>
      <c r="H1185" s="5">
        <v>2</v>
      </c>
      <c r="I1185" s="6">
        <v>89.31</v>
      </c>
    </row>
    <row r="1186" spans="1:9" x14ac:dyDescent="0.3">
      <c r="A1186" s="1">
        <v>42255</v>
      </c>
      <c r="B1186" s="2" t="s">
        <v>1325</v>
      </c>
      <c r="C1186" s="2" t="s">
        <v>80</v>
      </c>
      <c r="D1186" s="2" t="s">
        <v>25</v>
      </c>
      <c r="E1186" s="2" t="s">
        <v>86</v>
      </c>
      <c r="F1186" s="2" t="s">
        <v>1326</v>
      </c>
      <c r="G1186" s="2">
        <v>382.81</v>
      </c>
      <c r="H1186" s="2">
        <v>9</v>
      </c>
      <c r="I1186" s="3">
        <v>-153.12</v>
      </c>
    </row>
    <row r="1187" spans="1:9" x14ac:dyDescent="0.3">
      <c r="A1187" s="4">
        <v>42255</v>
      </c>
      <c r="B1187" s="5" t="s">
        <v>1325</v>
      </c>
      <c r="C1187" s="5" t="s">
        <v>80</v>
      </c>
      <c r="D1187" s="5" t="s">
        <v>2</v>
      </c>
      <c r="E1187" s="5" t="s">
        <v>9</v>
      </c>
      <c r="F1187" s="5" t="s">
        <v>768</v>
      </c>
      <c r="G1187" s="5">
        <v>41.96</v>
      </c>
      <c r="H1187" s="5">
        <v>2</v>
      </c>
      <c r="I1187" s="6">
        <v>2.94</v>
      </c>
    </row>
    <row r="1188" spans="1:9" x14ac:dyDescent="0.3">
      <c r="A1188" s="1">
        <v>42255</v>
      </c>
      <c r="B1188" s="2" t="s">
        <v>1325</v>
      </c>
      <c r="C1188" s="2" t="s">
        <v>80</v>
      </c>
      <c r="D1188" s="2" t="s">
        <v>2</v>
      </c>
      <c r="E1188" s="2" t="s">
        <v>11</v>
      </c>
      <c r="F1188" s="2" t="s">
        <v>1327</v>
      </c>
      <c r="G1188" s="2">
        <v>1217.57</v>
      </c>
      <c r="H1188" s="2">
        <v>2</v>
      </c>
      <c r="I1188" s="3">
        <v>456.59</v>
      </c>
    </row>
    <row r="1189" spans="1:9" x14ac:dyDescent="0.3">
      <c r="A1189" s="4">
        <v>42255</v>
      </c>
      <c r="B1189" s="5" t="s">
        <v>1325</v>
      </c>
      <c r="C1189" s="5" t="s">
        <v>80</v>
      </c>
      <c r="D1189" s="5" t="s">
        <v>25</v>
      </c>
      <c r="E1189" s="5" t="s">
        <v>38</v>
      </c>
      <c r="F1189" s="5" t="s">
        <v>1328</v>
      </c>
      <c r="G1189" s="5">
        <v>47.04</v>
      </c>
      <c r="H1189" s="5">
        <v>3</v>
      </c>
      <c r="I1189" s="6">
        <v>18.350000000000001</v>
      </c>
    </row>
    <row r="1190" spans="1:9" x14ac:dyDescent="0.3">
      <c r="A1190" s="1">
        <v>42255</v>
      </c>
      <c r="B1190" s="2" t="s">
        <v>1325</v>
      </c>
      <c r="C1190" s="2" t="s">
        <v>80</v>
      </c>
      <c r="D1190" s="2" t="s">
        <v>25</v>
      </c>
      <c r="E1190" s="2" t="s">
        <v>38</v>
      </c>
      <c r="F1190" s="2" t="s">
        <v>1025</v>
      </c>
      <c r="G1190" s="2">
        <v>6.16</v>
      </c>
      <c r="H1190" s="2">
        <v>2</v>
      </c>
      <c r="I1190" s="3">
        <v>2.96</v>
      </c>
    </row>
    <row r="1191" spans="1:9" x14ac:dyDescent="0.3">
      <c r="A1191" s="4">
        <v>42255</v>
      </c>
      <c r="B1191" s="5" t="s">
        <v>1325</v>
      </c>
      <c r="C1191" s="5" t="s">
        <v>80</v>
      </c>
      <c r="D1191" s="5" t="s">
        <v>30</v>
      </c>
      <c r="E1191" s="5" t="s">
        <v>31</v>
      </c>
      <c r="F1191" s="5" t="s">
        <v>173</v>
      </c>
      <c r="G1191" s="5">
        <v>979.95</v>
      </c>
      <c r="H1191" s="5">
        <v>5</v>
      </c>
      <c r="I1191" s="6">
        <v>274.39</v>
      </c>
    </row>
    <row r="1192" spans="1:9" x14ac:dyDescent="0.3">
      <c r="A1192" s="1">
        <v>42255</v>
      </c>
      <c r="B1192" s="2" t="s">
        <v>1325</v>
      </c>
      <c r="C1192" s="2" t="s">
        <v>80</v>
      </c>
      <c r="D1192" s="2" t="s">
        <v>2</v>
      </c>
      <c r="E1192" s="2" t="s">
        <v>3</v>
      </c>
      <c r="F1192" s="2" t="s">
        <v>1329</v>
      </c>
      <c r="G1192" s="2">
        <v>143.69999999999999</v>
      </c>
      <c r="H1192" s="2">
        <v>3</v>
      </c>
      <c r="I1192" s="3">
        <v>68.98</v>
      </c>
    </row>
    <row r="1193" spans="1:9" x14ac:dyDescent="0.3">
      <c r="A1193" s="4">
        <v>42255</v>
      </c>
      <c r="B1193" s="5" t="s">
        <v>1325</v>
      </c>
      <c r="C1193" s="5" t="s">
        <v>80</v>
      </c>
      <c r="D1193" s="5" t="s">
        <v>2</v>
      </c>
      <c r="E1193" s="5" t="s">
        <v>34</v>
      </c>
      <c r="F1193" s="5" t="s">
        <v>518</v>
      </c>
      <c r="G1193" s="5">
        <v>10.65</v>
      </c>
      <c r="H1193" s="5">
        <v>3</v>
      </c>
      <c r="I1193" s="6">
        <v>5.01</v>
      </c>
    </row>
    <row r="1194" spans="1:9" x14ac:dyDescent="0.3">
      <c r="A1194" s="1">
        <v>42255</v>
      </c>
      <c r="B1194" s="2" t="s">
        <v>1325</v>
      </c>
      <c r="C1194" s="2" t="s">
        <v>80</v>
      </c>
      <c r="D1194" s="2" t="s">
        <v>30</v>
      </c>
      <c r="E1194" s="2" t="s">
        <v>43</v>
      </c>
      <c r="F1194" s="2" t="s">
        <v>1330</v>
      </c>
      <c r="G1194" s="2">
        <v>247.8</v>
      </c>
      <c r="H1194" s="2">
        <v>4</v>
      </c>
      <c r="I1194" s="3">
        <v>34.69</v>
      </c>
    </row>
    <row r="1195" spans="1:9" x14ac:dyDescent="0.3">
      <c r="A1195" s="4">
        <v>42255</v>
      </c>
      <c r="B1195" s="5" t="s">
        <v>256</v>
      </c>
      <c r="C1195" s="5" t="s">
        <v>58</v>
      </c>
      <c r="D1195" s="5" t="s">
        <v>2</v>
      </c>
      <c r="E1195" s="5" t="s">
        <v>7</v>
      </c>
      <c r="F1195" s="5" t="s">
        <v>1331</v>
      </c>
      <c r="G1195" s="5">
        <v>4.6100000000000003</v>
      </c>
      <c r="H1195" s="5">
        <v>2</v>
      </c>
      <c r="I1195" s="6">
        <v>1.67</v>
      </c>
    </row>
    <row r="1196" spans="1:9" x14ac:dyDescent="0.3">
      <c r="A1196" s="1">
        <v>42255</v>
      </c>
      <c r="B1196" s="2" t="s">
        <v>100</v>
      </c>
      <c r="C1196" s="2" t="s">
        <v>53</v>
      </c>
      <c r="D1196" s="2" t="s">
        <v>25</v>
      </c>
      <c r="E1196" s="2" t="s">
        <v>129</v>
      </c>
      <c r="F1196" s="2" t="s">
        <v>1332</v>
      </c>
      <c r="G1196" s="2">
        <v>687.4</v>
      </c>
      <c r="H1196" s="2">
        <v>5</v>
      </c>
      <c r="I1196" s="3">
        <v>48.12</v>
      </c>
    </row>
    <row r="1197" spans="1:9" x14ac:dyDescent="0.3">
      <c r="A1197" s="4">
        <v>42255</v>
      </c>
      <c r="B1197" s="5" t="s">
        <v>1333</v>
      </c>
      <c r="C1197" s="5" t="s">
        <v>80</v>
      </c>
      <c r="D1197" s="5" t="s">
        <v>25</v>
      </c>
      <c r="E1197" s="5" t="s">
        <v>38</v>
      </c>
      <c r="F1197" s="5" t="s">
        <v>862</v>
      </c>
      <c r="G1197" s="5">
        <v>10.02</v>
      </c>
      <c r="H1197" s="5">
        <v>3</v>
      </c>
      <c r="I1197" s="6">
        <v>4.41</v>
      </c>
    </row>
    <row r="1198" spans="1:9" x14ac:dyDescent="0.3">
      <c r="A1198" s="1">
        <v>42255</v>
      </c>
      <c r="B1198" s="2" t="s">
        <v>1333</v>
      </c>
      <c r="C1198" s="2" t="s">
        <v>80</v>
      </c>
      <c r="D1198" s="2" t="s">
        <v>2</v>
      </c>
      <c r="E1198" s="2" t="s">
        <v>3</v>
      </c>
      <c r="F1198" s="2" t="s">
        <v>1334</v>
      </c>
      <c r="G1198" s="2">
        <v>144.12</v>
      </c>
      <c r="H1198" s="2">
        <v>3</v>
      </c>
      <c r="I1198" s="3">
        <v>69.180000000000007</v>
      </c>
    </row>
    <row r="1199" spans="1:9" x14ac:dyDescent="0.3">
      <c r="A1199" s="4">
        <v>42285</v>
      </c>
      <c r="B1199" s="5" t="s">
        <v>827</v>
      </c>
      <c r="C1199" s="5" t="s">
        <v>359</v>
      </c>
      <c r="D1199" s="5" t="s">
        <v>2</v>
      </c>
      <c r="E1199" s="5" t="s">
        <v>7</v>
      </c>
      <c r="F1199" s="5" t="s">
        <v>71</v>
      </c>
      <c r="G1199" s="5">
        <v>3.75</v>
      </c>
      <c r="H1199" s="5">
        <v>1</v>
      </c>
      <c r="I1199" s="6">
        <v>1.8</v>
      </c>
    </row>
    <row r="1200" spans="1:9" x14ac:dyDescent="0.3">
      <c r="A1200" s="1">
        <v>42285</v>
      </c>
      <c r="B1200" s="2" t="s">
        <v>827</v>
      </c>
      <c r="C1200" s="2" t="s">
        <v>359</v>
      </c>
      <c r="D1200" s="2" t="s">
        <v>2</v>
      </c>
      <c r="E1200" s="2" t="s">
        <v>7</v>
      </c>
      <c r="F1200" s="2" t="s">
        <v>1335</v>
      </c>
      <c r="G1200" s="2">
        <v>41.4</v>
      </c>
      <c r="H1200" s="2">
        <v>4</v>
      </c>
      <c r="I1200" s="3">
        <v>19.87</v>
      </c>
    </row>
    <row r="1201" spans="1:9" x14ac:dyDescent="0.3">
      <c r="A1201" s="4">
        <v>42285</v>
      </c>
      <c r="B1201" s="5" t="s">
        <v>827</v>
      </c>
      <c r="C1201" s="5" t="s">
        <v>359</v>
      </c>
      <c r="D1201" s="5" t="s">
        <v>2</v>
      </c>
      <c r="E1201" s="5" t="s">
        <v>15</v>
      </c>
      <c r="F1201" s="5" t="s">
        <v>1336</v>
      </c>
      <c r="G1201" s="5">
        <v>29.79</v>
      </c>
      <c r="H1201" s="5">
        <v>3</v>
      </c>
      <c r="I1201" s="6">
        <v>12.51</v>
      </c>
    </row>
    <row r="1202" spans="1:9" x14ac:dyDescent="0.3">
      <c r="A1202" s="1">
        <v>42285</v>
      </c>
      <c r="B1202" s="2" t="s">
        <v>854</v>
      </c>
      <c r="C1202" s="2" t="s">
        <v>713</v>
      </c>
      <c r="D1202" s="2" t="s">
        <v>30</v>
      </c>
      <c r="E1202" s="2" t="s">
        <v>31</v>
      </c>
      <c r="F1202" s="2" t="s">
        <v>279</v>
      </c>
      <c r="G1202" s="2">
        <v>438.37</v>
      </c>
      <c r="H1202" s="2">
        <v>4</v>
      </c>
      <c r="I1202" s="3">
        <v>38.36</v>
      </c>
    </row>
    <row r="1203" spans="1:9" x14ac:dyDescent="0.3">
      <c r="A1203" s="4">
        <v>42285</v>
      </c>
      <c r="B1203" s="5" t="s">
        <v>854</v>
      </c>
      <c r="C1203" s="5" t="s">
        <v>713</v>
      </c>
      <c r="D1203" s="5" t="s">
        <v>30</v>
      </c>
      <c r="E1203" s="5" t="s">
        <v>31</v>
      </c>
      <c r="F1203" s="5" t="s">
        <v>1266</v>
      </c>
      <c r="G1203" s="5">
        <v>139.94</v>
      </c>
      <c r="H1203" s="5">
        <v>7</v>
      </c>
      <c r="I1203" s="6">
        <v>-31.49</v>
      </c>
    </row>
    <row r="1204" spans="1:9" x14ac:dyDescent="0.3">
      <c r="A1204" s="1">
        <v>42285</v>
      </c>
      <c r="B1204" s="2" t="s">
        <v>854</v>
      </c>
      <c r="C1204" s="2" t="s">
        <v>713</v>
      </c>
      <c r="D1204" s="2" t="s">
        <v>2</v>
      </c>
      <c r="E1204" s="2" t="s">
        <v>133</v>
      </c>
      <c r="F1204" s="2" t="s">
        <v>723</v>
      </c>
      <c r="G1204" s="2">
        <v>133.47</v>
      </c>
      <c r="H1204" s="2">
        <v>4</v>
      </c>
      <c r="I1204" s="3">
        <v>15.02</v>
      </c>
    </row>
    <row r="1205" spans="1:9" x14ac:dyDescent="0.3">
      <c r="A1205" s="4">
        <v>42285</v>
      </c>
      <c r="B1205" s="5" t="s">
        <v>1337</v>
      </c>
      <c r="C1205" s="5" t="s">
        <v>160</v>
      </c>
      <c r="D1205" s="5" t="s">
        <v>2</v>
      </c>
      <c r="E1205" s="5" t="s">
        <v>11</v>
      </c>
      <c r="F1205" s="5" t="s">
        <v>1338</v>
      </c>
      <c r="G1205" s="5">
        <v>64.75</v>
      </c>
      <c r="H1205" s="5">
        <v>5</v>
      </c>
      <c r="I1205" s="6">
        <v>29.14</v>
      </c>
    </row>
    <row r="1206" spans="1:9" x14ac:dyDescent="0.3">
      <c r="A1206" s="1">
        <v>42316</v>
      </c>
      <c r="B1206" s="2" t="s">
        <v>1339</v>
      </c>
      <c r="C1206" s="2" t="s">
        <v>121</v>
      </c>
      <c r="D1206" s="2" t="s">
        <v>25</v>
      </c>
      <c r="E1206" s="2" t="s">
        <v>38</v>
      </c>
      <c r="F1206" s="2" t="s">
        <v>641</v>
      </c>
      <c r="G1206" s="2">
        <v>46.15</v>
      </c>
      <c r="H1206" s="2">
        <v>3</v>
      </c>
      <c r="I1206" s="3">
        <v>12.11</v>
      </c>
    </row>
    <row r="1207" spans="1:9" x14ac:dyDescent="0.3">
      <c r="A1207" s="4">
        <v>42316</v>
      </c>
      <c r="B1207" s="5" t="s">
        <v>1340</v>
      </c>
      <c r="C1207" s="5" t="s">
        <v>80</v>
      </c>
      <c r="D1207" s="5" t="s">
        <v>2</v>
      </c>
      <c r="E1207" s="5" t="s">
        <v>15</v>
      </c>
      <c r="F1207" s="5" t="s">
        <v>150</v>
      </c>
      <c r="G1207" s="5">
        <v>11.96</v>
      </c>
      <c r="H1207" s="5">
        <v>2</v>
      </c>
      <c r="I1207" s="6">
        <v>3.11</v>
      </c>
    </row>
    <row r="1208" spans="1:9" x14ac:dyDescent="0.3">
      <c r="A1208" s="1">
        <v>42316</v>
      </c>
      <c r="B1208" s="2" t="s">
        <v>1340</v>
      </c>
      <c r="C1208" s="2" t="s">
        <v>80</v>
      </c>
      <c r="D1208" s="2" t="s">
        <v>30</v>
      </c>
      <c r="E1208" s="2" t="s">
        <v>31</v>
      </c>
      <c r="F1208" s="2" t="s">
        <v>1341</v>
      </c>
      <c r="G1208" s="2">
        <v>138</v>
      </c>
      <c r="H1208" s="2">
        <v>2</v>
      </c>
      <c r="I1208" s="3">
        <v>34.5</v>
      </c>
    </row>
    <row r="1209" spans="1:9" x14ac:dyDescent="0.3">
      <c r="A1209" s="4">
        <v>42013</v>
      </c>
      <c r="B1209" s="5" t="s">
        <v>1342</v>
      </c>
      <c r="C1209" s="5" t="s">
        <v>18</v>
      </c>
      <c r="D1209" s="5" t="s">
        <v>2</v>
      </c>
      <c r="E1209" s="5" t="s">
        <v>11</v>
      </c>
      <c r="F1209" s="5" t="s">
        <v>314</v>
      </c>
      <c r="G1209" s="5">
        <v>4.75</v>
      </c>
      <c r="H1209" s="5">
        <v>1</v>
      </c>
      <c r="I1209" s="6">
        <v>1.6</v>
      </c>
    </row>
    <row r="1210" spans="1:9" x14ac:dyDescent="0.3">
      <c r="A1210" s="1">
        <v>42013</v>
      </c>
      <c r="B1210" s="2" t="s">
        <v>1342</v>
      </c>
      <c r="C1210" s="2" t="s">
        <v>18</v>
      </c>
      <c r="D1210" s="2" t="s">
        <v>30</v>
      </c>
      <c r="E1210" s="2" t="s">
        <v>290</v>
      </c>
      <c r="F1210" s="2" t="s">
        <v>326</v>
      </c>
      <c r="G1210" s="2">
        <v>959.98</v>
      </c>
      <c r="H1210" s="2">
        <v>2</v>
      </c>
      <c r="I1210" s="3">
        <v>335.99</v>
      </c>
    </row>
    <row r="1211" spans="1:9" x14ac:dyDescent="0.3">
      <c r="A1211" s="4">
        <v>42013</v>
      </c>
      <c r="B1211" s="5" t="s">
        <v>1342</v>
      </c>
      <c r="C1211" s="5" t="s">
        <v>18</v>
      </c>
      <c r="D1211" s="5" t="s">
        <v>2</v>
      </c>
      <c r="E1211" s="5" t="s">
        <v>11</v>
      </c>
      <c r="F1211" s="5" t="s">
        <v>201</v>
      </c>
      <c r="G1211" s="5">
        <v>14.37</v>
      </c>
      <c r="H1211" s="5">
        <v>4</v>
      </c>
      <c r="I1211" s="6">
        <v>4.49</v>
      </c>
    </row>
    <row r="1212" spans="1:9" x14ac:dyDescent="0.3">
      <c r="A1212" s="1">
        <v>42013</v>
      </c>
      <c r="B1212" s="2" t="s">
        <v>1343</v>
      </c>
      <c r="C1212" s="2" t="s">
        <v>181</v>
      </c>
      <c r="D1212" s="2" t="s">
        <v>2</v>
      </c>
      <c r="E1212" s="2" t="s">
        <v>11</v>
      </c>
      <c r="F1212" s="2" t="s">
        <v>1344</v>
      </c>
      <c r="G1212" s="2">
        <v>114.6</v>
      </c>
      <c r="H1212" s="2">
        <v>5</v>
      </c>
      <c r="I1212" s="3">
        <v>51.57</v>
      </c>
    </row>
    <row r="1213" spans="1:9" x14ac:dyDescent="0.3">
      <c r="A1213" s="4">
        <v>42013</v>
      </c>
      <c r="B1213" s="5" t="s">
        <v>1343</v>
      </c>
      <c r="C1213" s="5" t="s">
        <v>181</v>
      </c>
      <c r="D1213" s="5" t="s">
        <v>25</v>
      </c>
      <c r="E1213" s="5" t="s">
        <v>26</v>
      </c>
      <c r="F1213" s="5" t="s">
        <v>544</v>
      </c>
      <c r="G1213" s="5">
        <v>60.74</v>
      </c>
      <c r="H1213" s="5">
        <v>1</v>
      </c>
      <c r="I1213" s="6">
        <v>15.19</v>
      </c>
    </row>
    <row r="1214" spans="1:9" x14ac:dyDescent="0.3">
      <c r="A1214" s="1">
        <v>42013</v>
      </c>
      <c r="B1214" s="2" t="s">
        <v>1343</v>
      </c>
      <c r="C1214" s="2" t="s">
        <v>181</v>
      </c>
      <c r="D1214" s="2" t="s">
        <v>25</v>
      </c>
      <c r="E1214" s="2" t="s">
        <v>38</v>
      </c>
      <c r="F1214" s="2" t="s">
        <v>1103</v>
      </c>
      <c r="G1214" s="2">
        <v>124.36</v>
      </c>
      <c r="H1214" s="2">
        <v>2</v>
      </c>
      <c r="I1214" s="3">
        <v>27.36</v>
      </c>
    </row>
    <row r="1215" spans="1:9" x14ac:dyDescent="0.3">
      <c r="A1215" s="4">
        <v>42013</v>
      </c>
      <c r="B1215" s="5" t="s">
        <v>1343</v>
      </c>
      <c r="C1215" s="5" t="s">
        <v>181</v>
      </c>
      <c r="D1215" s="5" t="s">
        <v>2</v>
      </c>
      <c r="E1215" s="5" t="s">
        <v>9</v>
      </c>
      <c r="F1215" s="5" t="s">
        <v>829</v>
      </c>
      <c r="G1215" s="5">
        <v>1088.76</v>
      </c>
      <c r="H1215" s="5">
        <v>6</v>
      </c>
      <c r="I1215" s="6">
        <v>315.74</v>
      </c>
    </row>
    <row r="1216" spans="1:9" x14ac:dyDescent="0.3">
      <c r="A1216" s="1">
        <v>42072</v>
      </c>
      <c r="B1216" s="2" t="s">
        <v>1345</v>
      </c>
      <c r="C1216" s="2" t="s">
        <v>121</v>
      </c>
      <c r="D1216" s="2" t="s">
        <v>2</v>
      </c>
      <c r="E1216" s="2" t="s">
        <v>114</v>
      </c>
      <c r="F1216" s="2" t="s">
        <v>1346</v>
      </c>
      <c r="G1216" s="2">
        <v>200.98</v>
      </c>
      <c r="H1216" s="2">
        <v>7</v>
      </c>
      <c r="I1216" s="3">
        <v>62.81</v>
      </c>
    </row>
    <row r="1217" spans="1:9" x14ac:dyDescent="0.3">
      <c r="A1217" s="4">
        <v>42072</v>
      </c>
      <c r="B1217" s="5" t="s">
        <v>1347</v>
      </c>
      <c r="C1217" s="5" t="s">
        <v>14</v>
      </c>
      <c r="D1217" s="5" t="s">
        <v>2</v>
      </c>
      <c r="E1217" s="5" t="s">
        <v>9</v>
      </c>
      <c r="F1217" s="5" t="s">
        <v>1348</v>
      </c>
      <c r="G1217" s="5">
        <v>36.340000000000003</v>
      </c>
      <c r="H1217" s="5">
        <v>3</v>
      </c>
      <c r="I1217" s="6">
        <v>-7.27</v>
      </c>
    </row>
    <row r="1218" spans="1:9" x14ac:dyDescent="0.3">
      <c r="A1218" s="1">
        <v>42072</v>
      </c>
      <c r="B1218" s="2" t="s">
        <v>1347</v>
      </c>
      <c r="C1218" s="2" t="s">
        <v>14</v>
      </c>
      <c r="D1218" s="2" t="s">
        <v>2</v>
      </c>
      <c r="E1218" s="2" t="s">
        <v>144</v>
      </c>
      <c r="F1218" s="2" t="s">
        <v>214</v>
      </c>
      <c r="G1218" s="2">
        <v>666.25</v>
      </c>
      <c r="H1218" s="2">
        <v>1</v>
      </c>
      <c r="I1218" s="3">
        <v>-149.91</v>
      </c>
    </row>
    <row r="1219" spans="1:9" x14ac:dyDescent="0.3">
      <c r="A1219" s="4">
        <v>42072</v>
      </c>
      <c r="B1219" s="5" t="s">
        <v>1347</v>
      </c>
      <c r="C1219" s="5" t="s">
        <v>14</v>
      </c>
      <c r="D1219" s="5" t="s">
        <v>2</v>
      </c>
      <c r="E1219" s="5" t="s">
        <v>114</v>
      </c>
      <c r="F1219" s="5" t="s">
        <v>1349</v>
      </c>
      <c r="G1219" s="5">
        <v>52.51</v>
      </c>
      <c r="H1219" s="5">
        <v>6</v>
      </c>
      <c r="I1219" s="6">
        <v>19.690000000000001</v>
      </c>
    </row>
    <row r="1220" spans="1:9" x14ac:dyDescent="0.3">
      <c r="A1220" s="1">
        <v>42072</v>
      </c>
      <c r="B1220" s="2" t="s">
        <v>1166</v>
      </c>
      <c r="C1220" s="2" t="s">
        <v>18</v>
      </c>
      <c r="D1220" s="2" t="s">
        <v>2</v>
      </c>
      <c r="E1220" s="2" t="s">
        <v>9</v>
      </c>
      <c r="F1220" s="2" t="s">
        <v>1350</v>
      </c>
      <c r="G1220" s="2">
        <v>31.44</v>
      </c>
      <c r="H1220" s="2">
        <v>3</v>
      </c>
      <c r="I1220" s="3">
        <v>8.49</v>
      </c>
    </row>
    <row r="1221" spans="1:9" x14ac:dyDescent="0.3">
      <c r="A1221" s="4">
        <v>42072</v>
      </c>
      <c r="B1221" s="5" t="s">
        <v>1166</v>
      </c>
      <c r="C1221" s="5" t="s">
        <v>18</v>
      </c>
      <c r="D1221" s="5" t="s">
        <v>30</v>
      </c>
      <c r="E1221" s="5" t="s">
        <v>43</v>
      </c>
      <c r="F1221" s="5" t="s">
        <v>743</v>
      </c>
      <c r="G1221" s="5">
        <v>17.899999999999999</v>
      </c>
      <c r="H1221" s="5">
        <v>2</v>
      </c>
      <c r="I1221" s="6">
        <v>3.4</v>
      </c>
    </row>
    <row r="1222" spans="1:9" x14ac:dyDescent="0.3">
      <c r="A1222" s="1">
        <v>42072</v>
      </c>
      <c r="B1222" s="2" t="s">
        <v>1166</v>
      </c>
      <c r="C1222" s="2" t="s">
        <v>18</v>
      </c>
      <c r="D1222" s="2" t="s">
        <v>30</v>
      </c>
      <c r="E1222" s="2" t="s">
        <v>43</v>
      </c>
      <c r="F1222" s="2" t="s">
        <v>1351</v>
      </c>
      <c r="G1222" s="2">
        <v>129.44999999999999</v>
      </c>
      <c r="H1222" s="2">
        <v>5</v>
      </c>
      <c r="I1222" s="3">
        <v>46.6</v>
      </c>
    </row>
    <row r="1223" spans="1:9" x14ac:dyDescent="0.3">
      <c r="A1223" s="4">
        <v>42072</v>
      </c>
      <c r="B1223" s="5" t="s">
        <v>1164</v>
      </c>
      <c r="C1223" s="5" t="s">
        <v>300</v>
      </c>
      <c r="D1223" s="5" t="s">
        <v>2</v>
      </c>
      <c r="E1223" s="5" t="s">
        <v>133</v>
      </c>
      <c r="F1223" s="5" t="s">
        <v>1352</v>
      </c>
      <c r="G1223" s="5">
        <v>137.62</v>
      </c>
      <c r="H1223" s="5">
        <v>2</v>
      </c>
      <c r="I1223" s="6">
        <v>60.55</v>
      </c>
    </row>
    <row r="1224" spans="1:9" x14ac:dyDescent="0.3">
      <c r="A1224" s="1">
        <v>42072</v>
      </c>
      <c r="B1224" s="2" t="s">
        <v>1164</v>
      </c>
      <c r="C1224" s="2" t="s">
        <v>300</v>
      </c>
      <c r="D1224" s="2" t="s">
        <v>30</v>
      </c>
      <c r="E1224" s="2" t="s">
        <v>31</v>
      </c>
      <c r="F1224" s="2" t="s">
        <v>913</v>
      </c>
      <c r="G1224" s="2">
        <v>100.49</v>
      </c>
      <c r="H1224" s="2">
        <v>1</v>
      </c>
      <c r="I1224" s="3">
        <v>25.12</v>
      </c>
    </row>
    <row r="1225" spans="1:9" x14ac:dyDescent="0.3">
      <c r="A1225" s="4">
        <v>42072</v>
      </c>
      <c r="B1225" s="5" t="s">
        <v>1164</v>
      </c>
      <c r="C1225" s="5" t="s">
        <v>80</v>
      </c>
      <c r="D1225" s="5" t="s">
        <v>2</v>
      </c>
      <c r="E1225" s="5" t="s">
        <v>9</v>
      </c>
      <c r="F1225" s="5" t="s">
        <v>1267</v>
      </c>
      <c r="G1225" s="5">
        <v>120.33</v>
      </c>
      <c r="H1225" s="5">
        <v>1</v>
      </c>
      <c r="I1225" s="6">
        <v>31.29</v>
      </c>
    </row>
    <row r="1226" spans="1:9" x14ac:dyDescent="0.3">
      <c r="A1226" s="1">
        <v>42072</v>
      </c>
      <c r="B1226" s="2" t="s">
        <v>517</v>
      </c>
      <c r="C1226" s="2" t="s">
        <v>18</v>
      </c>
      <c r="D1226" s="2" t="s">
        <v>25</v>
      </c>
      <c r="E1226" s="2" t="s">
        <v>26</v>
      </c>
      <c r="F1226" s="2" t="s">
        <v>1353</v>
      </c>
      <c r="G1226" s="2">
        <v>129.57</v>
      </c>
      <c r="H1226" s="2">
        <v>2</v>
      </c>
      <c r="I1226" s="3">
        <v>-12.96</v>
      </c>
    </row>
    <row r="1227" spans="1:9" x14ac:dyDescent="0.3">
      <c r="A1227" s="4">
        <v>42072</v>
      </c>
      <c r="B1227" s="5" t="s">
        <v>517</v>
      </c>
      <c r="C1227" s="5" t="s">
        <v>18</v>
      </c>
      <c r="D1227" s="5" t="s">
        <v>2</v>
      </c>
      <c r="E1227" s="5" t="s">
        <v>11</v>
      </c>
      <c r="F1227" s="5" t="s">
        <v>1354</v>
      </c>
      <c r="G1227" s="5">
        <v>6.37</v>
      </c>
      <c r="H1227" s="5">
        <v>2</v>
      </c>
      <c r="I1227" s="6">
        <v>2.15</v>
      </c>
    </row>
    <row r="1228" spans="1:9" x14ac:dyDescent="0.3">
      <c r="A1228" s="1">
        <v>42072</v>
      </c>
      <c r="B1228" s="2" t="s">
        <v>968</v>
      </c>
      <c r="C1228" s="2" t="s">
        <v>253</v>
      </c>
      <c r="D1228" s="2" t="s">
        <v>25</v>
      </c>
      <c r="E1228" s="2" t="s">
        <v>38</v>
      </c>
      <c r="F1228" s="2" t="s">
        <v>1355</v>
      </c>
      <c r="G1228" s="2">
        <v>238.15</v>
      </c>
      <c r="H1228" s="2">
        <v>3</v>
      </c>
      <c r="I1228" s="3">
        <v>89.31</v>
      </c>
    </row>
    <row r="1229" spans="1:9" x14ac:dyDescent="0.3">
      <c r="A1229" s="4">
        <v>42072</v>
      </c>
      <c r="B1229" s="5" t="s">
        <v>1356</v>
      </c>
      <c r="C1229" s="5" t="s">
        <v>160</v>
      </c>
      <c r="D1229" s="5" t="s">
        <v>2</v>
      </c>
      <c r="E1229" s="5" t="s">
        <v>7</v>
      </c>
      <c r="F1229" s="5" t="s">
        <v>1222</v>
      </c>
      <c r="G1229" s="5">
        <v>7.5</v>
      </c>
      <c r="H1229" s="5">
        <v>2</v>
      </c>
      <c r="I1229" s="6">
        <v>3.6</v>
      </c>
    </row>
    <row r="1230" spans="1:9" x14ac:dyDescent="0.3">
      <c r="A1230" s="1">
        <v>42103</v>
      </c>
      <c r="B1230" s="2" t="s">
        <v>1357</v>
      </c>
      <c r="C1230" s="2" t="s">
        <v>21</v>
      </c>
      <c r="D1230" s="2" t="s">
        <v>2</v>
      </c>
      <c r="E1230" s="2" t="s">
        <v>3</v>
      </c>
      <c r="F1230" s="2" t="s">
        <v>1358</v>
      </c>
      <c r="G1230" s="2">
        <v>279.89999999999998</v>
      </c>
      <c r="H1230" s="2">
        <v>5</v>
      </c>
      <c r="I1230" s="3">
        <v>137.15</v>
      </c>
    </row>
    <row r="1231" spans="1:9" x14ac:dyDescent="0.3">
      <c r="A1231" s="4">
        <v>42103</v>
      </c>
      <c r="B1231" s="5" t="s">
        <v>1357</v>
      </c>
      <c r="C1231" s="5" t="s">
        <v>21</v>
      </c>
      <c r="D1231" s="5" t="s">
        <v>30</v>
      </c>
      <c r="E1231" s="5" t="s">
        <v>43</v>
      </c>
      <c r="F1231" s="5" t="s">
        <v>1359</v>
      </c>
      <c r="G1231" s="5">
        <v>619.95000000000005</v>
      </c>
      <c r="H1231" s="5">
        <v>5</v>
      </c>
      <c r="I1231" s="6">
        <v>111.59</v>
      </c>
    </row>
    <row r="1232" spans="1:9" x14ac:dyDescent="0.3">
      <c r="A1232" s="1">
        <v>42103</v>
      </c>
      <c r="B1232" s="2" t="s">
        <v>1357</v>
      </c>
      <c r="C1232" s="2" t="s">
        <v>21</v>
      </c>
      <c r="D1232" s="2" t="s">
        <v>2</v>
      </c>
      <c r="E1232" s="2" t="s">
        <v>3</v>
      </c>
      <c r="F1232" s="2" t="s">
        <v>837</v>
      </c>
      <c r="G1232" s="2">
        <v>4.3600000000000003</v>
      </c>
      <c r="H1232" s="2">
        <v>2</v>
      </c>
      <c r="I1232" s="3">
        <v>2.0499999999999998</v>
      </c>
    </row>
    <row r="1233" spans="1:9" x14ac:dyDescent="0.3">
      <c r="A1233" s="4">
        <v>42103</v>
      </c>
      <c r="B1233" s="5" t="s">
        <v>1357</v>
      </c>
      <c r="C1233" s="5" t="s">
        <v>21</v>
      </c>
      <c r="D1233" s="5" t="s">
        <v>2</v>
      </c>
      <c r="E1233" s="5" t="s">
        <v>114</v>
      </c>
      <c r="F1233" s="5" t="s">
        <v>383</v>
      </c>
      <c r="G1233" s="5">
        <v>15.28</v>
      </c>
      <c r="H1233" s="5">
        <v>2</v>
      </c>
      <c r="I1233" s="6">
        <v>7.49</v>
      </c>
    </row>
    <row r="1234" spans="1:9" x14ac:dyDescent="0.3">
      <c r="A1234" s="1">
        <v>42103</v>
      </c>
      <c r="B1234" s="2" t="s">
        <v>202</v>
      </c>
      <c r="C1234" s="2" t="s">
        <v>713</v>
      </c>
      <c r="D1234" s="2" t="s">
        <v>2</v>
      </c>
      <c r="E1234" s="2" t="s">
        <v>11</v>
      </c>
      <c r="F1234" s="2" t="s">
        <v>858</v>
      </c>
      <c r="G1234" s="2">
        <v>9.76</v>
      </c>
      <c r="H1234" s="2">
        <v>2</v>
      </c>
      <c r="I1234" s="3">
        <v>-6.83</v>
      </c>
    </row>
    <row r="1235" spans="1:9" x14ac:dyDescent="0.3">
      <c r="A1235" s="4">
        <v>42103</v>
      </c>
      <c r="B1235" s="5" t="s">
        <v>1323</v>
      </c>
      <c r="C1235" s="5" t="s">
        <v>1</v>
      </c>
      <c r="D1235" s="5" t="s">
        <v>30</v>
      </c>
      <c r="E1235" s="5" t="s">
        <v>43</v>
      </c>
      <c r="F1235" s="5" t="s">
        <v>328</v>
      </c>
      <c r="G1235" s="5">
        <v>134.38</v>
      </c>
      <c r="H1235" s="5">
        <v>3</v>
      </c>
      <c r="I1235" s="6">
        <v>6.72</v>
      </c>
    </row>
    <row r="1236" spans="1:9" x14ac:dyDescent="0.3">
      <c r="A1236" s="1">
        <v>42103</v>
      </c>
      <c r="B1236" s="2" t="s">
        <v>1360</v>
      </c>
      <c r="C1236" s="2" t="s">
        <v>14</v>
      </c>
      <c r="D1236" s="2" t="s">
        <v>2</v>
      </c>
      <c r="E1236" s="2" t="s">
        <v>11</v>
      </c>
      <c r="F1236" s="2" t="s">
        <v>663</v>
      </c>
      <c r="G1236" s="2">
        <v>7.66</v>
      </c>
      <c r="H1236" s="2">
        <v>4</v>
      </c>
      <c r="I1236" s="3">
        <v>-6.12</v>
      </c>
    </row>
    <row r="1237" spans="1:9" x14ac:dyDescent="0.3">
      <c r="A1237" s="4">
        <v>42133</v>
      </c>
      <c r="B1237" s="5" t="s">
        <v>1361</v>
      </c>
      <c r="C1237" s="5" t="s">
        <v>18</v>
      </c>
      <c r="D1237" s="5" t="s">
        <v>25</v>
      </c>
      <c r="E1237" s="5" t="s">
        <v>129</v>
      </c>
      <c r="F1237" s="5" t="s">
        <v>1362</v>
      </c>
      <c r="G1237" s="5">
        <v>411.33</v>
      </c>
      <c r="H1237" s="5">
        <v>4</v>
      </c>
      <c r="I1237" s="6">
        <v>-4.84</v>
      </c>
    </row>
    <row r="1238" spans="1:9" x14ac:dyDescent="0.3">
      <c r="A1238" s="1">
        <v>42133</v>
      </c>
      <c r="B1238" s="2" t="s">
        <v>1361</v>
      </c>
      <c r="C1238" s="2" t="s">
        <v>18</v>
      </c>
      <c r="D1238" s="2" t="s">
        <v>2</v>
      </c>
      <c r="E1238" s="2" t="s">
        <v>11</v>
      </c>
      <c r="F1238" s="2" t="s">
        <v>1363</v>
      </c>
      <c r="G1238" s="2">
        <v>28.75</v>
      </c>
      <c r="H1238" s="2">
        <v>6</v>
      </c>
      <c r="I1238" s="3">
        <v>9.6999999999999993</v>
      </c>
    </row>
    <row r="1239" spans="1:9" x14ac:dyDescent="0.3">
      <c r="A1239" s="4">
        <v>42133</v>
      </c>
      <c r="B1239" s="5" t="s">
        <v>1361</v>
      </c>
      <c r="C1239" s="5" t="s">
        <v>18</v>
      </c>
      <c r="D1239" s="5" t="s">
        <v>25</v>
      </c>
      <c r="E1239" s="5" t="s">
        <v>129</v>
      </c>
      <c r="F1239" s="5" t="s">
        <v>1364</v>
      </c>
      <c r="G1239" s="5">
        <v>293.2</v>
      </c>
      <c r="H1239" s="5">
        <v>3</v>
      </c>
      <c r="I1239" s="6">
        <v>-20.7</v>
      </c>
    </row>
    <row r="1240" spans="1:9" x14ac:dyDescent="0.3">
      <c r="A1240" s="1">
        <v>42133</v>
      </c>
      <c r="B1240" s="2" t="s">
        <v>1365</v>
      </c>
      <c r="C1240" s="2" t="s">
        <v>1</v>
      </c>
      <c r="D1240" s="2" t="s">
        <v>2</v>
      </c>
      <c r="E1240" s="2" t="s">
        <v>11</v>
      </c>
      <c r="F1240" s="2" t="s">
        <v>858</v>
      </c>
      <c r="G1240" s="2">
        <v>16.27</v>
      </c>
      <c r="H1240" s="2">
        <v>5</v>
      </c>
      <c r="I1240" s="3">
        <v>-25.22</v>
      </c>
    </row>
    <row r="1241" spans="1:9" x14ac:dyDescent="0.3">
      <c r="A1241" s="4">
        <v>42133</v>
      </c>
      <c r="B1241" s="5" t="s">
        <v>1365</v>
      </c>
      <c r="C1241" s="5" t="s">
        <v>1</v>
      </c>
      <c r="D1241" s="5" t="s">
        <v>2</v>
      </c>
      <c r="E1241" s="5" t="s">
        <v>144</v>
      </c>
      <c r="F1241" s="5" t="s">
        <v>742</v>
      </c>
      <c r="G1241" s="5">
        <v>69.12</v>
      </c>
      <c r="H1241" s="5">
        <v>9</v>
      </c>
      <c r="I1241" s="6">
        <v>-14.69</v>
      </c>
    </row>
    <row r="1242" spans="1:9" x14ac:dyDescent="0.3">
      <c r="A1242" s="1">
        <v>42133</v>
      </c>
      <c r="B1242" s="2" t="s">
        <v>1365</v>
      </c>
      <c r="C1242" s="2" t="s">
        <v>1</v>
      </c>
      <c r="D1242" s="2" t="s">
        <v>2</v>
      </c>
      <c r="E1242" s="2" t="s">
        <v>11</v>
      </c>
      <c r="F1242" s="2" t="s">
        <v>40</v>
      </c>
      <c r="G1242" s="2">
        <v>4.47</v>
      </c>
      <c r="H1242" s="2">
        <v>3</v>
      </c>
      <c r="I1242" s="3">
        <v>-7.82</v>
      </c>
    </row>
    <row r="1243" spans="1:9" x14ac:dyDescent="0.3">
      <c r="A1243" s="4">
        <v>42133</v>
      </c>
      <c r="B1243" s="5" t="s">
        <v>1366</v>
      </c>
      <c r="C1243" s="5" t="s">
        <v>359</v>
      </c>
      <c r="D1243" s="5" t="s">
        <v>25</v>
      </c>
      <c r="E1243" s="5" t="s">
        <v>38</v>
      </c>
      <c r="F1243" s="5" t="s">
        <v>1025</v>
      </c>
      <c r="G1243" s="5">
        <v>6.16</v>
      </c>
      <c r="H1243" s="5">
        <v>2</v>
      </c>
      <c r="I1243" s="6">
        <v>2.96</v>
      </c>
    </row>
    <row r="1244" spans="1:9" x14ac:dyDescent="0.3">
      <c r="A1244" s="1">
        <v>42133</v>
      </c>
      <c r="B1244" s="2" t="s">
        <v>1366</v>
      </c>
      <c r="C1244" s="2" t="s">
        <v>359</v>
      </c>
      <c r="D1244" s="2" t="s">
        <v>2</v>
      </c>
      <c r="E1244" s="2" t="s">
        <v>3</v>
      </c>
      <c r="F1244" s="2" t="s">
        <v>493</v>
      </c>
      <c r="G1244" s="2">
        <v>36.840000000000003</v>
      </c>
      <c r="H1244" s="2">
        <v>3</v>
      </c>
      <c r="I1244" s="3">
        <v>17.309999999999999</v>
      </c>
    </row>
    <row r="1245" spans="1:9" x14ac:dyDescent="0.3">
      <c r="A1245" s="4">
        <v>42133</v>
      </c>
      <c r="B1245" s="5" t="s">
        <v>1367</v>
      </c>
      <c r="C1245" s="5" t="s">
        <v>46</v>
      </c>
      <c r="D1245" s="5" t="s">
        <v>25</v>
      </c>
      <c r="E1245" s="5" t="s">
        <v>38</v>
      </c>
      <c r="F1245" s="5" t="s">
        <v>1368</v>
      </c>
      <c r="G1245" s="5">
        <v>67.959999999999994</v>
      </c>
      <c r="H1245" s="5">
        <v>4</v>
      </c>
      <c r="I1245" s="6">
        <v>12.23</v>
      </c>
    </row>
    <row r="1246" spans="1:9" x14ac:dyDescent="0.3">
      <c r="A1246" s="1">
        <v>42164</v>
      </c>
      <c r="B1246" s="2" t="s">
        <v>1369</v>
      </c>
      <c r="C1246" s="2" t="s">
        <v>62</v>
      </c>
      <c r="D1246" s="2" t="s">
        <v>2</v>
      </c>
      <c r="E1246" s="2" t="s">
        <v>11</v>
      </c>
      <c r="F1246" s="2" t="s">
        <v>1370</v>
      </c>
      <c r="G1246" s="2">
        <v>6.1</v>
      </c>
      <c r="H1246" s="2">
        <v>2</v>
      </c>
      <c r="I1246" s="3">
        <v>2.13</v>
      </c>
    </row>
    <row r="1247" spans="1:9" x14ac:dyDescent="0.3">
      <c r="A1247" s="4">
        <v>42164</v>
      </c>
      <c r="B1247" s="5" t="s">
        <v>1369</v>
      </c>
      <c r="C1247" s="5" t="s">
        <v>62</v>
      </c>
      <c r="D1247" s="5" t="s">
        <v>25</v>
      </c>
      <c r="E1247" s="5" t="s">
        <v>38</v>
      </c>
      <c r="F1247" s="5" t="s">
        <v>1371</v>
      </c>
      <c r="G1247" s="5">
        <v>191.82</v>
      </c>
      <c r="H1247" s="5">
        <v>3</v>
      </c>
      <c r="I1247" s="6">
        <v>74.81</v>
      </c>
    </row>
    <row r="1248" spans="1:9" x14ac:dyDescent="0.3">
      <c r="A1248" s="1">
        <v>42164</v>
      </c>
      <c r="B1248" s="2" t="s">
        <v>1070</v>
      </c>
      <c r="C1248" s="2" t="s">
        <v>18</v>
      </c>
      <c r="D1248" s="2" t="s">
        <v>30</v>
      </c>
      <c r="E1248" s="2" t="s">
        <v>43</v>
      </c>
      <c r="F1248" s="2" t="s">
        <v>1069</v>
      </c>
      <c r="G1248" s="2">
        <v>46.32</v>
      </c>
      <c r="H1248" s="2">
        <v>4</v>
      </c>
      <c r="I1248" s="3">
        <v>18.059999999999999</v>
      </c>
    </row>
    <row r="1249" spans="1:9" x14ac:dyDescent="0.3">
      <c r="A1249" s="4">
        <v>42164</v>
      </c>
      <c r="B1249" s="5" t="s">
        <v>1372</v>
      </c>
      <c r="C1249" s="5" t="s">
        <v>80</v>
      </c>
      <c r="D1249" s="5" t="s">
        <v>25</v>
      </c>
      <c r="E1249" s="5" t="s">
        <v>26</v>
      </c>
      <c r="F1249" s="5" t="s">
        <v>906</v>
      </c>
      <c r="G1249" s="5">
        <v>271.76</v>
      </c>
      <c r="H1249" s="5">
        <v>2</v>
      </c>
      <c r="I1249" s="6">
        <v>60.39</v>
      </c>
    </row>
    <row r="1250" spans="1:9" x14ac:dyDescent="0.3">
      <c r="A1250" s="1">
        <v>42164</v>
      </c>
      <c r="B1250" s="2" t="s">
        <v>76</v>
      </c>
      <c r="C1250" s="2" t="s">
        <v>411</v>
      </c>
      <c r="D1250" s="2" t="s">
        <v>2</v>
      </c>
      <c r="E1250" s="2" t="s">
        <v>34</v>
      </c>
      <c r="F1250" s="2" t="s">
        <v>1373</v>
      </c>
      <c r="G1250" s="2">
        <v>7.24</v>
      </c>
      <c r="H1250" s="2">
        <v>5</v>
      </c>
      <c r="I1250" s="3">
        <v>1.18</v>
      </c>
    </row>
    <row r="1251" spans="1:9" x14ac:dyDescent="0.3">
      <c r="A1251" s="4">
        <v>42164</v>
      </c>
      <c r="B1251" s="5" t="s">
        <v>1374</v>
      </c>
      <c r="C1251" s="5" t="s">
        <v>58</v>
      </c>
      <c r="D1251" s="5" t="s">
        <v>2</v>
      </c>
      <c r="E1251" s="5" t="s">
        <v>11</v>
      </c>
      <c r="F1251" s="5" t="s">
        <v>1375</v>
      </c>
      <c r="G1251" s="5">
        <v>3.44</v>
      </c>
      <c r="H1251" s="5">
        <v>1</v>
      </c>
      <c r="I1251" s="6">
        <v>-2.5299999999999998</v>
      </c>
    </row>
    <row r="1252" spans="1:9" x14ac:dyDescent="0.3">
      <c r="A1252" s="1">
        <v>42164</v>
      </c>
      <c r="B1252" s="2" t="s">
        <v>969</v>
      </c>
      <c r="C1252" s="2" t="s">
        <v>80</v>
      </c>
      <c r="D1252" s="2" t="s">
        <v>2</v>
      </c>
      <c r="E1252" s="2" t="s">
        <v>133</v>
      </c>
      <c r="F1252" s="2" t="s">
        <v>682</v>
      </c>
      <c r="G1252" s="2">
        <v>8.39</v>
      </c>
      <c r="H1252" s="2">
        <v>1</v>
      </c>
      <c r="I1252" s="3">
        <v>2.1</v>
      </c>
    </row>
    <row r="1253" spans="1:9" x14ac:dyDescent="0.3">
      <c r="A1253" s="4">
        <v>42164</v>
      </c>
      <c r="B1253" s="5" t="s">
        <v>969</v>
      </c>
      <c r="C1253" s="5" t="s">
        <v>80</v>
      </c>
      <c r="D1253" s="5" t="s">
        <v>30</v>
      </c>
      <c r="E1253" s="5" t="s">
        <v>31</v>
      </c>
      <c r="F1253" s="5" t="s">
        <v>1183</v>
      </c>
      <c r="G1253" s="5">
        <v>337.98</v>
      </c>
      <c r="H1253" s="5">
        <v>2</v>
      </c>
      <c r="I1253" s="6">
        <v>101.39</v>
      </c>
    </row>
    <row r="1254" spans="1:9" x14ac:dyDescent="0.3">
      <c r="A1254" s="1">
        <v>42164</v>
      </c>
      <c r="B1254" s="2" t="s">
        <v>578</v>
      </c>
      <c r="C1254" s="2" t="s">
        <v>46</v>
      </c>
      <c r="D1254" s="2" t="s">
        <v>2</v>
      </c>
      <c r="E1254" s="2" t="s">
        <v>11</v>
      </c>
      <c r="F1254" s="2" t="s">
        <v>1231</v>
      </c>
      <c r="G1254" s="2">
        <v>46.62</v>
      </c>
      <c r="H1254" s="2">
        <v>9</v>
      </c>
      <c r="I1254" s="3">
        <v>21.45</v>
      </c>
    </row>
    <row r="1255" spans="1:9" x14ac:dyDescent="0.3">
      <c r="A1255" s="4">
        <v>42164</v>
      </c>
      <c r="B1255" s="5" t="s">
        <v>1376</v>
      </c>
      <c r="C1255" s="5" t="s">
        <v>203</v>
      </c>
      <c r="D1255" s="5" t="s">
        <v>25</v>
      </c>
      <c r="E1255" s="5" t="s">
        <v>86</v>
      </c>
      <c r="F1255" s="5" t="s">
        <v>229</v>
      </c>
      <c r="G1255" s="5">
        <v>85.98</v>
      </c>
      <c r="H1255" s="5">
        <v>1</v>
      </c>
      <c r="I1255" s="6">
        <v>22.35</v>
      </c>
    </row>
    <row r="1256" spans="1:9" x14ac:dyDescent="0.3">
      <c r="A1256" s="1">
        <v>42194</v>
      </c>
      <c r="B1256" s="2" t="s">
        <v>792</v>
      </c>
      <c r="C1256" s="2" t="s">
        <v>18</v>
      </c>
      <c r="D1256" s="2" t="s">
        <v>2</v>
      </c>
      <c r="E1256" s="2" t="s">
        <v>9</v>
      </c>
      <c r="F1256" s="2" t="s">
        <v>1377</v>
      </c>
      <c r="G1256" s="2">
        <v>671.93</v>
      </c>
      <c r="H1256" s="2">
        <v>7</v>
      </c>
      <c r="I1256" s="3">
        <v>20.16</v>
      </c>
    </row>
    <row r="1257" spans="1:9" x14ac:dyDescent="0.3">
      <c r="A1257" s="4">
        <v>42194</v>
      </c>
      <c r="B1257" s="5" t="s">
        <v>1378</v>
      </c>
      <c r="C1257" s="5" t="s">
        <v>1</v>
      </c>
      <c r="D1257" s="5" t="s">
        <v>25</v>
      </c>
      <c r="E1257" s="5" t="s">
        <v>26</v>
      </c>
      <c r="F1257" s="5" t="s">
        <v>1379</v>
      </c>
      <c r="G1257" s="5">
        <v>47.52</v>
      </c>
      <c r="H1257" s="5">
        <v>2</v>
      </c>
      <c r="I1257" s="6">
        <v>-2.04</v>
      </c>
    </row>
    <row r="1258" spans="1:9" x14ac:dyDescent="0.3">
      <c r="A1258" s="1">
        <v>42194</v>
      </c>
      <c r="B1258" s="2" t="s">
        <v>683</v>
      </c>
      <c r="C1258" s="2" t="s">
        <v>80</v>
      </c>
      <c r="D1258" s="2" t="s">
        <v>2</v>
      </c>
      <c r="E1258" s="2" t="s">
        <v>9</v>
      </c>
      <c r="F1258" s="2" t="s">
        <v>131</v>
      </c>
      <c r="G1258" s="2">
        <v>13.96</v>
      </c>
      <c r="H1258" s="2">
        <v>2</v>
      </c>
      <c r="I1258" s="3">
        <v>0.28000000000000003</v>
      </c>
    </row>
    <row r="1259" spans="1:9" x14ac:dyDescent="0.3">
      <c r="A1259" s="4">
        <v>42194</v>
      </c>
      <c r="B1259" s="5" t="s">
        <v>683</v>
      </c>
      <c r="C1259" s="5" t="s">
        <v>80</v>
      </c>
      <c r="D1259" s="5" t="s">
        <v>25</v>
      </c>
      <c r="E1259" s="5" t="s">
        <v>86</v>
      </c>
      <c r="F1259" s="5" t="s">
        <v>1380</v>
      </c>
      <c r="G1259" s="5">
        <v>27.41</v>
      </c>
      <c r="H1259" s="5">
        <v>3</v>
      </c>
      <c r="I1259" s="6">
        <v>-14.16</v>
      </c>
    </row>
    <row r="1260" spans="1:9" x14ac:dyDescent="0.3">
      <c r="A1260" s="1">
        <v>42194</v>
      </c>
      <c r="B1260" s="2" t="s">
        <v>658</v>
      </c>
      <c r="C1260" s="2" t="s">
        <v>14</v>
      </c>
      <c r="D1260" s="2" t="s">
        <v>2</v>
      </c>
      <c r="E1260" s="2" t="s">
        <v>11</v>
      </c>
      <c r="F1260" s="2" t="s">
        <v>1381</v>
      </c>
      <c r="G1260" s="2">
        <v>9.52</v>
      </c>
      <c r="H1260" s="2">
        <v>1</v>
      </c>
      <c r="I1260" s="3">
        <v>-6.98</v>
      </c>
    </row>
    <row r="1261" spans="1:9" x14ac:dyDescent="0.3">
      <c r="A1261" s="4">
        <v>42194</v>
      </c>
      <c r="B1261" s="5" t="s">
        <v>658</v>
      </c>
      <c r="C1261" s="5" t="s">
        <v>14</v>
      </c>
      <c r="D1261" s="5" t="s">
        <v>30</v>
      </c>
      <c r="E1261" s="5" t="s">
        <v>31</v>
      </c>
      <c r="F1261" s="5" t="s">
        <v>886</v>
      </c>
      <c r="G1261" s="5">
        <v>791.96</v>
      </c>
      <c r="H1261" s="5">
        <v>6</v>
      </c>
      <c r="I1261" s="6">
        <v>-131.99</v>
      </c>
    </row>
    <row r="1262" spans="1:9" x14ac:dyDescent="0.3">
      <c r="A1262" s="1">
        <v>42194</v>
      </c>
      <c r="B1262" s="2" t="s">
        <v>658</v>
      </c>
      <c r="C1262" s="2" t="s">
        <v>14</v>
      </c>
      <c r="D1262" s="2" t="s">
        <v>2</v>
      </c>
      <c r="E1262" s="2" t="s">
        <v>11</v>
      </c>
      <c r="F1262" s="2" t="s">
        <v>1382</v>
      </c>
      <c r="G1262" s="2">
        <v>4.92</v>
      </c>
      <c r="H1262" s="2">
        <v>3</v>
      </c>
      <c r="I1262" s="3">
        <v>-3.94</v>
      </c>
    </row>
    <row r="1263" spans="1:9" x14ac:dyDescent="0.3">
      <c r="A1263" s="4">
        <v>42194</v>
      </c>
      <c r="B1263" s="5" t="s">
        <v>1383</v>
      </c>
      <c r="C1263" s="5" t="s">
        <v>121</v>
      </c>
      <c r="D1263" s="5" t="s">
        <v>2</v>
      </c>
      <c r="E1263" s="5" t="s">
        <v>15</v>
      </c>
      <c r="F1263" s="5" t="s">
        <v>427</v>
      </c>
      <c r="G1263" s="5">
        <v>140.74</v>
      </c>
      <c r="H1263" s="5">
        <v>4</v>
      </c>
      <c r="I1263" s="6">
        <v>12.31</v>
      </c>
    </row>
    <row r="1264" spans="1:9" x14ac:dyDescent="0.3">
      <c r="A1264" s="1">
        <v>42194</v>
      </c>
      <c r="B1264" s="2" t="s">
        <v>778</v>
      </c>
      <c r="C1264" s="2" t="s">
        <v>80</v>
      </c>
      <c r="D1264" s="2" t="s">
        <v>30</v>
      </c>
      <c r="E1264" s="2" t="s">
        <v>43</v>
      </c>
      <c r="F1264" s="2" t="s">
        <v>1144</v>
      </c>
      <c r="G1264" s="2">
        <v>559.92999999999995</v>
      </c>
      <c r="H1264" s="2">
        <v>7</v>
      </c>
      <c r="I1264" s="3">
        <v>167.98</v>
      </c>
    </row>
    <row r="1265" spans="1:9" x14ac:dyDescent="0.3">
      <c r="A1265" s="4">
        <v>42194</v>
      </c>
      <c r="B1265" s="5" t="s">
        <v>578</v>
      </c>
      <c r="C1265" s="5" t="s">
        <v>80</v>
      </c>
      <c r="D1265" s="5" t="s">
        <v>2</v>
      </c>
      <c r="E1265" s="5" t="s">
        <v>9</v>
      </c>
      <c r="F1265" s="5" t="s">
        <v>1384</v>
      </c>
      <c r="G1265" s="5">
        <v>70.260000000000005</v>
      </c>
      <c r="H1265" s="5">
        <v>3</v>
      </c>
      <c r="I1265" s="6">
        <v>18.97</v>
      </c>
    </row>
    <row r="1266" spans="1:9" x14ac:dyDescent="0.3">
      <c r="A1266" s="1">
        <v>42194</v>
      </c>
      <c r="B1266" s="2" t="s">
        <v>578</v>
      </c>
      <c r="C1266" s="2" t="s">
        <v>80</v>
      </c>
      <c r="D1266" s="2" t="s">
        <v>30</v>
      </c>
      <c r="E1266" s="2" t="s">
        <v>43</v>
      </c>
      <c r="F1266" s="2" t="s">
        <v>1385</v>
      </c>
      <c r="G1266" s="2">
        <v>90</v>
      </c>
      <c r="H1266" s="2">
        <v>5</v>
      </c>
      <c r="I1266" s="3">
        <v>16.2</v>
      </c>
    </row>
    <row r="1267" spans="1:9" x14ac:dyDescent="0.3">
      <c r="A1267" s="4">
        <v>42194</v>
      </c>
      <c r="B1267" s="5" t="s">
        <v>578</v>
      </c>
      <c r="C1267" s="5" t="s">
        <v>80</v>
      </c>
      <c r="D1267" s="5" t="s">
        <v>2</v>
      </c>
      <c r="E1267" s="5" t="s">
        <v>11</v>
      </c>
      <c r="F1267" s="5" t="s">
        <v>1386</v>
      </c>
      <c r="G1267" s="5">
        <v>6.1</v>
      </c>
      <c r="H1267" s="5">
        <v>2</v>
      </c>
      <c r="I1267" s="6">
        <v>2.06</v>
      </c>
    </row>
    <row r="1268" spans="1:9" x14ac:dyDescent="0.3">
      <c r="A1268" s="1">
        <v>42194</v>
      </c>
      <c r="B1268" s="2" t="s">
        <v>578</v>
      </c>
      <c r="C1268" s="2" t="s">
        <v>80</v>
      </c>
      <c r="D1268" s="2" t="s">
        <v>25</v>
      </c>
      <c r="E1268" s="2" t="s">
        <v>86</v>
      </c>
      <c r="F1268" s="2" t="s">
        <v>1387</v>
      </c>
      <c r="G1268" s="2">
        <v>481.18</v>
      </c>
      <c r="H1268" s="2">
        <v>2</v>
      </c>
      <c r="I1268" s="3">
        <v>-120.29</v>
      </c>
    </row>
    <row r="1269" spans="1:9" x14ac:dyDescent="0.3">
      <c r="A1269" s="4">
        <v>42194</v>
      </c>
      <c r="B1269" s="5" t="s">
        <v>578</v>
      </c>
      <c r="C1269" s="5" t="s">
        <v>80</v>
      </c>
      <c r="D1269" s="5" t="s">
        <v>2</v>
      </c>
      <c r="E1269" s="5" t="s">
        <v>34</v>
      </c>
      <c r="F1269" s="5" t="s">
        <v>1373</v>
      </c>
      <c r="G1269" s="5">
        <v>7.24</v>
      </c>
      <c r="H1269" s="5">
        <v>4</v>
      </c>
      <c r="I1269" s="6">
        <v>2.39</v>
      </c>
    </row>
    <row r="1270" spans="1:9" x14ac:dyDescent="0.3">
      <c r="A1270" s="1">
        <v>42225</v>
      </c>
      <c r="B1270" s="2" t="s">
        <v>1388</v>
      </c>
      <c r="C1270" s="2" t="s">
        <v>18</v>
      </c>
      <c r="D1270" s="2" t="s">
        <v>2</v>
      </c>
      <c r="E1270" s="2" t="s">
        <v>3</v>
      </c>
      <c r="F1270" s="2" t="s">
        <v>1204</v>
      </c>
      <c r="G1270" s="2">
        <v>26.4</v>
      </c>
      <c r="H1270" s="2">
        <v>5</v>
      </c>
      <c r="I1270" s="3">
        <v>11.88</v>
      </c>
    </row>
    <row r="1271" spans="1:9" x14ac:dyDescent="0.3">
      <c r="A1271" s="4">
        <v>42225</v>
      </c>
      <c r="B1271" s="5" t="s">
        <v>1388</v>
      </c>
      <c r="C1271" s="5" t="s">
        <v>18</v>
      </c>
      <c r="D1271" s="5" t="s">
        <v>2</v>
      </c>
      <c r="E1271" s="5" t="s">
        <v>9</v>
      </c>
      <c r="F1271" s="5" t="s">
        <v>131</v>
      </c>
      <c r="G1271" s="5">
        <v>41.88</v>
      </c>
      <c r="H1271" s="5">
        <v>6</v>
      </c>
      <c r="I1271" s="6">
        <v>0.84</v>
      </c>
    </row>
    <row r="1272" spans="1:9" x14ac:dyDescent="0.3">
      <c r="A1272" s="1">
        <v>42225</v>
      </c>
      <c r="B1272" s="2" t="s">
        <v>352</v>
      </c>
      <c r="C1272" s="2" t="s">
        <v>244</v>
      </c>
      <c r="D1272" s="2" t="s">
        <v>25</v>
      </c>
      <c r="E1272" s="2" t="s">
        <v>38</v>
      </c>
      <c r="F1272" s="2" t="s">
        <v>1122</v>
      </c>
      <c r="G1272" s="2">
        <v>21.36</v>
      </c>
      <c r="H1272" s="2">
        <v>8</v>
      </c>
      <c r="I1272" s="3">
        <v>8.1199999999999992</v>
      </c>
    </row>
    <row r="1273" spans="1:9" x14ac:dyDescent="0.3">
      <c r="A1273" s="4">
        <v>42286</v>
      </c>
      <c r="B1273" s="5" t="s">
        <v>1378</v>
      </c>
      <c r="C1273" s="5" t="s">
        <v>18</v>
      </c>
      <c r="D1273" s="5" t="s">
        <v>2</v>
      </c>
      <c r="E1273" s="5" t="s">
        <v>144</v>
      </c>
      <c r="F1273" s="5" t="s">
        <v>228</v>
      </c>
      <c r="G1273" s="5">
        <v>51.52</v>
      </c>
      <c r="H1273" s="5">
        <v>4</v>
      </c>
      <c r="I1273" s="6">
        <v>1.55</v>
      </c>
    </row>
    <row r="1274" spans="1:9" x14ac:dyDescent="0.3">
      <c r="A1274" s="1">
        <v>42286</v>
      </c>
      <c r="B1274" s="2" t="s">
        <v>141</v>
      </c>
      <c r="C1274" s="2" t="s">
        <v>640</v>
      </c>
      <c r="D1274" s="2" t="s">
        <v>2</v>
      </c>
      <c r="E1274" s="2" t="s">
        <v>3</v>
      </c>
      <c r="F1274" s="2" t="s">
        <v>1389</v>
      </c>
      <c r="G1274" s="2">
        <v>14.94</v>
      </c>
      <c r="H1274" s="2">
        <v>3</v>
      </c>
      <c r="I1274" s="3">
        <v>7.02</v>
      </c>
    </row>
    <row r="1275" spans="1:9" x14ac:dyDescent="0.3">
      <c r="A1275" s="4">
        <v>42286</v>
      </c>
      <c r="B1275" s="5" t="s">
        <v>285</v>
      </c>
      <c r="C1275" s="5" t="s">
        <v>181</v>
      </c>
      <c r="D1275" s="5" t="s">
        <v>2</v>
      </c>
      <c r="E1275" s="5" t="s">
        <v>133</v>
      </c>
      <c r="F1275" s="5" t="s">
        <v>187</v>
      </c>
      <c r="G1275" s="5">
        <v>61.96</v>
      </c>
      <c r="H1275" s="5">
        <v>2</v>
      </c>
      <c r="I1275" s="6">
        <v>16.11</v>
      </c>
    </row>
    <row r="1276" spans="1:9" x14ac:dyDescent="0.3">
      <c r="A1276" s="1">
        <v>42286</v>
      </c>
      <c r="B1276" s="2" t="s">
        <v>285</v>
      </c>
      <c r="C1276" s="2" t="s">
        <v>181</v>
      </c>
      <c r="D1276" s="2" t="s">
        <v>25</v>
      </c>
      <c r="E1276" s="2" t="s">
        <v>129</v>
      </c>
      <c r="F1276" s="2" t="s">
        <v>1028</v>
      </c>
      <c r="G1276" s="2">
        <v>361.96</v>
      </c>
      <c r="H1276" s="2">
        <v>2</v>
      </c>
      <c r="I1276" s="3">
        <v>83.25</v>
      </c>
    </row>
    <row r="1277" spans="1:9" x14ac:dyDescent="0.3">
      <c r="A1277" s="4">
        <v>42286</v>
      </c>
      <c r="B1277" s="5" t="s">
        <v>285</v>
      </c>
      <c r="C1277" s="5" t="s">
        <v>181</v>
      </c>
      <c r="D1277" s="5" t="s">
        <v>2</v>
      </c>
      <c r="E1277" s="5" t="s">
        <v>3</v>
      </c>
      <c r="F1277" s="5" t="s">
        <v>1390</v>
      </c>
      <c r="G1277" s="5">
        <v>278.82</v>
      </c>
      <c r="H1277" s="5">
        <v>9</v>
      </c>
      <c r="I1277" s="6">
        <v>125.47</v>
      </c>
    </row>
    <row r="1278" spans="1:9" x14ac:dyDescent="0.3">
      <c r="A1278" s="1">
        <v>42286</v>
      </c>
      <c r="B1278" s="2" t="s">
        <v>957</v>
      </c>
      <c r="C1278" s="2" t="s">
        <v>62</v>
      </c>
      <c r="D1278" s="2" t="s">
        <v>2</v>
      </c>
      <c r="E1278" s="2" t="s">
        <v>9</v>
      </c>
      <c r="F1278" s="2" t="s">
        <v>1391</v>
      </c>
      <c r="G1278" s="2">
        <v>353.88</v>
      </c>
      <c r="H1278" s="2">
        <v>6</v>
      </c>
      <c r="I1278" s="3">
        <v>17.690000000000001</v>
      </c>
    </row>
    <row r="1279" spans="1:9" x14ac:dyDescent="0.3">
      <c r="A1279" s="4">
        <v>42286</v>
      </c>
      <c r="B1279" s="5" t="s">
        <v>1392</v>
      </c>
      <c r="C1279" s="5" t="s">
        <v>80</v>
      </c>
      <c r="D1279" s="5" t="s">
        <v>2</v>
      </c>
      <c r="E1279" s="5" t="s">
        <v>15</v>
      </c>
      <c r="F1279" s="5" t="s">
        <v>1393</v>
      </c>
      <c r="G1279" s="5">
        <v>6.08</v>
      </c>
      <c r="H1279" s="5">
        <v>2</v>
      </c>
      <c r="I1279" s="6">
        <v>2.0699999999999998</v>
      </c>
    </row>
    <row r="1280" spans="1:9" x14ac:dyDescent="0.3">
      <c r="A1280" s="1">
        <v>42286</v>
      </c>
      <c r="B1280" s="2" t="s">
        <v>1078</v>
      </c>
      <c r="C1280" s="2" t="s">
        <v>18</v>
      </c>
      <c r="D1280" s="2" t="s">
        <v>25</v>
      </c>
      <c r="E1280" s="2" t="s">
        <v>38</v>
      </c>
      <c r="F1280" s="2" t="s">
        <v>1394</v>
      </c>
      <c r="G1280" s="2">
        <v>106.68</v>
      </c>
      <c r="H1280" s="2">
        <v>6</v>
      </c>
      <c r="I1280" s="3">
        <v>33.07</v>
      </c>
    </row>
    <row r="1281" spans="1:9" x14ac:dyDescent="0.3">
      <c r="A1281" s="4">
        <v>42286</v>
      </c>
      <c r="B1281" s="5" t="s">
        <v>1395</v>
      </c>
      <c r="C1281" s="5" t="s">
        <v>1</v>
      </c>
      <c r="D1281" s="5" t="s">
        <v>25</v>
      </c>
      <c r="E1281" s="5" t="s">
        <v>26</v>
      </c>
      <c r="F1281" s="5" t="s">
        <v>1396</v>
      </c>
      <c r="G1281" s="5">
        <v>179.89</v>
      </c>
      <c r="H1281" s="5">
        <v>1</v>
      </c>
      <c r="I1281" s="6">
        <v>-2.57</v>
      </c>
    </row>
    <row r="1282" spans="1:9" x14ac:dyDescent="0.3">
      <c r="A1282" s="1">
        <v>42317</v>
      </c>
      <c r="B1282" s="2" t="s">
        <v>381</v>
      </c>
      <c r="C1282" s="2" t="s">
        <v>18</v>
      </c>
      <c r="D1282" s="2" t="s">
        <v>2</v>
      </c>
      <c r="E1282" s="2" t="s">
        <v>15</v>
      </c>
      <c r="F1282" s="2" t="s">
        <v>1397</v>
      </c>
      <c r="G1282" s="2">
        <v>181.35</v>
      </c>
      <c r="H1282" s="2">
        <v>9</v>
      </c>
      <c r="I1282" s="3">
        <v>48.96</v>
      </c>
    </row>
    <row r="1283" spans="1:9" x14ac:dyDescent="0.3">
      <c r="A1283" s="4">
        <v>42317</v>
      </c>
      <c r="B1283" s="5" t="s">
        <v>381</v>
      </c>
      <c r="C1283" s="5" t="s">
        <v>18</v>
      </c>
      <c r="D1283" s="5" t="s">
        <v>2</v>
      </c>
      <c r="E1283" s="5" t="s">
        <v>7</v>
      </c>
      <c r="F1283" s="5" t="s">
        <v>1398</v>
      </c>
      <c r="G1283" s="5">
        <v>8.64</v>
      </c>
      <c r="H1283" s="5">
        <v>3</v>
      </c>
      <c r="I1283" s="6">
        <v>4.2300000000000004</v>
      </c>
    </row>
    <row r="1284" spans="1:9" x14ac:dyDescent="0.3">
      <c r="A1284" s="1">
        <v>42317</v>
      </c>
      <c r="B1284" s="2" t="s">
        <v>329</v>
      </c>
      <c r="C1284" s="2" t="s">
        <v>18</v>
      </c>
      <c r="D1284" s="2" t="s">
        <v>2</v>
      </c>
      <c r="E1284" s="2" t="s">
        <v>15</v>
      </c>
      <c r="F1284" s="2" t="s">
        <v>686</v>
      </c>
      <c r="G1284" s="2">
        <v>265.86</v>
      </c>
      <c r="H1284" s="2">
        <v>7</v>
      </c>
      <c r="I1284" s="3">
        <v>79.760000000000005</v>
      </c>
    </row>
    <row r="1285" spans="1:9" x14ac:dyDescent="0.3">
      <c r="A1285" s="4">
        <v>42317</v>
      </c>
      <c r="B1285" s="5" t="s">
        <v>460</v>
      </c>
      <c r="C1285" s="5" t="s">
        <v>80</v>
      </c>
      <c r="D1285" s="5" t="s">
        <v>25</v>
      </c>
      <c r="E1285" s="5" t="s">
        <v>38</v>
      </c>
      <c r="F1285" s="5" t="s">
        <v>1399</v>
      </c>
      <c r="G1285" s="5">
        <v>210.68</v>
      </c>
      <c r="H1285" s="5">
        <v>2</v>
      </c>
      <c r="I1285" s="6">
        <v>50.56</v>
      </c>
    </row>
    <row r="1286" spans="1:9" x14ac:dyDescent="0.3">
      <c r="A1286" s="1">
        <v>42317</v>
      </c>
      <c r="B1286" s="2" t="s">
        <v>460</v>
      </c>
      <c r="C1286" s="2" t="s">
        <v>80</v>
      </c>
      <c r="D1286" s="2" t="s">
        <v>2</v>
      </c>
      <c r="E1286" s="2" t="s">
        <v>9</v>
      </c>
      <c r="F1286" s="2" t="s">
        <v>1400</v>
      </c>
      <c r="G1286" s="2">
        <v>78.8</v>
      </c>
      <c r="H1286" s="2">
        <v>1</v>
      </c>
      <c r="I1286" s="3">
        <v>1.58</v>
      </c>
    </row>
    <row r="1287" spans="1:9" x14ac:dyDescent="0.3">
      <c r="A1287" s="4">
        <v>42317</v>
      </c>
      <c r="B1287" s="5" t="s">
        <v>460</v>
      </c>
      <c r="C1287" s="5" t="s">
        <v>80</v>
      </c>
      <c r="D1287" s="5" t="s">
        <v>30</v>
      </c>
      <c r="E1287" s="5" t="s">
        <v>43</v>
      </c>
      <c r="F1287" s="5" t="s">
        <v>1401</v>
      </c>
      <c r="G1287" s="5">
        <v>19.989999999999998</v>
      </c>
      <c r="H1287" s="5">
        <v>1</v>
      </c>
      <c r="I1287" s="6">
        <v>6.8</v>
      </c>
    </row>
    <row r="1288" spans="1:9" x14ac:dyDescent="0.3">
      <c r="A1288" s="1">
        <v>42317</v>
      </c>
      <c r="B1288" s="2" t="s">
        <v>460</v>
      </c>
      <c r="C1288" s="2" t="s">
        <v>80</v>
      </c>
      <c r="D1288" s="2" t="s">
        <v>2</v>
      </c>
      <c r="E1288" s="2" t="s">
        <v>9</v>
      </c>
      <c r="F1288" s="2" t="s">
        <v>769</v>
      </c>
      <c r="G1288" s="2">
        <v>772.68</v>
      </c>
      <c r="H1288" s="2">
        <v>4</v>
      </c>
      <c r="I1288" s="3">
        <v>108.18</v>
      </c>
    </row>
    <row r="1289" spans="1:9" x14ac:dyDescent="0.3">
      <c r="A1289" s="4">
        <v>42317</v>
      </c>
      <c r="B1289" s="5" t="s">
        <v>1402</v>
      </c>
      <c r="C1289" s="5" t="s">
        <v>163</v>
      </c>
      <c r="D1289" s="5" t="s">
        <v>25</v>
      </c>
      <c r="E1289" s="5" t="s">
        <v>38</v>
      </c>
      <c r="F1289" s="5" t="s">
        <v>1403</v>
      </c>
      <c r="G1289" s="5">
        <v>24.64</v>
      </c>
      <c r="H1289" s="5">
        <v>4</v>
      </c>
      <c r="I1289" s="6">
        <v>4</v>
      </c>
    </row>
    <row r="1290" spans="1:9" x14ac:dyDescent="0.3">
      <c r="A1290" s="1">
        <v>42317</v>
      </c>
      <c r="B1290" s="2" t="s">
        <v>1404</v>
      </c>
      <c r="C1290" s="2" t="s">
        <v>77</v>
      </c>
      <c r="D1290" s="2" t="s">
        <v>2</v>
      </c>
      <c r="E1290" s="2" t="s">
        <v>7</v>
      </c>
      <c r="F1290" s="2" t="s">
        <v>1405</v>
      </c>
      <c r="G1290" s="2">
        <v>31.05</v>
      </c>
      <c r="H1290" s="2">
        <v>3</v>
      </c>
      <c r="I1290" s="3">
        <v>14.9</v>
      </c>
    </row>
    <row r="1291" spans="1:9" x14ac:dyDescent="0.3">
      <c r="A1291" s="4">
        <v>42317</v>
      </c>
      <c r="B1291" s="5" t="s">
        <v>1404</v>
      </c>
      <c r="C1291" s="5" t="s">
        <v>77</v>
      </c>
      <c r="D1291" s="5" t="s">
        <v>25</v>
      </c>
      <c r="E1291" s="5" t="s">
        <v>38</v>
      </c>
      <c r="F1291" s="5" t="s">
        <v>796</v>
      </c>
      <c r="G1291" s="5">
        <v>8.92</v>
      </c>
      <c r="H1291" s="5">
        <v>4</v>
      </c>
      <c r="I1291" s="6">
        <v>3.92</v>
      </c>
    </row>
    <row r="1292" spans="1:9" x14ac:dyDescent="0.3">
      <c r="A1292" s="1">
        <v>42317</v>
      </c>
      <c r="B1292" s="2" t="s">
        <v>1404</v>
      </c>
      <c r="C1292" s="2" t="s">
        <v>77</v>
      </c>
      <c r="D1292" s="2" t="s">
        <v>2</v>
      </c>
      <c r="E1292" s="2" t="s">
        <v>11</v>
      </c>
      <c r="F1292" s="2" t="s">
        <v>63</v>
      </c>
      <c r="G1292" s="2">
        <v>209.6</v>
      </c>
      <c r="H1292" s="2">
        <v>4</v>
      </c>
      <c r="I1292" s="3">
        <v>96.42</v>
      </c>
    </row>
    <row r="1293" spans="1:9" x14ac:dyDescent="0.3">
      <c r="A1293" s="4">
        <v>42317</v>
      </c>
      <c r="B1293" s="5" t="s">
        <v>1404</v>
      </c>
      <c r="C1293" s="5" t="s">
        <v>77</v>
      </c>
      <c r="D1293" s="5" t="s">
        <v>2</v>
      </c>
      <c r="E1293" s="5" t="s">
        <v>133</v>
      </c>
      <c r="F1293" s="5" t="s">
        <v>1406</v>
      </c>
      <c r="G1293" s="5">
        <v>111.04</v>
      </c>
      <c r="H1293" s="5">
        <v>4</v>
      </c>
      <c r="I1293" s="6">
        <v>29.98</v>
      </c>
    </row>
    <row r="1294" spans="1:9" x14ac:dyDescent="0.3">
      <c r="A1294" s="1">
        <v>42317</v>
      </c>
      <c r="B1294" s="2" t="s">
        <v>1404</v>
      </c>
      <c r="C1294" s="2" t="s">
        <v>77</v>
      </c>
      <c r="D1294" s="2" t="s">
        <v>2</v>
      </c>
      <c r="E1294" s="2" t="s">
        <v>3</v>
      </c>
      <c r="F1294" s="2" t="s">
        <v>1407</v>
      </c>
      <c r="G1294" s="2">
        <v>38.880000000000003</v>
      </c>
      <c r="H1294" s="2">
        <v>6</v>
      </c>
      <c r="I1294" s="3">
        <v>18.66</v>
      </c>
    </row>
    <row r="1295" spans="1:9" x14ac:dyDescent="0.3">
      <c r="A1295" s="4">
        <v>42347</v>
      </c>
      <c r="B1295" s="5" t="s">
        <v>344</v>
      </c>
      <c r="C1295" s="5" t="s">
        <v>80</v>
      </c>
      <c r="D1295" s="5" t="s">
        <v>30</v>
      </c>
      <c r="E1295" s="5" t="s">
        <v>290</v>
      </c>
      <c r="F1295" s="5" t="s">
        <v>1408</v>
      </c>
      <c r="G1295" s="5">
        <v>479.98</v>
      </c>
      <c r="H1295" s="5">
        <v>2</v>
      </c>
      <c r="I1295" s="6">
        <v>60</v>
      </c>
    </row>
    <row r="1296" spans="1:9" x14ac:dyDescent="0.3">
      <c r="A1296" s="1">
        <v>42347</v>
      </c>
      <c r="B1296" s="2" t="s">
        <v>344</v>
      </c>
      <c r="C1296" s="2" t="s">
        <v>80</v>
      </c>
      <c r="D1296" s="2" t="s">
        <v>2</v>
      </c>
      <c r="E1296" s="2" t="s">
        <v>7</v>
      </c>
      <c r="F1296" s="2" t="s">
        <v>1409</v>
      </c>
      <c r="G1296" s="2">
        <v>12.6</v>
      </c>
      <c r="H1296" s="2">
        <v>4</v>
      </c>
      <c r="I1296" s="3">
        <v>6.05</v>
      </c>
    </row>
    <row r="1297" spans="1:9" x14ac:dyDescent="0.3">
      <c r="A1297" s="4">
        <v>42347</v>
      </c>
      <c r="B1297" s="5" t="s">
        <v>569</v>
      </c>
      <c r="C1297" s="5" t="s">
        <v>80</v>
      </c>
      <c r="D1297" s="5" t="s">
        <v>2</v>
      </c>
      <c r="E1297" s="5" t="s">
        <v>15</v>
      </c>
      <c r="F1297" s="5" t="s">
        <v>221</v>
      </c>
      <c r="G1297" s="5">
        <v>9.26</v>
      </c>
      <c r="H1297" s="5">
        <v>2</v>
      </c>
      <c r="I1297" s="6">
        <v>3.06</v>
      </c>
    </row>
    <row r="1298" spans="1:9" x14ac:dyDescent="0.3">
      <c r="A1298" s="1">
        <v>42347</v>
      </c>
      <c r="B1298" s="2" t="s">
        <v>569</v>
      </c>
      <c r="C1298" s="2" t="s">
        <v>80</v>
      </c>
      <c r="D1298" s="2" t="s">
        <v>2</v>
      </c>
      <c r="E1298" s="2" t="s">
        <v>9</v>
      </c>
      <c r="F1298" s="2" t="s">
        <v>1410</v>
      </c>
      <c r="G1298" s="2">
        <v>105.98</v>
      </c>
      <c r="H1298" s="2">
        <v>2</v>
      </c>
      <c r="I1298" s="3">
        <v>4.24</v>
      </c>
    </row>
    <row r="1299" spans="1:9" x14ac:dyDescent="0.3">
      <c r="A1299" s="4">
        <v>42347</v>
      </c>
      <c r="B1299" s="5" t="s">
        <v>569</v>
      </c>
      <c r="C1299" s="5" t="s">
        <v>80</v>
      </c>
      <c r="D1299" s="5" t="s">
        <v>2</v>
      </c>
      <c r="E1299" s="5" t="s">
        <v>34</v>
      </c>
      <c r="F1299" s="5" t="s">
        <v>1411</v>
      </c>
      <c r="G1299" s="5">
        <v>1.24</v>
      </c>
      <c r="H1299" s="5">
        <v>1</v>
      </c>
      <c r="I1299" s="6">
        <v>0.57999999999999996</v>
      </c>
    </row>
    <row r="1300" spans="1:9" x14ac:dyDescent="0.3">
      <c r="A1300" s="1">
        <v>42347</v>
      </c>
      <c r="B1300" s="2" t="s">
        <v>569</v>
      </c>
      <c r="C1300" s="2" t="s">
        <v>80</v>
      </c>
      <c r="D1300" s="2" t="s">
        <v>2</v>
      </c>
      <c r="E1300" s="2" t="s">
        <v>7</v>
      </c>
      <c r="F1300" s="2" t="s">
        <v>1335</v>
      </c>
      <c r="G1300" s="2">
        <v>20.7</v>
      </c>
      <c r="H1300" s="2">
        <v>2</v>
      </c>
      <c r="I1300" s="3">
        <v>9.94</v>
      </c>
    </row>
    <row r="1301" spans="1:9" x14ac:dyDescent="0.3">
      <c r="A1301" s="4">
        <v>42347</v>
      </c>
      <c r="B1301" s="5" t="s">
        <v>569</v>
      </c>
      <c r="C1301" s="5" t="s">
        <v>80</v>
      </c>
      <c r="D1301" s="5" t="s">
        <v>2</v>
      </c>
      <c r="E1301" s="5" t="s">
        <v>3</v>
      </c>
      <c r="F1301" s="5" t="s">
        <v>1412</v>
      </c>
      <c r="G1301" s="5">
        <v>28.9</v>
      </c>
      <c r="H1301" s="5">
        <v>5</v>
      </c>
      <c r="I1301" s="6">
        <v>14.16</v>
      </c>
    </row>
    <row r="1302" spans="1:9" x14ac:dyDescent="0.3">
      <c r="A1302" s="1">
        <v>42347</v>
      </c>
      <c r="B1302" s="2" t="s">
        <v>569</v>
      </c>
      <c r="C1302" s="2" t="s">
        <v>80</v>
      </c>
      <c r="D1302" s="2" t="s">
        <v>2</v>
      </c>
      <c r="E1302" s="2" t="s">
        <v>114</v>
      </c>
      <c r="F1302" s="2" t="s">
        <v>1413</v>
      </c>
      <c r="G1302" s="2">
        <v>27.18</v>
      </c>
      <c r="H1302" s="2">
        <v>1</v>
      </c>
      <c r="I1302" s="3">
        <v>12.77</v>
      </c>
    </row>
    <row r="1303" spans="1:9" x14ac:dyDescent="0.3">
      <c r="A1303" s="4">
        <v>42347</v>
      </c>
      <c r="B1303" s="5" t="s">
        <v>1414</v>
      </c>
      <c r="C1303" s="5" t="s">
        <v>62</v>
      </c>
      <c r="D1303" s="5" t="s">
        <v>30</v>
      </c>
      <c r="E1303" s="5" t="s">
        <v>43</v>
      </c>
      <c r="F1303" s="5" t="s">
        <v>674</v>
      </c>
      <c r="G1303" s="5">
        <v>21.98</v>
      </c>
      <c r="H1303" s="5">
        <v>2</v>
      </c>
      <c r="I1303" s="6">
        <v>8.57</v>
      </c>
    </row>
    <row r="1304" spans="1:9" x14ac:dyDescent="0.3">
      <c r="A1304" s="1">
        <v>42014</v>
      </c>
      <c r="B1304" s="2" t="s">
        <v>1360</v>
      </c>
      <c r="C1304" s="2" t="s">
        <v>163</v>
      </c>
      <c r="D1304" s="2" t="s">
        <v>2</v>
      </c>
      <c r="E1304" s="2" t="s">
        <v>9</v>
      </c>
      <c r="F1304" s="2" t="s">
        <v>849</v>
      </c>
      <c r="G1304" s="2">
        <v>139.41999999999999</v>
      </c>
      <c r="H1304" s="2">
        <v>4</v>
      </c>
      <c r="I1304" s="3">
        <v>17.43</v>
      </c>
    </row>
    <row r="1305" spans="1:9" x14ac:dyDescent="0.3">
      <c r="A1305" s="4">
        <v>42014</v>
      </c>
      <c r="B1305" s="5" t="s">
        <v>1415</v>
      </c>
      <c r="C1305" s="5" t="s">
        <v>181</v>
      </c>
      <c r="D1305" s="5" t="s">
        <v>30</v>
      </c>
      <c r="E1305" s="5" t="s">
        <v>31</v>
      </c>
      <c r="F1305" s="5" t="s">
        <v>1236</v>
      </c>
      <c r="G1305" s="5">
        <v>311.98</v>
      </c>
      <c r="H1305" s="5">
        <v>2</v>
      </c>
      <c r="I1305" s="6">
        <v>93.59</v>
      </c>
    </row>
    <row r="1306" spans="1:9" x14ac:dyDescent="0.3">
      <c r="A1306" s="1">
        <v>42014</v>
      </c>
      <c r="B1306" s="2" t="s">
        <v>1415</v>
      </c>
      <c r="C1306" s="2" t="s">
        <v>181</v>
      </c>
      <c r="D1306" s="2" t="s">
        <v>2</v>
      </c>
      <c r="E1306" s="2" t="s">
        <v>11</v>
      </c>
      <c r="F1306" s="2" t="s">
        <v>201</v>
      </c>
      <c r="G1306" s="2">
        <v>22.45</v>
      </c>
      <c r="H1306" s="2">
        <v>5</v>
      </c>
      <c r="I1306" s="3">
        <v>10.33</v>
      </c>
    </row>
    <row r="1307" spans="1:9" x14ac:dyDescent="0.3">
      <c r="A1307" s="4">
        <v>42014</v>
      </c>
      <c r="B1307" s="5" t="s">
        <v>1416</v>
      </c>
      <c r="C1307" s="5" t="s">
        <v>6</v>
      </c>
      <c r="D1307" s="5" t="s">
        <v>2</v>
      </c>
      <c r="E1307" s="5" t="s">
        <v>11</v>
      </c>
      <c r="F1307" s="5" t="s">
        <v>1284</v>
      </c>
      <c r="G1307" s="5">
        <v>2.99</v>
      </c>
      <c r="H1307" s="5">
        <v>4</v>
      </c>
      <c r="I1307" s="6">
        <v>-4.49</v>
      </c>
    </row>
    <row r="1308" spans="1:9" x14ac:dyDescent="0.3">
      <c r="A1308" s="1">
        <v>42014</v>
      </c>
      <c r="B1308" s="2" t="s">
        <v>1416</v>
      </c>
      <c r="C1308" s="2" t="s">
        <v>6</v>
      </c>
      <c r="D1308" s="2" t="s">
        <v>30</v>
      </c>
      <c r="E1308" s="2" t="s">
        <v>43</v>
      </c>
      <c r="F1308" s="2" t="s">
        <v>1417</v>
      </c>
      <c r="G1308" s="2">
        <v>108.77</v>
      </c>
      <c r="H1308" s="2">
        <v>4</v>
      </c>
      <c r="I1308" s="3">
        <v>2.72</v>
      </c>
    </row>
    <row r="1309" spans="1:9" x14ac:dyDescent="0.3">
      <c r="A1309" s="4">
        <v>42014</v>
      </c>
      <c r="B1309" s="5" t="s">
        <v>1416</v>
      </c>
      <c r="C1309" s="5" t="s">
        <v>713</v>
      </c>
      <c r="D1309" s="5" t="s">
        <v>30</v>
      </c>
      <c r="E1309" s="5" t="s">
        <v>31</v>
      </c>
      <c r="F1309" s="5" t="s">
        <v>341</v>
      </c>
      <c r="G1309" s="5">
        <v>572.79999999999995</v>
      </c>
      <c r="H1309" s="5">
        <v>2</v>
      </c>
      <c r="I1309" s="6">
        <v>50.12</v>
      </c>
    </row>
    <row r="1310" spans="1:9" x14ac:dyDescent="0.3">
      <c r="A1310" s="1">
        <v>42045</v>
      </c>
      <c r="B1310" s="2" t="s">
        <v>471</v>
      </c>
      <c r="C1310" s="2" t="s">
        <v>18</v>
      </c>
      <c r="D1310" s="2" t="s">
        <v>2</v>
      </c>
      <c r="E1310" s="2" t="s">
        <v>11</v>
      </c>
      <c r="F1310" s="2" t="s">
        <v>269</v>
      </c>
      <c r="G1310" s="2">
        <v>57.5</v>
      </c>
      <c r="H1310" s="2">
        <v>6</v>
      </c>
      <c r="I1310" s="3">
        <v>20.13</v>
      </c>
    </row>
    <row r="1311" spans="1:9" x14ac:dyDescent="0.3">
      <c r="A1311" s="4">
        <v>42045</v>
      </c>
      <c r="B1311" s="5" t="s">
        <v>1418</v>
      </c>
      <c r="C1311" s="5" t="s">
        <v>77</v>
      </c>
      <c r="D1311" s="5" t="s">
        <v>2</v>
      </c>
      <c r="E1311" s="5" t="s">
        <v>3</v>
      </c>
      <c r="F1311" s="5" t="s">
        <v>1419</v>
      </c>
      <c r="G1311" s="5">
        <v>94.85</v>
      </c>
      <c r="H1311" s="5">
        <v>5</v>
      </c>
      <c r="I1311" s="6">
        <v>45.53</v>
      </c>
    </row>
    <row r="1312" spans="1:9" x14ac:dyDescent="0.3">
      <c r="A1312" s="1">
        <v>42045</v>
      </c>
      <c r="B1312" s="2" t="s">
        <v>1418</v>
      </c>
      <c r="C1312" s="2" t="s">
        <v>77</v>
      </c>
      <c r="D1312" s="2" t="s">
        <v>2</v>
      </c>
      <c r="E1312" s="2" t="s">
        <v>114</v>
      </c>
      <c r="F1312" s="2" t="s">
        <v>574</v>
      </c>
      <c r="G1312" s="2">
        <v>51.12</v>
      </c>
      <c r="H1312" s="2">
        <v>4</v>
      </c>
      <c r="I1312" s="3">
        <v>23</v>
      </c>
    </row>
    <row r="1313" spans="1:9" x14ac:dyDescent="0.3">
      <c r="A1313" s="4">
        <v>42045</v>
      </c>
      <c r="B1313" s="5" t="s">
        <v>1418</v>
      </c>
      <c r="C1313" s="5" t="s">
        <v>77</v>
      </c>
      <c r="D1313" s="5" t="s">
        <v>30</v>
      </c>
      <c r="E1313" s="5" t="s">
        <v>43</v>
      </c>
      <c r="F1313" s="5" t="s">
        <v>848</v>
      </c>
      <c r="G1313" s="5">
        <v>90</v>
      </c>
      <c r="H1313" s="5">
        <v>1</v>
      </c>
      <c r="I1313" s="6">
        <v>32.4</v>
      </c>
    </row>
    <row r="1314" spans="1:9" x14ac:dyDescent="0.3">
      <c r="A1314" s="1">
        <v>42045</v>
      </c>
      <c r="B1314" s="2" t="s">
        <v>1420</v>
      </c>
      <c r="C1314" s="2" t="s">
        <v>18</v>
      </c>
      <c r="D1314" s="2" t="s">
        <v>2</v>
      </c>
      <c r="E1314" s="2" t="s">
        <v>9</v>
      </c>
      <c r="F1314" s="2" t="s">
        <v>1080</v>
      </c>
      <c r="G1314" s="2">
        <v>270.33999999999997</v>
      </c>
      <c r="H1314" s="2">
        <v>14</v>
      </c>
      <c r="I1314" s="3">
        <v>75.7</v>
      </c>
    </row>
    <row r="1315" spans="1:9" x14ac:dyDescent="0.3">
      <c r="A1315" s="4">
        <v>42045</v>
      </c>
      <c r="B1315" s="5" t="s">
        <v>152</v>
      </c>
      <c r="C1315" s="5" t="s">
        <v>121</v>
      </c>
      <c r="D1315" s="5" t="s">
        <v>2</v>
      </c>
      <c r="E1315" s="5" t="s">
        <v>11</v>
      </c>
      <c r="F1315" s="5" t="s">
        <v>1421</v>
      </c>
      <c r="G1315" s="5">
        <v>7.38</v>
      </c>
      <c r="H1315" s="5">
        <v>5</v>
      </c>
      <c r="I1315" s="6">
        <v>-5.41</v>
      </c>
    </row>
    <row r="1316" spans="1:9" x14ac:dyDescent="0.3">
      <c r="A1316" s="1">
        <v>42045</v>
      </c>
      <c r="B1316" s="2" t="s">
        <v>1422</v>
      </c>
      <c r="C1316" s="2" t="s">
        <v>18</v>
      </c>
      <c r="D1316" s="2" t="s">
        <v>2</v>
      </c>
      <c r="E1316" s="2" t="s">
        <v>11</v>
      </c>
      <c r="F1316" s="2" t="s">
        <v>1421</v>
      </c>
      <c r="G1316" s="2">
        <v>11.81</v>
      </c>
      <c r="H1316" s="2">
        <v>3</v>
      </c>
      <c r="I1316" s="3">
        <v>4.13</v>
      </c>
    </row>
    <row r="1317" spans="1:9" x14ac:dyDescent="0.3">
      <c r="A1317" s="4">
        <v>42045</v>
      </c>
      <c r="B1317" s="5" t="s">
        <v>1422</v>
      </c>
      <c r="C1317" s="5" t="s">
        <v>18</v>
      </c>
      <c r="D1317" s="5" t="s">
        <v>2</v>
      </c>
      <c r="E1317" s="5" t="s">
        <v>11</v>
      </c>
      <c r="F1317" s="5" t="s">
        <v>295</v>
      </c>
      <c r="G1317" s="5">
        <v>53.57</v>
      </c>
      <c r="H1317" s="5">
        <v>4</v>
      </c>
      <c r="I1317" s="6">
        <v>19.420000000000002</v>
      </c>
    </row>
    <row r="1318" spans="1:9" x14ac:dyDescent="0.3">
      <c r="A1318" s="1">
        <v>42045</v>
      </c>
      <c r="B1318" s="2" t="s">
        <v>1422</v>
      </c>
      <c r="C1318" s="2" t="s">
        <v>18</v>
      </c>
      <c r="D1318" s="2" t="s">
        <v>30</v>
      </c>
      <c r="E1318" s="2" t="s">
        <v>31</v>
      </c>
      <c r="F1318" s="2" t="s">
        <v>1423</v>
      </c>
      <c r="G1318" s="2">
        <v>503.96</v>
      </c>
      <c r="H1318" s="2">
        <v>5</v>
      </c>
      <c r="I1318" s="3">
        <v>50.4</v>
      </c>
    </row>
    <row r="1319" spans="1:9" x14ac:dyDescent="0.3">
      <c r="A1319" s="4">
        <v>42045</v>
      </c>
      <c r="B1319" s="5" t="s">
        <v>1424</v>
      </c>
      <c r="C1319" s="5" t="s">
        <v>300</v>
      </c>
      <c r="D1319" s="5" t="s">
        <v>2</v>
      </c>
      <c r="E1319" s="5" t="s">
        <v>11</v>
      </c>
      <c r="F1319" s="5" t="s">
        <v>322</v>
      </c>
      <c r="G1319" s="5">
        <v>26.9</v>
      </c>
      <c r="H1319" s="5">
        <v>5</v>
      </c>
      <c r="I1319" s="6">
        <v>13.18</v>
      </c>
    </row>
    <row r="1320" spans="1:9" x14ac:dyDescent="0.3">
      <c r="A1320" s="1">
        <v>42045</v>
      </c>
      <c r="B1320" s="2" t="s">
        <v>1425</v>
      </c>
      <c r="C1320" s="2" t="s">
        <v>958</v>
      </c>
      <c r="D1320" s="2" t="s">
        <v>2</v>
      </c>
      <c r="E1320" s="2" t="s">
        <v>3</v>
      </c>
      <c r="F1320" s="2" t="s">
        <v>1426</v>
      </c>
      <c r="G1320" s="2">
        <v>19.440000000000001</v>
      </c>
      <c r="H1320" s="2">
        <v>3</v>
      </c>
      <c r="I1320" s="3">
        <v>9.33</v>
      </c>
    </row>
    <row r="1321" spans="1:9" x14ac:dyDescent="0.3">
      <c r="A1321" s="4">
        <v>42045</v>
      </c>
      <c r="B1321" s="5" t="s">
        <v>1425</v>
      </c>
      <c r="C1321" s="5" t="s">
        <v>958</v>
      </c>
      <c r="D1321" s="5" t="s">
        <v>2</v>
      </c>
      <c r="E1321" s="5" t="s">
        <v>11</v>
      </c>
      <c r="F1321" s="5" t="s">
        <v>1427</v>
      </c>
      <c r="G1321" s="5">
        <v>7.38</v>
      </c>
      <c r="H1321" s="5">
        <v>1</v>
      </c>
      <c r="I1321" s="6">
        <v>3.62</v>
      </c>
    </row>
    <row r="1322" spans="1:9" x14ac:dyDescent="0.3">
      <c r="A1322" s="1">
        <v>42045</v>
      </c>
      <c r="B1322" s="2" t="s">
        <v>834</v>
      </c>
      <c r="C1322" s="2" t="s">
        <v>163</v>
      </c>
      <c r="D1322" s="2" t="s">
        <v>2</v>
      </c>
      <c r="E1322" s="2" t="s">
        <v>144</v>
      </c>
      <c r="F1322" s="2" t="s">
        <v>659</v>
      </c>
      <c r="G1322" s="2">
        <v>10.94</v>
      </c>
      <c r="H1322" s="2">
        <v>2</v>
      </c>
      <c r="I1322" s="3">
        <v>0.96</v>
      </c>
    </row>
    <row r="1323" spans="1:9" x14ac:dyDescent="0.3">
      <c r="A1323" s="4">
        <v>42045</v>
      </c>
      <c r="B1323" s="5" t="s">
        <v>166</v>
      </c>
      <c r="C1323" s="5" t="s">
        <v>713</v>
      </c>
      <c r="D1323" s="5" t="s">
        <v>25</v>
      </c>
      <c r="E1323" s="5" t="s">
        <v>38</v>
      </c>
      <c r="F1323" s="5" t="s">
        <v>487</v>
      </c>
      <c r="G1323" s="5">
        <v>11.03</v>
      </c>
      <c r="H1323" s="5">
        <v>1</v>
      </c>
      <c r="I1323" s="6">
        <v>3.03</v>
      </c>
    </row>
    <row r="1324" spans="1:9" x14ac:dyDescent="0.3">
      <c r="A1324" s="1">
        <v>42045</v>
      </c>
      <c r="B1324" s="2" t="s">
        <v>166</v>
      </c>
      <c r="C1324" s="2" t="s">
        <v>713</v>
      </c>
      <c r="D1324" s="2" t="s">
        <v>30</v>
      </c>
      <c r="E1324" s="2" t="s">
        <v>43</v>
      </c>
      <c r="F1324" s="2" t="s">
        <v>1428</v>
      </c>
      <c r="G1324" s="2">
        <v>53.04</v>
      </c>
      <c r="H1324" s="2">
        <v>3</v>
      </c>
      <c r="I1324" s="3">
        <v>-4.6399999999999997</v>
      </c>
    </row>
    <row r="1325" spans="1:9" x14ac:dyDescent="0.3">
      <c r="A1325" s="4">
        <v>42073</v>
      </c>
      <c r="B1325" s="5" t="s">
        <v>394</v>
      </c>
      <c r="C1325" s="5" t="s">
        <v>127</v>
      </c>
      <c r="D1325" s="5" t="s">
        <v>2</v>
      </c>
      <c r="E1325" s="5" t="s">
        <v>11</v>
      </c>
      <c r="F1325" s="5" t="s">
        <v>826</v>
      </c>
      <c r="G1325" s="5">
        <v>32.07</v>
      </c>
      <c r="H1325" s="5">
        <v>5</v>
      </c>
      <c r="I1325" s="6">
        <v>-22.45</v>
      </c>
    </row>
    <row r="1326" spans="1:9" x14ac:dyDescent="0.3">
      <c r="A1326" s="1">
        <v>42073</v>
      </c>
      <c r="B1326" s="2" t="s">
        <v>394</v>
      </c>
      <c r="C1326" s="2" t="s">
        <v>127</v>
      </c>
      <c r="D1326" s="2" t="s">
        <v>30</v>
      </c>
      <c r="E1326" s="2" t="s">
        <v>43</v>
      </c>
      <c r="F1326" s="2" t="s">
        <v>1429</v>
      </c>
      <c r="G1326" s="2">
        <v>24</v>
      </c>
      <c r="H1326" s="2">
        <v>2</v>
      </c>
      <c r="I1326" s="3">
        <v>-2.7</v>
      </c>
    </row>
    <row r="1327" spans="1:9" x14ac:dyDescent="0.3">
      <c r="A1327" s="4">
        <v>42073</v>
      </c>
      <c r="B1327" s="5" t="s">
        <v>394</v>
      </c>
      <c r="C1327" s="5" t="s">
        <v>127</v>
      </c>
      <c r="D1327" s="5" t="s">
        <v>25</v>
      </c>
      <c r="E1327" s="5" t="s">
        <v>129</v>
      </c>
      <c r="F1327" s="5" t="s">
        <v>1430</v>
      </c>
      <c r="G1327" s="5">
        <v>35.49</v>
      </c>
      <c r="H1327" s="5">
        <v>1</v>
      </c>
      <c r="I1327" s="6">
        <v>-15.62</v>
      </c>
    </row>
    <row r="1328" spans="1:9" x14ac:dyDescent="0.3">
      <c r="A1328" s="1">
        <v>42073</v>
      </c>
      <c r="B1328" s="2" t="s">
        <v>394</v>
      </c>
      <c r="C1328" s="2" t="s">
        <v>127</v>
      </c>
      <c r="D1328" s="2" t="s">
        <v>30</v>
      </c>
      <c r="E1328" s="2" t="s">
        <v>43</v>
      </c>
      <c r="F1328" s="2" t="s">
        <v>1431</v>
      </c>
      <c r="G1328" s="2">
        <v>47.98</v>
      </c>
      <c r="H1328" s="2">
        <v>2</v>
      </c>
      <c r="I1328" s="3">
        <v>0.6</v>
      </c>
    </row>
    <row r="1329" spans="1:9" x14ac:dyDescent="0.3">
      <c r="A1329" s="4">
        <v>42073</v>
      </c>
      <c r="B1329" s="5" t="s">
        <v>200</v>
      </c>
      <c r="C1329" s="5" t="s">
        <v>14</v>
      </c>
      <c r="D1329" s="5" t="s">
        <v>2</v>
      </c>
      <c r="E1329" s="5" t="s">
        <v>9</v>
      </c>
      <c r="F1329" s="5" t="s">
        <v>529</v>
      </c>
      <c r="G1329" s="5">
        <v>15.01</v>
      </c>
      <c r="H1329" s="5">
        <v>2</v>
      </c>
      <c r="I1329" s="6">
        <v>1.5</v>
      </c>
    </row>
    <row r="1330" spans="1:9" x14ac:dyDescent="0.3">
      <c r="A1330" s="1">
        <v>42073</v>
      </c>
      <c r="B1330" s="2" t="s">
        <v>523</v>
      </c>
      <c r="C1330" s="2" t="s">
        <v>18</v>
      </c>
      <c r="D1330" s="2" t="s">
        <v>25</v>
      </c>
      <c r="E1330" s="2" t="s">
        <v>129</v>
      </c>
      <c r="F1330" s="2" t="s">
        <v>1430</v>
      </c>
      <c r="G1330" s="2">
        <v>120.67</v>
      </c>
      <c r="H1330" s="2">
        <v>2</v>
      </c>
      <c r="I1330" s="3">
        <v>18.45</v>
      </c>
    </row>
    <row r="1331" spans="1:9" x14ac:dyDescent="0.3">
      <c r="A1331" s="4">
        <v>42104</v>
      </c>
      <c r="B1331" s="5" t="s">
        <v>1003</v>
      </c>
      <c r="C1331" s="5" t="s">
        <v>21</v>
      </c>
      <c r="D1331" s="5" t="s">
        <v>25</v>
      </c>
      <c r="E1331" s="5" t="s">
        <v>26</v>
      </c>
      <c r="F1331" s="5" t="s">
        <v>1432</v>
      </c>
      <c r="G1331" s="5">
        <v>392.94</v>
      </c>
      <c r="H1331" s="5">
        <v>3</v>
      </c>
      <c r="I1331" s="6">
        <v>43.22</v>
      </c>
    </row>
    <row r="1332" spans="1:9" x14ac:dyDescent="0.3">
      <c r="A1332" s="1">
        <v>42104</v>
      </c>
      <c r="B1332" s="2" t="s">
        <v>1433</v>
      </c>
      <c r="C1332" s="2" t="s">
        <v>18</v>
      </c>
      <c r="D1332" s="2" t="s">
        <v>2</v>
      </c>
      <c r="E1332" s="2" t="s">
        <v>9</v>
      </c>
      <c r="F1332" s="2" t="s">
        <v>1434</v>
      </c>
      <c r="G1332" s="2">
        <v>26.96</v>
      </c>
      <c r="H1332" s="2">
        <v>2</v>
      </c>
      <c r="I1332" s="3">
        <v>7.01</v>
      </c>
    </row>
    <row r="1333" spans="1:9" x14ac:dyDescent="0.3">
      <c r="A1333" s="4">
        <v>42104</v>
      </c>
      <c r="B1333" s="5" t="s">
        <v>827</v>
      </c>
      <c r="C1333" s="5" t="s">
        <v>14</v>
      </c>
      <c r="D1333" s="5" t="s">
        <v>25</v>
      </c>
      <c r="E1333" s="5" t="s">
        <v>38</v>
      </c>
      <c r="F1333" s="5" t="s">
        <v>1240</v>
      </c>
      <c r="G1333" s="5">
        <v>64.94</v>
      </c>
      <c r="H1333" s="5">
        <v>3</v>
      </c>
      <c r="I1333" s="6">
        <v>6.49</v>
      </c>
    </row>
    <row r="1334" spans="1:9" x14ac:dyDescent="0.3">
      <c r="A1334" s="1">
        <v>42104</v>
      </c>
      <c r="B1334" s="2" t="s">
        <v>827</v>
      </c>
      <c r="C1334" s="2" t="s">
        <v>14</v>
      </c>
      <c r="D1334" s="2" t="s">
        <v>2</v>
      </c>
      <c r="E1334" s="2" t="s">
        <v>3</v>
      </c>
      <c r="F1334" s="2" t="s">
        <v>1435</v>
      </c>
      <c r="G1334" s="2">
        <v>20.74</v>
      </c>
      <c r="H1334" s="2">
        <v>4</v>
      </c>
      <c r="I1334" s="3">
        <v>7.26</v>
      </c>
    </row>
    <row r="1335" spans="1:9" x14ac:dyDescent="0.3">
      <c r="A1335" s="4">
        <v>42134</v>
      </c>
      <c r="B1335" s="5" t="s">
        <v>1436</v>
      </c>
      <c r="C1335" s="5" t="s">
        <v>46</v>
      </c>
      <c r="D1335" s="5" t="s">
        <v>2</v>
      </c>
      <c r="E1335" s="5" t="s">
        <v>15</v>
      </c>
      <c r="F1335" s="5" t="s">
        <v>622</v>
      </c>
      <c r="G1335" s="5">
        <v>46.2</v>
      </c>
      <c r="H1335" s="5">
        <v>4</v>
      </c>
      <c r="I1335" s="6">
        <v>12.94</v>
      </c>
    </row>
    <row r="1336" spans="1:9" x14ac:dyDescent="0.3">
      <c r="A1336" s="1">
        <v>42134</v>
      </c>
      <c r="B1336" s="2" t="s">
        <v>1436</v>
      </c>
      <c r="C1336" s="2" t="s">
        <v>46</v>
      </c>
      <c r="D1336" s="2" t="s">
        <v>2</v>
      </c>
      <c r="E1336" s="2" t="s">
        <v>133</v>
      </c>
      <c r="F1336" s="2" t="s">
        <v>306</v>
      </c>
      <c r="G1336" s="2">
        <v>28.84</v>
      </c>
      <c r="H1336" s="2">
        <v>2</v>
      </c>
      <c r="I1336" s="3">
        <v>9.52</v>
      </c>
    </row>
    <row r="1337" spans="1:9" x14ac:dyDescent="0.3">
      <c r="A1337" s="4">
        <v>42134</v>
      </c>
      <c r="B1337" s="5" t="s">
        <v>1035</v>
      </c>
      <c r="C1337" s="5" t="s">
        <v>50</v>
      </c>
      <c r="D1337" s="5" t="s">
        <v>2</v>
      </c>
      <c r="E1337" s="5" t="s">
        <v>9</v>
      </c>
      <c r="F1337" s="5" t="s">
        <v>927</v>
      </c>
      <c r="G1337" s="5">
        <v>77.55</v>
      </c>
      <c r="H1337" s="5">
        <v>5</v>
      </c>
      <c r="I1337" s="6">
        <v>21.71</v>
      </c>
    </row>
    <row r="1338" spans="1:9" x14ac:dyDescent="0.3">
      <c r="A1338" s="1">
        <v>42134</v>
      </c>
      <c r="B1338" s="2" t="s">
        <v>566</v>
      </c>
      <c r="C1338" s="2" t="s">
        <v>127</v>
      </c>
      <c r="D1338" s="2" t="s">
        <v>30</v>
      </c>
      <c r="E1338" s="2" t="s">
        <v>43</v>
      </c>
      <c r="F1338" s="2" t="s">
        <v>1428</v>
      </c>
      <c r="G1338" s="2">
        <v>53.04</v>
      </c>
      <c r="H1338" s="2">
        <v>3</v>
      </c>
      <c r="I1338" s="3">
        <v>-4.6399999999999997</v>
      </c>
    </row>
    <row r="1339" spans="1:9" x14ac:dyDescent="0.3">
      <c r="A1339" s="4">
        <v>42134</v>
      </c>
      <c r="B1339" s="5" t="s">
        <v>1437</v>
      </c>
      <c r="C1339" s="5" t="s">
        <v>713</v>
      </c>
      <c r="D1339" s="5" t="s">
        <v>25</v>
      </c>
      <c r="E1339" s="5" t="s">
        <v>129</v>
      </c>
      <c r="F1339" s="5" t="s">
        <v>1438</v>
      </c>
      <c r="G1339" s="5">
        <v>66.290000000000006</v>
      </c>
      <c r="H1339" s="5">
        <v>1</v>
      </c>
      <c r="I1339" s="6">
        <v>-103.86</v>
      </c>
    </row>
    <row r="1340" spans="1:9" x14ac:dyDescent="0.3">
      <c r="A1340" s="1">
        <v>42134</v>
      </c>
      <c r="B1340" s="2" t="s">
        <v>1437</v>
      </c>
      <c r="C1340" s="2" t="s">
        <v>713</v>
      </c>
      <c r="D1340" s="2" t="s">
        <v>25</v>
      </c>
      <c r="E1340" s="2" t="s">
        <v>26</v>
      </c>
      <c r="F1340" s="2" t="s">
        <v>1439</v>
      </c>
      <c r="G1340" s="2">
        <v>291.17</v>
      </c>
      <c r="H1340" s="2">
        <v>4</v>
      </c>
      <c r="I1340" s="3">
        <v>-14.56</v>
      </c>
    </row>
    <row r="1341" spans="1:9" x14ac:dyDescent="0.3">
      <c r="A1341" s="4">
        <v>42134</v>
      </c>
      <c r="B1341" s="5" t="s">
        <v>515</v>
      </c>
      <c r="C1341" s="5" t="s">
        <v>127</v>
      </c>
      <c r="D1341" s="5" t="s">
        <v>30</v>
      </c>
      <c r="E1341" s="5" t="s">
        <v>43</v>
      </c>
      <c r="F1341" s="5" t="s">
        <v>848</v>
      </c>
      <c r="G1341" s="5">
        <v>288</v>
      </c>
      <c r="H1341" s="5">
        <v>4</v>
      </c>
      <c r="I1341" s="6">
        <v>57.6</v>
      </c>
    </row>
    <row r="1342" spans="1:9" x14ac:dyDescent="0.3">
      <c r="A1342" s="1">
        <v>42226</v>
      </c>
      <c r="B1342" s="2" t="s">
        <v>566</v>
      </c>
      <c r="C1342" s="2" t="s">
        <v>18</v>
      </c>
      <c r="D1342" s="2" t="s">
        <v>25</v>
      </c>
      <c r="E1342" s="2" t="s">
        <v>38</v>
      </c>
      <c r="F1342" s="2" t="s">
        <v>953</v>
      </c>
      <c r="G1342" s="2">
        <v>145.9</v>
      </c>
      <c r="H1342" s="2">
        <v>5</v>
      </c>
      <c r="I1342" s="3">
        <v>62.74</v>
      </c>
    </row>
    <row r="1343" spans="1:9" x14ac:dyDescent="0.3">
      <c r="A1343" s="4">
        <v>42226</v>
      </c>
      <c r="B1343" s="5" t="s">
        <v>1274</v>
      </c>
      <c r="C1343" s="5" t="s">
        <v>1</v>
      </c>
      <c r="D1343" s="5" t="s">
        <v>2</v>
      </c>
      <c r="E1343" s="5" t="s">
        <v>15</v>
      </c>
      <c r="F1343" s="5" t="s">
        <v>1273</v>
      </c>
      <c r="G1343" s="5">
        <v>3.44</v>
      </c>
      <c r="H1343" s="5">
        <v>2</v>
      </c>
      <c r="I1343" s="6">
        <v>0.56000000000000005</v>
      </c>
    </row>
    <row r="1344" spans="1:9" x14ac:dyDescent="0.3">
      <c r="A1344" s="1">
        <v>42226</v>
      </c>
      <c r="B1344" s="2" t="s">
        <v>1440</v>
      </c>
      <c r="C1344" s="2" t="s">
        <v>1</v>
      </c>
      <c r="D1344" s="2" t="s">
        <v>25</v>
      </c>
      <c r="E1344" s="2" t="s">
        <v>38</v>
      </c>
      <c r="F1344" s="2" t="s">
        <v>1441</v>
      </c>
      <c r="G1344" s="2">
        <v>72.78</v>
      </c>
      <c r="H1344" s="2">
        <v>3</v>
      </c>
      <c r="I1344" s="3">
        <v>-70.959999999999994</v>
      </c>
    </row>
    <row r="1345" spans="1:9" x14ac:dyDescent="0.3">
      <c r="A1345" s="4">
        <v>42257</v>
      </c>
      <c r="B1345" s="5" t="s">
        <v>1089</v>
      </c>
      <c r="C1345" s="5" t="s">
        <v>46</v>
      </c>
      <c r="D1345" s="5" t="s">
        <v>2</v>
      </c>
      <c r="E1345" s="5" t="s">
        <v>9</v>
      </c>
      <c r="F1345" s="5" t="s">
        <v>887</v>
      </c>
      <c r="G1345" s="5">
        <v>30.84</v>
      </c>
      <c r="H1345" s="5">
        <v>2</v>
      </c>
      <c r="I1345" s="6">
        <v>8.33</v>
      </c>
    </row>
    <row r="1346" spans="1:9" x14ac:dyDescent="0.3">
      <c r="A1346" s="1">
        <v>42257</v>
      </c>
      <c r="B1346" s="2" t="s">
        <v>995</v>
      </c>
      <c r="C1346" s="2" t="s">
        <v>80</v>
      </c>
      <c r="D1346" s="2" t="s">
        <v>30</v>
      </c>
      <c r="E1346" s="2" t="s">
        <v>31</v>
      </c>
      <c r="F1346" s="2" t="s">
        <v>271</v>
      </c>
      <c r="G1346" s="2">
        <v>631.96</v>
      </c>
      <c r="H1346" s="2">
        <v>4</v>
      </c>
      <c r="I1346" s="3">
        <v>303.33999999999997</v>
      </c>
    </row>
    <row r="1347" spans="1:9" x14ac:dyDescent="0.3">
      <c r="A1347" s="4">
        <v>42257</v>
      </c>
      <c r="B1347" s="5" t="s">
        <v>995</v>
      </c>
      <c r="C1347" s="5" t="s">
        <v>80</v>
      </c>
      <c r="D1347" s="5" t="s">
        <v>2</v>
      </c>
      <c r="E1347" s="5" t="s">
        <v>3</v>
      </c>
      <c r="F1347" s="5" t="s">
        <v>475</v>
      </c>
      <c r="G1347" s="5">
        <v>23.92</v>
      </c>
      <c r="H1347" s="5">
        <v>4</v>
      </c>
      <c r="I1347" s="6">
        <v>10.76</v>
      </c>
    </row>
    <row r="1348" spans="1:9" x14ac:dyDescent="0.3">
      <c r="A1348" s="1">
        <v>42257</v>
      </c>
      <c r="B1348" s="2" t="s">
        <v>473</v>
      </c>
      <c r="C1348" s="2" t="s">
        <v>160</v>
      </c>
      <c r="D1348" s="2" t="s">
        <v>30</v>
      </c>
      <c r="E1348" s="2" t="s">
        <v>43</v>
      </c>
      <c r="F1348" s="2" t="s">
        <v>1359</v>
      </c>
      <c r="G1348" s="2">
        <v>619.95000000000005</v>
      </c>
      <c r="H1348" s="2">
        <v>5</v>
      </c>
      <c r="I1348" s="3">
        <v>111.59</v>
      </c>
    </row>
    <row r="1349" spans="1:9" x14ac:dyDescent="0.3">
      <c r="A1349" s="4">
        <v>42257</v>
      </c>
      <c r="B1349" s="5" t="s">
        <v>473</v>
      </c>
      <c r="C1349" s="5" t="s">
        <v>160</v>
      </c>
      <c r="D1349" s="5" t="s">
        <v>30</v>
      </c>
      <c r="E1349" s="5" t="s">
        <v>31</v>
      </c>
      <c r="F1349" s="5" t="s">
        <v>1442</v>
      </c>
      <c r="G1349" s="5">
        <v>29.16</v>
      </c>
      <c r="H1349" s="5">
        <v>3</v>
      </c>
      <c r="I1349" s="6">
        <v>8.4600000000000009</v>
      </c>
    </row>
    <row r="1350" spans="1:9" x14ac:dyDescent="0.3">
      <c r="A1350" s="1">
        <v>42257</v>
      </c>
      <c r="B1350" s="2" t="s">
        <v>473</v>
      </c>
      <c r="C1350" s="2" t="s">
        <v>160</v>
      </c>
      <c r="D1350" s="2" t="s">
        <v>2</v>
      </c>
      <c r="E1350" s="2" t="s">
        <v>114</v>
      </c>
      <c r="F1350" s="2" t="s">
        <v>115</v>
      </c>
      <c r="G1350" s="2">
        <v>57.96</v>
      </c>
      <c r="H1350" s="2">
        <v>7</v>
      </c>
      <c r="I1350" s="3">
        <v>27.24</v>
      </c>
    </row>
    <row r="1351" spans="1:9" x14ac:dyDescent="0.3">
      <c r="A1351" s="4">
        <v>42257</v>
      </c>
      <c r="B1351" s="5" t="s">
        <v>473</v>
      </c>
      <c r="C1351" s="5" t="s">
        <v>160</v>
      </c>
      <c r="D1351" s="5" t="s">
        <v>2</v>
      </c>
      <c r="E1351" s="5" t="s">
        <v>133</v>
      </c>
      <c r="F1351" s="5" t="s">
        <v>288</v>
      </c>
      <c r="G1351" s="5">
        <v>29.4</v>
      </c>
      <c r="H1351" s="5">
        <v>3</v>
      </c>
      <c r="I1351" s="6">
        <v>5.23</v>
      </c>
    </row>
    <row r="1352" spans="1:9" x14ac:dyDescent="0.3">
      <c r="A1352" s="1">
        <v>42257</v>
      </c>
      <c r="B1352" s="2" t="s">
        <v>1443</v>
      </c>
      <c r="C1352" s="2" t="s">
        <v>58</v>
      </c>
      <c r="D1352" s="2" t="s">
        <v>2</v>
      </c>
      <c r="E1352" s="2" t="s">
        <v>11</v>
      </c>
      <c r="F1352" s="2" t="s">
        <v>183</v>
      </c>
      <c r="G1352" s="2">
        <v>1.87</v>
      </c>
      <c r="H1352" s="2">
        <v>2</v>
      </c>
      <c r="I1352" s="3">
        <v>-1.31</v>
      </c>
    </row>
    <row r="1353" spans="1:9" x14ac:dyDescent="0.3">
      <c r="A1353" s="4">
        <v>42257</v>
      </c>
      <c r="B1353" s="5" t="s">
        <v>1443</v>
      </c>
      <c r="C1353" s="5" t="s">
        <v>58</v>
      </c>
      <c r="D1353" s="5" t="s">
        <v>2</v>
      </c>
      <c r="E1353" s="5" t="s">
        <v>11</v>
      </c>
      <c r="F1353" s="5" t="s">
        <v>1444</v>
      </c>
      <c r="G1353" s="5">
        <v>11.21</v>
      </c>
      <c r="H1353" s="5">
        <v>2</v>
      </c>
      <c r="I1353" s="6">
        <v>-8.6</v>
      </c>
    </row>
    <row r="1354" spans="1:9" x14ac:dyDescent="0.3">
      <c r="A1354" s="1">
        <v>42257</v>
      </c>
      <c r="B1354" s="2" t="s">
        <v>1443</v>
      </c>
      <c r="C1354" s="2" t="s">
        <v>58</v>
      </c>
      <c r="D1354" s="2" t="s">
        <v>2</v>
      </c>
      <c r="E1354" s="2" t="s">
        <v>15</v>
      </c>
      <c r="F1354" s="2" t="s">
        <v>1445</v>
      </c>
      <c r="G1354" s="2">
        <v>37.380000000000003</v>
      </c>
      <c r="H1354" s="2">
        <v>8</v>
      </c>
      <c r="I1354" s="3">
        <v>7.48</v>
      </c>
    </row>
    <row r="1355" spans="1:9" x14ac:dyDescent="0.3">
      <c r="A1355" s="4">
        <v>42257</v>
      </c>
      <c r="B1355" s="5" t="s">
        <v>1295</v>
      </c>
      <c r="C1355" s="5" t="s">
        <v>160</v>
      </c>
      <c r="D1355" s="5" t="s">
        <v>25</v>
      </c>
      <c r="E1355" s="5" t="s">
        <v>26</v>
      </c>
      <c r="F1355" s="5" t="s">
        <v>1446</v>
      </c>
      <c r="G1355" s="5">
        <v>389.97</v>
      </c>
      <c r="H1355" s="5">
        <v>3</v>
      </c>
      <c r="I1355" s="6">
        <v>35.1</v>
      </c>
    </row>
    <row r="1356" spans="1:9" x14ac:dyDescent="0.3">
      <c r="A1356" s="1">
        <v>42257</v>
      </c>
      <c r="B1356" s="2" t="s">
        <v>1295</v>
      </c>
      <c r="C1356" s="2" t="s">
        <v>160</v>
      </c>
      <c r="D1356" s="2" t="s">
        <v>2</v>
      </c>
      <c r="E1356" s="2" t="s">
        <v>133</v>
      </c>
      <c r="F1356" s="2" t="s">
        <v>1447</v>
      </c>
      <c r="G1356" s="2">
        <v>269.91000000000003</v>
      </c>
      <c r="H1356" s="2">
        <v>5</v>
      </c>
      <c r="I1356" s="3">
        <v>53.98</v>
      </c>
    </row>
    <row r="1357" spans="1:9" x14ac:dyDescent="0.3">
      <c r="A1357" s="4">
        <v>42287</v>
      </c>
      <c r="B1357" s="5" t="s">
        <v>1003</v>
      </c>
      <c r="C1357" s="5" t="s">
        <v>18</v>
      </c>
      <c r="D1357" s="5" t="s">
        <v>2</v>
      </c>
      <c r="E1357" s="5" t="s">
        <v>3</v>
      </c>
      <c r="F1357" s="5" t="s">
        <v>1448</v>
      </c>
      <c r="G1357" s="5">
        <v>45.36</v>
      </c>
      <c r="H1357" s="5">
        <v>7</v>
      </c>
      <c r="I1357" s="6">
        <v>21.77</v>
      </c>
    </row>
    <row r="1358" spans="1:9" x14ac:dyDescent="0.3">
      <c r="A1358" s="1">
        <v>42287</v>
      </c>
      <c r="B1358" s="2" t="s">
        <v>1129</v>
      </c>
      <c r="C1358" s="2" t="s">
        <v>58</v>
      </c>
      <c r="D1358" s="2" t="s">
        <v>2</v>
      </c>
      <c r="E1358" s="2" t="s">
        <v>9</v>
      </c>
      <c r="F1358" s="2" t="s">
        <v>596</v>
      </c>
      <c r="G1358" s="2">
        <v>1801.63</v>
      </c>
      <c r="H1358" s="2">
        <v>6</v>
      </c>
      <c r="I1358" s="3">
        <v>-337.81</v>
      </c>
    </row>
    <row r="1359" spans="1:9" x14ac:dyDescent="0.3">
      <c r="A1359" s="4">
        <v>42287</v>
      </c>
      <c r="B1359" s="5" t="s">
        <v>950</v>
      </c>
      <c r="C1359" s="5" t="s">
        <v>6</v>
      </c>
      <c r="D1359" s="5" t="s">
        <v>2</v>
      </c>
      <c r="E1359" s="5" t="s">
        <v>15</v>
      </c>
      <c r="F1359" s="5" t="s">
        <v>932</v>
      </c>
      <c r="G1359" s="5">
        <v>8.02</v>
      </c>
      <c r="H1359" s="5">
        <v>3</v>
      </c>
      <c r="I1359" s="6">
        <v>1</v>
      </c>
    </row>
    <row r="1360" spans="1:9" x14ac:dyDescent="0.3">
      <c r="A1360" s="1">
        <v>42287</v>
      </c>
      <c r="B1360" s="2" t="s">
        <v>955</v>
      </c>
      <c r="C1360" s="2" t="s">
        <v>18</v>
      </c>
      <c r="D1360" s="2" t="s">
        <v>25</v>
      </c>
      <c r="E1360" s="2" t="s">
        <v>26</v>
      </c>
      <c r="F1360" s="2" t="s">
        <v>1449</v>
      </c>
      <c r="G1360" s="2">
        <v>362.14</v>
      </c>
      <c r="H1360" s="2">
        <v>3</v>
      </c>
      <c r="I1360" s="3">
        <v>-54.32</v>
      </c>
    </row>
    <row r="1361" spans="1:9" x14ac:dyDescent="0.3">
      <c r="A1361" s="4">
        <v>42287</v>
      </c>
      <c r="B1361" s="5" t="s">
        <v>955</v>
      </c>
      <c r="C1361" s="5" t="s">
        <v>18</v>
      </c>
      <c r="D1361" s="5" t="s">
        <v>2</v>
      </c>
      <c r="E1361" s="5" t="s">
        <v>7</v>
      </c>
      <c r="F1361" s="5" t="s">
        <v>1405</v>
      </c>
      <c r="G1361" s="5">
        <v>31.05</v>
      </c>
      <c r="H1361" s="5">
        <v>3</v>
      </c>
      <c r="I1361" s="6">
        <v>14.9</v>
      </c>
    </row>
    <row r="1362" spans="1:9" x14ac:dyDescent="0.3">
      <c r="A1362" s="1">
        <v>42318</v>
      </c>
      <c r="B1362" s="2" t="s">
        <v>1450</v>
      </c>
      <c r="C1362" s="2" t="s">
        <v>58</v>
      </c>
      <c r="D1362" s="2" t="s">
        <v>25</v>
      </c>
      <c r="E1362" s="2" t="s">
        <v>86</v>
      </c>
      <c r="F1362" s="2" t="s">
        <v>1451</v>
      </c>
      <c r="G1362" s="2">
        <v>957.58</v>
      </c>
      <c r="H1362" s="2">
        <v>5</v>
      </c>
      <c r="I1362" s="3">
        <v>-383.03</v>
      </c>
    </row>
    <row r="1363" spans="1:9" x14ac:dyDescent="0.3">
      <c r="A1363" s="4">
        <v>42318</v>
      </c>
      <c r="B1363" s="5" t="s">
        <v>1450</v>
      </c>
      <c r="C1363" s="5" t="s">
        <v>58</v>
      </c>
      <c r="D1363" s="5" t="s">
        <v>2</v>
      </c>
      <c r="E1363" s="5" t="s">
        <v>9</v>
      </c>
      <c r="F1363" s="5" t="s">
        <v>1452</v>
      </c>
      <c r="G1363" s="5">
        <v>22.37</v>
      </c>
      <c r="H1363" s="5">
        <v>2</v>
      </c>
      <c r="I1363" s="6">
        <v>2.52</v>
      </c>
    </row>
    <row r="1364" spans="1:9" x14ac:dyDescent="0.3">
      <c r="A1364" s="1">
        <v>42318</v>
      </c>
      <c r="B1364" s="2" t="s">
        <v>828</v>
      </c>
      <c r="C1364" s="2" t="s">
        <v>80</v>
      </c>
      <c r="D1364" s="2" t="s">
        <v>30</v>
      </c>
      <c r="E1364" s="2" t="s">
        <v>43</v>
      </c>
      <c r="F1364" s="2" t="s">
        <v>1453</v>
      </c>
      <c r="G1364" s="2">
        <v>31.95</v>
      </c>
      <c r="H1364" s="2">
        <v>1</v>
      </c>
      <c r="I1364" s="3">
        <v>2.2400000000000002</v>
      </c>
    </row>
    <row r="1365" spans="1:9" x14ac:dyDescent="0.3">
      <c r="A1365" s="4">
        <v>42348</v>
      </c>
      <c r="B1365" s="5" t="s">
        <v>388</v>
      </c>
      <c r="C1365" s="5" t="s">
        <v>80</v>
      </c>
      <c r="D1365" s="5" t="s">
        <v>25</v>
      </c>
      <c r="E1365" s="5" t="s">
        <v>129</v>
      </c>
      <c r="F1365" s="5" t="s">
        <v>1454</v>
      </c>
      <c r="G1365" s="5">
        <v>899.14</v>
      </c>
      <c r="H1365" s="5">
        <v>4</v>
      </c>
      <c r="I1365" s="6">
        <v>112.39</v>
      </c>
    </row>
    <row r="1366" spans="1:9" x14ac:dyDescent="0.3">
      <c r="A1366" s="1">
        <v>42348</v>
      </c>
      <c r="B1366" s="2" t="s">
        <v>388</v>
      </c>
      <c r="C1366" s="2" t="s">
        <v>80</v>
      </c>
      <c r="D1366" s="2" t="s">
        <v>30</v>
      </c>
      <c r="E1366" s="2" t="s">
        <v>31</v>
      </c>
      <c r="F1366" s="2" t="s">
        <v>825</v>
      </c>
      <c r="G1366" s="2">
        <v>71.760000000000005</v>
      </c>
      <c r="H1366" s="2">
        <v>6</v>
      </c>
      <c r="I1366" s="3">
        <v>20.09</v>
      </c>
    </row>
    <row r="1367" spans="1:9" x14ac:dyDescent="0.3">
      <c r="A1367" s="4">
        <v>42348</v>
      </c>
      <c r="B1367" s="5" t="s">
        <v>388</v>
      </c>
      <c r="C1367" s="5" t="s">
        <v>80</v>
      </c>
      <c r="D1367" s="5" t="s">
        <v>2</v>
      </c>
      <c r="E1367" s="5" t="s">
        <v>3</v>
      </c>
      <c r="F1367" s="5" t="s">
        <v>363</v>
      </c>
      <c r="G1367" s="5">
        <v>51.84</v>
      </c>
      <c r="H1367" s="5">
        <v>8</v>
      </c>
      <c r="I1367" s="6">
        <v>24.88</v>
      </c>
    </row>
    <row r="1368" spans="1:9" x14ac:dyDescent="0.3">
      <c r="A1368" s="1">
        <v>42348</v>
      </c>
      <c r="B1368" s="2" t="s">
        <v>388</v>
      </c>
      <c r="C1368" s="2" t="s">
        <v>80</v>
      </c>
      <c r="D1368" s="2" t="s">
        <v>25</v>
      </c>
      <c r="E1368" s="2" t="s">
        <v>129</v>
      </c>
      <c r="F1368" s="2" t="s">
        <v>919</v>
      </c>
      <c r="G1368" s="2">
        <v>626.35</v>
      </c>
      <c r="H1368" s="2">
        <v>3</v>
      </c>
      <c r="I1368" s="3">
        <v>46.98</v>
      </c>
    </row>
    <row r="1369" spans="1:9" x14ac:dyDescent="0.3">
      <c r="A1369" s="4">
        <v>42348</v>
      </c>
      <c r="B1369" s="5" t="s">
        <v>388</v>
      </c>
      <c r="C1369" s="5" t="s">
        <v>80</v>
      </c>
      <c r="D1369" s="5" t="s">
        <v>2</v>
      </c>
      <c r="E1369" s="5" t="s">
        <v>15</v>
      </c>
      <c r="F1369" s="5" t="s">
        <v>1455</v>
      </c>
      <c r="G1369" s="5">
        <v>19.899999999999999</v>
      </c>
      <c r="H1369" s="5">
        <v>5</v>
      </c>
      <c r="I1369" s="6">
        <v>6.57</v>
      </c>
    </row>
    <row r="1370" spans="1:9" x14ac:dyDescent="0.3">
      <c r="A1370" s="1">
        <v>42348</v>
      </c>
      <c r="B1370" s="2" t="s">
        <v>1456</v>
      </c>
      <c r="C1370" s="2" t="s">
        <v>80</v>
      </c>
      <c r="D1370" s="2" t="s">
        <v>25</v>
      </c>
      <c r="E1370" s="2" t="s">
        <v>86</v>
      </c>
      <c r="F1370" s="2" t="s">
        <v>556</v>
      </c>
      <c r="G1370" s="2">
        <v>209.67</v>
      </c>
      <c r="H1370" s="2">
        <v>1</v>
      </c>
      <c r="I1370" s="3">
        <v>-13.98</v>
      </c>
    </row>
    <row r="1371" spans="1:9" x14ac:dyDescent="0.3">
      <c r="A1371" s="4">
        <v>42348</v>
      </c>
      <c r="B1371" s="5" t="s">
        <v>705</v>
      </c>
      <c r="C1371" s="5" t="s">
        <v>283</v>
      </c>
      <c r="D1371" s="5" t="s">
        <v>30</v>
      </c>
      <c r="E1371" s="5" t="s">
        <v>31</v>
      </c>
      <c r="F1371" s="5" t="s">
        <v>60</v>
      </c>
      <c r="G1371" s="5">
        <v>135.72</v>
      </c>
      <c r="H1371" s="5">
        <v>3</v>
      </c>
      <c r="I1371" s="6">
        <v>35.29</v>
      </c>
    </row>
    <row r="1372" spans="1:9" x14ac:dyDescent="0.3">
      <c r="A1372" s="1">
        <v>42348</v>
      </c>
      <c r="B1372" s="2" t="s">
        <v>705</v>
      </c>
      <c r="C1372" s="2" t="s">
        <v>283</v>
      </c>
      <c r="D1372" s="2" t="s">
        <v>2</v>
      </c>
      <c r="E1372" s="2" t="s">
        <v>11</v>
      </c>
      <c r="F1372" s="2" t="s">
        <v>1237</v>
      </c>
      <c r="G1372" s="2">
        <v>12.56</v>
      </c>
      <c r="H1372" s="2">
        <v>2</v>
      </c>
      <c r="I1372" s="3">
        <v>5.65</v>
      </c>
    </row>
    <row r="1373" spans="1:9" x14ac:dyDescent="0.3">
      <c r="A1373" s="4">
        <v>42348</v>
      </c>
      <c r="B1373" s="5" t="s">
        <v>705</v>
      </c>
      <c r="C1373" s="5" t="s">
        <v>283</v>
      </c>
      <c r="D1373" s="5" t="s">
        <v>30</v>
      </c>
      <c r="E1373" s="5" t="s">
        <v>31</v>
      </c>
      <c r="F1373" s="5" t="s">
        <v>831</v>
      </c>
      <c r="G1373" s="5">
        <v>263.95999999999998</v>
      </c>
      <c r="H1373" s="5">
        <v>4</v>
      </c>
      <c r="I1373" s="6">
        <v>71.27</v>
      </c>
    </row>
    <row r="1374" spans="1:9" x14ac:dyDescent="0.3">
      <c r="A1374" s="1">
        <v>42348</v>
      </c>
      <c r="B1374" s="2" t="s">
        <v>169</v>
      </c>
      <c r="C1374" s="2" t="s">
        <v>62</v>
      </c>
      <c r="D1374" s="2" t="s">
        <v>30</v>
      </c>
      <c r="E1374" s="2" t="s">
        <v>43</v>
      </c>
      <c r="F1374" s="2" t="s">
        <v>743</v>
      </c>
      <c r="G1374" s="2">
        <v>17.899999999999999</v>
      </c>
      <c r="H1374" s="2">
        <v>2</v>
      </c>
      <c r="I1374" s="3">
        <v>3.4</v>
      </c>
    </row>
    <row r="1375" spans="1:9" x14ac:dyDescent="0.3">
      <c r="A1375" s="4">
        <v>42348</v>
      </c>
      <c r="B1375" s="5" t="s">
        <v>169</v>
      </c>
      <c r="C1375" s="5" t="s">
        <v>62</v>
      </c>
      <c r="D1375" s="5" t="s">
        <v>2</v>
      </c>
      <c r="E1375" s="5" t="s">
        <v>9</v>
      </c>
      <c r="F1375" s="5" t="s">
        <v>156</v>
      </c>
      <c r="G1375" s="5">
        <v>81.96</v>
      </c>
      <c r="H1375" s="5">
        <v>2</v>
      </c>
      <c r="I1375" s="6">
        <v>0</v>
      </c>
    </row>
    <row r="1376" spans="1:9" x14ac:dyDescent="0.3">
      <c r="A1376" s="1">
        <v>42015</v>
      </c>
      <c r="B1376" s="2" t="s">
        <v>249</v>
      </c>
      <c r="C1376" s="2" t="s">
        <v>14</v>
      </c>
      <c r="D1376" s="2" t="s">
        <v>30</v>
      </c>
      <c r="E1376" s="2" t="s">
        <v>43</v>
      </c>
      <c r="F1376" s="2" t="s">
        <v>1428</v>
      </c>
      <c r="G1376" s="2">
        <v>35.36</v>
      </c>
      <c r="H1376" s="2">
        <v>2</v>
      </c>
      <c r="I1376" s="3">
        <v>-3.09</v>
      </c>
    </row>
    <row r="1377" spans="1:9" x14ac:dyDescent="0.3">
      <c r="A1377" s="4">
        <v>42015</v>
      </c>
      <c r="B1377" s="5" t="s">
        <v>249</v>
      </c>
      <c r="C1377" s="5" t="s">
        <v>14</v>
      </c>
      <c r="D1377" s="5" t="s">
        <v>2</v>
      </c>
      <c r="E1377" s="5" t="s">
        <v>34</v>
      </c>
      <c r="F1377" s="5" t="s">
        <v>1457</v>
      </c>
      <c r="G1377" s="5">
        <v>3.17</v>
      </c>
      <c r="H1377" s="5">
        <v>2</v>
      </c>
      <c r="I1377" s="6">
        <v>-0.71</v>
      </c>
    </row>
    <row r="1378" spans="1:9" x14ac:dyDescent="0.3">
      <c r="A1378" s="1">
        <v>42015</v>
      </c>
      <c r="B1378" s="2" t="s">
        <v>371</v>
      </c>
      <c r="C1378" s="2" t="s">
        <v>80</v>
      </c>
      <c r="D1378" s="2" t="s">
        <v>30</v>
      </c>
      <c r="E1378" s="2" t="s">
        <v>31</v>
      </c>
      <c r="F1378" s="2" t="s">
        <v>1137</v>
      </c>
      <c r="G1378" s="2">
        <v>4.95</v>
      </c>
      <c r="H1378" s="2">
        <v>1</v>
      </c>
      <c r="I1378" s="3">
        <v>1.34</v>
      </c>
    </row>
    <row r="1379" spans="1:9" x14ac:dyDescent="0.3">
      <c r="A1379" s="4">
        <v>42015</v>
      </c>
      <c r="B1379" s="5" t="s">
        <v>531</v>
      </c>
      <c r="C1379" s="5" t="s">
        <v>80</v>
      </c>
      <c r="D1379" s="5" t="s">
        <v>2</v>
      </c>
      <c r="E1379" s="5" t="s">
        <v>3</v>
      </c>
      <c r="F1379" s="5" t="s">
        <v>1458</v>
      </c>
      <c r="G1379" s="5">
        <v>13.52</v>
      </c>
      <c r="H1379" s="5">
        <v>4</v>
      </c>
      <c r="I1379" s="6">
        <v>6.22</v>
      </c>
    </row>
    <row r="1380" spans="1:9" x14ac:dyDescent="0.3">
      <c r="A1380" s="1">
        <v>42015</v>
      </c>
      <c r="B1380" s="2" t="s">
        <v>531</v>
      </c>
      <c r="C1380" s="2" t="s">
        <v>80</v>
      </c>
      <c r="D1380" s="2" t="s">
        <v>25</v>
      </c>
      <c r="E1380" s="2" t="s">
        <v>38</v>
      </c>
      <c r="F1380" s="2" t="s">
        <v>48</v>
      </c>
      <c r="G1380" s="2">
        <v>259.7</v>
      </c>
      <c r="H1380" s="2">
        <v>5</v>
      </c>
      <c r="I1380" s="3">
        <v>106.48</v>
      </c>
    </row>
    <row r="1381" spans="1:9" x14ac:dyDescent="0.3">
      <c r="A1381" s="4">
        <v>42015</v>
      </c>
      <c r="B1381" s="5" t="s">
        <v>531</v>
      </c>
      <c r="C1381" s="5" t="s">
        <v>80</v>
      </c>
      <c r="D1381" s="5" t="s">
        <v>30</v>
      </c>
      <c r="E1381" s="5" t="s">
        <v>31</v>
      </c>
      <c r="F1381" s="5" t="s">
        <v>1301</v>
      </c>
      <c r="G1381" s="5">
        <v>42.95</v>
      </c>
      <c r="H1381" s="5">
        <v>1</v>
      </c>
      <c r="I1381" s="6">
        <v>1.29</v>
      </c>
    </row>
    <row r="1382" spans="1:9" x14ac:dyDescent="0.3">
      <c r="A1382" s="1">
        <v>42015</v>
      </c>
      <c r="B1382" s="2" t="s">
        <v>531</v>
      </c>
      <c r="C1382" s="2" t="s">
        <v>80</v>
      </c>
      <c r="D1382" s="2" t="s">
        <v>30</v>
      </c>
      <c r="E1382" s="2" t="s">
        <v>43</v>
      </c>
      <c r="F1382" s="2" t="s">
        <v>1459</v>
      </c>
      <c r="G1382" s="2">
        <v>1399.93</v>
      </c>
      <c r="H1382" s="2">
        <v>7</v>
      </c>
      <c r="I1382" s="3">
        <v>601.97</v>
      </c>
    </row>
    <row r="1383" spans="1:9" x14ac:dyDescent="0.3">
      <c r="A1383" s="4">
        <v>42015</v>
      </c>
      <c r="B1383" s="5" t="s">
        <v>531</v>
      </c>
      <c r="C1383" s="5" t="s">
        <v>80</v>
      </c>
      <c r="D1383" s="5" t="s">
        <v>30</v>
      </c>
      <c r="E1383" s="5" t="s">
        <v>31</v>
      </c>
      <c r="F1383" s="5" t="s">
        <v>346</v>
      </c>
      <c r="G1383" s="5">
        <v>503.96</v>
      </c>
      <c r="H1383" s="5">
        <v>4</v>
      </c>
      <c r="I1383" s="6">
        <v>125.99</v>
      </c>
    </row>
    <row r="1384" spans="1:9" x14ac:dyDescent="0.3">
      <c r="A1384" s="1">
        <v>42015</v>
      </c>
      <c r="B1384" s="2" t="s">
        <v>89</v>
      </c>
      <c r="C1384" s="2" t="s">
        <v>713</v>
      </c>
      <c r="D1384" s="2" t="s">
        <v>2</v>
      </c>
      <c r="E1384" s="2" t="s">
        <v>15</v>
      </c>
      <c r="F1384" s="2" t="s">
        <v>1460</v>
      </c>
      <c r="G1384" s="2">
        <v>7.88</v>
      </c>
      <c r="H1384" s="2">
        <v>1</v>
      </c>
      <c r="I1384" s="3">
        <v>1.77</v>
      </c>
    </row>
    <row r="1385" spans="1:9" x14ac:dyDescent="0.3">
      <c r="A1385" s="4">
        <v>42015</v>
      </c>
      <c r="B1385" s="5" t="s">
        <v>852</v>
      </c>
      <c r="C1385" s="5" t="s">
        <v>368</v>
      </c>
      <c r="D1385" s="5" t="s">
        <v>25</v>
      </c>
      <c r="E1385" s="5" t="s">
        <v>86</v>
      </c>
      <c r="F1385" s="5" t="s">
        <v>1461</v>
      </c>
      <c r="G1385" s="5">
        <v>301.95999999999998</v>
      </c>
      <c r="H1385" s="5">
        <v>2</v>
      </c>
      <c r="I1385" s="6">
        <v>45.29</v>
      </c>
    </row>
    <row r="1386" spans="1:9" x14ac:dyDescent="0.3">
      <c r="A1386" s="1">
        <v>42015</v>
      </c>
      <c r="B1386" s="2" t="s">
        <v>1462</v>
      </c>
      <c r="C1386" s="2" t="s">
        <v>80</v>
      </c>
      <c r="D1386" s="2" t="s">
        <v>25</v>
      </c>
      <c r="E1386" s="2" t="s">
        <v>26</v>
      </c>
      <c r="F1386" s="2" t="s">
        <v>1439</v>
      </c>
      <c r="G1386" s="2">
        <v>327.56</v>
      </c>
      <c r="H1386" s="2">
        <v>4</v>
      </c>
      <c r="I1386" s="3">
        <v>21.84</v>
      </c>
    </row>
    <row r="1387" spans="1:9" x14ac:dyDescent="0.3">
      <c r="A1387" s="4">
        <v>42015</v>
      </c>
      <c r="B1387" s="5" t="s">
        <v>1437</v>
      </c>
      <c r="C1387" s="5" t="s">
        <v>80</v>
      </c>
      <c r="D1387" s="5" t="s">
        <v>25</v>
      </c>
      <c r="E1387" s="5" t="s">
        <v>26</v>
      </c>
      <c r="F1387" s="5" t="s">
        <v>1463</v>
      </c>
      <c r="G1387" s="5">
        <v>205.16</v>
      </c>
      <c r="H1387" s="5">
        <v>2</v>
      </c>
      <c r="I1387" s="6">
        <v>13.68</v>
      </c>
    </row>
    <row r="1388" spans="1:9" x14ac:dyDescent="0.3">
      <c r="A1388" s="1">
        <v>42046</v>
      </c>
      <c r="B1388" s="2" t="s">
        <v>1464</v>
      </c>
      <c r="C1388" s="2" t="s">
        <v>18</v>
      </c>
      <c r="D1388" s="2" t="s">
        <v>25</v>
      </c>
      <c r="E1388" s="2" t="s">
        <v>86</v>
      </c>
      <c r="F1388" s="2" t="s">
        <v>1465</v>
      </c>
      <c r="G1388" s="2">
        <v>1038.8399999999999</v>
      </c>
      <c r="H1388" s="2">
        <v>5</v>
      </c>
      <c r="I1388" s="3">
        <v>51.94</v>
      </c>
    </row>
    <row r="1389" spans="1:9" x14ac:dyDescent="0.3">
      <c r="A1389" s="4">
        <v>42046</v>
      </c>
      <c r="B1389" s="5" t="s">
        <v>1466</v>
      </c>
      <c r="C1389" s="5" t="s">
        <v>62</v>
      </c>
      <c r="D1389" s="5" t="s">
        <v>30</v>
      </c>
      <c r="E1389" s="5" t="s">
        <v>43</v>
      </c>
      <c r="F1389" s="5" t="s">
        <v>1467</v>
      </c>
      <c r="G1389" s="5">
        <v>447.93</v>
      </c>
      <c r="H1389" s="5">
        <v>9</v>
      </c>
      <c r="I1389" s="6">
        <v>49.27</v>
      </c>
    </row>
    <row r="1390" spans="1:9" x14ac:dyDescent="0.3">
      <c r="A1390" s="1">
        <v>42046</v>
      </c>
      <c r="B1390" s="2" t="s">
        <v>1468</v>
      </c>
      <c r="C1390" s="2" t="s">
        <v>80</v>
      </c>
      <c r="D1390" s="2" t="s">
        <v>25</v>
      </c>
      <c r="E1390" s="2" t="s">
        <v>26</v>
      </c>
      <c r="F1390" s="2" t="s">
        <v>1469</v>
      </c>
      <c r="G1390" s="2">
        <v>109.76</v>
      </c>
      <c r="H1390" s="2">
        <v>2</v>
      </c>
      <c r="I1390" s="3">
        <v>8.5399999999999991</v>
      </c>
    </row>
    <row r="1391" spans="1:9" x14ac:dyDescent="0.3">
      <c r="A1391" s="4">
        <v>42046</v>
      </c>
      <c r="B1391" s="5" t="s">
        <v>367</v>
      </c>
      <c r="C1391" s="5" t="s">
        <v>18</v>
      </c>
      <c r="D1391" s="5" t="s">
        <v>25</v>
      </c>
      <c r="E1391" s="5" t="s">
        <v>38</v>
      </c>
      <c r="F1391" s="5" t="s">
        <v>1470</v>
      </c>
      <c r="G1391" s="5">
        <v>96.96</v>
      </c>
      <c r="H1391" s="5">
        <v>6</v>
      </c>
      <c r="I1391" s="6">
        <v>33.94</v>
      </c>
    </row>
    <row r="1392" spans="1:9" x14ac:dyDescent="0.3">
      <c r="A1392" s="1">
        <v>42046</v>
      </c>
      <c r="B1392" s="2" t="s">
        <v>367</v>
      </c>
      <c r="C1392" s="2" t="s">
        <v>18</v>
      </c>
      <c r="D1392" s="2" t="s">
        <v>2</v>
      </c>
      <c r="E1392" s="2" t="s">
        <v>11</v>
      </c>
      <c r="F1392" s="2" t="s">
        <v>1471</v>
      </c>
      <c r="G1392" s="2">
        <v>117.49</v>
      </c>
      <c r="H1392" s="2">
        <v>7</v>
      </c>
      <c r="I1392" s="3">
        <v>41.12</v>
      </c>
    </row>
    <row r="1393" spans="1:9" x14ac:dyDescent="0.3">
      <c r="A1393" s="4">
        <v>42046</v>
      </c>
      <c r="B1393" s="5" t="s">
        <v>367</v>
      </c>
      <c r="C1393" s="5" t="s">
        <v>18</v>
      </c>
      <c r="D1393" s="5" t="s">
        <v>2</v>
      </c>
      <c r="E1393" s="5" t="s">
        <v>11</v>
      </c>
      <c r="F1393" s="5" t="s">
        <v>440</v>
      </c>
      <c r="G1393" s="5">
        <v>11.95</v>
      </c>
      <c r="H1393" s="5">
        <v>3</v>
      </c>
      <c r="I1393" s="6">
        <v>4.18</v>
      </c>
    </row>
    <row r="1394" spans="1:9" x14ac:dyDescent="0.3">
      <c r="A1394" s="1">
        <v>42046</v>
      </c>
      <c r="B1394" s="2" t="s">
        <v>367</v>
      </c>
      <c r="C1394" s="2" t="s">
        <v>18</v>
      </c>
      <c r="D1394" s="2" t="s">
        <v>25</v>
      </c>
      <c r="E1394" s="2" t="s">
        <v>129</v>
      </c>
      <c r="F1394" s="2" t="s">
        <v>1472</v>
      </c>
      <c r="G1394" s="2">
        <v>512.5</v>
      </c>
      <c r="H1394" s="2">
        <v>3</v>
      </c>
      <c r="I1394" s="3">
        <v>-30.15</v>
      </c>
    </row>
    <row r="1395" spans="1:9" x14ac:dyDescent="0.3">
      <c r="A1395" s="4">
        <v>42046</v>
      </c>
      <c r="B1395" s="5" t="s">
        <v>580</v>
      </c>
      <c r="C1395" s="5" t="s">
        <v>80</v>
      </c>
      <c r="D1395" s="5" t="s">
        <v>25</v>
      </c>
      <c r="E1395" s="5" t="s">
        <v>26</v>
      </c>
      <c r="F1395" s="5" t="s">
        <v>1473</v>
      </c>
      <c r="G1395" s="5">
        <v>2621.3200000000002</v>
      </c>
      <c r="H1395" s="5">
        <v>11</v>
      </c>
      <c r="I1395" s="6">
        <v>553.39</v>
      </c>
    </row>
    <row r="1396" spans="1:9" x14ac:dyDescent="0.3">
      <c r="A1396" s="1">
        <v>42046</v>
      </c>
      <c r="B1396" s="2" t="s">
        <v>1474</v>
      </c>
      <c r="C1396" s="2" t="s">
        <v>1</v>
      </c>
      <c r="D1396" s="2" t="s">
        <v>2</v>
      </c>
      <c r="E1396" s="2" t="s">
        <v>11</v>
      </c>
      <c r="F1396" s="2" t="s">
        <v>1471</v>
      </c>
      <c r="G1396" s="2">
        <v>29.37</v>
      </c>
      <c r="H1396" s="2">
        <v>7</v>
      </c>
      <c r="I1396" s="3">
        <v>-47</v>
      </c>
    </row>
    <row r="1397" spans="1:9" x14ac:dyDescent="0.3">
      <c r="A1397" s="4">
        <v>42046</v>
      </c>
      <c r="B1397" s="5" t="s">
        <v>1474</v>
      </c>
      <c r="C1397" s="5" t="s">
        <v>1</v>
      </c>
      <c r="D1397" s="5" t="s">
        <v>30</v>
      </c>
      <c r="E1397" s="5" t="s">
        <v>31</v>
      </c>
      <c r="F1397" s="5" t="s">
        <v>1475</v>
      </c>
      <c r="G1397" s="5">
        <v>344.7</v>
      </c>
      <c r="H1397" s="5">
        <v>2</v>
      </c>
      <c r="I1397" s="6">
        <v>38.78</v>
      </c>
    </row>
    <row r="1398" spans="1:9" x14ac:dyDescent="0.3">
      <c r="A1398" s="1">
        <v>42046</v>
      </c>
      <c r="B1398" s="2" t="s">
        <v>1476</v>
      </c>
      <c r="C1398" s="2" t="s">
        <v>46</v>
      </c>
      <c r="D1398" s="2" t="s">
        <v>2</v>
      </c>
      <c r="E1398" s="2" t="s">
        <v>133</v>
      </c>
      <c r="F1398" s="2" t="s">
        <v>1477</v>
      </c>
      <c r="G1398" s="2">
        <v>197.72</v>
      </c>
      <c r="H1398" s="2">
        <v>4</v>
      </c>
      <c r="I1398" s="3">
        <v>55.36</v>
      </c>
    </row>
    <row r="1399" spans="1:9" x14ac:dyDescent="0.3">
      <c r="A1399" s="4">
        <v>42074</v>
      </c>
      <c r="B1399" s="5" t="s">
        <v>1478</v>
      </c>
      <c r="C1399" s="5" t="s">
        <v>18</v>
      </c>
      <c r="D1399" s="5" t="s">
        <v>30</v>
      </c>
      <c r="E1399" s="5" t="s">
        <v>31</v>
      </c>
      <c r="F1399" s="5" t="s">
        <v>1479</v>
      </c>
      <c r="G1399" s="5">
        <v>1212.8499999999999</v>
      </c>
      <c r="H1399" s="5">
        <v>7</v>
      </c>
      <c r="I1399" s="6">
        <v>106.12</v>
      </c>
    </row>
    <row r="1400" spans="1:9" x14ac:dyDescent="0.3">
      <c r="A1400" s="1">
        <v>42074</v>
      </c>
      <c r="B1400" s="2" t="s">
        <v>1478</v>
      </c>
      <c r="C1400" s="2" t="s">
        <v>18</v>
      </c>
      <c r="D1400" s="2" t="s">
        <v>30</v>
      </c>
      <c r="E1400" s="2" t="s">
        <v>43</v>
      </c>
      <c r="F1400" s="2" t="s">
        <v>1480</v>
      </c>
      <c r="G1400" s="2">
        <v>89.97</v>
      </c>
      <c r="H1400" s="2">
        <v>3</v>
      </c>
      <c r="I1400" s="3">
        <v>37.79</v>
      </c>
    </row>
    <row r="1401" spans="1:9" x14ac:dyDescent="0.3">
      <c r="A1401" s="4">
        <v>42074</v>
      </c>
      <c r="B1401" s="5" t="s">
        <v>1478</v>
      </c>
      <c r="C1401" s="5" t="s">
        <v>18</v>
      </c>
      <c r="D1401" s="5" t="s">
        <v>25</v>
      </c>
      <c r="E1401" s="5" t="s">
        <v>38</v>
      </c>
      <c r="F1401" s="5" t="s">
        <v>1057</v>
      </c>
      <c r="G1401" s="5">
        <v>42.6</v>
      </c>
      <c r="H1401" s="5">
        <v>3</v>
      </c>
      <c r="I1401" s="6">
        <v>16.61</v>
      </c>
    </row>
    <row r="1402" spans="1:9" x14ac:dyDescent="0.3">
      <c r="A1402" s="1">
        <v>42074</v>
      </c>
      <c r="B1402" s="2" t="s">
        <v>79</v>
      </c>
      <c r="C1402" s="2" t="s">
        <v>1</v>
      </c>
      <c r="D1402" s="2" t="s">
        <v>2</v>
      </c>
      <c r="E1402" s="2" t="s">
        <v>114</v>
      </c>
      <c r="F1402" s="2" t="s">
        <v>1481</v>
      </c>
      <c r="G1402" s="2">
        <v>6.61</v>
      </c>
      <c r="H1402" s="2">
        <v>2</v>
      </c>
      <c r="I1402" s="3">
        <v>2.15</v>
      </c>
    </row>
    <row r="1403" spans="1:9" x14ac:dyDescent="0.3">
      <c r="A1403" s="4">
        <v>42074</v>
      </c>
      <c r="B1403" s="5" t="s">
        <v>1482</v>
      </c>
      <c r="C1403" s="5" t="s">
        <v>80</v>
      </c>
      <c r="D1403" s="5" t="s">
        <v>25</v>
      </c>
      <c r="E1403" s="5" t="s">
        <v>26</v>
      </c>
      <c r="F1403" s="5" t="s">
        <v>1483</v>
      </c>
      <c r="G1403" s="5">
        <v>1448.82</v>
      </c>
      <c r="H1403" s="5">
        <v>10</v>
      </c>
      <c r="I1403" s="6">
        <v>209.27</v>
      </c>
    </row>
    <row r="1404" spans="1:9" x14ac:dyDescent="0.3">
      <c r="A1404" s="1">
        <v>42135</v>
      </c>
      <c r="B1404" s="2" t="s">
        <v>1402</v>
      </c>
      <c r="C1404" s="2" t="s">
        <v>121</v>
      </c>
      <c r="D1404" s="2" t="s">
        <v>25</v>
      </c>
      <c r="E1404" s="2" t="s">
        <v>26</v>
      </c>
      <c r="F1404" s="2" t="s">
        <v>107</v>
      </c>
      <c r="G1404" s="2">
        <v>207</v>
      </c>
      <c r="H1404" s="2">
        <v>3</v>
      </c>
      <c r="I1404" s="3">
        <v>25.88</v>
      </c>
    </row>
    <row r="1405" spans="1:9" x14ac:dyDescent="0.3">
      <c r="A1405" s="4">
        <v>42135</v>
      </c>
      <c r="B1405" s="5" t="s">
        <v>531</v>
      </c>
      <c r="C1405" s="5" t="s">
        <v>58</v>
      </c>
      <c r="D1405" s="5" t="s">
        <v>2</v>
      </c>
      <c r="E1405" s="5" t="s">
        <v>133</v>
      </c>
      <c r="F1405" s="5" t="s">
        <v>1484</v>
      </c>
      <c r="G1405" s="5">
        <v>387.14</v>
      </c>
      <c r="H1405" s="5">
        <v>4</v>
      </c>
      <c r="I1405" s="6">
        <v>24.2</v>
      </c>
    </row>
    <row r="1406" spans="1:9" x14ac:dyDescent="0.3">
      <c r="A1406" s="1">
        <v>42135</v>
      </c>
      <c r="B1406" s="2" t="s">
        <v>396</v>
      </c>
      <c r="C1406" s="2" t="s">
        <v>80</v>
      </c>
      <c r="D1406" s="2" t="s">
        <v>2</v>
      </c>
      <c r="E1406" s="2" t="s">
        <v>11</v>
      </c>
      <c r="F1406" s="2" t="s">
        <v>1485</v>
      </c>
      <c r="G1406" s="2">
        <v>25.34</v>
      </c>
      <c r="H1406" s="2">
        <v>6</v>
      </c>
      <c r="I1406" s="3">
        <v>8.8699999999999992</v>
      </c>
    </row>
    <row r="1407" spans="1:9" x14ac:dyDescent="0.3">
      <c r="A1407" s="4">
        <v>42135</v>
      </c>
      <c r="B1407" s="5" t="s">
        <v>965</v>
      </c>
      <c r="C1407" s="5" t="s">
        <v>6</v>
      </c>
      <c r="D1407" s="5" t="s">
        <v>2</v>
      </c>
      <c r="E1407" s="5" t="s">
        <v>7</v>
      </c>
      <c r="F1407" s="5" t="s">
        <v>1486</v>
      </c>
      <c r="G1407" s="5">
        <v>19.82</v>
      </c>
      <c r="H1407" s="5">
        <v>6</v>
      </c>
      <c r="I1407" s="6">
        <v>6.44</v>
      </c>
    </row>
    <row r="1408" spans="1:9" x14ac:dyDescent="0.3">
      <c r="A1408" s="1">
        <v>42135</v>
      </c>
      <c r="B1408" s="2" t="s">
        <v>617</v>
      </c>
      <c r="C1408" s="2" t="s">
        <v>18</v>
      </c>
      <c r="D1408" s="2" t="s">
        <v>2</v>
      </c>
      <c r="E1408" s="2" t="s">
        <v>9</v>
      </c>
      <c r="F1408" s="2" t="s">
        <v>1487</v>
      </c>
      <c r="G1408" s="2">
        <v>62.8</v>
      </c>
      <c r="H1408" s="2">
        <v>4</v>
      </c>
      <c r="I1408" s="3">
        <v>15.7</v>
      </c>
    </row>
    <row r="1409" spans="1:9" x14ac:dyDescent="0.3">
      <c r="A1409" s="4">
        <v>42135</v>
      </c>
      <c r="B1409" s="5" t="s">
        <v>595</v>
      </c>
      <c r="C1409" s="5" t="s">
        <v>62</v>
      </c>
      <c r="D1409" s="5" t="s">
        <v>2</v>
      </c>
      <c r="E1409" s="5" t="s">
        <v>11</v>
      </c>
      <c r="F1409" s="5" t="s">
        <v>241</v>
      </c>
      <c r="G1409" s="5">
        <v>98.35</v>
      </c>
      <c r="H1409" s="5">
        <v>3</v>
      </c>
      <c r="I1409" s="6">
        <v>35.65</v>
      </c>
    </row>
    <row r="1410" spans="1:9" x14ac:dyDescent="0.3">
      <c r="A1410" s="1">
        <v>42135</v>
      </c>
      <c r="B1410" s="2" t="s">
        <v>1488</v>
      </c>
      <c r="C1410" s="2" t="s">
        <v>127</v>
      </c>
      <c r="D1410" s="2" t="s">
        <v>2</v>
      </c>
      <c r="E1410" s="2" t="s">
        <v>11</v>
      </c>
      <c r="F1410" s="2" t="s">
        <v>1152</v>
      </c>
      <c r="G1410" s="2">
        <v>7.22</v>
      </c>
      <c r="H1410" s="2">
        <v>3</v>
      </c>
      <c r="I1410" s="3">
        <v>-5.53</v>
      </c>
    </row>
    <row r="1411" spans="1:9" x14ac:dyDescent="0.3">
      <c r="A1411" s="4">
        <v>42135</v>
      </c>
      <c r="B1411" s="5" t="s">
        <v>1488</v>
      </c>
      <c r="C1411" s="5" t="s">
        <v>127</v>
      </c>
      <c r="D1411" s="5" t="s">
        <v>2</v>
      </c>
      <c r="E1411" s="5" t="s">
        <v>144</v>
      </c>
      <c r="F1411" s="5" t="s">
        <v>1489</v>
      </c>
      <c r="G1411" s="5">
        <v>27.2</v>
      </c>
      <c r="H1411" s="5">
        <v>4</v>
      </c>
      <c r="I1411" s="6">
        <v>2.04</v>
      </c>
    </row>
    <row r="1412" spans="1:9" x14ac:dyDescent="0.3">
      <c r="A1412" s="1">
        <v>42166</v>
      </c>
      <c r="B1412" s="2" t="s">
        <v>1490</v>
      </c>
      <c r="C1412" s="2" t="s">
        <v>253</v>
      </c>
      <c r="D1412" s="2" t="s">
        <v>2</v>
      </c>
      <c r="E1412" s="2" t="s">
        <v>114</v>
      </c>
      <c r="F1412" s="2" t="s">
        <v>1491</v>
      </c>
      <c r="G1412" s="2">
        <v>7.08</v>
      </c>
      <c r="H1412" s="2">
        <v>3</v>
      </c>
      <c r="I1412" s="3">
        <v>2.48</v>
      </c>
    </row>
    <row r="1413" spans="1:9" x14ac:dyDescent="0.3">
      <c r="A1413" s="4">
        <v>42166</v>
      </c>
      <c r="B1413" s="5" t="s">
        <v>1490</v>
      </c>
      <c r="C1413" s="5" t="s">
        <v>253</v>
      </c>
      <c r="D1413" s="5" t="s">
        <v>2</v>
      </c>
      <c r="E1413" s="5" t="s">
        <v>11</v>
      </c>
      <c r="F1413" s="5" t="s">
        <v>1068</v>
      </c>
      <c r="G1413" s="5">
        <v>4.4000000000000004</v>
      </c>
      <c r="H1413" s="5">
        <v>3</v>
      </c>
      <c r="I1413" s="6">
        <v>-3.52</v>
      </c>
    </row>
    <row r="1414" spans="1:9" x14ac:dyDescent="0.3">
      <c r="A1414" s="1">
        <v>42196</v>
      </c>
      <c r="B1414" s="2" t="s">
        <v>1492</v>
      </c>
      <c r="C1414" s="2" t="s">
        <v>18</v>
      </c>
      <c r="D1414" s="2" t="s">
        <v>25</v>
      </c>
      <c r="E1414" s="2" t="s">
        <v>26</v>
      </c>
      <c r="F1414" s="2" t="s">
        <v>1493</v>
      </c>
      <c r="G1414" s="2">
        <v>190.72</v>
      </c>
      <c r="H1414" s="2">
        <v>1</v>
      </c>
      <c r="I1414" s="3">
        <v>11.92</v>
      </c>
    </row>
    <row r="1415" spans="1:9" x14ac:dyDescent="0.3">
      <c r="A1415" s="4">
        <v>42196</v>
      </c>
      <c r="B1415" s="5" t="s">
        <v>1494</v>
      </c>
      <c r="C1415" s="5" t="s">
        <v>50</v>
      </c>
      <c r="D1415" s="5" t="s">
        <v>2</v>
      </c>
      <c r="E1415" s="5" t="s">
        <v>34</v>
      </c>
      <c r="F1415" s="5" t="s">
        <v>1495</v>
      </c>
      <c r="G1415" s="5">
        <v>26.18</v>
      </c>
      <c r="H1415" s="5">
        <v>7</v>
      </c>
      <c r="I1415" s="6">
        <v>0.52</v>
      </c>
    </row>
    <row r="1416" spans="1:9" x14ac:dyDescent="0.3">
      <c r="A1416" s="1">
        <v>42196</v>
      </c>
      <c r="B1416" s="2" t="s">
        <v>1494</v>
      </c>
      <c r="C1416" s="2" t="s">
        <v>50</v>
      </c>
      <c r="D1416" s="2" t="s">
        <v>2</v>
      </c>
      <c r="E1416" s="2" t="s">
        <v>3</v>
      </c>
      <c r="F1416" s="2" t="s">
        <v>1496</v>
      </c>
      <c r="G1416" s="2">
        <v>7.3</v>
      </c>
      <c r="H1416" s="2">
        <v>2</v>
      </c>
      <c r="I1416" s="3">
        <v>3.43</v>
      </c>
    </row>
    <row r="1417" spans="1:9" x14ac:dyDescent="0.3">
      <c r="A1417" s="4">
        <v>42196</v>
      </c>
      <c r="B1417" s="5" t="s">
        <v>1492</v>
      </c>
      <c r="C1417" s="5" t="s">
        <v>14</v>
      </c>
      <c r="D1417" s="5" t="s">
        <v>2</v>
      </c>
      <c r="E1417" s="5" t="s">
        <v>114</v>
      </c>
      <c r="F1417" s="5" t="s">
        <v>1497</v>
      </c>
      <c r="G1417" s="5">
        <v>24.4</v>
      </c>
      <c r="H1417" s="5">
        <v>2</v>
      </c>
      <c r="I1417" s="6">
        <v>7.93</v>
      </c>
    </row>
    <row r="1418" spans="1:9" x14ac:dyDescent="0.3">
      <c r="A1418" s="1">
        <v>42196</v>
      </c>
      <c r="B1418" s="2" t="s">
        <v>282</v>
      </c>
      <c r="C1418" s="2" t="s">
        <v>1498</v>
      </c>
      <c r="D1418" s="2" t="s">
        <v>25</v>
      </c>
      <c r="E1418" s="2" t="s">
        <v>26</v>
      </c>
      <c r="F1418" s="2" t="s">
        <v>1493</v>
      </c>
      <c r="G1418" s="2">
        <v>715.2</v>
      </c>
      <c r="H1418" s="2">
        <v>3</v>
      </c>
      <c r="I1418" s="3">
        <v>178.8</v>
      </c>
    </row>
    <row r="1419" spans="1:9" x14ac:dyDescent="0.3">
      <c r="A1419" s="4">
        <v>42196</v>
      </c>
      <c r="B1419" s="5" t="s">
        <v>1499</v>
      </c>
      <c r="C1419" s="5" t="s">
        <v>58</v>
      </c>
      <c r="D1419" s="5" t="s">
        <v>2</v>
      </c>
      <c r="E1419" s="5" t="s">
        <v>11</v>
      </c>
      <c r="F1419" s="5" t="s">
        <v>1500</v>
      </c>
      <c r="G1419" s="5">
        <v>16.149999999999999</v>
      </c>
      <c r="H1419" s="5">
        <v>9</v>
      </c>
      <c r="I1419" s="6">
        <v>-12.92</v>
      </c>
    </row>
    <row r="1420" spans="1:9" x14ac:dyDescent="0.3">
      <c r="A1420" s="1">
        <v>42196</v>
      </c>
      <c r="B1420" s="2" t="s">
        <v>1499</v>
      </c>
      <c r="C1420" s="2" t="s">
        <v>58</v>
      </c>
      <c r="D1420" s="2" t="s">
        <v>2</v>
      </c>
      <c r="E1420" s="2" t="s">
        <v>11</v>
      </c>
      <c r="F1420" s="2" t="s">
        <v>627</v>
      </c>
      <c r="G1420" s="2">
        <v>1345.49</v>
      </c>
      <c r="H1420" s="2">
        <v>5</v>
      </c>
      <c r="I1420" s="3">
        <v>-1031.54</v>
      </c>
    </row>
    <row r="1421" spans="1:9" x14ac:dyDescent="0.3">
      <c r="A1421" s="4">
        <v>42196</v>
      </c>
      <c r="B1421" s="5" t="s">
        <v>1501</v>
      </c>
      <c r="C1421" s="5" t="s">
        <v>1</v>
      </c>
      <c r="D1421" s="5" t="s">
        <v>2</v>
      </c>
      <c r="E1421" s="5" t="s">
        <v>3</v>
      </c>
      <c r="F1421" s="5" t="s">
        <v>1329</v>
      </c>
      <c r="G1421" s="5">
        <v>76.64</v>
      </c>
      <c r="H1421" s="5">
        <v>2</v>
      </c>
      <c r="I1421" s="6">
        <v>26.82</v>
      </c>
    </row>
    <row r="1422" spans="1:9" x14ac:dyDescent="0.3">
      <c r="A1422" s="1">
        <v>42196</v>
      </c>
      <c r="B1422" s="2" t="s">
        <v>1502</v>
      </c>
      <c r="C1422" s="2" t="s">
        <v>1</v>
      </c>
      <c r="D1422" s="2" t="s">
        <v>2</v>
      </c>
      <c r="E1422" s="2" t="s">
        <v>15</v>
      </c>
      <c r="F1422" s="2" t="s">
        <v>1460</v>
      </c>
      <c r="G1422" s="2">
        <v>23.64</v>
      </c>
      <c r="H1422" s="2">
        <v>3</v>
      </c>
      <c r="I1422" s="3">
        <v>5.32</v>
      </c>
    </row>
    <row r="1423" spans="1:9" x14ac:dyDescent="0.3">
      <c r="A1423" s="4">
        <v>42196</v>
      </c>
      <c r="B1423" s="5" t="s">
        <v>1502</v>
      </c>
      <c r="C1423" s="5" t="s">
        <v>1</v>
      </c>
      <c r="D1423" s="5" t="s">
        <v>2</v>
      </c>
      <c r="E1423" s="5" t="s">
        <v>9</v>
      </c>
      <c r="F1423" s="5" t="s">
        <v>1410</v>
      </c>
      <c r="G1423" s="5">
        <v>84.78</v>
      </c>
      <c r="H1423" s="5">
        <v>2</v>
      </c>
      <c r="I1423" s="6">
        <v>-16.96</v>
      </c>
    </row>
    <row r="1424" spans="1:9" x14ac:dyDescent="0.3">
      <c r="A1424" s="1">
        <v>42196</v>
      </c>
      <c r="B1424" s="2" t="s">
        <v>1502</v>
      </c>
      <c r="C1424" s="2" t="s">
        <v>1</v>
      </c>
      <c r="D1424" s="2" t="s">
        <v>25</v>
      </c>
      <c r="E1424" s="2" t="s">
        <v>38</v>
      </c>
      <c r="F1424" s="2" t="s">
        <v>1503</v>
      </c>
      <c r="G1424" s="2">
        <v>64.959999999999994</v>
      </c>
      <c r="H1424" s="2">
        <v>5</v>
      </c>
      <c r="I1424" s="3">
        <v>-84.45</v>
      </c>
    </row>
    <row r="1425" spans="1:9" x14ac:dyDescent="0.3">
      <c r="A1425" s="4">
        <v>42196</v>
      </c>
      <c r="B1425" s="5" t="s">
        <v>1502</v>
      </c>
      <c r="C1425" s="5" t="s">
        <v>1</v>
      </c>
      <c r="D1425" s="5" t="s">
        <v>2</v>
      </c>
      <c r="E1425" s="5" t="s">
        <v>11</v>
      </c>
      <c r="F1425" s="5" t="s">
        <v>655</v>
      </c>
      <c r="G1425" s="5">
        <v>32.06</v>
      </c>
      <c r="H1425" s="5">
        <v>10</v>
      </c>
      <c r="I1425" s="6">
        <v>-51.3</v>
      </c>
    </row>
    <row r="1426" spans="1:9" x14ac:dyDescent="0.3">
      <c r="A1426" s="1">
        <v>42196</v>
      </c>
      <c r="B1426" s="2" t="s">
        <v>1502</v>
      </c>
      <c r="C1426" s="2" t="s">
        <v>1</v>
      </c>
      <c r="D1426" s="2" t="s">
        <v>2</v>
      </c>
      <c r="E1426" s="2" t="s">
        <v>9</v>
      </c>
      <c r="F1426" s="2" t="s">
        <v>1504</v>
      </c>
      <c r="G1426" s="2">
        <v>177.65</v>
      </c>
      <c r="H1426" s="2">
        <v>2</v>
      </c>
      <c r="I1426" s="3">
        <v>-28.87</v>
      </c>
    </row>
    <row r="1427" spans="1:9" x14ac:dyDescent="0.3">
      <c r="A1427" s="4">
        <v>42196</v>
      </c>
      <c r="B1427" s="5" t="s">
        <v>1502</v>
      </c>
      <c r="C1427" s="5" t="s">
        <v>1</v>
      </c>
      <c r="D1427" s="5" t="s">
        <v>30</v>
      </c>
      <c r="E1427" s="5" t="s">
        <v>625</v>
      </c>
      <c r="F1427" s="5" t="s">
        <v>1505</v>
      </c>
      <c r="G1427" s="5">
        <v>287.91000000000003</v>
      </c>
      <c r="H1427" s="5">
        <v>3</v>
      </c>
      <c r="I1427" s="6">
        <v>33.590000000000003</v>
      </c>
    </row>
    <row r="1428" spans="1:9" x14ac:dyDescent="0.3">
      <c r="A1428" s="1">
        <v>42227</v>
      </c>
      <c r="B1428" s="2" t="s">
        <v>1506</v>
      </c>
      <c r="C1428" s="2" t="s">
        <v>181</v>
      </c>
      <c r="D1428" s="2" t="s">
        <v>2</v>
      </c>
      <c r="E1428" s="2" t="s">
        <v>15</v>
      </c>
      <c r="F1428" s="2" t="s">
        <v>1507</v>
      </c>
      <c r="G1428" s="2">
        <v>11.65</v>
      </c>
      <c r="H1428" s="2">
        <v>5</v>
      </c>
      <c r="I1428" s="3">
        <v>3.38</v>
      </c>
    </row>
    <row r="1429" spans="1:9" x14ac:dyDescent="0.3">
      <c r="A1429" s="4">
        <v>42227</v>
      </c>
      <c r="B1429" s="5" t="s">
        <v>1508</v>
      </c>
      <c r="C1429" s="5" t="s">
        <v>18</v>
      </c>
      <c r="D1429" s="5" t="s">
        <v>2</v>
      </c>
      <c r="E1429" s="5" t="s">
        <v>34</v>
      </c>
      <c r="F1429" s="5" t="s">
        <v>679</v>
      </c>
      <c r="G1429" s="5">
        <v>5</v>
      </c>
      <c r="H1429" s="5">
        <v>1</v>
      </c>
      <c r="I1429" s="6">
        <v>2.4</v>
      </c>
    </row>
    <row r="1430" spans="1:9" x14ac:dyDescent="0.3">
      <c r="A1430" s="1">
        <v>42227</v>
      </c>
      <c r="B1430" s="2" t="s">
        <v>1508</v>
      </c>
      <c r="C1430" s="2" t="s">
        <v>18</v>
      </c>
      <c r="D1430" s="2" t="s">
        <v>30</v>
      </c>
      <c r="E1430" s="2" t="s">
        <v>43</v>
      </c>
      <c r="F1430" s="2" t="s">
        <v>1359</v>
      </c>
      <c r="G1430" s="2">
        <v>371.97</v>
      </c>
      <c r="H1430" s="2">
        <v>3</v>
      </c>
      <c r="I1430" s="3">
        <v>66.95</v>
      </c>
    </row>
    <row r="1431" spans="1:9" x14ac:dyDescent="0.3">
      <c r="A1431" s="4">
        <v>42227</v>
      </c>
      <c r="B1431" s="5" t="s">
        <v>97</v>
      </c>
      <c r="C1431" s="5" t="s">
        <v>375</v>
      </c>
      <c r="D1431" s="5" t="s">
        <v>2</v>
      </c>
      <c r="E1431" s="5" t="s">
        <v>34</v>
      </c>
      <c r="F1431" s="5" t="s">
        <v>1509</v>
      </c>
      <c r="G1431" s="5">
        <v>5.04</v>
      </c>
      <c r="H1431" s="5">
        <v>3</v>
      </c>
      <c r="I1431" s="6">
        <v>0.2</v>
      </c>
    </row>
    <row r="1432" spans="1:9" x14ac:dyDescent="0.3">
      <c r="A1432" s="1">
        <v>42227</v>
      </c>
      <c r="B1432" s="2" t="s">
        <v>97</v>
      </c>
      <c r="C1432" s="2" t="s">
        <v>375</v>
      </c>
      <c r="D1432" s="2" t="s">
        <v>2</v>
      </c>
      <c r="E1432" s="2" t="s">
        <v>3</v>
      </c>
      <c r="F1432" s="2" t="s">
        <v>1510</v>
      </c>
      <c r="G1432" s="2">
        <v>92.94</v>
      </c>
      <c r="H1432" s="2">
        <v>3</v>
      </c>
      <c r="I1432" s="3">
        <v>41.82</v>
      </c>
    </row>
    <row r="1433" spans="1:9" x14ac:dyDescent="0.3">
      <c r="A1433" s="4">
        <v>42227</v>
      </c>
      <c r="B1433" s="5" t="s">
        <v>97</v>
      </c>
      <c r="C1433" s="5" t="s">
        <v>375</v>
      </c>
      <c r="D1433" s="5" t="s">
        <v>25</v>
      </c>
      <c r="E1433" s="5" t="s">
        <v>38</v>
      </c>
      <c r="F1433" s="5" t="s">
        <v>1511</v>
      </c>
      <c r="G1433" s="5">
        <v>66.69</v>
      </c>
      <c r="H1433" s="5">
        <v>3</v>
      </c>
      <c r="I1433" s="6">
        <v>22.01</v>
      </c>
    </row>
    <row r="1434" spans="1:9" x14ac:dyDescent="0.3">
      <c r="A1434" s="1">
        <v>42227</v>
      </c>
      <c r="B1434" s="2" t="s">
        <v>97</v>
      </c>
      <c r="C1434" s="2" t="s">
        <v>375</v>
      </c>
      <c r="D1434" s="2" t="s">
        <v>2</v>
      </c>
      <c r="E1434" s="2" t="s">
        <v>11</v>
      </c>
      <c r="F1434" s="2" t="s">
        <v>1344</v>
      </c>
      <c r="G1434" s="2">
        <v>91.68</v>
      </c>
      <c r="H1434" s="2">
        <v>5</v>
      </c>
      <c r="I1434" s="3">
        <v>28.65</v>
      </c>
    </row>
    <row r="1435" spans="1:9" x14ac:dyDescent="0.3">
      <c r="A1435" s="4">
        <v>42227</v>
      </c>
      <c r="B1435" s="5" t="s">
        <v>1512</v>
      </c>
      <c r="C1435" s="5" t="s">
        <v>80</v>
      </c>
      <c r="D1435" s="5" t="s">
        <v>2</v>
      </c>
      <c r="E1435" s="5" t="s">
        <v>11</v>
      </c>
      <c r="F1435" s="5" t="s">
        <v>314</v>
      </c>
      <c r="G1435" s="5">
        <v>52.27</v>
      </c>
      <c r="H1435" s="5">
        <v>11</v>
      </c>
      <c r="I1435" s="6">
        <v>17.64</v>
      </c>
    </row>
    <row r="1436" spans="1:9" x14ac:dyDescent="0.3">
      <c r="A1436" s="1">
        <v>42227</v>
      </c>
      <c r="B1436" s="2" t="s">
        <v>1512</v>
      </c>
      <c r="C1436" s="2" t="s">
        <v>80</v>
      </c>
      <c r="D1436" s="2" t="s">
        <v>2</v>
      </c>
      <c r="E1436" s="2" t="s">
        <v>3</v>
      </c>
      <c r="F1436" s="2" t="s">
        <v>588</v>
      </c>
      <c r="G1436" s="2">
        <v>17.940000000000001</v>
      </c>
      <c r="H1436" s="2">
        <v>3</v>
      </c>
      <c r="I1436" s="3">
        <v>8.07</v>
      </c>
    </row>
    <row r="1437" spans="1:9" x14ac:dyDescent="0.3">
      <c r="A1437" s="4">
        <v>42227</v>
      </c>
      <c r="B1437" s="5" t="s">
        <v>1513</v>
      </c>
      <c r="C1437" s="5" t="s">
        <v>1</v>
      </c>
      <c r="D1437" s="5" t="s">
        <v>2</v>
      </c>
      <c r="E1437" s="5" t="s">
        <v>11</v>
      </c>
      <c r="F1437" s="5" t="s">
        <v>88</v>
      </c>
      <c r="G1437" s="5">
        <v>10.48</v>
      </c>
      <c r="H1437" s="5">
        <v>6</v>
      </c>
      <c r="I1437" s="6">
        <v>-17.29</v>
      </c>
    </row>
    <row r="1438" spans="1:9" x14ac:dyDescent="0.3">
      <c r="A1438" s="1">
        <v>42227</v>
      </c>
      <c r="B1438" s="2" t="s">
        <v>1376</v>
      </c>
      <c r="C1438" s="2" t="s">
        <v>18</v>
      </c>
      <c r="D1438" s="2" t="s">
        <v>30</v>
      </c>
      <c r="E1438" s="2" t="s">
        <v>43</v>
      </c>
      <c r="F1438" s="2" t="s">
        <v>1514</v>
      </c>
      <c r="G1438" s="2">
        <v>119.9</v>
      </c>
      <c r="H1438" s="2">
        <v>2</v>
      </c>
      <c r="I1438" s="3">
        <v>43.16</v>
      </c>
    </row>
    <row r="1439" spans="1:9" x14ac:dyDescent="0.3">
      <c r="A1439" s="4">
        <v>42227</v>
      </c>
      <c r="B1439" s="5" t="s">
        <v>1243</v>
      </c>
      <c r="C1439" s="5" t="s">
        <v>46</v>
      </c>
      <c r="D1439" s="5" t="s">
        <v>2</v>
      </c>
      <c r="E1439" s="5" t="s">
        <v>133</v>
      </c>
      <c r="F1439" s="5" t="s">
        <v>1173</v>
      </c>
      <c r="G1439" s="5">
        <v>44.43</v>
      </c>
      <c r="H1439" s="5">
        <v>3</v>
      </c>
      <c r="I1439" s="6">
        <v>18.66</v>
      </c>
    </row>
    <row r="1440" spans="1:9" x14ac:dyDescent="0.3">
      <c r="A1440" s="1">
        <v>42227</v>
      </c>
      <c r="B1440" s="2" t="s">
        <v>1243</v>
      </c>
      <c r="C1440" s="2" t="s">
        <v>46</v>
      </c>
      <c r="D1440" s="2" t="s">
        <v>30</v>
      </c>
      <c r="E1440" s="2" t="s">
        <v>31</v>
      </c>
      <c r="F1440" s="2" t="s">
        <v>60</v>
      </c>
      <c r="G1440" s="2">
        <v>226.2</v>
      </c>
      <c r="H1440" s="2">
        <v>5</v>
      </c>
      <c r="I1440" s="3">
        <v>58.81</v>
      </c>
    </row>
    <row r="1441" spans="1:9" x14ac:dyDescent="0.3">
      <c r="A1441" s="4">
        <v>42227</v>
      </c>
      <c r="B1441" s="5" t="s">
        <v>1243</v>
      </c>
      <c r="C1441" s="5" t="s">
        <v>46</v>
      </c>
      <c r="D1441" s="5" t="s">
        <v>25</v>
      </c>
      <c r="E1441" s="5" t="s">
        <v>38</v>
      </c>
      <c r="F1441" s="5" t="s">
        <v>1103</v>
      </c>
      <c r="G1441" s="5">
        <v>186.54</v>
      </c>
      <c r="H1441" s="5">
        <v>3</v>
      </c>
      <c r="I1441" s="6">
        <v>41.04</v>
      </c>
    </row>
    <row r="1442" spans="1:9" x14ac:dyDescent="0.3">
      <c r="A1442" s="1">
        <v>42227</v>
      </c>
      <c r="B1442" s="2" t="s">
        <v>1243</v>
      </c>
      <c r="C1442" s="2" t="s">
        <v>46</v>
      </c>
      <c r="D1442" s="2" t="s">
        <v>2</v>
      </c>
      <c r="E1442" s="2" t="s">
        <v>15</v>
      </c>
      <c r="F1442" s="2" t="s">
        <v>686</v>
      </c>
      <c r="G1442" s="2">
        <v>265.86</v>
      </c>
      <c r="H1442" s="2">
        <v>7</v>
      </c>
      <c r="I1442" s="3">
        <v>79.760000000000005</v>
      </c>
    </row>
    <row r="1443" spans="1:9" x14ac:dyDescent="0.3">
      <c r="A1443" s="4">
        <v>42227</v>
      </c>
      <c r="B1443" s="5" t="s">
        <v>1243</v>
      </c>
      <c r="C1443" s="5" t="s">
        <v>46</v>
      </c>
      <c r="D1443" s="5" t="s">
        <v>2</v>
      </c>
      <c r="E1443" s="5" t="s">
        <v>15</v>
      </c>
      <c r="F1443" s="5" t="s">
        <v>1515</v>
      </c>
      <c r="G1443" s="5">
        <v>27.9</v>
      </c>
      <c r="H1443" s="5">
        <v>5</v>
      </c>
      <c r="I1443" s="6">
        <v>6.98</v>
      </c>
    </row>
    <row r="1444" spans="1:9" x14ac:dyDescent="0.3">
      <c r="A1444" s="1">
        <v>42227</v>
      </c>
      <c r="B1444" s="2" t="s">
        <v>184</v>
      </c>
      <c r="C1444" s="2" t="s">
        <v>1516</v>
      </c>
      <c r="D1444" s="2" t="s">
        <v>30</v>
      </c>
      <c r="E1444" s="2" t="s">
        <v>31</v>
      </c>
      <c r="F1444" s="2" t="s">
        <v>485</v>
      </c>
      <c r="G1444" s="2">
        <v>263.95999999999998</v>
      </c>
      <c r="H1444" s="2">
        <v>4</v>
      </c>
      <c r="I1444" s="3">
        <v>76.55</v>
      </c>
    </row>
    <row r="1445" spans="1:9" x14ac:dyDescent="0.3">
      <c r="A1445" s="4">
        <v>42227</v>
      </c>
      <c r="B1445" s="5" t="s">
        <v>1517</v>
      </c>
      <c r="C1445" s="5" t="s">
        <v>80</v>
      </c>
      <c r="D1445" s="5" t="s">
        <v>2</v>
      </c>
      <c r="E1445" s="5" t="s">
        <v>9</v>
      </c>
      <c r="F1445" s="5" t="s">
        <v>1518</v>
      </c>
      <c r="G1445" s="5">
        <v>67.150000000000006</v>
      </c>
      <c r="H1445" s="5">
        <v>5</v>
      </c>
      <c r="I1445" s="6">
        <v>16.79</v>
      </c>
    </row>
    <row r="1446" spans="1:9" x14ac:dyDescent="0.3">
      <c r="A1446" s="1">
        <v>42227</v>
      </c>
      <c r="B1446" s="2" t="s">
        <v>1517</v>
      </c>
      <c r="C1446" s="2" t="s">
        <v>80</v>
      </c>
      <c r="D1446" s="2" t="s">
        <v>30</v>
      </c>
      <c r="E1446" s="2" t="s">
        <v>31</v>
      </c>
      <c r="F1446" s="2" t="s">
        <v>1256</v>
      </c>
      <c r="G1446" s="2">
        <v>549.98</v>
      </c>
      <c r="H1446" s="2">
        <v>2</v>
      </c>
      <c r="I1446" s="3">
        <v>142.99</v>
      </c>
    </row>
    <row r="1447" spans="1:9" x14ac:dyDescent="0.3">
      <c r="A1447" s="4">
        <v>42227</v>
      </c>
      <c r="B1447" s="5" t="s">
        <v>1517</v>
      </c>
      <c r="C1447" s="5" t="s">
        <v>80</v>
      </c>
      <c r="D1447" s="5" t="s">
        <v>25</v>
      </c>
      <c r="E1447" s="5" t="s">
        <v>38</v>
      </c>
      <c r="F1447" s="5" t="s">
        <v>1519</v>
      </c>
      <c r="G1447" s="5">
        <v>11.82</v>
      </c>
      <c r="H1447" s="5">
        <v>3</v>
      </c>
      <c r="I1447" s="6">
        <v>4.7300000000000004</v>
      </c>
    </row>
    <row r="1448" spans="1:9" x14ac:dyDescent="0.3">
      <c r="A1448" s="1">
        <v>42227</v>
      </c>
      <c r="B1448" s="2" t="s">
        <v>1517</v>
      </c>
      <c r="C1448" s="2" t="s">
        <v>80</v>
      </c>
      <c r="D1448" s="2" t="s">
        <v>30</v>
      </c>
      <c r="E1448" s="2" t="s">
        <v>625</v>
      </c>
      <c r="F1448" s="2" t="s">
        <v>1520</v>
      </c>
      <c r="G1448" s="2">
        <v>4643.8</v>
      </c>
      <c r="H1448" s="2">
        <v>4</v>
      </c>
      <c r="I1448" s="3">
        <v>2229.02</v>
      </c>
    </row>
    <row r="1449" spans="1:9" x14ac:dyDescent="0.3">
      <c r="A1449" s="4">
        <v>42227</v>
      </c>
      <c r="B1449" s="5" t="s">
        <v>1517</v>
      </c>
      <c r="C1449" s="5" t="s">
        <v>80</v>
      </c>
      <c r="D1449" s="5" t="s">
        <v>25</v>
      </c>
      <c r="E1449" s="5" t="s">
        <v>26</v>
      </c>
      <c r="F1449" s="5" t="s">
        <v>946</v>
      </c>
      <c r="G1449" s="5">
        <v>577.76</v>
      </c>
      <c r="H1449" s="5">
        <v>2</v>
      </c>
      <c r="I1449" s="6">
        <v>115.55</v>
      </c>
    </row>
    <row r="1450" spans="1:9" x14ac:dyDescent="0.3">
      <c r="A1450" s="1">
        <v>42227</v>
      </c>
      <c r="B1450" s="2" t="s">
        <v>1117</v>
      </c>
      <c r="C1450" s="2" t="s">
        <v>121</v>
      </c>
      <c r="D1450" s="2" t="s">
        <v>2</v>
      </c>
      <c r="E1450" s="2" t="s">
        <v>34</v>
      </c>
      <c r="F1450" s="2" t="s">
        <v>1521</v>
      </c>
      <c r="G1450" s="2">
        <v>31.5</v>
      </c>
      <c r="H1450" s="2">
        <v>11</v>
      </c>
      <c r="I1450" s="3">
        <v>11.81</v>
      </c>
    </row>
    <row r="1451" spans="1:9" x14ac:dyDescent="0.3">
      <c r="A1451" s="4">
        <v>42227</v>
      </c>
      <c r="B1451" s="5" t="s">
        <v>1117</v>
      </c>
      <c r="C1451" s="5" t="s">
        <v>121</v>
      </c>
      <c r="D1451" s="5" t="s">
        <v>2</v>
      </c>
      <c r="E1451" s="5" t="s">
        <v>7</v>
      </c>
      <c r="F1451" s="5" t="s">
        <v>1522</v>
      </c>
      <c r="G1451" s="5">
        <v>5.04</v>
      </c>
      <c r="H1451" s="5">
        <v>1</v>
      </c>
      <c r="I1451" s="6">
        <v>1.64</v>
      </c>
    </row>
    <row r="1452" spans="1:9" x14ac:dyDescent="0.3">
      <c r="A1452" s="1">
        <v>42227</v>
      </c>
      <c r="B1452" s="2" t="s">
        <v>1117</v>
      </c>
      <c r="C1452" s="2" t="s">
        <v>121</v>
      </c>
      <c r="D1452" s="2" t="s">
        <v>2</v>
      </c>
      <c r="E1452" s="2" t="s">
        <v>11</v>
      </c>
      <c r="F1452" s="2" t="s">
        <v>1012</v>
      </c>
      <c r="G1452" s="2">
        <v>39.880000000000003</v>
      </c>
      <c r="H1452" s="2">
        <v>7</v>
      </c>
      <c r="I1452" s="3">
        <v>-29.24</v>
      </c>
    </row>
    <row r="1453" spans="1:9" x14ac:dyDescent="0.3">
      <c r="A1453" s="4">
        <v>42227</v>
      </c>
      <c r="B1453" s="5" t="s">
        <v>1117</v>
      </c>
      <c r="C1453" s="5" t="s">
        <v>121</v>
      </c>
      <c r="D1453" s="5" t="s">
        <v>25</v>
      </c>
      <c r="E1453" s="5" t="s">
        <v>38</v>
      </c>
      <c r="F1453" s="5" t="s">
        <v>167</v>
      </c>
      <c r="G1453" s="5">
        <v>4.71</v>
      </c>
      <c r="H1453" s="5">
        <v>1</v>
      </c>
      <c r="I1453" s="6">
        <v>1.41</v>
      </c>
    </row>
    <row r="1454" spans="1:9" x14ac:dyDescent="0.3">
      <c r="A1454" s="1">
        <v>42227</v>
      </c>
      <c r="B1454" s="2" t="s">
        <v>371</v>
      </c>
      <c r="C1454" s="2" t="s">
        <v>1498</v>
      </c>
      <c r="D1454" s="2" t="s">
        <v>25</v>
      </c>
      <c r="E1454" s="2" t="s">
        <v>129</v>
      </c>
      <c r="F1454" s="2" t="s">
        <v>1523</v>
      </c>
      <c r="G1454" s="2">
        <v>4404.8999999999996</v>
      </c>
      <c r="H1454" s="2">
        <v>5</v>
      </c>
      <c r="I1454" s="3">
        <v>1013.13</v>
      </c>
    </row>
    <row r="1455" spans="1:9" x14ac:dyDescent="0.3">
      <c r="A1455" s="4">
        <v>42258</v>
      </c>
      <c r="B1455" s="5" t="s">
        <v>1524</v>
      </c>
      <c r="C1455" s="5" t="s">
        <v>14</v>
      </c>
      <c r="D1455" s="5" t="s">
        <v>2</v>
      </c>
      <c r="E1455" s="5" t="s">
        <v>3</v>
      </c>
      <c r="F1455" s="5" t="s">
        <v>1525</v>
      </c>
      <c r="G1455" s="5">
        <v>11.35</v>
      </c>
      <c r="H1455" s="5">
        <v>3</v>
      </c>
      <c r="I1455" s="6">
        <v>4.12</v>
      </c>
    </row>
    <row r="1456" spans="1:9" x14ac:dyDescent="0.3">
      <c r="A1456" s="1">
        <v>42258</v>
      </c>
      <c r="B1456" s="2" t="s">
        <v>1526</v>
      </c>
      <c r="C1456" s="2" t="s">
        <v>90</v>
      </c>
      <c r="D1456" s="2" t="s">
        <v>2</v>
      </c>
      <c r="E1456" s="2" t="s">
        <v>11</v>
      </c>
      <c r="F1456" s="2" t="s">
        <v>1527</v>
      </c>
      <c r="G1456" s="2">
        <v>17.22</v>
      </c>
      <c r="H1456" s="2">
        <v>3</v>
      </c>
      <c r="I1456" s="3">
        <v>7.92</v>
      </c>
    </row>
    <row r="1457" spans="1:9" x14ac:dyDescent="0.3">
      <c r="A1457" s="4">
        <v>42258</v>
      </c>
      <c r="B1457" s="5" t="s">
        <v>1526</v>
      </c>
      <c r="C1457" s="5" t="s">
        <v>90</v>
      </c>
      <c r="D1457" s="5" t="s">
        <v>25</v>
      </c>
      <c r="E1457" s="5" t="s">
        <v>86</v>
      </c>
      <c r="F1457" s="5" t="s">
        <v>1528</v>
      </c>
      <c r="G1457" s="5">
        <v>1024.3800000000001</v>
      </c>
      <c r="H1457" s="5">
        <v>7</v>
      </c>
      <c r="I1457" s="6">
        <v>215.12</v>
      </c>
    </row>
    <row r="1458" spans="1:9" x14ac:dyDescent="0.3">
      <c r="A1458" s="1">
        <v>42258</v>
      </c>
      <c r="B1458" s="2" t="s">
        <v>1526</v>
      </c>
      <c r="C1458" s="2" t="s">
        <v>90</v>
      </c>
      <c r="D1458" s="2" t="s">
        <v>2</v>
      </c>
      <c r="E1458" s="2" t="s">
        <v>114</v>
      </c>
      <c r="F1458" s="2" t="s">
        <v>401</v>
      </c>
      <c r="G1458" s="2">
        <v>26.22</v>
      </c>
      <c r="H1458" s="2">
        <v>3</v>
      </c>
      <c r="I1458" s="3">
        <v>12.32</v>
      </c>
    </row>
    <row r="1459" spans="1:9" x14ac:dyDescent="0.3">
      <c r="A1459" s="4">
        <v>42258</v>
      </c>
      <c r="B1459" s="5" t="s">
        <v>1526</v>
      </c>
      <c r="C1459" s="5" t="s">
        <v>90</v>
      </c>
      <c r="D1459" s="5" t="s">
        <v>2</v>
      </c>
      <c r="E1459" s="5" t="s">
        <v>3</v>
      </c>
      <c r="F1459" s="5" t="s">
        <v>1529</v>
      </c>
      <c r="G1459" s="5">
        <v>17.34</v>
      </c>
      <c r="H1459" s="5">
        <v>3</v>
      </c>
      <c r="I1459" s="6">
        <v>8.5</v>
      </c>
    </row>
    <row r="1460" spans="1:9" x14ac:dyDescent="0.3">
      <c r="A1460" s="1">
        <v>42258</v>
      </c>
      <c r="B1460" s="2" t="s">
        <v>789</v>
      </c>
      <c r="C1460" s="2" t="s">
        <v>80</v>
      </c>
      <c r="D1460" s="2" t="s">
        <v>30</v>
      </c>
      <c r="E1460" s="2" t="s">
        <v>625</v>
      </c>
      <c r="F1460" s="2" t="s">
        <v>1520</v>
      </c>
      <c r="G1460" s="2">
        <v>2321.9</v>
      </c>
      <c r="H1460" s="2">
        <v>2</v>
      </c>
      <c r="I1460" s="3">
        <v>1114.51</v>
      </c>
    </row>
    <row r="1461" spans="1:9" x14ac:dyDescent="0.3">
      <c r="A1461" s="4">
        <v>42258</v>
      </c>
      <c r="B1461" s="5" t="s">
        <v>789</v>
      </c>
      <c r="C1461" s="5" t="s">
        <v>80</v>
      </c>
      <c r="D1461" s="5" t="s">
        <v>2</v>
      </c>
      <c r="E1461" s="5" t="s">
        <v>9</v>
      </c>
      <c r="F1461" s="5" t="s">
        <v>478</v>
      </c>
      <c r="G1461" s="5">
        <v>17.940000000000001</v>
      </c>
      <c r="H1461" s="5">
        <v>3</v>
      </c>
      <c r="I1461" s="6">
        <v>3.05</v>
      </c>
    </row>
    <row r="1462" spans="1:9" x14ac:dyDescent="0.3">
      <c r="A1462" s="1">
        <v>42258</v>
      </c>
      <c r="B1462" s="2" t="s">
        <v>1530</v>
      </c>
      <c r="C1462" s="2" t="s">
        <v>80</v>
      </c>
      <c r="D1462" s="2" t="s">
        <v>2</v>
      </c>
      <c r="E1462" s="2" t="s">
        <v>9</v>
      </c>
      <c r="F1462" s="2" t="s">
        <v>1071</v>
      </c>
      <c r="G1462" s="2">
        <v>244.55</v>
      </c>
      <c r="H1462" s="2">
        <v>5</v>
      </c>
      <c r="I1462" s="3">
        <v>4.8899999999999997</v>
      </c>
    </row>
    <row r="1463" spans="1:9" x14ac:dyDescent="0.3">
      <c r="A1463" s="4">
        <v>42258</v>
      </c>
      <c r="B1463" s="5" t="s">
        <v>1530</v>
      </c>
      <c r="C1463" s="5" t="s">
        <v>80</v>
      </c>
      <c r="D1463" s="5" t="s">
        <v>2</v>
      </c>
      <c r="E1463" s="5" t="s">
        <v>114</v>
      </c>
      <c r="F1463" s="5" t="s">
        <v>1531</v>
      </c>
      <c r="G1463" s="5">
        <v>12.24</v>
      </c>
      <c r="H1463" s="5">
        <v>6</v>
      </c>
      <c r="I1463" s="6">
        <v>5.75</v>
      </c>
    </row>
    <row r="1464" spans="1:9" x14ac:dyDescent="0.3">
      <c r="A1464" s="1">
        <v>42258</v>
      </c>
      <c r="B1464" s="2" t="s">
        <v>1530</v>
      </c>
      <c r="C1464" s="2" t="s">
        <v>80</v>
      </c>
      <c r="D1464" s="2" t="s">
        <v>30</v>
      </c>
      <c r="E1464" s="2" t="s">
        <v>43</v>
      </c>
      <c r="F1464" s="2" t="s">
        <v>1532</v>
      </c>
      <c r="G1464" s="2">
        <v>13.98</v>
      </c>
      <c r="H1464" s="2">
        <v>2</v>
      </c>
      <c r="I1464" s="3">
        <v>6.01</v>
      </c>
    </row>
    <row r="1465" spans="1:9" x14ac:dyDescent="0.3">
      <c r="A1465" s="4">
        <v>42258</v>
      </c>
      <c r="B1465" s="5" t="s">
        <v>1530</v>
      </c>
      <c r="C1465" s="5" t="s">
        <v>80</v>
      </c>
      <c r="D1465" s="5" t="s">
        <v>30</v>
      </c>
      <c r="E1465" s="5" t="s">
        <v>43</v>
      </c>
      <c r="F1465" s="5" t="s">
        <v>1533</v>
      </c>
      <c r="G1465" s="5">
        <v>899.95</v>
      </c>
      <c r="H1465" s="5">
        <v>5</v>
      </c>
      <c r="I1465" s="6">
        <v>54</v>
      </c>
    </row>
    <row r="1466" spans="1:9" x14ac:dyDescent="0.3">
      <c r="A1466" s="1">
        <v>42258</v>
      </c>
      <c r="B1466" s="2" t="s">
        <v>1534</v>
      </c>
      <c r="C1466" s="2" t="s">
        <v>18</v>
      </c>
      <c r="D1466" s="2" t="s">
        <v>2</v>
      </c>
      <c r="E1466" s="2" t="s">
        <v>34</v>
      </c>
      <c r="F1466" s="2" t="s">
        <v>1411</v>
      </c>
      <c r="G1466" s="2">
        <v>2.48</v>
      </c>
      <c r="H1466" s="2">
        <v>2</v>
      </c>
      <c r="I1466" s="3">
        <v>1.17</v>
      </c>
    </row>
    <row r="1467" spans="1:9" x14ac:dyDescent="0.3">
      <c r="A1467" s="4">
        <v>42258</v>
      </c>
      <c r="B1467" s="5" t="s">
        <v>1224</v>
      </c>
      <c r="C1467" s="5" t="s">
        <v>283</v>
      </c>
      <c r="D1467" s="5" t="s">
        <v>2</v>
      </c>
      <c r="E1467" s="5" t="s">
        <v>11</v>
      </c>
      <c r="F1467" s="5" t="s">
        <v>1203</v>
      </c>
      <c r="G1467" s="5">
        <v>10.74</v>
      </c>
      <c r="H1467" s="5">
        <v>3</v>
      </c>
      <c r="I1467" s="6">
        <v>5.16</v>
      </c>
    </row>
    <row r="1468" spans="1:9" x14ac:dyDescent="0.3">
      <c r="A1468" s="1">
        <v>42288</v>
      </c>
      <c r="B1468" s="2" t="s">
        <v>1535</v>
      </c>
      <c r="C1468" s="2" t="s">
        <v>18</v>
      </c>
      <c r="D1468" s="2" t="s">
        <v>30</v>
      </c>
      <c r="E1468" s="2" t="s">
        <v>43</v>
      </c>
      <c r="F1468" s="2" t="s">
        <v>1106</v>
      </c>
      <c r="G1468" s="2">
        <v>79.900000000000006</v>
      </c>
      <c r="H1468" s="2">
        <v>2</v>
      </c>
      <c r="I1468" s="3">
        <v>35.159999999999997</v>
      </c>
    </row>
    <row r="1469" spans="1:9" x14ac:dyDescent="0.3">
      <c r="A1469" s="4">
        <v>42288</v>
      </c>
      <c r="B1469" s="5" t="s">
        <v>1536</v>
      </c>
      <c r="C1469" s="5" t="s">
        <v>283</v>
      </c>
      <c r="D1469" s="5" t="s">
        <v>2</v>
      </c>
      <c r="E1469" s="5" t="s">
        <v>9</v>
      </c>
      <c r="F1469" s="5" t="s">
        <v>1537</v>
      </c>
      <c r="G1469" s="5">
        <v>714.3</v>
      </c>
      <c r="H1469" s="5">
        <v>5</v>
      </c>
      <c r="I1469" s="6">
        <v>207.15</v>
      </c>
    </row>
    <row r="1470" spans="1:9" x14ac:dyDescent="0.3">
      <c r="A1470" s="1">
        <v>42288</v>
      </c>
      <c r="B1470" s="2" t="s">
        <v>1340</v>
      </c>
      <c r="C1470" s="2" t="s">
        <v>359</v>
      </c>
      <c r="D1470" s="2" t="s">
        <v>2</v>
      </c>
      <c r="E1470" s="2" t="s">
        <v>133</v>
      </c>
      <c r="F1470" s="2" t="s">
        <v>1133</v>
      </c>
      <c r="G1470" s="2">
        <v>715.64</v>
      </c>
      <c r="H1470" s="2">
        <v>2</v>
      </c>
      <c r="I1470" s="3">
        <v>178.91</v>
      </c>
    </row>
    <row r="1471" spans="1:9" x14ac:dyDescent="0.3">
      <c r="A1471" s="4">
        <v>42288</v>
      </c>
      <c r="B1471" s="5" t="s">
        <v>1340</v>
      </c>
      <c r="C1471" s="5" t="s">
        <v>359</v>
      </c>
      <c r="D1471" s="5" t="s">
        <v>2</v>
      </c>
      <c r="E1471" s="5" t="s">
        <v>9</v>
      </c>
      <c r="F1471" s="5" t="s">
        <v>164</v>
      </c>
      <c r="G1471" s="5">
        <v>795.51</v>
      </c>
      <c r="H1471" s="5">
        <v>3</v>
      </c>
      <c r="I1471" s="6">
        <v>143.19</v>
      </c>
    </row>
    <row r="1472" spans="1:9" x14ac:dyDescent="0.3">
      <c r="A1472" s="1">
        <v>42288</v>
      </c>
      <c r="B1472" s="2" t="s">
        <v>1340</v>
      </c>
      <c r="C1472" s="2" t="s">
        <v>359</v>
      </c>
      <c r="D1472" s="2" t="s">
        <v>30</v>
      </c>
      <c r="E1472" s="2" t="s">
        <v>290</v>
      </c>
      <c r="F1472" s="2" t="s">
        <v>572</v>
      </c>
      <c r="G1472" s="2">
        <v>549.99</v>
      </c>
      <c r="H1472" s="2">
        <v>1</v>
      </c>
      <c r="I1472" s="3">
        <v>275</v>
      </c>
    </row>
    <row r="1473" spans="1:9" x14ac:dyDescent="0.3">
      <c r="A1473" s="4">
        <v>42288</v>
      </c>
      <c r="B1473" s="5" t="s">
        <v>1340</v>
      </c>
      <c r="C1473" s="5" t="s">
        <v>359</v>
      </c>
      <c r="D1473" s="5" t="s">
        <v>2</v>
      </c>
      <c r="E1473" s="5" t="s">
        <v>11</v>
      </c>
      <c r="F1473" s="5" t="s">
        <v>376</v>
      </c>
      <c r="G1473" s="5">
        <v>74.760000000000005</v>
      </c>
      <c r="H1473" s="5">
        <v>3</v>
      </c>
      <c r="I1473" s="6">
        <v>34.39</v>
      </c>
    </row>
    <row r="1474" spans="1:9" x14ac:dyDescent="0.3">
      <c r="A1474" s="1">
        <v>42288</v>
      </c>
      <c r="B1474" s="2" t="s">
        <v>1340</v>
      </c>
      <c r="C1474" s="2" t="s">
        <v>359</v>
      </c>
      <c r="D1474" s="2" t="s">
        <v>25</v>
      </c>
      <c r="E1474" s="2" t="s">
        <v>38</v>
      </c>
      <c r="F1474" s="2" t="s">
        <v>1182</v>
      </c>
      <c r="G1474" s="2">
        <v>29.22</v>
      </c>
      <c r="H1474" s="2">
        <v>3</v>
      </c>
      <c r="I1474" s="3">
        <v>12.86</v>
      </c>
    </row>
    <row r="1475" spans="1:9" x14ac:dyDescent="0.3">
      <c r="A1475" s="4">
        <v>42288</v>
      </c>
      <c r="B1475" s="5" t="s">
        <v>132</v>
      </c>
      <c r="C1475" s="5" t="s">
        <v>14</v>
      </c>
      <c r="D1475" s="5" t="s">
        <v>2</v>
      </c>
      <c r="E1475" s="5" t="s">
        <v>9</v>
      </c>
      <c r="F1475" s="5" t="s">
        <v>1267</v>
      </c>
      <c r="G1475" s="5">
        <v>577.58000000000004</v>
      </c>
      <c r="H1475" s="5">
        <v>6</v>
      </c>
      <c r="I1475" s="6">
        <v>43.32</v>
      </c>
    </row>
    <row r="1476" spans="1:9" x14ac:dyDescent="0.3">
      <c r="A1476" s="1">
        <v>42319</v>
      </c>
      <c r="B1476" s="2" t="s">
        <v>1039</v>
      </c>
      <c r="C1476" s="2" t="s">
        <v>160</v>
      </c>
      <c r="D1476" s="2" t="s">
        <v>2</v>
      </c>
      <c r="E1476" s="2" t="s">
        <v>9</v>
      </c>
      <c r="F1476" s="2" t="s">
        <v>1538</v>
      </c>
      <c r="G1476" s="2">
        <v>418.32</v>
      </c>
      <c r="H1476" s="2">
        <v>7</v>
      </c>
      <c r="I1476" s="3">
        <v>117.13</v>
      </c>
    </row>
    <row r="1477" spans="1:9" x14ac:dyDescent="0.3">
      <c r="A1477" s="4">
        <v>42319</v>
      </c>
      <c r="B1477" s="5" t="s">
        <v>1039</v>
      </c>
      <c r="C1477" s="5" t="s">
        <v>160</v>
      </c>
      <c r="D1477" s="5" t="s">
        <v>2</v>
      </c>
      <c r="E1477" s="5" t="s">
        <v>133</v>
      </c>
      <c r="F1477" s="5" t="s">
        <v>1352</v>
      </c>
      <c r="G1477" s="5">
        <v>123.86</v>
      </c>
      <c r="H1477" s="5">
        <v>2</v>
      </c>
      <c r="I1477" s="6">
        <v>46.79</v>
      </c>
    </row>
    <row r="1478" spans="1:9" x14ac:dyDescent="0.3">
      <c r="A1478" s="1">
        <v>42349</v>
      </c>
      <c r="B1478" s="2" t="s">
        <v>1539</v>
      </c>
      <c r="C1478" s="2" t="s">
        <v>18</v>
      </c>
      <c r="D1478" s="2" t="s">
        <v>2</v>
      </c>
      <c r="E1478" s="2" t="s">
        <v>3</v>
      </c>
      <c r="F1478" s="2" t="s">
        <v>308</v>
      </c>
      <c r="G1478" s="2">
        <v>15.7</v>
      </c>
      <c r="H1478" s="2">
        <v>5</v>
      </c>
      <c r="I1478" s="3">
        <v>7.07</v>
      </c>
    </row>
    <row r="1479" spans="1:9" x14ac:dyDescent="0.3">
      <c r="A1479" s="4">
        <v>42349</v>
      </c>
      <c r="B1479" s="5" t="s">
        <v>190</v>
      </c>
      <c r="C1479" s="5" t="s">
        <v>58</v>
      </c>
      <c r="D1479" s="5" t="s">
        <v>2</v>
      </c>
      <c r="E1479" s="5" t="s">
        <v>15</v>
      </c>
      <c r="F1479" s="5" t="s">
        <v>1038</v>
      </c>
      <c r="G1479" s="5">
        <v>11.76</v>
      </c>
      <c r="H1479" s="5">
        <v>5</v>
      </c>
      <c r="I1479" s="6">
        <v>1.32</v>
      </c>
    </row>
    <row r="1480" spans="1:9" x14ac:dyDescent="0.3">
      <c r="A1480" s="1">
        <v>42349</v>
      </c>
      <c r="B1480" s="2" t="s">
        <v>190</v>
      </c>
      <c r="C1480" s="2" t="s">
        <v>58</v>
      </c>
      <c r="D1480" s="2" t="s">
        <v>2</v>
      </c>
      <c r="E1480" s="2" t="s">
        <v>11</v>
      </c>
      <c r="F1480" s="2" t="s">
        <v>88</v>
      </c>
      <c r="G1480" s="2">
        <v>5.24</v>
      </c>
      <c r="H1480" s="2">
        <v>2</v>
      </c>
      <c r="I1480" s="3">
        <v>-4.0199999999999996</v>
      </c>
    </row>
    <row r="1481" spans="1:9" x14ac:dyDescent="0.3">
      <c r="A1481" s="4">
        <v>42349</v>
      </c>
      <c r="B1481" s="5" t="s">
        <v>190</v>
      </c>
      <c r="C1481" s="5" t="s">
        <v>58</v>
      </c>
      <c r="D1481" s="5" t="s">
        <v>2</v>
      </c>
      <c r="E1481" s="5" t="s">
        <v>11</v>
      </c>
      <c r="F1481" s="5" t="s">
        <v>1231</v>
      </c>
      <c r="G1481" s="5">
        <v>4.66</v>
      </c>
      <c r="H1481" s="5">
        <v>3</v>
      </c>
      <c r="I1481" s="6">
        <v>-3.73</v>
      </c>
    </row>
    <row r="1482" spans="1:9" x14ac:dyDescent="0.3">
      <c r="A1482" s="1">
        <v>42349</v>
      </c>
      <c r="B1482" s="2" t="s">
        <v>190</v>
      </c>
      <c r="C1482" s="2" t="s">
        <v>58</v>
      </c>
      <c r="D1482" s="2" t="s">
        <v>25</v>
      </c>
      <c r="E1482" s="2" t="s">
        <v>26</v>
      </c>
      <c r="F1482" s="2" t="s">
        <v>760</v>
      </c>
      <c r="G1482" s="2">
        <v>523.91999999999996</v>
      </c>
      <c r="H1482" s="2">
        <v>5</v>
      </c>
      <c r="I1482" s="3">
        <v>-72.040000000000006</v>
      </c>
    </row>
    <row r="1483" spans="1:9" x14ac:dyDescent="0.3">
      <c r="A1483" s="4">
        <v>42349</v>
      </c>
      <c r="B1483" s="5" t="s">
        <v>190</v>
      </c>
      <c r="C1483" s="5" t="s">
        <v>58</v>
      </c>
      <c r="D1483" s="5" t="s">
        <v>30</v>
      </c>
      <c r="E1483" s="5" t="s">
        <v>31</v>
      </c>
      <c r="F1483" s="5" t="s">
        <v>1188</v>
      </c>
      <c r="G1483" s="5">
        <v>100.79</v>
      </c>
      <c r="H1483" s="5">
        <v>1</v>
      </c>
      <c r="I1483" s="6">
        <v>10.08</v>
      </c>
    </row>
    <row r="1484" spans="1:9" x14ac:dyDescent="0.3">
      <c r="A1484" s="1">
        <v>42349</v>
      </c>
      <c r="B1484" s="2" t="s">
        <v>190</v>
      </c>
      <c r="C1484" s="2" t="s">
        <v>58</v>
      </c>
      <c r="D1484" s="2" t="s">
        <v>25</v>
      </c>
      <c r="E1484" s="2" t="s">
        <v>26</v>
      </c>
      <c r="F1484" s="2" t="s">
        <v>149</v>
      </c>
      <c r="G1484" s="2">
        <v>146.13999999999999</v>
      </c>
      <c r="H1484" s="2">
        <v>3</v>
      </c>
      <c r="I1484" s="3">
        <v>16.440000000000001</v>
      </c>
    </row>
    <row r="1485" spans="1:9" x14ac:dyDescent="0.3">
      <c r="A1485" s="4">
        <v>42349</v>
      </c>
      <c r="B1485" s="5" t="s">
        <v>1333</v>
      </c>
      <c r="C1485" s="5" t="s">
        <v>1</v>
      </c>
      <c r="D1485" s="5" t="s">
        <v>2</v>
      </c>
      <c r="E1485" s="5" t="s">
        <v>9</v>
      </c>
      <c r="F1485" s="5" t="s">
        <v>151</v>
      </c>
      <c r="G1485" s="5">
        <v>64.78</v>
      </c>
      <c r="H1485" s="5">
        <v>1</v>
      </c>
      <c r="I1485" s="6">
        <v>-14.58</v>
      </c>
    </row>
    <row r="1486" spans="1:9" x14ac:dyDescent="0.3">
      <c r="A1486" s="1">
        <v>42349</v>
      </c>
      <c r="B1486" s="2" t="s">
        <v>1333</v>
      </c>
      <c r="C1486" s="2" t="s">
        <v>1</v>
      </c>
      <c r="D1486" s="2" t="s">
        <v>2</v>
      </c>
      <c r="E1486" s="2" t="s">
        <v>3</v>
      </c>
      <c r="F1486" s="2" t="s">
        <v>212</v>
      </c>
      <c r="G1486" s="2">
        <v>15.55</v>
      </c>
      <c r="H1486" s="2">
        <v>3</v>
      </c>
      <c r="I1486" s="3">
        <v>5.64</v>
      </c>
    </row>
    <row r="1487" spans="1:9" x14ac:dyDescent="0.3">
      <c r="A1487" s="4">
        <v>42349</v>
      </c>
      <c r="B1487" s="5" t="s">
        <v>1333</v>
      </c>
      <c r="C1487" s="5" t="s">
        <v>1</v>
      </c>
      <c r="D1487" s="5" t="s">
        <v>2</v>
      </c>
      <c r="E1487" s="5" t="s">
        <v>114</v>
      </c>
      <c r="F1487" s="5" t="s">
        <v>1540</v>
      </c>
      <c r="G1487" s="5">
        <v>223.89</v>
      </c>
      <c r="H1487" s="5">
        <v>7</v>
      </c>
      <c r="I1487" s="6">
        <v>69.97</v>
      </c>
    </row>
    <row r="1488" spans="1:9" x14ac:dyDescent="0.3">
      <c r="A1488" s="1">
        <v>42349</v>
      </c>
      <c r="B1488" s="2" t="s">
        <v>1541</v>
      </c>
      <c r="C1488" s="2" t="s">
        <v>80</v>
      </c>
      <c r="D1488" s="2" t="s">
        <v>2</v>
      </c>
      <c r="E1488" s="2" t="s">
        <v>114</v>
      </c>
      <c r="F1488" s="2" t="s">
        <v>115</v>
      </c>
      <c r="G1488" s="2">
        <v>15.56</v>
      </c>
      <c r="H1488" s="2">
        <v>2</v>
      </c>
      <c r="I1488" s="3">
        <v>7.31</v>
      </c>
    </row>
    <row r="1489" spans="1:9" x14ac:dyDescent="0.3">
      <c r="A1489" s="4">
        <v>42016</v>
      </c>
      <c r="B1489" s="5" t="s">
        <v>700</v>
      </c>
      <c r="C1489" s="5" t="s">
        <v>62</v>
      </c>
      <c r="D1489" s="5" t="s">
        <v>2</v>
      </c>
      <c r="E1489" s="5" t="s">
        <v>11</v>
      </c>
      <c r="F1489" s="5" t="s">
        <v>372</v>
      </c>
      <c r="G1489" s="5">
        <v>55.42</v>
      </c>
      <c r="H1489" s="5">
        <v>2</v>
      </c>
      <c r="I1489" s="6">
        <v>19.399999999999999</v>
      </c>
    </row>
    <row r="1490" spans="1:9" x14ac:dyDescent="0.3">
      <c r="A1490" s="1">
        <v>42016</v>
      </c>
      <c r="B1490" s="2" t="s">
        <v>1388</v>
      </c>
      <c r="C1490" s="2" t="s">
        <v>1</v>
      </c>
      <c r="D1490" s="2" t="s">
        <v>25</v>
      </c>
      <c r="E1490" s="2" t="s">
        <v>38</v>
      </c>
      <c r="F1490" s="2" t="s">
        <v>1023</v>
      </c>
      <c r="G1490" s="2">
        <v>6.69</v>
      </c>
      <c r="H1490" s="2">
        <v>4</v>
      </c>
      <c r="I1490" s="3">
        <v>-4.01</v>
      </c>
    </row>
    <row r="1491" spans="1:9" x14ac:dyDescent="0.3">
      <c r="A1491" s="4">
        <v>42016</v>
      </c>
      <c r="B1491" s="5" t="s">
        <v>1369</v>
      </c>
      <c r="C1491" s="5" t="s">
        <v>62</v>
      </c>
      <c r="D1491" s="5" t="s">
        <v>2</v>
      </c>
      <c r="E1491" s="5" t="s">
        <v>15</v>
      </c>
      <c r="F1491" s="5" t="s">
        <v>482</v>
      </c>
      <c r="G1491" s="5">
        <v>13.9</v>
      </c>
      <c r="H1491" s="5">
        <v>5</v>
      </c>
      <c r="I1491" s="6">
        <v>5.56</v>
      </c>
    </row>
    <row r="1492" spans="1:9" x14ac:dyDescent="0.3">
      <c r="A1492" s="1">
        <v>42016</v>
      </c>
      <c r="B1492" s="2" t="s">
        <v>1517</v>
      </c>
      <c r="C1492" s="2" t="s">
        <v>46</v>
      </c>
      <c r="D1492" s="2" t="s">
        <v>2</v>
      </c>
      <c r="E1492" s="2" t="s">
        <v>9</v>
      </c>
      <c r="F1492" s="2" t="s">
        <v>887</v>
      </c>
      <c r="G1492" s="2">
        <v>61.68</v>
      </c>
      <c r="H1492" s="2">
        <v>4</v>
      </c>
      <c r="I1492" s="3">
        <v>16.649999999999999</v>
      </c>
    </row>
    <row r="1493" spans="1:9" x14ac:dyDescent="0.3">
      <c r="A1493" s="4">
        <v>42016</v>
      </c>
      <c r="B1493" s="5" t="s">
        <v>1517</v>
      </c>
      <c r="C1493" s="5" t="s">
        <v>46</v>
      </c>
      <c r="D1493" s="5" t="s">
        <v>2</v>
      </c>
      <c r="E1493" s="5" t="s">
        <v>11</v>
      </c>
      <c r="F1493" s="5" t="s">
        <v>1542</v>
      </c>
      <c r="G1493" s="5">
        <v>63.96</v>
      </c>
      <c r="H1493" s="5">
        <v>4</v>
      </c>
      <c r="I1493" s="6">
        <v>30.7</v>
      </c>
    </row>
    <row r="1494" spans="1:9" x14ac:dyDescent="0.3">
      <c r="A1494" s="1">
        <v>42016</v>
      </c>
      <c r="B1494" s="2" t="s">
        <v>1367</v>
      </c>
      <c r="C1494" s="2" t="s">
        <v>62</v>
      </c>
      <c r="D1494" s="2" t="s">
        <v>25</v>
      </c>
      <c r="E1494" s="2" t="s">
        <v>26</v>
      </c>
      <c r="F1494" s="2" t="s">
        <v>1543</v>
      </c>
      <c r="G1494" s="2">
        <v>2003.92</v>
      </c>
      <c r="H1494" s="2">
        <v>5</v>
      </c>
      <c r="I1494" s="3">
        <v>125.25</v>
      </c>
    </row>
    <row r="1495" spans="1:9" x14ac:dyDescent="0.3">
      <c r="A1495" s="4">
        <v>42016</v>
      </c>
      <c r="B1495" s="5" t="s">
        <v>1367</v>
      </c>
      <c r="C1495" s="5" t="s">
        <v>62</v>
      </c>
      <c r="D1495" s="5" t="s">
        <v>2</v>
      </c>
      <c r="E1495" s="5" t="s">
        <v>3</v>
      </c>
      <c r="F1495" s="5" t="s">
        <v>1544</v>
      </c>
      <c r="G1495" s="5">
        <v>32.4</v>
      </c>
      <c r="H1495" s="5">
        <v>5</v>
      </c>
      <c r="I1495" s="6">
        <v>15.55</v>
      </c>
    </row>
    <row r="1496" spans="1:9" x14ac:dyDescent="0.3">
      <c r="A1496" s="1">
        <v>42016</v>
      </c>
      <c r="B1496" s="2" t="s">
        <v>1367</v>
      </c>
      <c r="C1496" s="2" t="s">
        <v>62</v>
      </c>
      <c r="D1496" s="2" t="s">
        <v>25</v>
      </c>
      <c r="E1496" s="2" t="s">
        <v>86</v>
      </c>
      <c r="F1496" s="2" t="s">
        <v>1545</v>
      </c>
      <c r="G1496" s="2">
        <v>1913.4</v>
      </c>
      <c r="H1496" s="2">
        <v>9</v>
      </c>
      <c r="I1496" s="3">
        <v>401.81</v>
      </c>
    </row>
    <row r="1497" spans="1:9" x14ac:dyDescent="0.3">
      <c r="A1497" s="4">
        <v>42016</v>
      </c>
      <c r="B1497" s="5" t="s">
        <v>1367</v>
      </c>
      <c r="C1497" s="5" t="s">
        <v>62</v>
      </c>
      <c r="D1497" s="5" t="s">
        <v>2</v>
      </c>
      <c r="E1497" s="5" t="s">
        <v>9</v>
      </c>
      <c r="F1497" s="5" t="s">
        <v>1071</v>
      </c>
      <c r="G1497" s="5">
        <v>146.72999999999999</v>
      </c>
      <c r="H1497" s="5">
        <v>3</v>
      </c>
      <c r="I1497" s="6">
        <v>2.93</v>
      </c>
    </row>
    <row r="1498" spans="1:9" x14ac:dyDescent="0.3">
      <c r="A1498" s="1">
        <v>42016</v>
      </c>
      <c r="B1498" s="2" t="s">
        <v>1367</v>
      </c>
      <c r="C1498" s="2" t="s">
        <v>62</v>
      </c>
      <c r="D1498" s="2" t="s">
        <v>2</v>
      </c>
      <c r="E1498" s="2" t="s">
        <v>3</v>
      </c>
      <c r="F1498" s="2" t="s">
        <v>1016</v>
      </c>
      <c r="G1498" s="2">
        <v>114.2</v>
      </c>
      <c r="H1498" s="2">
        <v>5</v>
      </c>
      <c r="I1498" s="3">
        <v>52.53</v>
      </c>
    </row>
    <row r="1499" spans="1:9" x14ac:dyDescent="0.3">
      <c r="A1499" s="4">
        <v>42016</v>
      </c>
      <c r="B1499" s="5" t="s">
        <v>1546</v>
      </c>
      <c r="C1499" s="5" t="s">
        <v>18</v>
      </c>
      <c r="D1499" s="5" t="s">
        <v>25</v>
      </c>
      <c r="E1499" s="5" t="s">
        <v>26</v>
      </c>
      <c r="F1499" s="5" t="s">
        <v>715</v>
      </c>
      <c r="G1499" s="5">
        <v>2676.67</v>
      </c>
      <c r="H1499" s="5">
        <v>9</v>
      </c>
      <c r="I1499" s="6">
        <v>267.67</v>
      </c>
    </row>
    <row r="1500" spans="1:9" x14ac:dyDescent="0.3">
      <c r="A1500" s="1">
        <v>42016</v>
      </c>
      <c r="B1500" s="2" t="s">
        <v>571</v>
      </c>
      <c r="C1500" s="2" t="s">
        <v>160</v>
      </c>
      <c r="D1500" s="2" t="s">
        <v>2</v>
      </c>
      <c r="E1500" s="2" t="s">
        <v>3</v>
      </c>
      <c r="F1500" s="2" t="s">
        <v>1547</v>
      </c>
      <c r="G1500" s="2">
        <v>19.440000000000001</v>
      </c>
      <c r="H1500" s="2">
        <v>3</v>
      </c>
      <c r="I1500" s="3">
        <v>9.33</v>
      </c>
    </row>
    <row r="1501" spans="1:9" x14ac:dyDescent="0.3">
      <c r="A1501" s="4">
        <v>42016</v>
      </c>
      <c r="B1501" s="5" t="s">
        <v>571</v>
      </c>
      <c r="C1501" s="5" t="s">
        <v>160</v>
      </c>
      <c r="D1501" s="5" t="s">
        <v>2</v>
      </c>
      <c r="E1501" s="5" t="s">
        <v>15</v>
      </c>
      <c r="F1501" s="5" t="s">
        <v>1548</v>
      </c>
      <c r="G1501" s="5">
        <v>3.64</v>
      </c>
      <c r="H1501" s="5">
        <v>2</v>
      </c>
      <c r="I1501" s="6">
        <v>1.02</v>
      </c>
    </row>
    <row r="1502" spans="1:9" x14ac:dyDescent="0.3">
      <c r="A1502" s="1">
        <v>42016</v>
      </c>
      <c r="B1502" s="2" t="s">
        <v>571</v>
      </c>
      <c r="C1502" s="2" t="s">
        <v>160</v>
      </c>
      <c r="D1502" s="2" t="s">
        <v>2</v>
      </c>
      <c r="E1502" s="2" t="s">
        <v>3</v>
      </c>
      <c r="F1502" s="2" t="s">
        <v>923</v>
      </c>
      <c r="G1502" s="2">
        <v>18.54</v>
      </c>
      <c r="H1502" s="2">
        <v>2</v>
      </c>
      <c r="I1502" s="3">
        <v>8.7100000000000009</v>
      </c>
    </row>
    <row r="1503" spans="1:9" x14ac:dyDescent="0.3">
      <c r="A1503" s="4">
        <v>42075</v>
      </c>
      <c r="B1503" s="5" t="s">
        <v>1549</v>
      </c>
      <c r="C1503" s="5" t="s">
        <v>14</v>
      </c>
      <c r="D1503" s="5" t="s">
        <v>30</v>
      </c>
      <c r="E1503" s="5" t="s">
        <v>625</v>
      </c>
      <c r="F1503" s="5" t="s">
        <v>1550</v>
      </c>
      <c r="G1503" s="5">
        <v>482.34</v>
      </c>
      <c r="H1503" s="5">
        <v>4</v>
      </c>
      <c r="I1503" s="6">
        <v>-337.64</v>
      </c>
    </row>
    <row r="1504" spans="1:9" x14ac:dyDescent="0.3">
      <c r="A1504" s="1">
        <v>42075</v>
      </c>
      <c r="B1504" s="2" t="s">
        <v>1549</v>
      </c>
      <c r="C1504" s="2" t="s">
        <v>14</v>
      </c>
      <c r="D1504" s="2" t="s">
        <v>25</v>
      </c>
      <c r="E1504" s="2" t="s">
        <v>38</v>
      </c>
      <c r="F1504" s="2" t="s">
        <v>369</v>
      </c>
      <c r="G1504" s="2">
        <v>2.96</v>
      </c>
      <c r="H1504" s="2">
        <v>1</v>
      </c>
      <c r="I1504" s="3">
        <v>0.78</v>
      </c>
    </row>
    <row r="1505" spans="1:9" x14ac:dyDescent="0.3">
      <c r="A1505" s="4">
        <v>42075</v>
      </c>
      <c r="B1505" s="5" t="s">
        <v>388</v>
      </c>
      <c r="C1505" s="5" t="s">
        <v>80</v>
      </c>
      <c r="D1505" s="5" t="s">
        <v>2</v>
      </c>
      <c r="E1505" s="5" t="s">
        <v>11</v>
      </c>
      <c r="F1505" s="5" t="s">
        <v>1551</v>
      </c>
      <c r="G1505" s="5">
        <v>10.75</v>
      </c>
      <c r="H1505" s="5">
        <v>4</v>
      </c>
      <c r="I1505" s="6">
        <v>3.36</v>
      </c>
    </row>
    <row r="1506" spans="1:9" x14ac:dyDescent="0.3">
      <c r="A1506" s="1">
        <v>42075</v>
      </c>
      <c r="B1506" s="2" t="s">
        <v>1189</v>
      </c>
      <c r="C1506" s="2" t="s">
        <v>14</v>
      </c>
      <c r="D1506" s="2" t="s">
        <v>2</v>
      </c>
      <c r="E1506" s="2" t="s">
        <v>3</v>
      </c>
      <c r="F1506" s="2" t="s">
        <v>4</v>
      </c>
      <c r="G1506" s="2">
        <v>16.45</v>
      </c>
      <c r="H1506" s="2">
        <v>2</v>
      </c>
      <c r="I1506" s="3">
        <v>5.55</v>
      </c>
    </row>
    <row r="1507" spans="1:9" x14ac:dyDescent="0.3">
      <c r="A1507" s="4">
        <v>42075</v>
      </c>
      <c r="B1507" s="5" t="s">
        <v>1189</v>
      </c>
      <c r="C1507" s="5" t="s">
        <v>14</v>
      </c>
      <c r="D1507" s="5" t="s">
        <v>30</v>
      </c>
      <c r="E1507" s="5" t="s">
        <v>43</v>
      </c>
      <c r="F1507" s="5" t="s">
        <v>1552</v>
      </c>
      <c r="G1507" s="5">
        <v>36.78</v>
      </c>
      <c r="H1507" s="5">
        <v>2</v>
      </c>
      <c r="I1507" s="6">
        <v>10.58</v>
      </c>
    </row>
    <row r="1508" spans="1:9" x14ac:dyDescent="0.3">
      <c r="A1508" s="1">
        <v>42075</v>
      </c>
      <c r="B1508" s="2" t="s">
        <v>1553</v>
      </c>
      <c r="C1508" s="2" t="s">
        <v>80</v>
      </c>
      <c r="D1508" s="2" t="s">
        <v>2</v>
      </c>
      <c r="E1508" s="2" t="s">
        <v>11</v>
      </c>
      <c r="F1508" s="2" t="s">
        <v>1554</v>
      </c>
      <c r="G1508" s="2">
        <v>590.35</v>
      </c>
      <c r="H1508" s="2">
        <v>6</v>
      </c>
      <c r="I1508" s="3">
        <v>206.62</v>
      </c>
    </row>
    <row r="1509" spans="1:9" x14ac:dyDescent="0.3">
      <c r="A1509" s="4">
        <v>42075</v>
      </c>
      <c r="B1509" s="5" t="s">
        <v>1555</v>
      </c>
      <c r="C1509" s="5" t="s">
        <v>18</v>
      </c>
      <c r="D1509" s="5" t="s">
        <v>25</v>
      </c>
      <c r="E1509" s="5" t="s">
        <v>129</v>
      </c>
      <c r="F1509" s="5" t="s">
        <v>1556</v>
      </c>
      <c r="G1509" s="5">
        <v>359.5</v>
      </c>
      <c r="H1509" s="5">
        <v>3</v>
      </c>
      <c r="I1509" s="6">
        <v>-29.61</v>
      </c>
    </row>
    <row r="1510" spans="1:9" x14ac:dyDescent="0.3">
      <c r="A1510" s="1">
        <v>42075</v>
      </c>
      <c r="B1510" s="2" t="s">
        <v>772</v>
      </c>
      <c r="C1510" s="2" t="s">
        <v>121</v>
      </c>
      <c r="D1510" s="2" t="s">
        <v>25</v>
      </c>
      <c r="E1510" s="2" t="s">
        <v>38</v>
      </c>
      <c r="F1510" s="2" t="s">
        <v>770</v>
      </c>
      <c r="G1510" s="2">
        <v>77.95</v>
      </c>
      <c r="H1510" s="2">
        <v>3</v>
      </c>
      <c r="I1510" s="3">
        <v>12.67</v>
      </c>
    </row>
    <row r="1511" spans="1:9" x14ac:dyDescent="0.3">
      <c r="A1511" s="4">
        <v>42075</v>
      </c>
      <c r="B1511" s="5" t="s">
        <v>772</v>
      </c>
      <c r="C1511" s="5" t="s">
        <v>121</v>
      </c>
      <c r="D1511" s="5" t="s">
        <v>2</v>
      </c>
      <c r="E1511" s="5" t="s">
        <v>11</v>
      </c>
      <c r="F1511" s="5" t="s">
        <v>1322</v>
      </c>
      <c r="G1511" s="5">
        <v>95.97</v>
      </c>
      <c r="H1511" s="5">
        <v>5</v>
      </c>
      <c r="I1511" s="6">
        <v>-73.58</v>
      </c>
    </row>
    <row r="1512" spans="1:9" x14ac:dyDescent="0.3">
      <c r="A1512" s="1">
        <v>42075</v>
      </c>
      <c r="B1512" s="2" t="s">
        <v>772</v>
      </c>
      <c r="C1512" s="2" t="s">
        <v>121</v>
      </c>
      <c r="D1512" s="2" t="s">
        <v>30</v>
      </c>
      <c r="E1512" s="2" t="s">
        <v>31</v>
      </c>
      <c r="F1512" s="2" t="s">
        <v>1557</v>
      </c>
      <c r="G1512" s="2">
        <v>105.58</v>
      </c>
      <c r="H1512" s="2">
        <v>2</v>
      </c>
      <c r="I1512" s="3">
        <v>9.24</v>
      </c>
    </row>
    <row r="1513" spans="1:9" x14ac:dyDescent="0.3">
      <c r="A1513" s="4">
        <v>42075</v>
      </c>
      <c r="B1513" s="5" t="s">
        <v>772</v>
      </c>
      <c r="C1513" s="5" t="s">
        <v>121</v>
      </c>
      <c r="D1513" s="5" t="s">
        <v>2</v>
      </c>
      <c r="E1513" s="5" t="s">
        <v>15</v>
      </c>
      <c r="F1513" s="5" t="s">
        <v>42</v>
      </c>
      <c r="G1513" s="5">
        <v>9.34</v>
      </c>
      <c r="H1513" s="5">
        <v>2</v>
      </c>
      <c r="I1513" s="6">
        <v>1.17</v>
      </c>
    </row>
    <row r="1514" spans="1:9" x14ac:dyDescent="0.3">
      <c r="A1514" s="1">
        <v>42075</v>
      </c>
      <c r="B1514" s="2" t="s">
        <v>316</v>
      </c>
      <c r="C1514" s="2" t="s">
        <v>1558</v>
      </c>
      <c r="D1514" s="2" t="s">
        <v>2</v>
      </c>
      <c r="E1514" s="2" t="s">
        <v>3</v>
      </c>
      <c r="F1514" s="2" t="s">
        <v>1559</v>
      </c>
      <c r="G1514" s="2">
        <v>184.66</v>
      </c>
      <c r="H1514" s="2">
        <v>7</v>
      </c>
      <c r="I1514" s="3">
        <v>84.94</v>
      </c>
    </row>
    <row r="1515" spans="1:9" x14ac:dyDescent="0.3">
      <c r="A1515" s="4">
        <v>42106</v>
      </c>
      <c r="B1515" s="5" t="s">
        <v>1560</v>
      </c>
      <c r="C1515" s="5" t="s">
        <v>58</v>
      </c>
      <c r="D1515" s="5" t="s">
        <v>2</v>
      </c>
      <c r="E1515" s="5" t="s">
        <v>11</v>
      </c>
      <c r="F1515" s="5" t="s">
        <v>1561</v>
      </c>
      <c r="G1515" s="5">
        <v>8.23</v>
      </c>
      <c r="H1515" s="5">
        <v>3</v>
      </c>
      <c r="I1515" s="6">
        <v>-6.03</v>
      </c>
    </row>
    <row r="1516" spans="1:9" x14ac:dyDescent="0.3">
      <c r="A1516" s="1">
        <v>42106</v>
      </c>
      <c r="B1516" s="2" t="s">
        <v>1450</v>
      </c>
      <c r="C1516" s="2" t="s">
        <v>80</v>
      </c>
      <c r="D1516" s="2" t="s">
        <v>25</v>
      </c>
      <c r="E1516" s="2" t="s">
        <v>38</v>
      </c>
      <c r="F1516" s="2" t="s">
        <v>1562</v>
      </c>
      <c r="G1516" s="2">
        <v>28.44</v>
      </c>
      <c r="H1516" s="2">
        <v>3</v>
      </c>
      <c r="I1516" s="3">
        <v>11.38</v>
      </c>
    </row>
    <row r="1517" spans="1:9" x14ac:dyDescent="0.3">
      <c r="A1517" s="4">
        <v>42106</v>
      </c>
      <c r="B1517" s="5" t="s">
        <v>1450</v>
      </c>
      <c r="C1517" s="5" t="s">
        <v>80</v>
      </c>
      <c r="D1517" s="5" t="s">
        <v>25</v>
      </c>
      <c r="E1517" s="5" t="s">
        <v>26</v>
      </c>
      <c r="F1517" s="5" t="s">
        <v>1353</v>
      </c>
      <c r="G1517" s="5">
        <v>364.41</v>
      </c>
      <c r="H1517" s="5">
        <v>5</v>
      </c>
      <c r="I1517" s="6">
        <v>8.1</v>
      </c>
    </row>
    <row r="1518" spans="1:9" x14ac:dyDescent="0.3">
      <c r="A1518" s="1">
        <v>42106</v>
      </c>
      <c r="B1518" s="2" t="s">
        <v>1450</v>
      </c>
      <c r="C1518" s="2" t="s">
        <v>80</v>
      </c>
      <c r="D1518" s="2" t="s">
        <v>30</v>
      </c>
      <c r="E1518" s="2" t="s">
        <v>31</v>
      </c>
      <c r="F1518" s="2" t="s">
        <v>425</v>
      </c>
      <c r="G1518" s="2">
        <v>39.96</v>
      </c>
      <c r="H1518" s="2">
        <v>4</v>
      </c>
      <c r="I1518" s="3">
        <v>10.39</v>
      </c>
    </row>
    <row r="1519" spans="1:9" x14ac:dyDescent="0.3">
      <c r="A1519" s="4">
        <v>42106</v>
      </c>
      <c r="B1519" s="5" t="s">
        <v>1450</v>
      </c>
      <c r="C1519" s="5" t="s">
        <v>80</v>
      </c>
      <c r="D1519" s="5" t="s">
        <v>25</v>
      </c>
      <c r="E1519" s="5" t="s">
        <v>26</v>
      </c>
      <c r="F1519" s="5" t="s">
        <v>1175</v>
      </c>
      <c r="G1519" s="5">
        <v>361.76</v>
      </c>
      <c r="H1519" s="5">
        <v>2</v>
      </c>
      <c r="I1519" s="6">
        <v>68.33</v>
      </c>
    </row>
    <row r="1520" spans="1:9" x14ac:dyDescent="0.3">
      <c r="A1520" s="1">
        <v>42106</v>
      </c>
      <c r="B1520" s="2" t="s">
        <v>695</v>
      </c>
      <c r="C1520" s="2" t="s">
        <v>80</v>
      </c>
      <c r="D1520" s="2" t="s">
        <v>2</v>
      </c>
      <c r="E1520" s="2" t="s">
        <v>114</v>
      </c>
      <c r="F1520" s="2" t="s">
        <v>1563</v>
      </c>
      <c r="G1520" s="2">
        <v>17.940000000000001</v>
      </c>
      <c r="H1520" s="2">
        <v>3</v>
      </c>
      <c r="I1520" s="3">
        <v>8.7899999999999991</v>
      </c>
    </row>
    <row r="1521" spans="1:9" x14ac:dyDescent="0.3">
      <c r="A1521" s="4">
        <v>42106</v>
      </c>
      <c r="B1521" s="5" t="s">
        <v>695</v>
      </c>
      <c r="C1521" s="5" t="s">
        <v>80</v>
      </c>
      <c r="D1521" s="5" t="s">
        <v>25</v>
      </c>
      <c r="E1521" s="5" t="s">
        <v>26</v>
      </c>
      <c r="F1521" s="5" t="s">
        <v>1469</v>
      </c>
      <c r="G1521" s="5">
        <v>384.17</v>
      </c>
      <c r="H1521" s="5">
        <v>7</v>
      </c>
      <c r="I1521" s="6">
        <v>29.88</v>
      </c>
    </row>
    <row r="1522" spans="1:9" x14ac:dyDescent="0.3">
      <c r="A1522" s="1">
        <v>42106</v>
      </c>
      <c r="B1522" s="2" t="s">
        <v>695</v>
      </c>
      <c r="C1522" s="2" t="s">
        <v>80</v>
      </c>
      <c r="D1522" s="2" t="s">
        <v>30</v>
      </c>
      <c r="E1522" s="2" t="s">
        <v>31</v>
      </c>
      <c r="F1522" s="2" t="s">
        <v>442</v>
      </c>
      <c r="G1522" s="2">
        <v>1799.75</v>
      </c>
      <c r="H1522" s="2">
        <v>5</v>
      </c>
      <c r="I1522" s="3">
        <v>539.92999999999995</v>
      </c>
    </row>
    <row r="1523" spans="1:9" x14ac:dyDescent="0.3">
      <c r="A1523" s="4">
        <v>42106</v>
      </c>
      <c r="B1523" s="5" t="s">
        <v>1077</v>
      </c>
      <c r="C1523" s="5" t="s">
        <v>90</v>
      </c>
      <c r="D1523" s="5" t="s">
        <v>2</v>
      </c>
      <c r="E1523" s="5" t="s">
        <v>3</v>
      </c>
      <c r="F1523" s="5" t="s">
        <v>493</v>
      </c>
      <c r="G1523" s="5">
        <v>85.96</v>
      </c>
      <c r="H1523" s="5">
        <v>7</v>
      </c>
      <c r="I1523" s="6">
        <v>40.4</v>
      </c>
    </row>
    <row r="1524" spans="1:9" x14ac:dyDescent="0.3">
      <c r="A1524" s="1">
        <v>42106</v>
      </c>
      <c r="B1524" s="2" t="s">
        <v>1200</v>
      </c>
      <c r="C1524" s="2" t="s">
        <v>411</v>
      </c>
      <c r="D1524" s="2" t="s">
        <v>2</v>
      </c>
      <c r="E1524" s="2" t="s">
        <v>11</v>
      </c>
      <c r="F1524" s="2" t="s">
        <v>1327</v>
      </c>
      <c r="G1524" s="2">
        <v>1598.06</v>
      </c>
      <c r="H1524" s="2">
        <v>7</v>
      </c>
      <c r="I1524" s="3">
        <v>-1065.3699999999999</v>
      </c>
    </row>
    <row r="1525" spans="1:9" x14ac:dyDescent="0.3">
      <c r="A1525" s="4">
        <v>42106</v>
      </c>
      <c r="B1525" s="5" t="s">
        <v>1200</v>
      </c>
      <c r="C1525" s="5" t="s">
        <v>411</v>
      </c>
      <c r="D1525" s="5" t="s">
        <v>2</v>
      </c>
      <c r="E1525" s="5" t="s">
        <v>15</v>
      </c>
      <c r="F1525" s="5" t="s">
        <v>430</v>
      </c>
      <c r="G1525" s="5">
        <v>36.96</v>
      </c>
      <c r="H1525" s="5">
        <v>4</v>
      </c>
      <c r="I1525" s="6">
        <v>12.01</v>
      </c>
    </row>
    <row r="1526" spans="1:9" x14ac:dyDescent="0.3">
      <c r="A1526" s="1">
        <v>42106</v>
      </c>
      <c r="B1526" s="2" t="s">
        <v>1564</v>
      </c>
      <c r="C1526" s="2" t="s">
        <v>18</v>
      </c>
      <c r="D1526" s="2" t="s">
        <v>2</v>
      </c>
      <c r="E1526" s="2" t="s">
        <v>114</v>
      </c>
      <c r="F1526" s="2" t="s">
        <v>1565</v>
      </c>
      <c r="G1526" s="2">
        <v>271.44</v>
      </c>
      <c r="H1526" s="2">
        <v>3</v>
      </c>
      <c r="I1526" s="3">
        <v>122.15</v>
      </c>
    </row>
    <row r="1527" spans="1:9" x14ac:dyDescent="0.3">
      <c r="A1527" s="4">
        <v>42106</v>
      </c>
      <c r="B1527" s="5" t="s">
        <v>1564</v>
      </c>
      <c r="C1527" s="5" t="s">
        <v>18</v>
      </c>
      <c r="D1527" s="5" t="s">
        <v>30</v>
      </c>
      <c r="E1527" s="5" t="s">
        <v>31</v>
      </c>
      <c r="F1527" s="5" t="s">
        <v>1566</v>
      </c>
      <c r="G1527" s="5">
        <v>110.35</v>
      </c>
      <c r="H1527" s="5">
        <v>3</v>
      </c>
      <c r="I1527" s="6">
        <v>8.2799999999999994</v>
      </c>
    </row>
    <row r="1528" spans="1:9" x14ac:dyDescent="0.3">
      <c r="A1528" s="1">
        <v>42106</v>
      </c>
      <c r="B1528" s="2" t="s">
        <v>1564</v>
      </c>
      <c r="C1528" s="2" t="s">
        <v>18</v>
      </c>
      <c r="D1528" s="2" t="s">
        <v>25</v>
      </c>
      <c r="E1528" s="2" t="s">
        <v>38</v>
      </c>
      <c r="F1528" s="2" t="s">
        <v>84</v>
      </c>
      <c r="G1528" s="2">
        <v>36.4</v>
      </c>
      <c r="H1528" s="2">
        <v>5</v>
      </c>
      <c r="I1528" s="3">
        <v>13.83</v>
      </c>
    </row>
    <row r="1529" spans="1:9" x14ac:dyDescent="0.3">
      <c r="A1529" s="4">
        <v>42106</v>
      </c>
      <c r="B1529" s="5" t="s">
        <v>903</v>
      </c>
      <c r="C1529" s="5" t="s">
        <v>18</v>
      </c>
      <c r="D1529" s="5" t="s">
        <v>2</v>
      </c>
      <c r="E1529" s="5" t="s">
        <v>15</v>
      </c>
      <c r="F1529" s="5" t="s">
        <v>1567</v>
      </c>
      <c r="G1529" s="5">
        <v>16.899999999999999</v>
      </c>
      <c r="H1529" s="5">
        <v>5</v>
      </c>
      <c r="I1529" s="6">
        <v>6.25</v>
      </c>
    </row>
    <row r="1530" spans="1:9" x14ac:dyDescent="0.3">
      <c r="A1530" s="1">
        <v>42106</v>
      </c>
      <c r="B1530" s="2" t="s">
        <v>903</v>
      </c>
      <c r="C1530" s="2" t="s">
        <v>18</v>
      </c>
      <c r="D1530" s="2" t="s">
        <v>25</v>
      </c>
      <c r="E1530" s="2" t="s">
        <v>38</v>
      </c>
      <c r="F1530" s="2" t="s">
        <v>1023</v>
      </c>
      <c r="G1530" s="2">
        <v>25.08</v>
      </c>
      <c r="H1530" s="2">
        <v>6</v>
      </c>
      <c r="I1530" s="3">
        <v>9.0299999999999994</v>
      </c>
    </row>
    <row r="1531" spans="1:9" x14ac:dyDescent="0.3">
      <c r="A1531" s="4">
        <v>42136</v>
      </c>
      <c r="B1531" s="5" t="s">
        <v>1568</v>
      </c>
      <c r="C1531" s="5" t="s">
        <v>18</v>
      </c>
      <c r="D1531" s="5" t="s">
        <v>25</v>
      </c>
      <c r="E1531" s="5" t="s">
        <v>38</v>
      </c>
      <c r="F1531" s="5" t="s">
        <v>1511</v>
      </c>
      <c r="G1531" s="5">
        <v>44.46</v>
      </c>
      <c r="H1531" s="5">
        <v>2</v>
      </c>
      <c r="I1531" s="6">
        <v>14.67</v>
      </c>
    </row>
    <row r="1532" spans="1:9" x14ac:dyDescent="0.3">
      <c r="A1532" s="1">
        <v>42136</v>
      </c>
      <c r="B1532" s="2" t="s">
        <v>1468</v>
      </c>
      <c r="C1532" s="2" t="s">
        <v>14</v>
      </c>
      <c r="D1532" s="2" t="s">
        <v>30</v>
      </c>
      <c r="E1532" s="2" t="s">
        <v>43</v>
      </c>
      <c r="F1532" s="2" t="s">
        <v>842</v>
      </c>
      <c r="G1532" s="2">
        <v>47.98</v>
      </c>
      <c r="H1532" s="2">
        <v>2</v>
      </c>
      <c r="I1532" s="3">
        <v>0.6</v>
      </c>
    </row>
    <row r="1533" spans="1:9" x14ac:dyDescent="0.3">
      <c r="A1533" s="4">
        <v>42136</v>
      </c>
      <c r="B1533" s="5" t="s">
        <v>1468</v>
      </c>
      <c r="C1533" s="5" t="s">
        <v>14</v>
      </c>
      <c r="D1533" s="5" t="s">
        <v>2</v>
      </c>
      <c r="E1533" s="5" t="s">
        <v>11</v>
      </c>
      <c r="F1533" s="5" t="s">
        <v>1569</v>
      </c>
      <c r="G1533" s="5">
        <v>26.06</v>
      </c>
      <c r="H1533" s="5">
        <v>6</v>
      </c>
      <c r="I1533" s="6">
        <v>-19.98</v>
      </c>
    </row>
    <row r="1534" spans="1:9" x14ac:dyDescent="0.3">
      <c r="A1534" s="1">
        <v>42136</v>
      </c>
      <c r="B1534" s="2" t="s">
        <v>1570</v>
      </c>
      <c r="C1534" s="2" t="s">
        <v>160</v>
      </c>
      <c r="D1534" s="2" t="s">
        <v>2</v>
      </c>
      <c r="E1534" s="2" t="s">
        <v>11</v>
      </c>
      <c r="F1534" s="2" t="s">
        <v>59</v>
      </c>
      <c r="G1534" s="2">
        <v>152.80000000000001</v>
      </c>
      <c r="H1534" s="2">
        <v>5</v>
      </c>
      <c r="I1534" s="3">
        <v>76.400000000000006</v>
      </c>
    </row>
    <row r="1535" spans="1:9" x14ac:dyDescent="0.3">
      <c r="A1535" s="4">
        <v>42136</v>
      </c>
      <c r="B1535" s="5" t="s">
        <v>716</v>
      </c>
      <c r="C1535" s="5" t="s">
        <v>1</v>
      </c>
      <c r="D1535" s="5" t="s">
        <v>2</v>
      </c>
      <c r="E1535" s="5" t="s">
        <v>15</v>
      </c>
      <c r="F1535" s="5" t="s">
        <v>909</v>
      </c>
      <c r="G1535" s="5">
        <v>45.04</v>
      </c>
      <c r="H1535" s="5">
        <v>2</v>
      </c>
      <c r="I1535" s="6">
        <v>4.5</v>
      </c>
    </row>
    <row r="1536" spans="1:9" x14ac:dyDescent="0.3">
      <c r="A1536" s="1">
        <v>42136</v>
      </c>
      <c r="B1536" s="2" t="s">
        <v>761</v>
      </c>
      <c r="C1536" s="2" t="s">
        <v>80</v>
      </c>
      <c r="D1536" s="2" t="s">
        <v>2</v>
      </c>
      <c r="E1536" s="2" t="s">
        <v>11</v>
      </c>
      <c r="F1536" s="2" t="s">
        <v>355</v>
      </c>
      <c r="G1536" s="2">
        <v>232.4</v>
      </c>
      <c r="H1536" s="2">
        <v>5</v>
      </c>
      <c r="I1536" s="3">
        <v>78.44</v>
      </c>
    </row>
    <row r="1537" spans="1:9" x14ac:dyDescent="0.3">
      <c r="A1537" s="4">
        <v>42136</v>
      </c>
      <c r="B1537" s="5" t="s">
        <v>761</v>
      </c>
      <c r="C1537" s="5" t="s">
        <v>80</v>
      </c>
      <c r="D1537" s="5" t="s">
        <v>25</v>
      </c>
      <c r="E1537" s="5" t="s">
        <v>26</v>
      </c>
      <c r="F1537" s="5" t="s">
        <v>1469</v>
      </c>
      <c r="G1537" s="5">
        <v>164.65</v>
      </c>
      <c r="H1537" s="5">
        <v>3</v>
      </c>
      <c r="I1537" s="6">
        <v>12.81</v>
      </c>
    </row>
    <row r="1538" spans="1:9" x14ac:dyDescent="0.3">
      <c r="A1538" s="1">
        <v>42136</v>
      </c>
      <c r="B1538" s="2" t="s">
        <v>761</v>
      </c>
      <c r="C1538" s="2" t="s">
        <v>80</v>
      </c>
      <c r="D1538" s="2" t="s">
        <v>2</v>
      </c>
      <c r="E1538" s="2" t="s">
        <v>3</v>
      </c>
      <c r="F1538" s="2" t="s">
        <v>1305</v>
      </c>
      <c r="G1538" s="2">
        <v>22.68</v>
      </c>
      <c r="H1538" s="2">
        <v>2</v>
      </c>
      <c r="I1538" s="3">
        <v>11.11</v>
      </c>
    </row>
    <row r="1539" spans="1:9" x14ac:dyDescent="0.3">
      <c r="A1539" s="4">
        <v>42136</v>
      </c>
      <c r="B1539" s="5" t="s">
        <v>1402</v>
      </c>
      <c r="C1539" s="5" t="s">
        <v>18</v>
      </c>
      <c r="D1539" s="5" t="s">
        <v>30</v>
      </c>
      <c r="E1539" s="5" t="s">
        <v>43</v>
      </c>
      <c r="F1539" s="5" t="s">
        <v>44</v>
      </c>
      <c r="G1539" s="5">
        <v>39</v>
      </c>
      <c r="H1539" s="5">
        <v>3</v>
      </c>
      <c r="I1539" s="6">
        <v>17.55</v>
      </c>
    </row>
    <row r="1540" spans="1:9" x14ac:dyDescent="0.3">
      <c r="A1540" s="1">
        <v>42136</v>
      </c>
      <c r="B1540" s="2" t="s">
        <v>1402</v>
      </c>
      <c r="C1540" s="2" t="s">
        <v>18</v>
      </c>
      <c r="D1540" s="2" t="s">
        <v>2</v>
      </c>
      <c r="E1540" s="2" t="s">
        <v>7</v>
      </c>
      <c r="F1540" s="2" t="s">
        <v>1571</v>
      </c>
      <c r="G1540" s="2">
        <v>12.6</v>
      </c>
      <c r="H1540" s="2">
        <v>4</v>
      </c>
      <c r="I1540" s="3">
        <v>6.05</v>
      </c>
    </row>
    <row r="1541" spans="1:9" x14ac:dyDescent="0.3">
      <c r="A1541" s="4">
        <v>42136</v>
      </c>
      <c r="B1541" s="5" t="s">
        <v>697</v>
      </c>
      <c r="C1541" s="5" t="s">
        <v>411</v>
      </c>
      <c r="D1541" s="5" t="s">
        <v>25</v>
      </c>
      <c r="E1541" s="5" t="s">
        <v>26</v>
      </c>
      <c r="F1541" s="5" t="s">
        <v>149</v>
      </c>
      <c r="G1541" s="5">
        <v>97.42</v>
      </c>
      <c r="H1541" s="5">
        <v>2</v>
      </c>
      <c r="I1541" s="6">
        <v>10.96</v>
      </c>
    </row>
    <row r="1542" spans="1:9" x14ac:dyDescent="0.3">
      <c r="A1542" s="1">
        <v>42136</v>
      </c>
      <c r="B1542" s="2" t="s">
        <v>995</v>
      </c>
      <c r="C1542" s="2" t="s">
        <v>6</v>
      </c>
      <c r="D1542" s="2" t="s">
        <v>2</v>
      </c>
      <c r="E1542" s="2" t="s">
        <v>114</v>
      </c>
      <c r="F1542" s="2" t="s">
        <v>383</v>
      </c>
      <c r="G1542" s="2">
        <v>12.22</v>
      </c>
      <c r="H1542" s="2">
        <v>2</v>
      </c>
      <c r="I1542" s="3">
        <v>4.43</v>
      </c>
    </row>
    <row r="1543" spans="1:9" x14ac:dyDescent="0.3">
      <c r="A1543" s="4">
        <v>42167</v>
      </c>
      <c r="B1543" s="5" t="s">
        <v>1325</v>
      </c>
      <c r="C1543" s="5" t="s">
        <v>18</v>
      </c>
      <c r="D1543" s="5" t="s">
        <v>2</v>
      </c>
      <c r="E1543" s="5" t="s">
        <v>15</v>
      </c>
      <c r="F1543" s="5" t="s">
        <v>219</v>
      </c>
      <c r="G1543" s="5">
        <v>120.15</v>
      </c>
      <c r="H1543" s="5">
        <v>9</v>
      </c>
      <c r="I1543" s="6">
        <v>33.64</v>
      </c>
    </row>
    <row r="1544" spans="1:9" x14ac:dyDescent="0.3">
      <c r="A1544" s="1">
        <v>42167</v>
      </c>
      <c r="B1544" s="2" t="s">
        <v>1325</v>
      </c>
      <c r="C1544" s="2" t="s">
        <v>18</v>
      </c>
      <c r="D1544" s="2" t="s">
        <v>30</v>
      </c>
      <c r="E1544" s="2" t="s">
        <v>31</v>
      </c>
      <c r="F1544" s="2" t="s">
        <v>279</v>
      </c>
      <c r="G1544" s="2">
        <v>219.18</v>
      </c>
      <c r="H1544" s="2">
        <v>2</v>
      </c>
      <c r="I1544" s="3">
        <v>19.18</v>
      </c>
    </row>
    <row r="1545" spans="1:9" x14ac:dyDescent="0.3">
      <c r="A1545" s="4">
        <v>42167</v>
      </c>
      <c r="B1545" s="5" t="s">
        <v>1572</v>
      </c>
      <c r="C1545" s="5" t="s">
        <v>1</v>
      </c>
      <c r="D1545" s="5" t="s">
        <v>2</v>
      </c>
      <c r="E1545" s="5" t="s">
        <v>11</v>
      </c>
      <c r="F1545" s="5" t="s">
        <v>1573</v>
      </c>
      <c r="G1545" s="5">
        <v>2.77</v>
      </c>
      <c r="H1545" s="5">
        <v>7</v>
      </c>
      <c r="I1545" s="6">
        <v>-4.8499999999999996</v>
      </c>
    </row>
    <row r="1546" spans="1:9" x14ac:dyDescent="0.3">
      <c r="A1546" s="1">
        <v>42167</v>
      </c>
      <c r="B1546" s="2" t="s">
        <v>1574</v>
      </c>
      <c r="C1546" s="2" t="s">
        <v>253</v>
      </c>
      <c r="D1546" s="2" t="s">
        <v>25</v>
      </c>
      <c r="E1546" s="2" t="s">
        <v>38</v>
      </c>
      <c r="F1546" s="2" t="s">
        <v>818</v>
      </c>
      <c r="G1546" s="2">
        <v>206.11</v>
      </c>
      <c r="H1546" s="2">
        <v>6</v>
      </c>
      <c r="I1546" s="3">
        <v>48.95</v>
      </c>
    </row>
    <row r="1547" spans="1:9" x14ac:dyDescent="0.3">
      <c r="A1547" s="4">
        <v>42167</v>
      </c>
      <c r="B1547" s="5" t="s">
        <v>1574</v>
      </c>
      <c r="C1547" s="5" t="s">
        <v>253</v>
      </c>
      <c r="D1547" s="5" t="s">
        <v>2</v>
      </c>
      <c r="E1547" s="5" t="s">
        <v>3</v>
      </c>
      <c r="F1547" s="5" t="s">
        <v>1575</v>
      </c>
      <c r="G1547" s="5">
        <v>19.920000000000002</v>
      </c>
      <c r="H1547" s="5">
        <v>5</v>
      </c>
      <c r="I1547" s="6">
        <v>6.72</v>
      </c>
    </row>
    <row r="1548" spans="1:9" x14ac:dyDescent="0.3">
      <c r="A1548" s="1">
        <v>42167</v>
      </c>
      <c r="B1548" s="2" t="s">
        <v>1574</v>
      </c>
      <c r="C1548" s="2" t="s">
        <v>253</v>
      </c>
      <c r="D1548" s="2" t="s">
        <v>2</v>
      </c>
      <c r="E1548" s="2" t="s">
        <v>3</v>
      </c>
      <c r="F1548" s="2" t="s">
        <v>1390</v>
      </c>
      <c r="G1548" s="2">
        <v>198.27</v>
      </c>
      <c r="H1548" s="2">
        <v>8</v>
      </c>
      <c r="I1548" s="3">
        <v>61.96</v>
      </c>
    </row>
    <row r="1549" spans="1:9" x14ac:dyDescent="0.3">
      <c r="A1549" s="4">
        <v>42167</v>
      </c>
      <c r="B1549" s="5" t="s">
        <v>1574</v>
      </c>
      <c r="C1549" s="5" t="s">
        <v>253</v>
      </c>
      <c r="D1549" s="5" t="s">
        <v>2</v>
      </c>
      <c r="E1549" s="5" t="s">
        <v>9</v>
      </c>
      <c r="F1549" s="5" t="s">
        <v>1576</v>
      </c>
      <c r="G1549" s="5">
        <v>247.1</v>
      </c>
      <c r="H1549" s="5">
        <v>6</v>
      </c>
      <c r="I1549" s="6">
        <v>-58.69</v>
      </c>
    </row>
    <row r="1550" spans="1:9" x14ac:dyDescent="0.3">
      <c r="A1550" s="1">
        <v>42167</v>
      </c>
      <c r="B1550" s="2" t="s">
        <v>1574</v>
      </c>
      <c r="C1550" s="2" t="s">
        <v>253</v>
      </c>
      <c r="D1550" s="2" t="s">
        <v>2</v>
      </c>
      <c r="E1550" s="2" t="s">
        <v>15</v>
      </c>
      <c r="F1550" s="2" t="s">
        <v>610</v>
      </c>
      <c r="G1550" s="2">
        <v>86.3</v>
      </c>
      <c r="H1550" s="2">
        <v>6</v>
      </c>
      <c r="I1550" s="3">
        <v>9.7100000000000009</v>
      </c>
    </row>
    <row r="1551" spans="1:9" x14ac:dyDescent="0.3">
      <c r="A1551" s="4">
        <v>42167</v>
      </c>
      <c r="B1551" s="5" t="s">
        <v>646</v>
      </c>
      <c r="C1551" s="5" t="s">
        <v>127</v>
      </c>
      <c r="D1551" s="5" t="s">
        <v>30</v>
      </c>
      <c r="E1551" s="5" t="s">
        <v>31</v>
      </c>
      <c r="F1551" s="5" t="s">
        <v>1577</v>
      </c>
      <c r="G1551" s="5">
        <v>485.94</v>
      </c>
      <c r="H1551" s="5">
        <v>2</v>
      </c>
      <c r="I1551" s="6">
        <v>-89.09</v>
      </c>
    </row>
    <row r="1552" spans="1:9" x14ac:dyDescent="0.3">
      <c r="A1552" s="1">
        <v>42167</v>
      </c>
      <c r="B1552" s="2" t="s">
        <v>646</v>
      </c>
      <c r="C1552" s="2" t="s">
        <v>127</v>
      </c>
      <c r="D1552" s="2" t="s">
        <v>2</v>
      </c>
      <c r="E1552" s="2" t="s">
        <v>15</v>
      </c>
      <c r="F1552" s="2" t="s">
        <v>42</v>
      </c>
      <c r="G1552" s="2">
        <v>37.380000000000003</v>
      </c>
      <c r="H1552" s="2">
        <v>8</v>
      </c>
      <c r="I1552" s="3">
        <v>4.67</v>
      </c>
    </row>
    <row r="1553" spans="1:9" x14ac:dyDescent="0.3">
      <c r="A1553" s="4">
        <v>42167</v>
      </c>
      <c r="B1553" s="5" t="s">
        <v>646</v>
      </c>
      <c r="C1553" s="5" t="s">
        <v>127</v>
      </c>
      <c r="D1553" s="5" t="s">
        <v>25</v>
      </c>
      <c r="E1553" s="5" t="s">
        <v>26</v>
      </c>
      <c r="F1553" s="5" t="s">
        <v>1578</v>
      </c>
      <c r="G1553" s="5">
        <v>70.69</v>
      </c>
      <c r="H1553" s="5">
        <v>1</v>
      </c>
      <c r="I1553" s="6">
        <v>-24.24</v>
      </c>
    </row>
    <row r="1554" spans="1:9" x14ac:dyDescent="0.3">
      <c r="A1554" s="1">
        <v>42167</v>
      </c>
      <c r="B1554" s="2" t="s">
        <v>1579</v>
      </c>
      <c r="C1554" s="2" t="s">
        <v>18</v>
      </c>
      <c r="D1554" s="2" t="s">
        <v>2</v>
      </c>
      <c r="E1554" s="2" t="s">
        <v>3</v>
      </c>
      <c r="F1554" s="2" t="s">
        <v>1580</v>
      </c>
      <c r="G1554" s="2">
        <v>32.75</v>
      </c>
      <c r="H1554" s="2">
        <v>5</v>
      </c>
      <c r="I1554" s="3">
        <v>15.07</v>
      </c>
    </row>
    <row r="1555" spans="1:9" x14ac:dyDescent="0.3">
      <c r="A1555" s="4">
        <v>42167</v>
      </c>
      <c r="B1555" s="5" t="s">
        <v>832</v>
      </c>
      <c r="C1555" s="5" t="s">
        <v>80</v>
      </c>
      <c r="D1555" s="5" t="s">
        <v>2</v>
      </c>
      <c r="E1555" s="5" t="s">
        <v>3</v>
      </c>
      <c r="F1555" s="5" t="s">
        <v>1544</v>
      </c>
      <c r="G1555" s="5">
        <v>6.48</v>
      </c>
      <c r="H1555" s="5">
        <v>1</v>
      </c>
      <c r="I1555" s="6">
        <v>3.11</v>
      </c>
    </row>
    <row r="1556" spans="1:9" x14ac:dyDescent="0.3">
      <c r="A1556" s="1">
        <v>42167</v>
      </c>
      <c r="B1556" s="2" t="s">
        <v>832</v>
      </c>
      <c r="C1556" s="2" t="s">
        <v>80</v>
      </c>
      <c r="D1556" s="2" t="s">
        <v>2</v>
      </c>
      <c r="E1556" s="2" t="s">
        <v>3</v>
      </c>
      <c r="F1556" s="2" t="s">
        <v>1581</v>
      </c>
      <c r="G1556" s="2">
        <v>41.86</v>
      </c>
      <c r="H1556" s="2">
        <v>7</v>
      </c>
      <c r="I1556" s="3">
        <v>20.51</v>
      </c>
    </row>
    <row r="1557" spans="1:9" x14ac:dyDescent="0.3">
      <c r="A1557" s="4">
        <v>42167</v>
      </c>
      <c r="B1557" s="5" t="s">
        <v>832</v>
      </c>
      <c r="C1557" s="5" t="s">
        <v>80</v>
      </c>
      <c r="D1557" s="5" t="s">
        <v>30</v>
      </c>
      <c r="E1557" s="5" t="s">
        <v>43</v>
      </c>
      <c r="F1557" s="5" t="s">
        <v>1533</v>
      </c>
      <c r="G1557" s="5">
        <v>1619.91</v>
      </c>
      <c r="H1557" s="5">
        <v>9</v>
      </c>
      <c r="I1557" s="6">
        <v>97.19</v>
      </c>
    </row>
    <row r="1558" spans="1:9" x14ac:dyDescent="0.3">
      <c r="A1558" s="1">
        <v>42167</v>
      </c>
      <c r="B1558" s="2" t="s">
        <v>832</v>
      </c>
      <c r="C1558" s="2" t="s">
        <v>80</v>
      </c>
      <c r="D1558" s="2" t="s">
        <v>25</v>
      </c>
      <c r="E1558" s="2" t="s">
        <v>38</v>
      </c>
      <c r="F1558" s="2" t="s">
        <v>390</v>
      </c>
      <c r="G1558" s="2">
        <v>113.92</v>
      </c>
      <c r="H1558" s="2">
        <v>4</v>
      </c>
      <c r="I1558" s="3">
        <v>42.15</v>
      </c>
    </row>
    <row r="1559" spans="1:9" x14ac:dyDescent="0.3">
      <c r="A1559" s="4">
        <v>42167</v>
      </c>
      <c r="B1559" s="5" t="s">
        <v>152</v>
      </c>
      <c r="C1559" s="5" t="s">
        <v>283</v>
      </c>
      <c r="D1559" s="5" t="s">
        <v>30</v>
      </c>
      <c r="E1559" s="5" t="s">
        <v>290</v>
      </c>
      <c r="F1559" s="5" t="s">
        <v>1582</v>
      </c>
      <c r="G1559" s="5">
        <v>999.98</v>
      </c>
      <c r="H1559" s="5">
        <v>2</v>
      </c>
      <c r="I1559" s="6">
        <v>449.99</v>
      </c>
    </row>
    <row r="1560" spans="1:9" x14ac:dyDescent="0.3">
      <c r="A1560" s="1">
        <v>42167</v>
      </c>
      <c r="B1560" s="2" t="s">
        <v>515</v>
      </c>
      <c r="C1560" s="2" t="s">
        <v>83</v>
      </c>
      <c r="D1560" s="2" t="s">
        <v>2</v>
      </c>
      <c r="E1560" s="2" t="s">
        <v>3</v>
      </c>
      <c r="F1560" s="2" t="s">
        <v>1583</v>
      </c>
      <c r="G1560" s="2">
        <v>6.48</v>
      </c>
      <c r="H1560" s="2">
        <v>1</v>
      </c>
      <c r="I1560" s="3">
        <v>3.11</v>
      </c>
    </row>
    <row r="1561" spans="1:9" x14ac:dyDescent="0.3">
      <c r="A1561" s="4">
        <v>42167</v>
      </c>
      <c r="B1561" s="5" t="s">
        <v>515</v>
      </c>
      <c r="C1561" s="5" t="s">
        <v>83</v>
      </c>
      <c r="D1561" s="5" t="s">
        <v>2</v>
      </c>
      <c r="E1561" s="5" t="s">
        <v>9</v>
      </c>
      <c r="F1561" s="5" t="s">
        <v>164</v>
      </c>
      <c r="G1561" s="5">
        <v>1325.85</v>
      </c>
      <c r="H1561" s="5">
        <v>5</v>
      </c>
      <c r="I1561" s="6">
        <v>238.65</v>
      </c>
    </row>
    <row r="1562" spans="1:9" x14ac:dyDescent="0.3">
      <c r="A1562" s="1">
        <v>42167</v>
      </c>
      <c r="B1562" s="2" t="s">
        <v>515</v>
      </c>
      <c r="C1562" s="2" t="s">
        <v>83</v>
      </c>
      <c r="D1562" s="2" t="s">
        <v>2</v>
      </c>
      <c r="E1562" s="2" t="s">
        <v>7</v>
      </c>
      <c r="F1562" s="2" t="s">
        <v>92</v>
      </c>
      <c r="G1562" s="2">
        <v>14.94</v>
      </c>
      <c r="H1562" s="2">
        <v>3</v>
      </c>
      <c r="I1562" s="3">
        <v>6.87</v>
      </c>
    </row>
    <row r="1563" spans="1:9" x14ac:dyDescent="0.3">
      <c r="A1563" s="4">
        <v>42167</v>
      </c>
      <c r="B1563" s="5" t="s">
        <v>1584</v>
      </c>
      <c r="C1563" s="5" t="s">
        <v>18</v>
      </c>
      <c r="D1563" s="5" t="s">
        <v>2</v>
      </c>
      <c r="E1563" s="5" t="s">
        <v>133</v>
      </c>
      <c r="F1563" s="5" t="s">
        <v>391</v>
      </c>
      <c r="G1563" s="5">
        <v>7.78</v>
      </c>
      <c r="H1563" s="5">
        <v>2</v>
      </c>
      <c r="I1563" s="6">
        <v>2.02</v>
      </c>
    </row>
    <row r="1564" spans="1:9" x14ac:dyDescent="0.3">
      <c r="A1564" s="1">
        <v>42167</v>
      </c>
      <c r="B1564" s="2" t="s">
        <v>1200</v>
      </c>
      <c r="C1564" s="2" t="s">
        <v>46</v>
      </c>
      <c r="D1564" s="2" t="s">
        <v>30</v>
      </c>
      <c r="E1564" s="2" t="s">
        <v>31</v>
      </c>
      <c r="F1564" s="2" t="s">
        <v>73</v>
      </c>
      <c r="G1564" s="2">
        <v>173.94</v>
      </c>
      <c r="H1564" s="2">
        <v>6</v>
      </c>
      <c r="I1564" s="3">
        <v>50.44</v>
      </c>
    </row>
    <row r="1565" spans="1:9" x14ac:dyDescent="0.3">
      <c r="A1565" s="4">
        <v>42167</v>
      </c>
      <c r="B1565" s="5" t="s">
        <v>1585</v>
      </c>
      <c r="C1565" s="5" t="s">
        <v>127</v>
      </c>
      <c r="D1565" s="5" t="s">
        <v>2</v>
      </c>
      <c r="E1565" s="5" t="s">
        <v>11</v>
      </c>
      <c r="F1565" s="5" t="s">
        <v>224</v>
      </c>
      <c r="G1565" s="5">
        <v>14.83</v>
      </c>
      <c r="H1565" s="5">
        <v>3</v>
      </c>
      <c r="I1565" s="6">
        <v>-10.38</v>
      </c>
    </row>
    <row r="1566" spans="1:9" x14ac:dyDescent="0.3">
      <c r="A1566" s="1">
        <v>42167</v>
      </c>
      <c r="B1566" s="2" t="s">
        <v>1166</v>
      </c>
      <c r="C1566" s="2" t="s">
        <v>18</v>
      </c>
      <c r="D1566" s="2" t="s">
        <v>2</v>
      </c>
      <c r="E1566" s="2" t="s">
        <v>3</v>
      </c>
      <c r="F1566" s="2" t="s">
        <v>1586</v>
      </c>
      <c r="G1566" s="2">
        <v>8.9600000000000009</v>
      </c>
      <c r="H1566" s="2">
        <v>2</v>
      </c>
      <c r="I1566" s="3">
        <v>4.3899999999999997</v>
      </c>
    </row>
    <row r="1567" spans="1:9" x14ac:dyDescent="0.3">
      <c r="A1567" s="4">
        <v>42197</v>
      </c>
      <c r="B1567" s="5" t="s">
        <v>1303</v>
      </c>
      <c r="C1567" s="5" t="s">
        <v>24</v>
      </c>
      <c r="D1567" s="5" t="s">
        <v>2</v>
      </c>
      <c r="E1567" s="5" t="s">
        <v>133</v>
      </c>
      <c r="F1567" s="5" t="s">
        <v>539</v>
      </c>
      <c r="G1567" s="5">
        <v>152.94</v>
      </c>
      <c r="H1567" s="5">
        <v>3</v>
      </c>
      <c r="I1567" s="6">
        <v>41.29</v>
      </c>
    </row>
    <row r="1568" spans="1:9" x14ac:dyDescent="0.3">
      <c r="A1568" s="1">
        <v>42197</v>
      </c>
      <c r="B1568" s="2" t="s">
        <v>1303</v>
      </c>
      <c r="C1568" s="2" t="s">
        <v>24</v>
      </c>
      <c r="D1568" s="2" t="s">
        <v>25</v>
      </c>
      <c r="E1568" s="2" t="s">
        <v>26</v>
      </c>
      <c r="F1568" s="2" t="s">
        <v>412</v>
      </c>
      <c r="G1568" s="2">
        <v>283.92</v>
      </c>
      <c r="H1568" s="2">
        <v>4</v>
      </c>
      <c r="I1568" s="3">
        <v>70.98</v>
      </c>
    </row>
    <row r="1569" spans="1:9" x14ac:dyDescent="0.3">
      <c r="A1569" s="4">
        <v>42197</v>
      </c>
      <c r="B1569" s="5" t="s">
        <v>1437</v>
      </c>
      <c r="C1569" s="5" t="s">
        <v>62</v>
      </c>
      <c r="D1569" s="5" t="s">
        <v>2</v>
      </c>
      <c r="E1569" s="5" t="s">
        <v>34</v>
      </c>
      <c r="F1569" s="5" t="s">
        <v>1587</v>
      </c>
      <c r="G1569" s="5">
        <v>3.96</v>
      </c>
      <c r="H1569" s="5">
        <v>2</v>
      </c>
      <c r="I1569" s="6">
        <v>0</v>
      </c>
    </row>
    <row r="1570" spans="1:9" x14ac:dyDescent="0.3">
      <c r="A1570" s="1">
        <v>42197</v>
      </c>
      <c r="B1570" s="2" t="s">
        <v>1437</v>
      </c>
      <c r="C1570" s="2" t="s">
        <v>62</v>
      </c>
      <c r="D1570" s="2" t="s">
        <v>2</v>
      </c>
      <c r="E1570" s="2" t="s">
        <v>7</v>
      </c>
      <c r="F1570" s="2" t="s">
        <v>961</v>
      </c>
      <c r="G1570" s="2">
        <v>2.61</v>
      </c>
      <c r="H1570" s="2">
        <v>1</v>
      </c>
      <c r="I1570" s="3">
        <v>1.2</v>
      </c>
    </row>
    <row r="1571" spans="1:9" x14ac:dyDescent="0.3">
      <c r="A1571" s="4">
        <v>42197</v>
      </c>
      <c r="B1571" s="5" t="s">
        <v>41</v>
      </c>
      <c r="C1571" s="5" t="s">
        <v>18</v>
      </c>
      <c r="D1571" s="5" t="s">
        <v>25</v>
      </c>
      <c r="E1571" s="5" t="s">
        <v>38</v>
      </c>
      <c r="F1571" s="5" t="s">
        <v>954</v>
      </c>
      <c r="G1571" s="5">
        <v>79.92</v>
      </c>
      <c r="H1571" s="5">
        <v>4</v>
      </c>
      <c r="I1571" s="6">
        <v>28.77</v>
      </c>
    </row>
    <row r="1572" spans="1:9" x14ac:dyDescent="0.3">
      <c r="A1572" s="1">
        <v>42197</v>
      </c>
      <c r="B1572" s="2" t="s">
        <v>1535</v>
      </c>
      <c r="C1572" s="2" t="s">
        <v>80</v>
      </c>
      <c r="D1572" s="2" t="s">
        <v>2</v>
      </c>
      <c r="E1572" s="2" t="s">
        <v>11</v>
      </c>
      <c r="F1572" s="2" t="s">
        <v>1588</v>
      </c>
      <c r="G1572" s="2">
        <v>21.36</v>
      </c>
      <c r="H1572" s="2">
        <v>5</v>
      </c>
      <c r="I1572" s="3">
        <v>7.21</v>
      </c>
    </row>
    <row r="1573" spans="1:9" x14ac:dyDescent="0.3">
      <c r="A1573" s="4">
        <v>42197</v>
      </c>
      <c r="B1573" s="5" t="s">
        <v>1535</v>
      </c>
      <c r="C1573" s="5" t="s">
        <v>80</v>
      </c>
      <c r="D1573" s="5" t="s">
        <v>2</v>
      </c>
      <c r="E1573" s="5" t="s">
        <v>11</v>
      </c>
      <c r="F1573" s="5" t="s">
        <v>1589</v>
      </c>
      <c r="G1573" s="5">
        <v>6.69</v>
      </c>
      <c r="H1573" s="5">
        <v>2</v>
      </c>
      <c r="I1573" s="6">
        <v>2.34</v>
      </c>
    </row>
    <row r="1574" spans="1:9" x14ac:dyDescent="0.3">
      <c r="A1574" s="1">
        <v>42197</v>
      </c>
      <c r="B1574" s="2" t="s">
        <v>1535</v>
      </c>
      <c r="C1574" s="2" t="s">
        <v>80</v>
      </c>
      <c r="D1574" s="2" t="s">
        <v>30</v>
      </c>
      <c r="E1574" s="2" t="s">
        <v>31</v>
      </c>
      <c r="F1574" s="2" t="s">
        <v>1202</v>
      </c>
      <c r="G1574" s="2">
        <v>773.94</v>
      </c>
      <c r="H1574" s="2">
        <v>6</v>
      </c>
      <c r="I1574" s="3">
        <v>224.44</v>
      </c>
    </row>
    <row r="1575" spans="1:9" x14ac:dyDescent="0.3">
      <c r="A1575" s="4">
        <v>42197</v>
      </c>
      <c r="B1575" s="5" t="s">
        <v>1590</v>
      </c>
      <c r="C1575" s="5" t="s">
        <v>18</v>
      </c>
      <c r="D1575" s="5" t="s">
        <v>2</v>
      </c>
      <c r="E1575" s="5" t="s">
        <v>3</v>
      </c>
      <c r="F1575" s="5" t="s">
        <v>1591</v>
      </c>
      <c r="G1575" s="5">
        <v>12.96</v>
      </c>
      <c r="H1575" s="5">
        <v>2</v>
      </c>
      <c r="I1575" s="6">
        <v>6.22</v>
      </c>
    </row>
    <row r="1576" spans="1:9" x14ac:dyDescent="0.3">
      <c r="A1576" s="1">
        <v>42228</v>
      </c>
      <c r="B1576" s="2" t="s">
        <v>1592</v>
      </c>
      <c r="C1576" s="2" t="s">
        <v>1</v>
      </c>
      <c r="D1576" s="2" t="s">
        <v>2</v>
      </c>
      <c r="E1576" s="2" t="s">
        <v>3</v>
      </c>
      <c r="F1576" s="2" t="s">
        <v>248</v>
      </c>
      <c r="G1576" s="2">
        <v>360.71</v>
      </c>
      <c r="H1576" s="2">
        <v>11</v>
      </c>
      <c r="I1576" s="3">
        <v>130.76</v>
      </c>
    </row>
    <row r="1577" spans="1:9" x14ac:dyDescent="0.3">
      <c r="A1577" s="4">
        <v>42228</v>
      </c>
      <c r="B1577" s="5" t="s">
        <v>1592</v>
      </c>
      <c r="C1577" s="5" t="s">
        <v>1</v>
      </c>
      <c r="D1577" s="5" t="s">
        <v>30</v>
      </c>
      <c r="E1577" s="5" t="s">
        <v>31</v>
      </c>
      <c r="F1577" s="5" t="s">
        <v>341</v>
      </c>
      <c r="G1577" s="5">
        <v>1718.4</v>
      </c>
      <c r="H1577" s="5">
        <v>6</v>
      </c>
      <c r="I1577" s="6">
        <v>150.36000000000001</v>
      </c>
    </row>
    <row r="1578" spans="1:9" x14ac:dyDescent="0.3">
      <c r="A1578" s="1">
        <v>42228</v>
      </c>
      <c r="B1578" s="2" t="s">
        <v>1436</v>
      </c>
      <c r="C1578" s="2" t="s">
        <v>1</v>
      </c>
      <c r="D1578" s="2" t="s">
        <v>30</v>
      </c>
      <c r="E1578" s="2" t="s">
        <v>31</v>
      </c>
      <c r="F1578" s="2" t="s">
        <v>1593</v>
      </c>
      <c r="G1578" s="2">
        <v>119.96</v>
      </c>
      <c r="H1578" s="2">
        <v>5</v>
      </c>
      <c r="I1578" s="3">
        <v>12</v>
      </c>
    </row>
    <row r="1579" spans="1:9" x14ac:dyDescent="0.3">
      <c r="A1579" s="4">
        <v>42228</v>
      </c>
      <c r="B1579" s="5" t="s">
        <v>1050</v>
      </c>
      <c r="C1579" s="5" t="s">
        <v>18</v>
      </c>
      <c r="D1579" s="5" t="s">
        <v>2</v>
      </c>
      <c r="E1579" s="5" t="s">
        <v>9</v>
      </c>
      <c r="F1579" s="5" t="s">
        <v>902</v>
      </c>
      <c r="G1579" s="5">
        <v>221.96</v>
      </c>
      <c r="H1579" s="5">
        <v>2</v>
      </c>
      <c r="I1579" s="6">
        <v>4.4400000000000004</v>
      </c>
    </row>
    <row r="1580" spans="1:9" x14ac:dyDescent="0.3">
      <c r="A1580" s="1">
        <v>42228</v>
      </c>
      <c r="B1580" s="2" t="s">
        <v>1050</v>
      </c>
      <c r="C1580" s="2" t="s">
        <v>18</v>
      </c>
      <c r="D1580" s="2" t="s">
        <v>30</v>
      </c>
      <c r="E1580" s="2" t="s">
        <v>43</v>
      </c>
      <c r="F1580" s="2" t="s">
        <v>1594</v>
      </c>
      <c r="G1580" s="2">
        <v>236</v>
      </c>
      <c r="H1580" s="2">
        <v>4</v>
      </c>
      <c r="I1580" s="3">
        <v>40.119999999999997</v>
      </c>
    </row>
    <row r="1581" spans="1:9" x14ac:dyDescent="0.3">
      <c r="A1581" s="4">
        <v>42228</v>
      </c>
      <c r="B1581" s="5" t="s">
        <v>1595</v>
      </c>
      <c r="C1581" s="5" t="s">
        <v>163</v>
      </c>
      <c r="D1581" s="5" t="s">
        <v>2</v>
      </c>
      <c r="E1581" s="5" t="s">
        <v>3</v>
      </c>
      <c r="F1581" s="5" t="s">
        <v>810</v>
      </c>
      <c r="G1581" s="5">
        <v>15.7</v>
      </c>
      <c r="H1581" s="5">
        <v>3</v>
      </c>
      <c r="I1581" s="6">
        <v>5.0999999999999996</v>
      </c>
    </row>
    <row r="1582" spans="1:9" x14ac:dyDescent="0.3">
      <c r="A1582" s="1">
        <v>42259</v>
      </c>
      <c r="B1582" s="2" t="s">
        <v>1596</v>
      </c>
      <c r="C1582" s="2" t="s">
        <v>283</v>
      </c>
      <c r="D1582" s="2" t="s">
        <v>2</v>
      </c>
      <c r="E1582" s="2" t="s">
        <v>3</v>
      </c>
      <c r="F1582" s="2" t="s">
        <v>1305</v>
      </c>
      <c r="G1582" s="2">
        <v>34.020000000000003</v>
      </c>
      <c r="H1582" s="2">
        <v>3</v>
      </c>
      <c r="I1582" s="3">
        <v>16.670000000000002</v>
      </c>
    </row>
    <row r="1583" spans="1:9" x14ac:dyDescent="0.3">
      <c r="A1583" s="4">
        <v>42289</v>
      </c>
      <c r="B1583" s="5" t="s">
        <v>1517</v>
      </c>
      <c r="C1583" s="5" t="s">
        <v>160</v>
      </c>
      <c r="D1583" s="5" t="s">
        <v>2</v>
      </c>
      <c r="E1583" s="5" t="s">
        <v>15</v>
      </c>
      <c r="F1583" s="5" t="s">
        <v>896</v>
      </c>
      <c r="G1583" s="5">
        <v>3.9</v>
      </c>
      <c r="H1583" s="5">
        <v>2</v>
      </c>
      <c r="I1583" s="6">
        <v>1.52</v>
      </c>
    </row>
    <row r="1584" spans="1:9" x14ac:dyDescent="0.3">
      <c r="A1584" s="1">
        <v>42289</v>
      </c>
      <c r="B1584" s="2" t="s">
        <v>1517</v>
      </c>
      <c r="C1584" s="2" t="s">
        <v>160</v>
      </c>
      <c r="D1584" s="2" t="s">
        <v>25</v>
      </c>
      <c r="E1584" s="2" t="s">
        <v>86</v>
      </c>
      <c r="F1584" s="2" t="s">
        <v>1387</v>
      </c>
      <c r="G1584" s="2">
        <v>801.96</v>
      </c>
      <c r="H1584" s="2">
        <v>2</v>
      </c>
      <c r="I1584" s="3">
        <v>200.49</v>
      </c>
    </row>
    <row r="1585" spans="1:9" x14ac:dyDescent="0.3">
      <c r="A1585" s="4">
        <v>42289</v>
      </c>
      <c r="B1585" s="5" t="s">
        <v>1517</v>
      </c>
      <c r="C1585" s="5" t="s">
        <v>160</v>
      </c>
      <c r="D1585" s="5" t="s">
        <v>25</v>
      </c>
      <c r="E1585" s="5" t="s">
        <v>26</v>
      </c>
      <c r="F1585" s="5" t="s">
        <v>691</v>
      </c>
      <c r="G1585" s="5">
        <v>191.96</v>
      </c>
      <c r="H1585" s="5">
        <v>2</v>
      </c>
      <c r="I1585" s="6">
        <v>32.630000000000003</v>
      </c>
    </row>
    <row r="1586" spans="1:9" x14ac:dyDescent="0.3">
      <c r="A1586" s="1">
        <v>42289</v>
      </c>
      <c r="B1586" s="2" t="s">
        <v>1517</v>
      </c>
      <c r="C1586" s="2" t="s">
        <v>160</v>
      </c>
      <c r="D1586" s="2" t="s">
        <v>2</v>
      </c>
      <c r="E1586" s="2" t="s">
        <v>7</v>
      </c>
      <c r="F1586" s="2" t="s">
        <v>1597</v>
      </c>
      <c r="G1586" s="2">
        <v>2.61</v>
      </c>
      <c r="H1586" s="2">
        <v>1</v>
      </c>
      <c r="I1586" s="3">
        <v>1.2</v>
      </c>
    </row>
    <row r="1587" spans="1:9" x14ac:dyDescent="0.3">
      <c r="A1587" s="4">
        <v>42289</v>
      </c>
      <c r="B1587" s="5" t="s">
        <v>1598</v>
      </c>
      <c r="C1587" s="5" t="s">
        <v>21</v>
      </c>
      <c r="D1587" s="5" t="s">
        <v>2</v>
      </c>
      <c r="E1587" s="5" t="s">
        <v>15</v>
      </c>
      <c r="F1587" s="5" t="s">
        <v>1599</v>
      </c>
      <c r="G1587" s="5">
        <v>1.78</v>
      </c>
      <c r="H1587" s="5">
        <v>1</v>
      </c>
      <c r="I1587" s="6">
        <v>0.5</v>
      </c>
    </row>
    <row r="1588" spans="1:9" x14ac:dyDescent="0.3">
      <c r="A1588" s="1">
        <v>42289</v>
      </c>
      <c r="B1588" s="2" t="s">
        <v>1598</v>
      </c>
      <c r="C1588" s="2" t="s">
        <v>21</v>
      </c>
      <c r="D1588" s="2" t="s">
        <v>2</v>
      </c>
      <c r="E1588" s="2" t="s">
        <v>3</v>
      </c>
      <c r="F1588" s="2" t="s">
        <v>1600</v>
      </c>
      <c r="G1588" s="2">
        <v>25.92</v>
      </c>
      <c r="H1588" s="2">
        <v>4</v>
      </c>
      <c r="I1588" s="3">
        <v>12.44</v>
      </c>
    </row>
    <row r="1589" spans="1:9" x14ac:dyDescent="0.3">
      <c r="A1589" s="4">
        <v>42289</v>
      </c>
      <c r="B1589" s="5" t="s">
        <v>1598</v>
      </c>
      <c r="C1589" s="5" t="s">
        <v>21</v>
      </c>
      <c r="D1589" s="5" t="s">
        <v>30</v>
      </c>
      <c r="E1589" s="5" t="s">
        <v>43</v>
      </c>
      <c r="F1589" s="5" t="s">
        <v>1601</v>
      </c>
      <c r="G1589" s="5">
        <v>101.94</v>
      </c>
      <c r="H1589" s="5">
        <v>6</v>
      </c>
      <c r="I1589" s="6">
        <v>21.41</v>
      </c>
    </row>
    <row r="1590" spans="1:9" x14ac:dyDescent="0.3">
      <c r="A1590" s="1">
        <v>42289</v>
      </c>
      <c r="B1590" s="2" t="s">
        <v>571</v>
      </c>
      <c r="C1590" s="2" t="s">
        <v>80</v>
      </c>
      <c r="D1590" s="2" t="s">
        <v>2</v>
      </c>
      <c r="E1590" s="2" t="s">
        <v>7</v>
      </c>
      <c r="F1590" s="2" t="s">
        <v>1602</v>
      </c>
      <c r="G1590" s="2">
        <v>7.31</v>
      </c>
      <c r="H1590" s="2">
        <v>1</v>
      </c>
      <c r="I1590" s="3">
        <v>3.44</v>
      </c>
    </row>
    <row r="1591" spans="1:9" x14ac:dyDescent="0.3">
      <c r="A1591" s="4">
        <v>42289</v>
      </c>
      <c r="B1591" s="5" t="s">
        <v>571</v>
      </c>
      <c r="C1591" s="5" t="s">
        <v>80</v>
      </c>
      <c r="D1591" s="5" t="s">
        <v>30</v>
      </c>
      <c r="E1591" s="5" t="s">
        <v>290</v>
      </c>
      <c r="F1591" s="5" t="s">
        <v>1582</v>
      </c>
      <c r="G1591" s="5">
        <v>799.98</v>
      </c>
      <c r="H1591" s="5">
        <v>2</v>
      </c>
      <c r="I1591" s="6">
        <v>250</v>
      </c>
    </row>
    <row r="1592" spans="1:9" x14ac:dyDescent="0.3">
      <c r="A1592" s="1">
        <v>42289</v>
      </c>
      <c r="B1592" s="2" t="s">
        <v>571</v>
      </c>
      <c r="C1592" s="2" t="s">
        <v>80</v>
      </c>
      <c r="D1592" s="2" t="s">
        <v>2</v>
      </c>
      <c r="E1592" s="2" t="s">
        <v>3</v>
      </c>
      <c r="F1592" s="2" t="s">
        <v>1603</v>
      </c>
      <c r="G1592" s="2">
        <v>41.28</v>
      </c>
      <c r="H1592" s="2">
        <v>6</v>
      </c>
      <c r="I1592" s="3">
        <v>18.989999999999998</v>
      </c>
    </row>
    <row r="1593" spans="1:9" x14ac:dyDescent="0.3">
      <c r="A1593" s="4">
        <v>42289</v>
      </c>
      <c r="B1593" s="5" t="s">
        <v>571</v>
      </c>
      <c r="C1593" s="5" t="s">
        <v>80</v>
      </c>
      <c r="D1593" s="5" t="s">
        <v>2</v>
      </c>
      <c r="E1593" s="5" t="s">
        <v>3</v>
      </c>
      <c r="F1593" s="5" t="s">
        <v>1604</v>
      </c>
      <c r="G1593" s="5">
        <v>184.66</v>
      </c>
      <c r="H1593" s="5">
        <v>7</v>
      </c>
      <c r="I1593" s="6">
        <v>84.94</v>
      </c>
    </row>
    <row r="1594" spans="1:9" x14ac:dyDescent="0.3">
      <c r="A1594" s="1">
        <v>42289</v>
      </c>
      <c r="B1594" s="2" t="s">
        <v>1265</v>
      </c>
      <c r="C1594" s="2" t="s">
        <v>958</v>
      </c>
      <c r="D1594" s="2" t="s">
        <v>2</v>
      </c>
      <c r="E1594" s="2" t="s">
        <v>15</v>
      </c>
      <c r="F1594" s="2" t="s">
        <v>1393</v>
      </c>
      <c r="G1594" s="2">
        <v>27.36</v>
      </c>
      <c r="H1594" s="2">
        <v>9</v>
      </c>
      <c r="I1594" s="3">
        <v>9.3000000000000007</v>
      </c>
    </row>
    <row r="1595" spans="1:9" x14ac:dyDescent="0.3">
      <c r="A1595" s="4">
        <v>42289</v>
      </c>
      <c r="B1595" s="5" t="s">
        <v>1265</v>
      </c>
      <c r="C1595" s="5" t="s">
        <v>958</v>
      </c>
      <c r="D1595" s="5" t="s">
        <v>2</v>
      </c>
      <c r="E1595" s="5" t="s">
        <v>3</v>
      </c>
      <c r="F1595" s="5" t="s">
        <v>888</v>
      </c>
      <c r="G1595" s="5">
        <v>44.75</v>
      </c>
      <c r="H1595" s="5">
        <v>5</v>
      </c>
      <c r="I1595" s="6">
        <v>20.59</v>
      </c>
    </row>
    <row r="1596" spans="1:9" x14ac:dyDescent="0.3">
      <c r="A1596" s="1">
        <v>42289</v>
      </c>
      <c r="B1596" s="2" t="s">
        <v>1265</v>
      </c>
      <c r="C1596" s="2" t="s">
        <v>958</v>
      </c>
      <c r="D1596" s="2" t="s">
        <v>30</v>
      </c>
      <c r="E1596" s="2" t="s">
        <v>31</v>
      </c>
      <c r="F1596" s="2" t="s">
        <v>781</v>
      </c>
      <c r="G1596" s="2">
        <v>134.99</v>
      </c>
      <c r="H1596" s="2">
        <v>1</v>
      </c>
      <c r="I1596" s="3">
        <v>36.450000000000003</v>
      </c>
    </row>
    <row r="1597" spans="1:9" x14ac:dyDescent="0.3">
      <c r="A1597" s="4">
        <v>42289</v>
      </c>
      <c r="B1597" s="5" t="s">
        <v>1265</v>
      </c>
      <c r="C1597" s="5" t="s">
        <v>958</v>
      </c>
      <c r="D1597" s="5" t="s">
        <v>2</v>
      </c>
      <c r="E1597" s="5" t="s">
        <v>3</v>
      </c>
      <c r="F1597" s="5" t="s">
        <v>1007</v>
      </c>
      <c r="G1597" s="5">
        <v>26.4</v>
      </c>
      <c r="H1597" s="5">
        <v>5</v>
      </c>
      <c r="I1597" s="6">
        <v>12.67</v>
      </c>
    </row>
    <row r="1598" spans="1:9" x14ac:dyDescent="0.3">
      <c r="A1598" s="1">
        <v>42289</v>
      </c>
      <c r="B1598" s="2" t="s">
        <v>1265</v>
      </c>
      <c r="C1598" s="2" t="s">
        <v>958</v>
      </c>
      <c r="D1598" s="2" t="s">
        <v>25</v>
      </c>
      <c r="E1598" s="2" t="s">
        <v>26</v>
      </c>
      <c r="F1598" s="2" t="s">
        <v>1318</v>
      </c>
      <c r="G1598" s="2">
        <v>542.94000000000005</v>
      </c>
      <c r="H1598" s="2">
        <v>3</v>
      </c>
      <c r="I1598" s="3">
        <v>141.16</v>
      </c>
    </row>
    <row r="1599" spans="1:9" x14ac:dyDescent="0.3">
      <c r="A1599" s="4">
        <v>42289</v>
      </c>
      <c r="B1599" s="5" t="s">
        <v>1605</v>
      </c>
      <c r="C1599" s="5" t="s">
        <v>18</v>
      </c>
      <c r="D1599" s="5" t="s">
        <v>2</v>
      </c>
      <c r="E1599" s="5" t="s">
        <v>15</v>
      </c>
      <c r="F1599" s="5" t="s">
        <v>909</v>
      </c>
      <c r="G1599" s="5">
        <v>56.3</v>
      </c>
      <c r="H1599" s="5">
        <v>2</v>
      </c>
      <c r="I1599" s="6">
        <v>15.76</v>
      </c>
    </row>
    <row r="1600" spans="1:9" x14ac:dyDescent="0.3">
      <c r="A1600" s="1">
        <v>42289</v>
      </c>
      <c r="B1600" s="2" t="s">
        <v>1606</v>
      </c>
      <c r="C1600" s="2" t="s">
        <v>6</v>
      </c>
      <c r="D1600" s="2" t="s">
        <v>2</v>
      </c>
      <c r="E1600" s="2" t="s">
        <v>133</v>
      </c>
      <c r="F1600" s="2" t="s">
        <v>1607</v>
      </c>
      <c r="G1600" s="2">
        <v>53.09</v>
      </c>
      <c r="H1600" s="2">
        <v>7</v>
      </c>
      <c r="I1600" s="3">
        <v>-108.83</v>
      </c>
    </row>
    <row r="1601" spans="1:9" x14ac:dyDescent="0.3">
      <c r="A1601" s="4">
        <v>42289</v>
      </c>
      <c r="B1601" s="5" t="s">
        <v>1490</v>
      </c>
      <c r="C1601" s="5" t="s">
        <v>18</v>
      </c>
      <c r="D1601" s="5" t="s">
        <v>2</v>
      </c>
      <c r="E1601" s="5" t="s">
        <v>7</v>
      </c>
      <c r="F1601" s="5" t="s">
        <v>1331</v>
      </c>
      <c r="G1601" s="5">
        <v>5.76</v>
      </c>
      <c r="H1601" s="5">
        <v>2</v>
      </c>
      <c r="I1601" s="6">
        <v>2.82</v>
      </c>
    </row>
    <row r="1602" spans="1:9" x14ac:dyDescent="0.3">
      <c r="A1602" s="1">
        <v>42289</v>
      </c>
      <c r="B1602" s="2" t="s">
        <v>1608</v>
      </c>
      <c r="C1602" s="2" t="s">
        <v>127</v>
      </c>
      <c r="D1602" s="2" t="s">
        <v>30</v>
      </c>
      <c r="E1602" s="2" t="s">
        <v>43</v>
      </c>
      <c r="F1602" s="2" t="s">
        <v>864</v>
      </c>
      <c r="G1602" s="2">
        <v>25.49</v>
      </c>
      <c r="H1602" s="2">
        <v>2</v>
      </c>
      <c r="I1602" s="3">
        <v>4.46</v>
      </c>
    </row>
    <row r="1603" spans="1:9" x14ac:dyDescent="0.3">
      <c r="A1603" s="4">
        <v>42320</v>
      </c>
      <c r="B1603" s="5" t="s">
        <v>1376</v>
      </c>
      <c r="C1603" s="5" t="s">
        <v>46</v>
      </c>
      <c r="D1603" s="5" t="s">
        <v>2</v>
      </c>
      <c r="E1603" s="5" t="s">
        <v>7</v>
      </c>
      <c r="F1603" s="5" t="s">
        <v>438</v>
      </c>
      <c r="G1603" s="5">
        <v>196.62</v>
      </c>
      <c r="H1603" s="5">
        <v>2</v>
      </c>
      <c r="I1603" s="6">
        <v>96.34</v>
      </c>
    </row>
    <row r="1604" spans="1:9" x14ac:dyDescent="0.3">
      <c r="A1604" s="1">
        <v>42320</v>
      </c>
      <c r="B1604" s="2" t="s">
        <v>1609</v>
      </c>
      <c r="C1604" s="2" t="s">
        <v>1</v>
      </c>
      <c r="D1604" s="2" t="s">
        <v>30</v>
      </c>
      <c r="E1604" s="2" t="s">
        <v>43</v>
      </c>
      <c r="F1604" s="2" t="s">
        <v>624</v>
      </c>
      <c r="G1604" s="2">
        <v>159.97999999999999</v>
      </c>
      <c r="H1604" s="2">
        <v>2</v>
      </c>
      <c r="I1604" s="3">
        <v>36</v>
      </c>
    </row>
    <row r="1605" spans="1:9" x14ac:dyDescent="0.3">
      <c r="A1605" s="4">
        <v>42320</v>
      </c>
      <c r="B1605" s="5" t="s">
        <v>1609</v>
      </c>
      <c r="C1605" s="5" t="s">
        <v>1</v>
      </c>
      <c r="D1605" s="5" t="s">
        <v>2</v>
      </c>
      <c r="E1605" s="5" t="s">
        <v>9</v>
      </c>
      <c r="F1605" s="5" t="s">
        <v>1080</v>
      </c>
      <c r="G1605" s="5">
        <v>46.34</v>
      </c>
      <c r="H1605" s="5">
        <v>3</v>
      </c>
      <c r="I1605" s="6">
        <v>4.63</v>
      </c>
    </row>
    <row r="1606" spans="1:9" x14ac:dyDescent="0.3">
      <c r="A1606" s="1">
        <v>42320</v>
      </c>
      <c r="B1606" s="2" t="s">
        <v>1574</v>
      </c>
      <c r="C1606" s="2" t="s">
        <v>58</v>
      </c>
      <c r="D1606" s="2" t="s">
        <v>2</v>
      </c>
      <c r="E1606" s="2" t="s">
        <v>11</v>
      </c>
      <c r="F1606" s="2" t="s">
        <v>826</v>
      </c>
      <c r="G1606" s="2">
        <v>12.83</v>
      </c>
      <c r="H1606" s="2">
        <v>2</v>
      </c>
      <c r="I1606" s="3">
        <v>-8.98</v>
      </c>
    </row>
    <row r="1607" spans="1:9" x14ac:dyDescent="0.3">
      <c r="A1607" s="4">
        <v>42320</v>
      </c>
      <c r="B1607" s="5" t="s">
        <v>1255</v>
      </c>
      <c r="C1607" s="5" t="s">
        <v>163</v>
      </c>
      <c r="D1607" s="5" t="s">
        <v>2</v>
      </c>
      <c r="E1607" s="5" t="s">
        <v>15</v>
      </c>
      <c r="F1607" s="5" t="s">
        <v>1033</v>
      </c>
      <c r="G1607" s="5">
        <v>13.12</v>
      </c>
      <c r="H1607" s="5">
        <v>5</v>
      </c>
      <c r="I1607" s="6">
        <v>1.1499999999999999</v>
      </c>
    </row>
    <row r="1608" spans="1:9" x14ac:dyDescent="0.3">
      <c r="A1608" s="1">
        <v>42320</v>
      </c>
      <c r="B1608" s="2" t="s">
        <v>1255</v>
      </c>
      <c r="C1608" s="2" t="s">
        <v>163</v>
      </c>
      <c r="D1608" s="2" t="s">
        <v>25</v>
      </c>
      <c r="E1608" s="2" t="s">
        <v>129</v>
      </c>
      <c r="F1608" s="2" t="s">
        <v>1610</v>
      </c>
      <c r="G1608" s="2">
        <v>69.58</v>
      </c>
      <c r="H1608" s="2">
        <v>4</v>
      </c>
      <c r="I1608" s="3">
        <v>-143.79</v>
      </c>
    </row>
    <row r="1609" spans="1:9" x14ac:dyDescent="0.3">
      <c r="A1609" s="4">
        <v>42320</v>
      </c>
      <c r="B1609" s="5" t="s">
        <v>1255</v>
      </c>
      <c r="C1609" s="5" t="s">
        <v>163</v>
      </c>
      <c r="D1609" s="5" t="s">
        <v>2</v>
      </c>
      <c r="E1609" s="5" t="s">
        <v>15</v>
      </c>
      <c r="F1609" s="5" t="s">
        <v>1611</v>
      </c>
      <c r="G1609" s="5">
        <v>4.22</v>
      </c>
      <c r="H1609" s="5">
        <v>3</v>
      </c>
      <c r="I1609" s="6">
        <v>0.48</v>
      </c>
    </row>
    <row r="1610" spans="1:9" x14ac:dyDescent="0.3">
      <c r="A1610" s="1">
        <v>42320</v>
      </c>
      <c r="B1610" s="2" t="s">
        <v>1255</v>
      </c>
      <c r="C1610" s="2" t="s">
        <v>163</v>
      </c>
      <c r="D1610" s="2" t="s">
        <v>30</v>
      </c>
      <c r="E1610" s="2" t="s">
        <v>43</v>
      </c>
      <c r="F1610" s="2" t="s">
        <v>1229</v>
      </c>
      <c r="G1610" s="2">
        <v>58.08</v>
      </c>
      <c r="H1610" s="2">
        <v>4</v>
      </c>
      <c r="I1610" s="3">
        <v>-6.53</v>
      </c>
    </row>
    <row r="1611" spans="1:9" x14ac:dyDescent="0.3">
      <c r="A1611" s="4">
        <v>42320</v>
      </c>
      <c r="B1611" s="5" t="s">
        <v>1255</v>
      </c>
      <c r="C1611" s="5" t="s">
        <v>163</v>
      </c>
      <c r="D1611" s="5" t="s">
        <v>25</v>
      </c>
      <c r="E1611" s="5" t="s">
        <v>38</v>
      </c>
      <c r="F1611" s="5" t="s">
        <v>703</v>
      </c>
      <c r="G1611" s="5">
        <v>52.42</v>
      </c>
      <c r="H1611" s="5">
        <v>9</v>
      </c>
      <c r="I1611" s="6">
        <v>15.07</v>
      </c>
    </row>
    <row r="1612" spans="1:9" x14ac:dyDescent="0.3">
      <c r="A1612" s="1">
        <v>42320</v>
      </c>
      <c r="B1612" s="2" t="s">
        <v>1255</v>
      </c>
      <c r="C1612" s="2" t="s">
        <v>163</v>
      </c>
      <c r="D1612" s="2" t="s">
        <v>25</v>
      </c>
      <c r="E1612" s="2" t="s">
        <v>38</v>
      </c>
      <c r="F1612" s="2" t="s">
        <v>301</v>
      </c>
      <c r="G1612" s="2">
        <v>54.92</v>
      </c>
      <c r="H1612" s="2">
        <v>5</v>
      </c>
      <c r="I1612" s="3">
        <v>10.98</v>
      </c>
    </row>
    <row r="1613" spans="1:9" x14ac:dyDescent="0.3">
      <c r="A1613" s="4">
        <v>42320</v>
      </c>
      <c r="B1613" s="5" t="s">
        <v>1255</v>
      </c>
      <c r="C1613" s="5" t="s">
        <v>163</v>
      </c>
      <c r="D1613" s="5" t="s">
        <v>25</v>
      </c>
      <c r="E1613" s="5" t="s">
        <v>86</v>
      </c>
      <c r="F1613" s="5" t="s">
        <v>1612</v>
      </c>
      <c r="G1613" s="5">
        <v>364.95</v>
      </c>
      <c r="H1613" s="5">
        <v>5</v>
      </c>
      <c r="I1613" s="6">
        <v>-248.17</v>
      </c>
    </row>
    <row r="1614" spans="1:9" x14ac:dyDescent="0.3">
      <c r="A1614" s="1">
        <v>42320</v>
      </c>
      <c r="B1614" s="2" t="s">
        <v>1255</v>
      </c>
      <c r="C1614" s="2" t="s">
        <v>163</v>
      </c>
      <c r="D1614" s="2" t="s">
        <v>2</v>
      </c>
      <c r="E1614" s="2" t="s">
        <v>3</v>
      </c>
      <c r="F1614" s="2" t="s">
        <v>1613</v>
      </c>
      <c r="G1614" s="2">
        <v>85.06</v>
      </c>
      <c r="H1614" s="2">
        <v>3</v>
      </c>
      <c r="I1614" s="3">
        <v>28.71</v>
      </c>
    </row>
    <row r="1615" spans="1:9" x14ac:dyDescent="0.3">
      <c r="A1615" s="4">
        <v>42320</v>
      </c>
      <c r="B1615" s="5" t="s">
        <v>1255</v>
      </c>
      <c r="C1615" s="5" t="s">
        <v>163</v>
      </c>
      <c r="D1615" s="5" t="s">
        <v>2</v>
      </c>
      <c r="E1615" s="5" t="s">
        <v>3</v>
      </c>
      <c r="F1615" s="5" t="s">
        <v>1614</v>
      </c>
      <c r="G1615" s="5">
        <v>27.7</v>
      </c>
      <c r="H1615" s="5">
        <v>3</v>
      </c>
      <c r="I1615" s="6">
        <v>9.69</v>
      </c>
    </row>
    <row r="1616" spans="1:9" x14ac:dyDescent="0.3">
      <c r="A1616" s="1">
        <v>42320</v>
      </c>
      <c r="B1616" s="2" t="s">
        <v>1615</v>
      </c>
      <c r="C1616" s="2" t="s">
        <v>127</v>
      </c>
      <c r="D1616" s="2" t="s">
        <v>2</v>
      </c>
      <c r="E1616" s="2" t="s">
        <v>11</v>
      </c>
      <c r="F1616" s="2" t="s">
        <v>1375</v>
      </c>
      <c r="G1616" s="2">
        <v>10.33</v>
      </c>
      <c r="H1616" s="2">
        <v>3</v>
      </c>
      <c r="I1616" s="3">
        <v>-7.58</v>
      </c>
    </row>
    <row r="1617" spans="1:9" x14ac:dyDescent="0.3">
      <c r="A1617" s="4">
        <v>42320</v>
      </c>
      <c r="B1617" s="5" t="s">
        <v>1616</v>
      </c>
      <c r="C1617" s="5" t="s">
        <v>18</v>
      </c>
      <c r="D1617" s="5" t="s">
        <v>2</v>
      </c>
      <c r="E1617" s="5" t="s">
        <v>11</v>
      </c>
      <c r="F1617" s="5" t="s">
        <v>66</v>
      </c>
      <c r="G1617" s="5">
        <v>110.53</v>
      </c>
      <c r="H1617" s="5">
        <v>4</v>
      </c>
      <c r="I1617" s="6">
        <v>38.68</v>
      </c>
    </row>
    <row r="1618" spans="1:9" x14ac:dyDescent="0.3">
      <c r="A1618" s="1">
        <v>42320</v>
      </c>
      <c r="B1618" s="2" t="s">
        <v>1617</v>
      </c>
      <c r="C1618" s="2" t="s">
        <v>160</v>
      </c>
      <c r="D1618" s="2" t="s">
        <v>30</v>
      </c>
      <c r="E1618" s="2" t="s">
        <v>43</v>
      </c>
      <c r="F1618" s="2" t="s">
        <v>1618</v>
      </c>
      <c r="G1618" s="2">
        <v>175.23</v>
      </c>
      <c r="H1618" s="2">
        <v>11</v>
      </c>
      <c r="I1618" s="3">
        <v>61.33</v>
      </c>
    </row>
    <row r="1619" spans="1:9" x14ac:dyDescent="0.3">
      <c r="A1619" s="4">
        <v>42320</v>
      </c>
      <c r="B1619" s="5" t="s">
        <v>1617</v>
      </c>
      <c r="C1619" s="5" t="s">
        <v>160</v>
      </c>
      <c r="D1619" s="5" t="s">
        <v>30</v>
      </c>
      <c r="E1619" s="5" t="s">
        <v>31</v>
      </c>
      <c r="F1619" s="5" t="s">
        <v>600</v>
      </c>
      <c r="G1619" s="5">
        <v>125.99</v>
      </c>
      <c r="H1619" s="5">
        <v>1</v>
      </c>
      <c r="I1619" s="6">
        <v>31.5</v>
      </c>
    </row>
    <row r="1620" spans="1:9" x14ac:dyDescent="0.3">
      <c r="A1620" s="1">
        <v>42320</v>
      </c>
      <c r="B1620" s="2" t="s">
        <v>1617</v>
      </c>
      <c r="C1620" s="2" t="s">
        <v>160</v>
      </c>
      <c r="D1620" s="2" t="s">
        <v>2</v>
      </c>
      <c r="E1620" s="2" t="s">
        <v>11</v>
      </c>
      <c r="F1620" s="2" t="s">
        <v>986</v>
      </c>
      <c r="G1620" s="2">
        <v>23</v>
      </c>
      <c r="H1620" s="2">
        <v>2</v>
      </c>
      <c r="I1620" s="3">
        <v>10.35</v>
      </c>
    </row>
    <row r="1621" spans="1:9" x14ac:dyDescent="0.3">
      <c r="A1621" s="4">
        <v>42350</v>
      </c>
      <c r="B1621" s="5" t="s">
        <v>367</v>
      </c>
      <c r="C1621" s="5" t="s">
        <v>18</v>
      </c>
      <c r="D1621" s="5" t="s">
        <v>25</v>
      </c>
      <c r="E1621" s="5" t="s">
        <v>26</v>
      </c>
      <c r="F1621" s="5" t="s">
        <v>325</v>
      </c>
      <c r="G1621" s="5">
        <v>348.93</v>
      </c>
      <c r="H1621" s="5">
        <v>2</v>
      </c>
      <c r="I1621" s="6">
        <v>34.89</v>
      </c>
    </row>
    <row r="1622" spans="1:9" x14ac:dyDescent="0.3">
      <c r="A1622" s="1">
        <v>42350</v>
      </c>
      <c r="B1622" s="2" t="s">
        <v>646</v>
      </c>
      <c r="C1622" s="2" t="s">
        <v>18</v>
      </c>
      <c r="D1622" s="2" t="s">
        <v>2</v>
      </c>
      <c r="E1622" s="2" t="s">
        <v>34</v>
      </c>
      <c r="F1622" s="2" t="s">
        <v>56</v>
      </c>
      <c r="G1622" s="2">
        <v>7.86</v>
      </c>
      <c r="H1622" s="2">
        <v>2</v>
      </c>
      <c r="I1622" s="3">
        <v>3.62</v>
      </c>
    </row>
    <row r="1623" spans="1:9" x14ac:dyDescent="0.3">
      <c r="A1623" s="4">
        <v>42350</v>
      </c>
      <c r="B1623" s="5" t="s">
        <v>646</v>
      </c>
      <c r="C1623" s="5" t="s">
        <v>18</v>
      </c>
      <c r="D1623" s="5" t="s">
        <v>2</v>
      </c>
      <c r="E1623" s="5" t="s">
        <v>11</v>
      </c>
      <c r="F1623" s="5" t="s">
        <v>1619</v>
      </c>
      <c r="G1623" s="5">
        <v>24.45</v>
      </c>
      <c r="H1623" s="5">
        <v>2</v>
      </c>
      <c r="I1623" s="6">
        <v>8.86</v>
      </c>
    </row>
    <row r="1624" spans="1:9" x14ac:dyDescent="0.3">
      <c r="A1624" s="1">
        <v>42350</v>
      </c>
      <c r="B1624" s="2" t="s">
        <v>1416</v>
      </c>
      <c r="C1624" s="2" t="s">
        <v>958</v>
      </c>
      <c r="D1624" s="2" t="s">
        <v>2</v>
      </c>
      <c r="E1624" s="2" t="s">
        <v>15</v>
      </c>
      <c r="F1624" s="2" t="s">
        <v>29</v>
      </c>
      <c r="G1624" s="2">
        <v>8.2200000000000006</v>
      </c>
      <c r="H1624" s="2">
        <v>3</v>
      </c>
      <c r="I1624" s="3">
        <v>2.2200000000000002</v>
      </c>
    </row>
    <row r="1625" spans="1:9" x14ac:dyDescent="0.3">
      <c r="A1625" s="4">
        <v>42350</v>
      </c>
      <c r="B1625" s="5" t="s">
        <v>980</v>
      </c>
      <c r="C1625" s="5" t="s">
        <v>1</v>
      </c>
      <c r="D1625" s="5" t="s">
        <v>30</v>
      </c>
      <c r="E1625" s="5" t="s">
        <v>43</v>
      </c>
      <c r="F1625" s="5" t="s">
        <v>1532</v>
      </c>
      <c r="G1625" s="5">
        <v>22.37</v>
      </c>
      <c r="H1625" s="5">
        <v>4</v>
      </c>
      <c r="I1625" s="6">
        <v>6.43</v>
      </c>
    </row>
    <row r="1626" spans="1:9" x14ac:dyDescent="0.3">
      <c r="A1626" s="1">
        <v>42350</v>
      </c>
      <c r="B1626" s="2" t="s">
        <v>764</v>
      </c>
      <c r="C1626" s="2" t="s">
        <v>18</v>
      </c>
      <c r="D1626" s="2" t="s">
        <v>2</v>
      </c>
      <c r="E1626" s="2" t="s">
        <v>15</v>
      </c>
      <c r="F1626" s="2" t="s">
        <v>1620</v>
      </c>
      <c r="G1626" s="2">
        <v>2.21</v>
      </c>
      <c r="H1626" s="2">
        <v>1</v>
      </c>
      <c r="I1626" s="3">
        <v>0.6</v>
      </c>
    </row>
    <row r="1627" spans="1:9" x14ac:dyDescent="0.3">
      <c r="A1627" s="4">
        <v>42350</v>
      </c>
      <c r="B1627" s="5" t="s">
        <v>764</v>
      </c>
      <c r="C1627" s="5" t="s">
        <v>18</v>
      </c>
      <c r="D1627" s="5" t="s">
        <v>2</v>
      </c>
      <c r="E1627" s="5" t="s">
        <v>114</v>
      </c>
      <c r="F1627" s="5" t="s">
        <v>714</v>
      </c>
      <c r="G1627" s="5">
        <v>15.52</v>
      </c>
      <c r="H1627" s="5">
        <v>4</v>
      </c>
      <c r="I1627" s="6">
        <v>7.45</v>
      </c>
    </row>
    <row r="1628" spans="1:9" x14ac:dyDescent="0.3">
      <c r="A1628" s="1">
        <v>42350</v>
      </c>
      <c r="B1628" s="2" t="s">
        <v>764</v>
      </c>
      <c r="C1628" s="2" t="s">
        <v>18</v>
      </c>
      <c r="D1628" s="2" t="s">
        <v>2</v>
      </c>
      <c r="E1628" s="2" t="s">
        <v>3</v>
      </c>
      <c r="F1628" s="2" t="s">
        <v>1621</v>
      </c>
      <c r="G1628" s="2">
        <v>36.44</v>
      </c>
      <c r="H1628" s="2">
        <v>4</v>
      </c>
      <c r="I1628" s="3">
        <v>16.399999999999999</v>
      </c>
    </row>
    <row r="1629" spans="1:9" x14ac:dyDescent="0.3">
      <c r="A1629" s="4">
        <v>42350</v>
      </c>
      <c r="B1629" s="5" t="s">
        <v>1506</v>
      </c>
      <c r="C1629" s="5" t="s">
        <v>18</v>
      </c>
      <c r="D1629" s="5" t="s">
        <v>25</v>
      </c>
      <c r="E1629" s="5" t="s">
        <v>38</v>
      </c>
      <c r="F1629" s="5" t="s">
        <v>1622</v>
      </c>
      <c r="G1629" s="5">
        <v>166.5</v>
      </c>
      <c r="H1629" s="5">
        <v>3</v>
      </c>
      <c r="I1629" s="6">
        <v>21.65</v>
      </c>
    </row>
    <row r="1630" spans="1:9" x14ac:dyDescent="0.3">
      <c r="A1630" s="1">
        <v>42350</v>
      </c>
      <c r="B1630" s="2" t="s">
        <v>1506</v>
      </c>
      <c r="C1630" s="2" t="s">
        <v>18</v>
      </c>
      <c r="D1630" s="2" t="s">
        <v>2</v>
      </c>
      <c r="E1630" s="2" t="s">
        <v>9</v>
      </c>
      <c r="F1630" s="2" t="s">
        <v>988</v>
      </c>
      <c r="G1630" s="2">
        <v>360.38</v>
      </c>
      <c r="H1630" s="2">
        <v>2</v>
      </c>
      <c r="I1630" s="3">
        <v>93.7</v>
      </c>
    </row>
    <row r="1631" spans="1:9" x14ac:dyDescent="0.3">
      <c r="A1631" s="4">
        <v>42350</v>
      </c>
      <c r="B1631" s="5" t="s">
        <v>1623</v>
      </c>
      <c r="C1631" s="5" t="s">
        <v>83</v>
      </c>
      <c r="D1631" s="5" t="s">
        <v>2</v>
      </c>
      <c r="E1631" s="5" t="s">
        <v>3</v>
      </c>
      <c r="F1631" s="5" t="s">
        <v>1624</v>
      </c>
      <c r="G1631" s="5">
        <v>32.4</v>
      </c>
      <c r="H1631" s="5">
        <v>5</v>
      </c>
      <c r="I1631" s="6">
        <v>15.88</v>
      </c>
    </row>
    <row r="1632" spans="1:9" x14ac:dyDescent="0.3">
      <c r="A1632" s="1">
        <v>42350</v>
      </c>
      <c r="B1632" s="2" t="s">
        <v>1623</v>
      </c>
      <c r="C1632" s="2" t="s">
        <v>83</v>
      </c>
      <c r="D1632" s="2" t="s">
        <v>2</v>
      </c>
      <c r="E1632" s="2" t="s">
        <v>3</v>
      </c>
      <c r="F1632" s="2" t="s">
        <v>514</v>
      </c>
      <c r="G1632" s="2">
        <v>97.88</v>
      </c>
      <c r="H1632" s="2">
        <v>2</v>
      </c>
      <c r="I1632" s="3">
        <v>48.94</v>
      </c>
    </row>
    <row r="1633" spans="1:9" x14ac:dyDescent="0.3">
      <c r="A1633" s="4">
        <v>42350</v>
      </c>
      <c r="B1633" s="5" t="s">
        <v>907</v>
      </c>
      <c r="C1633" s="5" t="s">
        <v>18</v>
      </c>
      <c r="D1633" s="5" t="s">
        <v>30</v>
      </c>
      <c r="E1633" s="5" t="s">
        <v>43</v>
      </c>
      <c r="F1633" s="5" t="s">
        <v>205</v>
      </c>
      <c r="G1633" s="5">
        <v>299.94</v>
      </c>
      <c r="H1633" s="5">
        <v>6</v>
      </c>
      <c r="I1633" s="6">
        <v>128.97</v>
      </c>
    </row>
    <row r="1634" spans="1:9" x14ac:dyDescent="0.3">
      <c r="A1634" s="1">
        <v>42350</v>
      </c>
      <c r="B1634" s="2" t="s">
        <v>907</v>
      </c>
      <c r="C1634" s="2" t="s">
        <v>18</v>
      </c>
      <c r="D1634" s="2" t="s">
        <v>2</v>
      </c>
      <c r="E1634" s="2" t="s">
        <v>144</v>
      </c>
      <c r="F1634" s="2" t="s">
        <v>429</v>
      </c>
      <c r="G1634" s="2">
        <v>25.76</v>
      </c>
      <c r="H1634" s="2">
        <v>7</v>
      </c>
      <c r="I1634" s="3">
        <v>0.52</v>
      </c>
    </row>
    <row r="1635" spans="1:9" x14ac:dyDescent="0.3">
      <c r="A1635" s="4">
        <v>42401</v>
      </c>
      <c r="B1635" s="5" t="s">
        <v>1625</v>
      </c>
      <c r="C1635" s="5" t="s">
        <v>958</v>
      </c>
      <c r="D1635" s="5" t="s">
        <v>25</v>
      </c>
      <c r="E1635" s="5" t="s">
        <v>129</v>
      </c>
      <c r="F1635" s="5" t="s">
        <v>1626</v>
      </c>
      <c r="G1635" s="5">
        <v>173.94</v>
      </c>
      <c r="H1635" s="5">
        <v>3</v>
      </c>
      <c r="I1635" s="6">
        <v>38.270000000000003</v>
      </c>
    </row>
    <row r="1636" spans="1:9" x14ac:dyDescent="0.3">
      <c r="A1636" s="1">
        <v>42401</v>
      </c>
      <c r="B1636" s="2" t="s">
        <v>1625</v>
      </c>
      <c r="C1636" s="2" t="s">
        <v>958</v>
      </c>
      <c r="D1636" s="2" t="s">
        <v>30</v>
      </c>
      <c r="E1636" s="2" t="s">
        <v>31</v>
      </c>
      <c r="F1636" s="2" t="s">
        <v>1627</v>
      </c>
      <c r="G1636" s="2">
        <v>231.98</v>
      </c>
      <c r="H1636" s="2">
        <v>2</v>
      </c>
      <c r="I1636" s="3">
        <v>67.27</v>
      </c>
    </row>
    <row r="1637" spans="1:9" x14ac:dyDescent="0.3">
      <c r="A1637" s="4">
        <v>42430</v>
      </c>
      <c r="B1637" s="5" t="s">
        <v>561</v>
      </c>
      <c r="C1637" s="5" t="s">
        <v>18</v>
      </c>
      <c r="D1637" s="5" t="s">
        <v>2</v>
      </c>
      <c r="E1637" s="5" t="s">
        <v>9</v>
      </c>
      <c r="F1637" s="5" t="s">
        <v>111</v>
      </c>
      <c r="G1637" s="5">
        <v>114.46</v>
      </c>
      <c r="H1637" s="5">
        <v>2</v>
      </c>
      <c r="I1637" s="6">
        <v>28.62</v>
      </c>
    </row>
    <row r="1638" spans="1:9" x14ac:dyDescent="0.3">
      <c r="A1638" s="1">
        <v>42430</v>
      </c>
      <c r="B1638" s="2" t="s">
        <v>1628</v>
      </c>
      <c r="C1638" s="2" t="s">
        <v>1</v>
      </c>
      <c r="D1638" s="2" t="s">
        <v>30</v>
      </c>
      <c r="E1638" s="2" t="s">
        <v>43</v>
      </c>
      <c r="F1638" s="2" t="s">
        <v>1629</v>
      </c>
      <c r="G1638" s="2">
        <v>30.08</v>
      </c>
      <c r="H1638" s="2">
        <v>2</v>
      </c>
      <c r="I1638" s="3">
        <v>-5.26</v>
      </c>
    </row>
    <row r="1639" spans="1:9" x14ac:dyDescent="0.3">
      <c r="A1639" s="4">
        <v>42430</v>
      </c>
      <c r="B1639" s="5" t="s">
        <v>1628</v>
      </c>
      <c r="C1639" s="5" t="s">
        <v>1</v>
      </c>
      <c r="D1639" s="5" t="s">
        <v>30</v>
      </c>
      <c r="E1639" s="5" t="s">
        <v>43</v>
      </c>
      <c r="F1639" s="5" t="s">
        <v>791</v>
      </c>
      <c r="G1639" s="5">
        <v>165.6</v>
      </c>
      <c r="H1639" s="5">
        <v>3</v>
      </c>
      <c r="I1639" s="6">
        <v>-6.21</v>
      </c>
    </row>
    <row r="1640" spans="1:9" x14ac:dyDescent="0.3">
      <c r="A1640" s="1">
        <v>42430</v>
      </c>
      <c r="B1640" s="2" t="s">
        <v>1628</v>
      </c>
      <c r="C1640" s="2" t="s">
        <v>1</v>
      </c>
      <c r="D1640" s="2" t="s">
        <v>30</v>
      </c>
      <c r="E1640" s="2" t="s">
        <v>31</v>
      </c>
      <c r="F1640" s="2" t="s">
        <v>60</v>
      </c>
      <c r="G1640" s="2">
        <v>180.96</v>
      </c>
      <c r="H1640" s="2">
        <v>5</v>
      </c>
      <c r="I1640" s="3">
        <v>13.57</v>
      </c>
    </row>
    <row r="1641" spans="1:9" x14ac:dyDescent="0.3">
      <c r="A1641" s="4">
        <v>42430</v>
      </c>
      <c r="B1641" s="5" t="s">
        <v>1630</v>
      </c>
      <c r="C1641" s="5" t="s">
        <v>640</v>
      </c>
      <c r="D1641" s="5" t="s">
        <v>25</v>
      </c>
      <c r="E1641" s="5" t="s">
        <v>86</v>
      </c>
      <c r="F1641" s="5" t="s">
        <v>1631</v>
      </c>
      <c r="G1641" s="5">
        <v>1592.85</v>
      </c>
      <c r="H1641" s="5">
        <v>7</v>
      </c>
      <c r="I1641" s="6">
        <v>350.43</v>
      </c>
    </row>
    <row r="1642" spans="1:9" x14ac:dyDescent="0.3">
      <c r="A1642" s="1">
        <v>42430</v>
      </c>
      <c r="B1642" s="2" t="s">
        <v>1630</v>
      </c>
      <c r="C1642" s="2" t="s">
        <v>640</v>
      </c>
      <c r="D1642" s="2" t="s">
        <v>2</v>
      </c>
      <c r="E1642" s="2" t="s">
        <v>11</v>
      </c>
      <c r="F1642" s="2" t="s">
        <v>314</v>
      </c>
      <c r="G1642" s="2">
        <v>11.88</v>
      </c>
      <c r="H1642" s="2">
        <v>2</v>
      </c>
      <c r="I1642" s="3">
        <v>5.35</v>
      </c>
    </row>
    <row r="1643" spans="1:9" x14ac:dyDescent="0.3">
      <c r="A1643" s="4">
        <v>42461</v>
      </c>
      <c r="B1643" s="5" t="s">
        <v>1632</v>
      </c>
      <c r="C1643" s="5" t="s">
        <v>121</v>
      </c>
      <c r="D1643" s="5" t="s">
        <v>30</v>
      </c>
      <c r="E1643" s="5" t="s">
        <v>290</v>
      </c>
      <c r="F1643" s="5" t="s">
        <v>1408</v>
      </c>
      <c r="G1643" s="5">
        <v>959.97</v>
      </c>
      <c r="H1643" s="5">
        <v>4</v>
      </c>
      <c r="I1643" s="6">
        <v>120</v>
      </c>
    </row>
    <row r="1644" spans="1:9" x14ac:dyDescent="0.3">
      <c r="A1644" s="1">
        <v>42461</v>
      </c>
      <c r="B1644" s="2" t="s">
        <v>1633</v>
      </c>
      <c r="C1644" s="2" t="s">
        <v>14</v>
      </c>
      <c r="D1644" s="2" t="s">
        <v>2</v>
      </c>
      <c r="E1644" s="2" t="s">
        <v>15</v>
      </c>
      <c r="F1644" s="2" t="s">
        <v>42</v>
      </c>
      <c r="G1644" s="2">
        <v>4.67</v>
      </c>
      <c r="H1644" s="2">
        <v>1</v>
      </c>
      <c r="I1644" s="3">
        <v>0.57999999999999996</v>
      </c>
    </row>
    <row r="1645" spans="1:9" x14ac:dyDescent="0.3">
      <c r="A1645" s="4">
        <v>42461</v>
      </c>
      <c r="B1645" s="5" t="s">
        <v>1633</v>
      </c>
      <c r="C1645" s="5" t="s">
        <v>14</v>
      </c>
      <c r="D1645" s="5" t="s">
        <v>2</v>
      </c>
      <c r="E1645" s="5" t="s">
        <v>11</v>
      </c>
      <c r="F1645" s="5" t="s">
        <v>355</v>
      </c>
      <c r="G1645" s="5">
        <v>104.58</v>
      </c>
      <c r="H1645" s="5">
        <v>6</v>
      </c>
      <c r="I1645" s="6">
        <v>-80.180000000000007</v>
      </c>
    </row>
    <row r="1646" spans="1:9" x14ac:dyDescent="0.3">
      <c r="A1646" s="1">
        <v>42491</v>
      </c>
      <c r="B1646" s="2" t="s">
        <v>1634</v>
      </c>
      <c r="C1646" s="2" t="s">
        <v>58</v>
      </c>
      <c r="D1646" s="2" t="s">
        <v>30</v>
      </c>
      <c r="E1646" s="2" t="s">
        <v>43</v>
      </c>
      <c r="F1646" s="2" t="s">
        <v>1635</v>
      </c>
      <c r="G1646" s="2">
        <v>191.47</v>
      </c>
      <c r="H1646" s="2">
        <v>6</v>
      </c>
      <c r="I1646" s="3">
        <v>40.69</v>
      </c>
    </row>
    <row r="1647" spans="1:9" x14ac:dyDescent="0.3">
      <c r="A1647" s="4">
        <v>42491</v>
      </c>
      <c r="B1647" s="5" t="s">
        <v>1634</v>
      </c>
      <c r="C1647" s="5" t="s">
        <v>58</v>
      </c>
      <c r="D1647" s="5" t="s">
        <v>2</v>
      </c>
      <c r="E1647" s="5" t="s">
        <v>15</v>
      </c>
      <c r="F1647" s="5" t="s">
        <v>1636</v>
      </c>
      <c r="G1647" s="5">
        <v>5.25</v>
      </c>
      <c r="H1647" s="5">
        <v>2</v>
      </c>
      <c r="I1647" s="6">
        <v>0.59</v>
      </c>
    </row>
    <row r="1648" spans="1:9" x14ac:dyDescent="0.3">
      <c r="A1648" s="1">
        <v>42491</v>
      </c>
      <c r="B1648" s="2" t="s">
        <v>1634</v>
      </c>
      <c r="C1648" s="2" t="s">
        <v>58</v>
      </c>
      <c r="D1648" s="2" t="s">
        <v>30</v>
      </c>
      <c r="E1648" s="2" t="s">
        <v>31</v>
      </c>
      <c r="F1648" s="2" t="s">
        <v>445</v>
      </c>
      <c r="G1648" s="2">
        <v>59.18</v>
      </c>
      <c r="H1648" s="2">
        <v>2</v>
      </c>
      <c r="I1648" s="3">
        <v>5.18</v>
      </c>
    </row>
    <row r="1649" spans="1:9" x14ac:dyDescent="0.3">
      <c r="A1649" s="4">
        <v>42552</v>
      </c>
      <c r="B1649" s="5" t="s">
        <v>358</v>
      </c>
      <c r="C1649" s="5" t="s">
        <v>18</v>
      </c>
      <c r="D1649" s="5" t="s">
        <v>2</v>
      </c>
      <c r="E1649" s="5" t="s">
        <v>15</v>
      </c>
      <c r="F1649" s="5" t="s">
        <v>1085</v>
      </c>
      <c r="G1649" s="5">
        <v>34.58</v>
      </c>
      <c r="H1649" s="5">
        <v>1</v>
      </c>
      <c r="I1649" s="6">
        <v>10.029999999999999</v>
      </c>
    </row>
    <row r="1650" spans="1:9" x14ac:dyDescent="0.3">
      <c r="A1650" s="1">
        <v>42552</v>
      </c>
      <c r="B1650" s="2" t="s">
        <v>1388</v>
      </c>
      <c r="C1650" s="2" t="s">
        <v>1</v>
      </c>
      <c r="D1650" s="2" t="s">
        <v>25</v>
      </c>
      <c r="E1650" s="2" t="s">
        <v>38</v>
      </c>
      <c r="F1650" s="2" t="s">
        <v>641</v>
      </c>
      <c r="G1650" s="2">
        <v>23.08</v>
      </c>
      <c r="H1650" s="2">
        <v>3</v>
      </c>
      <c r="I1650" s="3">
        <v>-10.96</v>
      </c>
    </row>
    <row r="1651" spans="1:9" x14ac:dyDescent="0.3">
      <c r="A1651" s="4">
        <v>42552</v>
      </c>
      <c r="B1651" s="5" t="s">
        <v>1388</v>
      </c>
      <c r="C1651" s="5" t="s">
        <v>1</v>
      </c>
      <c r="D1651" s="5" t="s">
        <v>2</v>
      </c>
      <c r="E1651" s="5" t="s">
        <v>3</v>
      </c>
      <c r="F1651" s="5" t="s">
        <v>1637</v>
      </c>
      <c r="G1651" s="5">
        <v>25.92</v>
      </c>
      <c r="H1651" s="5">
        <v>5</v>
      </c>
      <c r="I1651" s="6">
        <v>9.07</v>
      </c>
    </row>
    <row r="1652" spans="1:9" x14ac:dyDescent="0.3">
      <c r="A1652" s="1">
        <v>42583</v>
      </c>
      <c r="B1652" s="2" t="s">
        <v>20</v>
      </c>
      <c r="C1652" s="2" t="s">
        <v>53</v>
      </c>
      <c r="D1652" s="2" t="s">
        <v>25</v>
      </c>
      <c r="E1652" s="2" t="s">
        <v>129</v>
      </c>
      <c r="F1652" s="2" t="s">
        <v>919</v>
      </c>
      <c r="G1652" s="2">
        <v>1565.88</v>
      </c>
      <c r="H1652" s="2">
        <v>6</v>
      </c>
      <c r="I1652" s="3">
        <v>407.13</v>
      </c>
    </row>
    <row r="1653" spans="1:9" x14ac:dyDescent="0.3">
      <c r="A1653" s="4">
        <v>42583</v>
      </c>
      <c r="B1653" s="5" t="s">
        <v>20</v>
      </c>
      <c r="C1653" s="5" t="s">
        <v>53</v>
      </c>
      <c r="D1653" s="5" t="s">
        <v>2</v>
      </c>
      <c r="E1653" s="5" t="s">
        <v>11</v>
      </c>
      <c r="F1653" s="5" t="s">
        <v>1638</v>
      </c>
      <c r="G1653" s="5">
        <v>106.05</v>
      </c>
      <c r="H1653" s="5">
        <v>7</v>
      </c>
      <c r="I1653" s="6">
        <v>49.84</v>
      </c>
    </row>
    <row r="1654" spans="1:9" x14ac:dyDescent="0.3">
      <c r="A1654" s="1">
        <v>42583</v>
      </c>
      <c r="B1654" s="2" t="s">
        <v>37</v>
      </c>
      <c r="C1654" s="2" t="s">
        <v>121</v>
      </c>
      <c r="D1654" s="2" t="s">
        <v>2</v>
      </c>
      <c r="E1654" s="2" t="s">
        <v>11</v>
      </c>
      <c r="F1654" s="2" t="s">
        <v>1082</v>
      </c>
      <c r="G1654" s="2">
        <v>30.83</v>
      </c>
      <c r="H1654" s="2">
        <v>7</v>
      </c>
      <c r="I1654" s="3">
        <v>-24.66</v>
      </c>
    </row>
    <row r="1655" spans="1:9" x14ac:dyDescent="0.3">
      <c r="A1655" s="4">
        <v>42583</v>
      </c>
      <c r="B1655" s="5" t="s">
        <v>37</v>
      </c>
      <c r="C1655" s="5" t="s">
        <v>121</v>
      </c>
      <c r="D1655" s="5" t="s">
        <v>2</v>
      </c>
      <c r="E1655" s="5" t="s">
        <v>15</v>
      </c>
      <c r="F1655" s="5" t="s">
        <v>199</v>
      </c>
      <c r="G1655" s="5">
        <v>47.62</v>
      </c>
      <c r="H1655" s="5">
        <v>3</v>
      </c>
      <c r="I1655" s="6">
        <v>5.95</v>
      </c>
    </row>
    <row r="1656" spans="1:9" x14ac:dyDescent="0.3">
      <c r="A1656" s="1">
        <v>42583</v>
      </c>
      <c r="B1656" s="2" t="s">
        <v>37</v>
      </c>
      <c r="C1656" s="2" t="s">
        <v>121</v>
      </c>
      <c r="D1656" s="2" t="s">
        <v>30</v>
      </c>
      <c r="E1656" s="2" t="s">
        <v>31</v>
      </c>
      <c r="F1656" s="2" t="s">
        <v>1639</v>
      </c>
      <c r="G1656" s="2">
        <v>108.78</v>
      </c>
      <c r="H1656" s="2">
        <v>2</v>
      </c>
      <c r="I1656" s="3">
        <v>10.88</v>
      </c>
    </row>
    <row r="1657" spans="1:9" x14ac:dyDescent="0.3">
      <c r="A1657" s="4">
        <v>42614</v>
      </c>
      <c r="B1657" s="5" t="s">
        <v>484</v>
      </c>
      <c r="C1657" s="5" t="s">
        <v>18</v>
      </c>
      <c r="D1657" s="5" t="s">
        <v>30</v>
      </c>
      <c r="E1657" s="5" t="s">
        <v>43</v>
      </c>
      <c r="F1657" s="5" t="s">
        <v>1640</v>
      </c>
      <c r="G1657" s="5">
        <v>349.95</v>
      </c>
      <c r="H1657" s="5">
        <v>5</v>
      </c>
      <c r="I1657" s="6">
        <v>118.98</v>
      </c>
    </row>
    <row r="1658" spans="1:9" x14ac:dyDescent="0.3">
      <c r="A1658" s="1">
        <v>42614</v>
      </c>
      <c r="B1658" s="2" t="s">
        <v>484</v>
      </c>
      <c r="C1658" s="2" t="s">
        <v>18</v>
      </c>
      <c r="D1658" s="2" t="s">
        <v>30</v>
      </c>
      <c r="E1658" s="2" t="s">
        <v>31</v>
      </c>
      <c r="F1658" s="2" t="s">
        <v>971</v>
      </c>
      <c r="G1658" s="2">
        <v>377.93</v>
      </c>
      <c r="H1658" s="2">
        <v>9</v>
      </c>
      <c r="I1658" s="3">
        <v>141.72</v>
      </c>
    </row>
    <row r="1659" spans="1:9" x14ac:dyDescent="0.3">
      <c r="A1659" s="4">
        <v>42614</v>
      </c>
      <c r="B1659" s="5" t="s">
        <v>1641</v>
      </c>
      <c r="C1659" s="5" t="s">
        <v>127</v>
      </c>
      <c r="D1659" s="5" t="s">
        <v>25</v>
      </c>
      <c r="E1659" s="5" t="s">
        <v>38</v>
      </c>
      <c r="F1659" s="5" t="s">
        <v>1562</v>
      </c>
      <c r="G1659" s="5">
        <v>15.17</v>
      </c>
      <c r="H1659" s="5">
        <v>2</v>
      </c>
      <c r="I1659" s="6">
        <v>3.79</v>
      </c>
    </row>
    <row r="1660" spans="1:9" x14ac:dyDescent="0.3">
      <c r="A1660" s="1">
        <v>42644</v>
      </c>
      <c r="B1660" s="2" t="s">
        <v>202</v>
      </c>
      <c r="C1660" s="2" t="s">
        <v>62</v>
      </c>
      <c r="D1660" s="2" t="s">
        <v>25</v>
      </c>
      <c r="E1660" s="2" t="s">
        <v>38</v>
      </c>
      <c r="F1660" s="2" t="s">
        <v>1248</v>
      </c>
      <c r="G1660" s="2">
        <v>79.92</v>
      </c>
      <c r="H1660" s="2">
        <v>4</v>
      </c>
      <c r="I1660" s="3">
        <v>34.369999999999997</v>
      </c>
    </row>
    <row r="1661" spans="1:9" x14ac:dyDescent="0.3">
      <c r="A1661" s="4">
        <v>42644</v>
      </c>
      <c r="B1661" s="5" t="s">
        <v>202</v>
      </c>
      <c r="C1661" s="5" t="s">
        <v>62</v>
      </c>
      <c r="D1661" s="5" t="s">
        <v>30</v>
      </c>
      <c r="E1661" s="5" t="s">
        <v>43</v>
      </c>
      <c r="F1661" s="5" t="s">
        <v>1642</v>
      </c>
      <c r="G1661" s="5">
        <v>69.98</v>
      </c>
      <c r="H1661" s="5">
        <v>2</v>
      </c>
      <c r="I1661" s="6">
        <v>13.3</v>
      </c>
    </row>
    <row r="1662" spans="1:9" x14ac:dyDescent="0.3">
      <c r="A1662" s="1">
        <v>42644</v>
      </c>
      <c r="B1662" s="2" t="s">
        <v>1643</v>
      </c>
      <c r="C1662" s="2" t="s">
        <v>62</v>
      </c>
      <c r="D1662" s="2" t="s">
        <v>25</v>
      </c>
      <c r="E1662" s="2" t="s">
        <v>38</v>
      </c>
      <c r="F1662" s="2" t="s">
        <v>51</v>
      </c>
      <c r="G1662" s="2">
        <v>24.85</v>
      </c>
      <c r="H1662" s="2">
        <v>5</v>
      </c>
      <c r="I1662" s="3">
        <v>7.7</v>
      </c>
    </row>
    <row r="1663" spans="1:9" x14ac:dyDescent="0.3">
      <c r="A1663" s="4">
        <v>42675</v>
      </c>
      <c r="B1663" s="5" t="s">
        <v>861</v>
      </c>
      <c r="C1663" s="5" t="s">
        <v>127</v>
      </c>
      <c r="D1663" s="5" t="s">
        <v>2</v>
      </c>
      <c r="E1663" s="5" t="s">
        <v>3</v>
      </c>
      <c r="F1663" s="5" t="s">
        <v>1644</v>
      </c>
      <c r="G1663" s="5">
        <v>15.55</v>
      </c>
      <c r="H1663" s="5">
        <v>3</v>
      </c>
      <c r="I1663" s="6">
        <v>5.44</v>
      </c>
    </row>
    <row r="1664" spans="1:9" x14ac:dyDescent="0.3">
      <c r="A1664" s="1">
        <v>42675</v>
      </c>
      <c r="B1664" s="2" t="s">
        <v>861</v>
      </c>
      <c r="C1664" s="2" t="s">
        <v>127</v>
      </c>
      <c r="D1664" s="2" t="s">
        <v>2</v>
      </c>
      <c r="E1664" s="2" t="s">
        <v>3</v>
      </c>
      <c r="F1664" s="2" t="s">
        <v>1559</v>
      </c>
      <c r="G1664" s="2">
        <v>63.31</v>
      </c>
      <c r="H1664" s="2">
        <v>3</v>
      </c>
      <c r="I1664" s="3">
        <v>20.58</v>
      </c>
    </row>
    <row r="1665" spans="1:9" x14ac:dyDescent="0.3">
      <c r="A1665" s="4">
        <v>42675</v>
      </c>
      <c r="B1665" s="5" t="s">
        <v>861</v>
      </c>
      <c r="C1665" s="5" t="s">
        <v>127</v>
      </c>
      <c r="D1665" s="5" t="s">
        <v>30</v>
      </c>
      <c r="E1665" s="5" t="s">
        <v>31</v>
      </c>
      <c r="F1665" s="5" t="s">
        <v>1645</v>
      </c>
      <c r="G1665" s="5">
        <v>15.59</v>
      </c>
      <c r="H1665" s="5">
        <v>2</v>
      </c>
      <c r="I1665" s="6">
        <v>-9.8699999999999992</v>
      </c>
    </row>
    <row r="1666" spans="1:9" x14ac:dyDescent="0.3">
      <c r="A1666" s="1">
        <v>42675</v>
      </c>
      <c r="B1666" s="2" t="s">
        <v>388</v>
      </c>
      <c r="C1666" s="2" t="s">
        <v>127</v>
      </c>
      <c r="D1666" s="2" t="s">
        <v>25</v>
      </c>
      <c r="E1666" s="2" t="s">
        <v>38</v>
      </c>
      <c r="F1666" s="2" t="s">
        <v>949</v>
      </c>
      <c r="G1666" s="2">
        <v>54.99</v>
      </c>
      <c r="H1666" s="2">
        <v>14</v>
      </c>
      <c r="I1666" s="3">
        <v>8.94</v>
      </c>
    </row>
    <row r="1667" spans="1:9" x14ac:dyDescent="0.3">
      <c r="A1667" s="4">
        <v>42371</v>
      </c>
      <c r="B1667" s="5" t="s">
        <v>76</v>
      </c>
      <c r="C1667" s="5" t="s">
        <v>46</v>
      </c>
      <c r="D1667" s="5" t="s">
        <v>2</v>
      </c>
      <c r="E1667" s="5" t="s">
        <v>9</v>
      </c>
      <c r="F1667" s="5" t="s">
        <v>878</v>
      </c>
      <c r="G1667" s="5">
        <v>56.45</v>
      </c>
      <c r="H1667" s="5">
        <v>5</v>
      </c>
      <c r="I1667" s="6">
        <v>14.68</v>
      </c>
    </row>
    <row r="1668" spans="1:9" x14ac:dyDescent="0.3">
      <c r="A1668" s="1">
        <v>42371</v>
      </c>
      <c r="B1668" s="2" t="s">
        <v>809</v>
      </c>
      <c r="C1668" s="2" t="s">
        <v>18</v>
      </c>
      <c r="D1668" s="2" t="s">
        <v>2</v>
      </c>
      <c r="E1668" s="2" t="s">
        <v>3</v>
      </c>
      <c r="F1668" s="2" t="s">
        <v>1604</v>
      </c>
      <c r="G1668" s="2">
        <v>105.52</v>
      </c>
      <c r="H1668" s="2">
        <v>4</v>
      </c>
      <c r="I1668" s="3">
        <v>48.54</v>
      </c>
    </row>
    <row r="1669" spans="1:9" x14ac:dyDescent="0.3">
      <c r="A1669" s="4">
        <v>42402</v>
      </c>
      <c r="B1669" s="5" t="s">
        <v>1502</v>
      </c>
      <c r="C1669" s="5" t="s">
        <v>80</v>
      </c>
      <c r="D1669" s="5" t="s">
        <v>2</v>
      </c>
      <c r="E1669" s="5" t="s">
        <v>9</v>
      </c>
      <c r="F1669" s="5" t="s">
        <v>1391</v>
      </c>
      <c r="G1669" s="5">
        <v>117.96</v>
      </c>
      <c r="H1669" s="5">
        <v>2</v>
      </c>
      <c r="I1669" s="6">
        <v>5.9</v>
      </c>
    </row>
    <row r="1670" spans="1:9" x14ac:dyDescent="0.3">
      <c r="A1670" s="1">
        <v>42402</v>
      </c>
      <c r="B1670" s="2" t="s">
        <v>267</v>
      </c>
      <c r="C1670" s="2" t="s">
        <v>46</v>
      </c>
      <c r="D1670" s="2" t="s">
        <v>30</v>
      </c>
      <c r="E1670" s="2" t="s">
        <v>625</v>
      </c>
      <c r="F1670" s="2" t="s">
        <v>1646</v>
      </c>
      <c r="G1670" s="2">
        <v>8749.9500000000007</v>
      </c>
      <c r="H1670" s="2">
        <v>5</v>
      </c>
      <c r="I1670" s="3">
        <v>2799.98</v>
      </c>
    </row>
    <row r="1671" spans="1:9" x14ac:dyDescent="0.3">
      <c r="A1671" s="4">
        <v>42402</v>
      </c>
      <c r="B1671" s="5" t="s">
        <v>267</v>
      </c>
      <c r="C1671" s="5" t="s">
        <v>46</v>
      </c>
      <c r="D1671" s="5" t="s">
        <v>2</v>
      </c>
      <c r="E1671" s="5" t="s">
        <v>11</v>
      </c>
      <c r="F1671" s="5" t="s">
        <v>404</v>
      </c>
      <c r="G1671" s="5">
        <v>36.4</v>
      </c>
      <c r="H1671" s="5">
        <v>8</v>
      </c>
      <c r="I1671" s="6">
        <v>18.2</v>
      </c>
    </row>
    <row r="1672" spans="1:9" x14ac:dyDescent="0.3">
      <c r="A1672" s="1">
        <v>42402</v>
      </c>
      <c r="B1672" s="2" t="s">
        <v>267</v>
      </c>
      <c r="C1672" s="2" t="s">
        <v>46</v>
      </c>
      <c r="D1672" s="2" t="s">
        <v>25</v>
      </c>
      <c r="E1672" s="2" t="s">
        <v>38</v>
      </c>
      <c r="F1672" s="2" t="s">
        <v>1122</v>
      </c>
      <c r="G1672" s="2">
        <v>18.690000000000001</v>
      </c>
      <c r="H1672" s="2">
        <v>7</v>
      </c>
      <c r="I1672" s="3">
        <v>7.1</v>
      </c>
    </row>
    <row r="1673" spans="1:9" x14ac:dyDescent="0.3">
      <c r="A1673" s="4">
        <v>42402</v>
      </c>
      <c r="B1673" s="5" t="s">
        <v>1117</v>
      </c>
      <c r="C1673" s="5" t="s">
        <v>1</v>
      </c>
      <c r="D1673" s="5" t="s">
        <v>25</v>
      </c>
      <c r="E1673" s="5" t="s">
        <v>38</v>
      </c>
      <c r="F1673" s="5" t="s">
        <v>1647</v>
      </c>
      <c r="G1673" s="5">
        <v>73.78</v>
      </c>
      <c r="H1673" s="5">
        <v>2</v>
      </c>
      <c r="I1673" s="6">
        <v>-77.47</v>
      </c>
    </row>
    <row r="1674" spans="1:9" x14ac:dyDescent="0.3">
      <c r="A1674" s="1">
        <v>42431</v>
      </c>
      <c r="B1674" s="2" t="s">
        <v>823</v>
      </c>
      <c r="C1674" s="2" t="s">
        <v>24</v>
      </c>
      <c r="D1674" s="2" t="s">
        <v>25</v>
      </c>
      <c r="E1674" s="2" t="s">
        <v>26</v>
      </c>
      <c r="F1674" s="2" t="s">
        <v>353</v>
      </c>
      <c r="G1674" s="2">
        <v>866.4</v>
      </c>
      <c r="H1674" s="2">
        <v>4</v>
      </c>
      <c r="I1674" s="3">
        <v>225.26</v>
      </c>
    </row>
    <row r="1675" spans="1:9" x14ac:dyDescent="0.3">
      <c r="A1675" s="4">
        <v>42462</v>
      </c>
      <c r="B1675" s="5" t="s">
        <v>1648</v>
      </c>
      <c r="C1675" s="5" t="s">
        <v>253</v>
      </c>
      <c r="D1675" s="5" t="s">
        <v>25</v>
      </c>
      <c r="E1675" s="5" t="s">
        <v>38</v>
      </c>
      <c r="F1675" s="5" t="s">
        <v>575</v>
      </c>
      <c r="G1675" s="5">
        <v>14.37</v>
      </c>
      <c r="H1675" s="5">
        <v>2</v>
      </c>
      <c r="I1675" s="6">
        <v>3.95</v>
      </c>
    </row>
    <row r="1676" spans="1:9" x14ac:dyDescent="0.3">
      <c r="A1676" s="1">
        <v>42462</v>
      </c>
      <c r="B1676" s="2" t="s">
        <v>695</v>
      </c>
      <c r="C1676" s="2" t="s">
        <v>958</v>
      </c>
      <c r="D1676" s="2" t="s">
        <v>30</v>
      </c>
      <c r="E1676" s="2" t="s">
        <v>31</v>
      </c>
      <c r="F1676" s="2" t="s">
        <v>60</v>
      </c>
      <c r="G1676" s="2">
        <v>90.48</v>
      </c>
      <c r="H1676" s="2">
        <v>2</v>
      </c>
      <c r="I1676" s="3">
        <v>23.52</v>
      </c>
    </row>
    <row r="1677" spans="1:9" x14ac:dyDescent="0.3">
      <c r="A1677" s="4">
        <v>42462</v>
      </c>
      <c r="B1677" s="5" t="s">
        <v>1164</v>
      </c>
      <c r="C1677" s="5" t="s">
        <v>18</v>
      </c>
      <c r="D1677" s="5" t="s">
        <v>2</v>
      </c>
      <c r="E1677" s="5" t="s">
        <v>9</v>
      </c>
      <c r="F1677" s="5" t="s">
        <v>204</v>
      </c>
      <c r="G1677" s="5">
        <v>93.02</v>
      </c>
      <c r="H1677" s="5">
        <v>2</v>
      </c>
      <c r="I1677" s="6">
        <v>3.72</v>
      </c>
    </row>
    <row r="1678" spans="1:9" x14ac:dyDescent="0.3">
      <c r="A1678" s="1">
        <v>42492</v>
      </c>
      <c r="B1678" s="2" t="s">
        <v>690</v>
      </c>
      <c r="C1678" s="2" t="s">
        <v>21</v>
      </c>
      <c r="D1678" s="2" t="s">
        <v>2</v>
      </c>
      <c r="E1678" s="2" t="s">
        <v>9</v>
      </c>
      <c r="F1678" s="2" t="s">
        <v>151</v>
      </c>
      <c r="G1678" s="2">
        <v>80.98</v>
      </c>
      <c r="H1678" s="2">
        <v>1</v>
      </c>
      <c r="I1678" s="3">
        <v>1.62</v>
      </c>
    </row>
    <row r="1679" spans="1:9" x14ac:dyDescent="0.3">
      <c r="A1679" s="4">
        <v>42492</v>
      </c>
      <c r="B1679" s="5" t="s">
        <v>690</v>
      </c>
      <c r="C1679" s="5" t="s">
        <v>21</v>
      </c>
      <c r="D1679" s="5" t="s">
        <v>2</v>
      </c>
      <c r="E1679" s="5" t="s">
        <v>3</v>
      </c>
      <c r="F1679" s="5" t="s">
        <v>530</v>
      </c>
      <c r="G1679" s="5">
        <v>348.84</v>
      </c>
      <c r="H1679" s="5">
        <v>9</v>
      </c>
      <c r="I1679" s="6">
        <v>170.93</v>
      </c>
    </row>
    <row r="1680" spans="1:9" x14ac:dyDescent="0.3">
      <c r="A1680" s="1">
        <v>42492</v>
      </c>
      <c r="B1680" s="2" t="s">
        <v>690</v>
      </c>
      <c r="C1680" s="2" t="s">
        <v>21</v>
      </c>
      <c r="D1680" s="2" t="s">
        <v>2</v>
      </c>
      <c r="E1680" s="2" t="s">
        <v>34</v>
      </c>
      <c r="F1680" s="2" t="s">
        <v>1649</v>
      </c>
      <c r="G1680" s="2">
        <v>9.4499999999999993</v>
      </c>
      <c r="H1680" s="2">
        <v>5</v>
      </c>
      <c r="I1680" s="3">
        <v>0.19</v>
      </c>
    </row>
    <row r="1681" spans="1:9" x14ac:dyDescent="0.3">
      <c r="A1681" s="4">
        <v>42492</v>
      </c>
      <c r="B1681" s="5" t="s">
        <v>690</v>
      </c>
      <c r="C1681" s="5" t="s">
        <v>21</v>
      </c>
      <c r="D1681" s="5" t="s">
        <v>25</v>
      </c>
      <c r="E1681" s="5" t="s">
        <v>38</v>
      </c>
      <c r="F1681" s="5" t="s">
        <v>891</v>
      </c>
      <c r="G1681" s="5">
        <v>18.84</v>
      </c>
      <c r="H1681" s="5">
        <v>3</v>
      </c>
      <c r="I1681" s="6">
        <v>7.16</v>
      </c>
    </row>
    <row r="1682" spans="1:9" x14ac:dyDescent="0.3">
      <c r="A1682" s="1">
        <v>42492</v>
      </c>
      <c r="B1682" s="2" t="s">
        <v>690</v>
      </c>
      <c r="C1682" s="2" t="s">
        <v>21</v>
      </c>
      <c r="D1682" s="2" t="s">
        <v>25</v>
      </c>
      <c r="E1682" s="2" t="s">
        <v>129</v>
      </c>
      <c r="F1682" s="2" t="s">
        <v>1650</v>
      </c>
      <c r="G1682" s="2">
        <v>239.98</v>
      </c>
      <c r="H1682" s="2">
        <v>2</v>
      </c>
      <c r="I1682" s="3">
        <v>52.8</v>
      </c>
    </row>
    <row r="1683" spans="1:9" x14ac:dyDescent="0.3">
      <c r="A1683" s="4">
        <v>42492</v>
      </c>
      <c r="B1683" s="5" t="s">
        <v>690</v>
      </c>
      <c r="C1683" s="5" t="s">
        <v>21</v>
      </c>
      <c r="D1683" s="5" t="s">
        <v>2</v>
      </c>
      <c r="E1683" s="5" t="s">
        <v>114</v>
      </c>
      <c r="F1683" s="5" t="s">
        <v>1651</v>
      </c>
      <c r="G1683" s="5">
        <v>167.96</v>
      </c>
      <c r="H1683" s="5">
        <v>2</v>
      </c>
      <c r="I1683" s="6">
        <v>78.94</v>
      </c>
    </row>
    <row r="1684" spans="1:9" x14ac:dyDescent="0.3">
      <c r="A1684" s="1">
        <v>42492</v>
      </c>
      <c r="B1684" s="2" t="s">
        <v>690</v>
      </c>
      <c r="C1684" s="2" t="s">
        <v>21</v>
      </c>
      <c r="D1684" s="2" t="s">
        <v>30</v>
      </c>
      <c r="E1684" s="2" t="s">
        <v>31</v>
      </c>
      <c r="F1684" s="2" t="s">
        <v>645</v>
      </c>
      <c r="G1684" s="2">
        <v>104.85</v>
      </c>
      <c r="H1684" s="2">
        <v>3</v>
      </c>
      <c r="I1684" s="3">
        <v>28.31</v>
      </c>
    </row>
    <row r="1685" spans="1:9" x14ac:dyDescent="0.3">
      <c r="A1685" s="4">
        <v>42492</v>
      </c>
      <c r="B1685" s="5" t="s">
        <v>690</v>
      </c>
      <c r="C1685" s="5" t="s">
        <v>21</v>
      </c>
      <c r="D1685" s="5" t="s">
        <v>30</v>
      </c>
      <c r="E1685" s="5" t="s">
        <v>31</v>
      </c>
      <c r="F1685" s="5" t="s">
        <v>72</v>
      </c>
      <c r="G1685" s="5">
        <v>484.83</v>
      </c>
      <c r="H1685" s="5">
        <v>3</v>
      </c>
      <c r="I1685" s="6">
        <v>126.06</v>
      </c>
    </row>
    <row r="1686" spans="1:9" x14ac:dyDescent="0.3">
      <c r="A1686" s="1">
        <v>42492</v>
      </c>
      <c r="B1686" s="2" t="s">
        <v>690</v>
      </c>
      <c r="C1686" s="2" t="s">
        <v>21</v>
      </c>
      <c r="D1686" s="2" t="s">
        <v>2</v>
      </c>
      <c r="E1686" s="2" t="s">
        <v>3</v>
      </c>
      <c r="F1686" s="2" t="s">
        <v>1652</v>
      </c>
      <c r="G1686" s="2">
        <v>122.97</v>
      </c>
      <c r="H1686" s="2">
        <v>3</v>
      </c>
      <c r="I1686" s="3">
        <v>60.26</v>
      </c>
    </row>
    <row r="1687" spans="1:9" x14ac:dyDescent="0.3">
      <c r="A1687" s="4">
        <v>42492</v>
      </c>
      <c r="B1687" s="5" t="s">
        <v>690</v>
      </c>
      <c r="C1687" s="5" t="s">
        <v>21</v>
      </c>
      <c r="D1687" s="5" t="s">
        <v>2</v>
      </c>
      <c r="E1687" s="5" t="s">
        <v>9</v>
      </c>
      <c r="F1687" s="5" t="s">
        <v>1576</v>
      </c>
      <c r="G1687" s="5">
        <v>154.44</v>
      </c>
      <c r="H1687" s="5">
        <v>3</v>
      </c>
      <c r="I1687" s="6">
        <v>1.54</v>
      </c>
    </row>
    <row r="1688" spans="1:9" x14ac:dyDescent="0.3">
      <c r="A1688" s="1">
        <v>42492</v>
      </c>
      <c r="B1688" s="2" t="s">
        <v>690</v>
      </c>
      <c r="C1688" s="2" t="s">
        <v>21</v>
      </c>
      <c r="D1688" s="2" t="s">
        <v>2</v>
      </c>
      <c r="E1688" s="2" t="s">
        <v>3</v>
      </c>
      <c r="F1688" s="2" t="s">
        <v>1653</v>
      </c>
      <c r="G1688" s="2">
        <v>342.37</v>
      </c>
      <c r="H1688" s="2">
        <v>7</v>
      </c>
      <c r="I1688" s="3">
        <v>160.91</v>
      </c>
    </row>
    <row r="1689" spans="1:9" x14ac:dyDescent="0.3">
      <c r="A1689" s="4">
        <v>42492</v>
      </c>
      <c r="B1689" s="5" t="s">
        <v>1199</v>
      </c>
      <c r="C1689" s="5" t="s">
        <v>18</v>
      </c>
      <c r="D1689" s="5" t="s">
        <v>2</v>
      </c>
      <c r="E1689" s="5" t="s">
        <v>7</v>
      </c>
      <c r="F1689" s="5" t="s">
        <v>8</v>
      </c>
      <c r="G1689" s="5">
        <v>14.73</v>
      </c>
      <c r="H1689" s="5">
        <v>3</v>
      </c>
      <c r="I1689" s="6">
        <v>7.22</v>
      </c>
    </row>
    <row r="1690" spans="1:9" x14ac:dyDescent="0.3">
      <c r="A1690" s="1">
        <v>42492</v>
      </c>
      <c r="B1690" s="2" t="s">
        <v>1199</v>
      </c>
      <c r="C1690" s="2" t="s">
        <v>18</v>
      </c>
      <c r="D1690" s="2" t="s">
        <v>2</v>
      </c>
      <c r="E1690" s="2" t="s">
        <v>9</v>
      </c>
      <c r="F1690" s="2" t="s">
        <v>1654</v>
      </c>
      <c r="G1690" s="2">
        <v>186.54</v>
      </c>
      <c r="H1690" s="2">
        <v>3</v>
      </c>
      <c r="I1690" s="3">
        <v>50.37</v>
      </c>
    </row>
    <row r="1691" spans="1:9" x14ac:dyDescent="0.3">
      <c r="A1691" s="4">
        <v>42492</v>
      </c>
      <c r="B1691" s="5" t="s">
        <v>1199</v>
      </c>
      <c r="C1691" s="5" t="s">
        <v>18</v>
      </c>
      <c r="D1691" s="5" t="s">
        <v>25</v>
      </c>
      <c r="E1691" s="5" t="s">
        <v>86</v>
      </c>
      <c r="F1691" s="5" t="s">
        <v>1186</v>
      </c>
      <c r="G1691" s="5">
        <v>557.73</v>
      </c>
      <c r="H1691" s="5">
        <v>4</v>
      </c>
      <c r="I1691" s="6">
        <v>6.97</v>
      </c>
    </row>
    <row r="1692" spans="1:9" x14ac:dyDescent="0.3">
      <c r="A1692" s="1">
        <v>42492</v>
      </c>
      <c r="B1692" s="2" t="s">
        <v>1199</v>
      </c>
      <c r="C1692" s="2" t="s">
        <v>18</v>
      </c>
      <c r="D1692" s="2" t="s">
        <v>30</v>
      </c>
      <c r="E1692" s="2" t="s">
        <v>31</v>
      </c>
      <c r="F1692" s="2" t="s">
        <v>1655</v>
      </c>
      <c r="G1692" s="2">
        <v>159.97</v>
      </c>
      <c r="H1692" s="2">
        <v>4</v>
      </c>
      <c r="I1692" s="3">
        <v>-31.99</v>
      </c>
    </row>
    <row r="1693" spans="1:9" x14ac:dyDescent="0.3">
      <c r="A1693" s="4">
        <v>42523</v>
      </c>
      <c r="B1693" s="5" t="s">
        <v>1492</v>
      </c>
      <c r="C1693" s="5" t="s">
        <v>411</v>
      </c>
      <c r="D1693" s="5" t="s">
        <v>25</v>
      </c>
      <c r="E1693" s="5" t="s">
        <v>38</v>
      </c>
      <c r="F1693" s="5" t="s">
        <v>347</v>
      </c>
      <c r="G1693" s="5">
        <v>132.22</v>
      </c>
      <c r="H1693" s="5">
        <v>4</v>
      </c>
      <c r="I1693" s="6">
        <v>-18.18</v>
      </c>
    </row>
    <row r="1694" spans="1:9" x14ac:dyDescent="0.3">
      <c r="A1694" s="1">
        <v>42553</v>
      </c>
      <c r="B1694" s="2" t="s">
        <v>1656</v>
      </c>
      <c r="C1694" s="2" t="s">
        <v>46</v>
      </c>
      <c r="D1694" s="2" t="s">
        <v>30</v>
      </c>
      <c r="E1694" s="2" t="s">
        <v>43</v>
      </c>
      <c r="F1694" s="2" t="s">
        <v>1657</v>
      </c>
      <c r="G1694" s="2">
        <v>100</v>
      </c>
      <c r="H1694" s="2">
        <v>4</v>
      </c>
      <c r="I1694" s="3">
        <v>21</v>
      </c>
    </row>
    <row r="1695" spans="1:9" x14ac:dyDescent="0.3">
      <c r="A1695" s="4">
        <v>42553</v>
      </c>
      <c r="B1695" s="5" t="s">
        <v>1656</v>
      </c>
      <c r="C1695" s="5" t="s">
        <v>46</v>
      </c>
      <c r="D1695" s="5" t="s">
        <v>2</v>
      </c>
      <c r="E1695" s="5" t="s">
        <v>7</v>
      </c>
      <c r="F1695" s="5" t="s">
        <v>1597</v>
      </c>
      <c r="G1695" s="5">
        <v>7.83</v>
      </c>
      <c r="H1695" s="5">
        <v>3</v>
      </c>
      <c r="I1695" s="6">
        <v>3.6</v>
      </c>
    </row>
    <row r="1696" spans="1:9" x14ac:dyDescent="0.3">
      <c r="A1696" s="1">
        <v>42553</v>
      </c>
      <c r="B1696" s="2" t="s">
        <v>1658</v>
      </c>
      <c r="C1696" s="2" t="s">
        <v>127</v>
      </c>
      <c r="D1696" s="2" t="s">
        <v>2</v>
      </c>
      <c r="E1696" s="2" t="s">
        <v>3</v>
      </c>
      <c r="F1696" s="2" t="s">
        <v>889</v>
      </c>
      <c r="G1696" s="2">
        <v>30.35</v>
      </c>
      <c r="H1696" s="2">
        <v>2</v>
      </c>
      <c r="I1696" s="3">
        <v>10.62</v>
      </c>
    </row>
    <row r="1697" spans="1:9" x14ac:dyDescent="0.3">
      <c r="A1697" s="4">
        <v>42553</v>
      </c>
      <c r="B1697" s="5" t="s">
        <v>1632</v>
      </c>
      <c r="C1697" s="5" t="s">
        <v>18</v>
      </c>
      <c r="D1697" s="5" t="s">
        <v>30</v>
      </c>
      <c r="E1697" s="5" t="s">
        <v>31</v>
      </c>
      <c r="F1697" s="5" t="s">
        <v>1659</v>
      </c>
      <c r="G1697" s="5">
        <v>623.96</v>
      </c>
      <c r="H1697" s="5">
        <v>5</v>
      </c>
      <c r="I1697" s="6">
        <v>39</v>
      </c>
    </row>
    <row r="1698" spans="1:9" x14ac:dyDescent="0.3">
      <c r="A1698" s="1">
        <v>42584</v>
      </c>
      <c r="B1698" s="2" t="s">
        <v>1660</v>
      </c>
      <c r="C1698" s="2" t="s">
        <v>121</v>
      </c>
      <c r="D1698" s="2" t="s">
        <v>30</v>
      </c>
      <c r="E1698" s="2" t="s">
        <v>31</v>
      </c>
      <c r="F1698" s="2" t="s">
        <v>1661</v>
      </c>
      <c r="G1698" s="2">
        <v>1127.98</v>
      </c>
      <c r="H1698" s="2">
        <v>3</v>
      </c>
      <c r="I1698" s="3">
        <v>126.9</v>
      </c>
    </row>
    <row r="1699" spans="1:9" x14ac:dyDescent="0.3">
      <c r="A1699" s="4">
        <v>42584</v>
      </c>
      <c r="B1699" s="5" t="s">
        <v>68</v>
      </c>
      <c r="C1699" s="5" t="s">
        <v>1</v>
      </c>
      <c r="D1699" s="5" t="s">
        <v>25</v>
      </c>
      <c r="E1699" s="5" t="s">
        <v>26</v>
      </c>
      <c r="F1699" s="5" t="s">
        <v>107</v>
      </c>
      <c r="G1699" s="5">
        <v>241.5</v>
      </c>
      <c r="H1699" s="5">
        <v>4</v>
      </c>
      <c r="I1699" s="6">
        <v>0</v>
      </c>
    </row>
    <row r="1700" spans="1:9" x14ac:dyDescent="0.3">
      <c r="A1700" s="1">
        <v>42615</v>
      </c>
      <c r="B1700" s="2" t="s">
        <v>1662</v>
      </c>
      <c r="C1700" s="2" t="s">
        <v>18</v>
      </c>
      <c r="D1700" s="2" t="s">
        <v>30</v>
      </c>
      <c r="E1700" s="2" t="s">
        <v>43</v>
      </c>
      <c r="F1700" s="2" t="s">
        <v>951</v>
      </c>
      <c r="G1700" s="2">
        <v>89.97</v>
      </c>
      <c r="H1700" s="2">
        <v>3</v>
      </c>
      <c r="I1700" s="3">
        <v>39.590000000000003</v>
      </c>
    </row>
    <row r="1701" spans="1:9" x14ac:dyDescent="0.3">
      <c r="A1701" s="4">
        <v>42615</v>
      </c>
      <c r="B1701" s="5" t="s">
        <v>1662</v>
      </c>
      <c r="C1701" s="5" t="s">
        <v>18</v>
      </c>
      <c r="D1701" s="5" t="s">
        <v>30</v>
      </c>
      <c r="E1701" s="5" t="s">
        <v>43</v>
      </c>
      <c r="F1701" s="5" t="s">
        <v>1618</v>
      </c>
      <c r="G1701" s="5">
        <v>31.86</v>
      </c>
      <c r="H1701" s="5">
        <v>2</v>
      </c>
      <c r="I1701" s="6">
        <v>11.15</v>
      </c>
    </row>
    <row r="1702" spans="1:9" x14ac:dyDescent="0.3">
      <c r="A1702" s="1">
        <v>42676</v>
      </c>
      <c r="B1702" s="2" t="s">
        <v>1663</v>
      </c>
      <c r="C1702" s="2" t="s">
        <v>640</v>
      </c>
      <c r="D1702" s="2" t="s">
        <v>30</v>
      </c>
      <c r="E1702" s="2" t="s">
        <v>31</v>
      </c>
      <c r="F1702" s="2" t="s">
        <v>1664</v>
      </c>
      <c r="G1702" s="2">
        <v>69.930000000000007</v>
      </c>
      <c r="H1702" s="2">
        <v>7</v>
      </c>
      <c r="I1702" s="3">
        <v>0.7</v>
      </c>
    </row>
    <row r="1703" spans="1:9" x14ac:dyDescent="0.3">
      <c r="A1703" s="4">
        <v>42706</v>
      </c>
      <c r="B1703" s="5" t="s">
        <v>261</v>
      </c>
      <c r="C1703" s="5" t="s">
        <v>21</v>
      </c>
      <c r="D1703" s="5" t="s">
        <v>2</v>
      </c>
      <c r="E1703" s="5" t="s">
        <v>9</v>
      </c>
      <c r="F1703" s="5" t="s">
        <v>866</v>
      </c>
      <c r="G1703" s="5">
        <v>1350.12</v>
      </c>
      <c r="H1703" s="5">
        <v>6</v>
      </c>
      <c r="I1703" s="6">
        <v>175.52</v>
      </c>
    </row>
    <row r="1704" spans="1:9" x14ac:dyDescent="0.3">
      <c r="A1704" s="1">
        <v>42706</v>
      </c>
      <c r="B1704" s="2" t="s">
        <v>261</v>
      </c>
      <c r="C1704" s="2" t="s">
        <v>21</v>
      </c>
      <c r="D1704" s="2" t="s">
        <v>2</v>
      </c>
      <c r="E1704" s="2" t="s">
        <v>11</v>
      </c>
      <c r="F1704" s="2" t="s">
        <v>1354</v>
      </c>
      <c r="G1704" s="2">
        <v>15.92</v>
      </c>
      <c r="H1704" s="2">
        <v>4</v>
      </c>
      <c r="I1704" s="3">
        <v>7.48</v>
      </c>
    </row>
    <row r="1705" spans="1:9" x14ac:dyDescent="0.3">
      <c r="A1705" s="4">
        <v>42372</v>
      </c>
      <c r="B1705" s="5" t="s">
        <v>907</v>
      </c>
      <c r="C1705" s="5" t="s">
        <v>80</v>
      </c>
      <c r="D1705" s="5" t="s">
        <v>25</v>
      </c>
      <c r="E1705" s="5" t="s">
        <v>86</v>
      </c>
      <c r="F1705" s="5" t="s">
        <v>1186</v>
      </c>
      <c r="G1705" s="5">
        <v>836.59</v>
      </c>
      <c r="H1705" s="5">
        <v>8</v>
      </c>
      <c r="I1705" s="6">
        <v>-264.92</v>
      </c>
    </row>
    <row r="1706" spans="1:9" x14ac:dyDescent="0.3">
      <c r="A1706" s="1">
        <v>42372</v>
      </c>
      <c r="B1706" s="2" t="s">
        <v>907</v>
      </c>
      <c r="C1706" s="2" t="s">
        <v>80</v>
      </c>
      <c r="D1706" s="2" t="s">
        <v>2</v>
      </c>
      <c r="E1706" s="2" t="s">
        <v>3</v>
      </c>
      <c r="F1706" s="2" t="s">
        <v>315</v>
      </c>
      <c r="G1706" s="2">
        <v>26.38</v>
      </c>
      <c r="H1706" s="2">
        <v>1</v>
      </c>
      <c r="I1706" s="3">
        <v>12.13</v>
      </c>
    </row>
    <row r="1707" spans="1:9" x14ac:dyDescent="0.3">
      <c r="A1707" s="4">
        <v>42372</v>
      </c>
      <c r="B1707" s="5" t="s">
        <v>907</v>
      </c>
      <c r="C1707" s="5" t="s">
        <v>80</v>
      </c>
      <c r="D1707" s="5" t="s">
        <v>2</v>
      </c>
      <c r="E1707" s="5" t="s">
        <v>9</v>
      </c>
      <c r="F1707" s="5" t="s">
        <v>829</v>
      </c>
      <c r="G1707" s="5">
        <v>362.92</v>
      </c>
      <c r="H1707" s="5">
        <v>2</v>
      </c>
      <c r="I1707" s="6">
        <v>105.25</v>
      </c>
    </row>
    <row r="1708" spans="1:9" x14ac:dyDescent="0.3">
      <c r="A1708" s="1">
        <v>42372</v>
      </c>
      <c r="B1708" s="2" t="s">
        <v>907</v>
      </c>
      <c r="C1708" s="2" t="s">
        <v>80</v>
      </c>
      <c r="D1708" s="2" t="s">
        <v>30</v>
      </c>
      <c r="E1708" s="2" t="s">
        <v>625</v>
      </c>
      <c r="F1708" s="2" t="s">
        <v>1665</v>
      </c>
      <c r="G1708" s="2">
        <v>4899.93</v>
      </c>
      <c r="H1708" s="2">
        <v>7</v>
      </c>
      <c r="I1708" s="3">
        <v>2400.9699999999998</v>
      </c>
    </row>
    <row r="1709" spans="1:9" x14ac:dyDescent="0.3">
      <c r="A1709" s="4">
        <v>42372</v>
      </c>
      <c r="B1709" s="5" t="s">
        <v>850</v>
      </c>
      <c r="C1709" s="5" t="s">
        <v>163</v>
      </c>
      <c r="D1709" s="5" t="s">
        <v>30</v>
      </c>
      <c r="E1709" s="5" t="s">
        <v>31</v>
      </c>
      <c r="F1709" s="5" t="s">
        <v>1666</v>
      </c>
      <c r="G1709" s="5">
        <v>159.97999999999999</v>
      </c>
      <c r="H1709" s="5">
        <v>2</v>
      </c>
      <c r="I1709" s="6">
        <v>14</v>
      </c>
    </row>
    <row r="1710" spans="1:9" x14ac:dyDescent="0.3">
      <c r="A1710" s="1">
        <v>42432</v>
      </c>
      <c r="B1710" s="2" t="s">
        <v>416</v>
      </c>
      <c r="C1710" s="2" t="s">
        <v>50</v>
      </c>
      <c r="D1710" s="2" t="s">
        <v>2</v>
      </c>
      <c r="E1710" s="2" t="s">
        <v>11</v>
      </c>
      <c r="F1710" s="2" t="s">
        <v>672</v>
      </c>
      <c r="G1710" s="2">
        <v>447.86</v>
      </c>
      <c r="H1710" s="2">
        <v>7</v>
      </c>
      <c r="I1710" s="3">
        <v>219.45</v>
      </c>
    </row>
    <row r="1711" spans="1:9" x14ac:dyDescent="0.3">
      <c r="A1711" s="4">
        <v>42432</v>
      </c>
      <c r="B1711" s="5" t="s">
        <v>416</v>
      </c>
      <c r="C1711" s="5" t="s">
        <v>50</v>
      </c>
      <c r="D1711" s="5" t="s">
        <v>30</v>
      </c>
      <c r="E1711" s="5" t="s">
        <v>31</v>
      </c>
      <c r="F1711" s="5" t="s">
        <v>278</v>
      </c>
      <c r="G1711" s="5">
        <v>479.95</v>
      </c>
      <c r="H1711" s="5">
        <v>5</v>
      </c>
      <c r="I1711" s="6">
        <v>129.59</v>
      </c>
    </row>
    <row r="1712" spans="1:9" x14ac:dyDescent="0.3">
      <c r="A1712" s="1">
        <v>42432</v>
      </c>
      <c r="B1712" s="2" t="s">
        <v>416</v>
      </c>
      <c r="C1712" s="2" t="s">
        <v>50</v>
      </c>
      <c r="D1712" s="2" t="s">
        <v>2</v>
      </c>
      <c r="E1712" s="2" t="s">
        <v>3</v>
      </c>
      <c r="F1712" s="2" t="s">
        <v>238</v>
      </c>
      <c r="G1712" s="2">
        <v>166.44</v>
      </c>
      <c r="H1712" s="2">
        <v>3</v>
      </c>
      <c r="I1712" s="3">
        <v>79.89</v>
      </c>
    </row>
    <row r="1713" spans="1:9" x14ac:dyDescent="0.3">
      <c r="A1713" s="4">
        <v>42432</v>
      </c>
      <c r="B1713" s="5" t="s">
        <v>1667</v>
      </c>
      <c r="C1713" s="5" t="s">
        <v>1</v>
      </c>
      <c r="D1713" s="5" t="s">
        <v>2</v>
      </c>
      <c r="E1713" s="5" t="s">
        <v>3</v>
      </c>
      <c r="F1713" s="5" t="s">
        <v>1668</v>
      </c>
      <c r="G1713" s="5">
        <v>42.78</v>
      </c>
      <c r="H1713" s="5">
        <v>7</v>
      </c>
      <c r="I1713" s="6">
        <v>15.51</v>
      </c>
    </row>
    <row r="1714" spans="1:9" x14ac:dyDescent="0.3">
      <c r="A1714" s="1">
        <v>42432</v>
      </c>
      <c r="B1714" s="2" t="s">
        <v>1667</v>
      </c>
      <c r="C1714" s="2" t="s">
        <v>1</v>
      </c>
      <c r="D1714" s="2" t="s">
        <v>25</v>
      </c>
      <c r="E1714" s="2" t="s">
        <v>26</v>
      </c>
      <c r="F1714" s="2" t="s">
        <v>1483</v>
      </c>
      <c r="G1714" s="2">
        <v>563.42999999999995</v>
      </c>
      <c r="H1714" s="2">
        <v>5</v>
      </c>
      <c r="I1714" s="3">
        <v>-56.34</v>
      </c>
    </row>
    <row r="1715" spans="1:9" x14ac:dyDescent="0.3">
      <c r="A1715" s="4">
        <v>42432</v>
      </c>
      <c r="B1715" s="5" t="s">
        <v>1414</v>
      </c>
      <c r="C1715" s="5" t="s">
        <v>283</v>
      </c>
      <c r="D1715" s="5" t="s">
        <v>30</v>
      </c>
      <c r="E1715" s="5" t="s">
        <v>31</v>
      </c>
      <c r="F1715" s="5" t="s">
        <v>1669</v>
      </c>
      <c r="G1715" s="5">
        <v>134.85</v>
      </c>
      <c r="H1715" s="5">
        <v>3</v>
      </c>
      <c r="I1715" s="6">
        <v>37.76</v>
      </c>
    </row>
    <row r="1716" spans="1:9" x14ac:dyDescent="0.3">
      <c r="A1716" s="1">
        <v>42432</v>
      </c>
      <c r="B1716" s="2" t="s">
        <v>710</v>
      </c>
      <c r="C1716" s="2" t="s">
        <v>1</v>
      </c>
      <c r="D1716" s="2" t="s">
        <v>25</v>
      </c>
      <c r="E1716" s="2" t="s">
        <v>86</v>
      </c>
      <c r="F1716" s="2" t="s">
        <v>1670</v>
      </c>
      <c r="G1716" s="2">
        <v>637.9</v>
      </c>
      <c r="H1716" s="2">
        <v>3</v>
      </c>
      <c r="I1716" s="3">
        <v>-127.58</v>
      </c>
    </row>
    <row r="1717" spans="1:9" x14ac:dyDescent="0.3">
      <c r="A1717" s="4">
        <v>42432</v>
      </c>
      <c r="B1717" s="5" t="s">
        <v>710</v>
      </c>
      <c r="C1717" s="5" t="s">
        <v>1</v>
      </c>
      <c r="D1717" s="5" t="s">
        <v>30</v>
      </c>
      <c r="E1717" s="5" t="s">
        <v>625</v>
      </c>
      <c r="F1717" s="5" t="s">
        <v>1505</v>
      </c>
      <c r="G1717" s="5">
        <v>287.91000000000003</v>
      </c>
      <c r="H1717" s="5">
        <v>3</v>
      </c>
      <c r="I1717" s="6">
        <v>33.590000000000003</v>
      </c>
    </row>
    <row r="1718" spans="1:9" x14ac:dyDescent="0.3">
      <c r="A1718" s="1">
        <v>42432</v>
      </c>
      <c r="B1718" s="2" t="s">
        <v>710</v>
      </c>
      <c r="C1718" s="2" t="s">
        <v>1</v>
      </c>
      <c r="D1718" s="2" t="s">
        <v>2</v>
      </c>
      <c r="E1718" s="2" t="s">
        <v>114</v>
      </c>
      <c r="F1718" s="2" t="s">
        <v>1497</v>
      </c>
      <c r="G1718" s="2">
        <v>36.6</v>
      </c>
      <c r="H1718" s="2">
        <v>3</v>
      </c>
      <c r="I1718" s="3">
        <v>11.9</v>
      </c>
    </row>
    <row r="1719" spans="1:9" x14ac:dyDescent="0.3">
      <c r="A1719" s="4">
        <v>42432</v>
      </c>
      <c r="B1719" s="5" t="s">
        <v>1671</v>
      </c>
      <c r="C1719" s="5" t="s">
        <v>18</v>
      </c>
      <c r="D1719" s="5" t="s">
        <v>2</v>
      </c>
      <c r="E1719" s="5" t="s">
        <v>144</v>
      </c>
      <c r="F1719" s="5" t="s">
        <v>1672</v>
      </c>
      <c r="G1719" s="5">
        <v>25.35</v>
      </c>
      <c r="H1719" s="5">
        <v>3</v>
      </c>
      <c r="I1719" s="6">
        <v>7.61</v>
      </c>
    </row>
    <row r="1720" spans="1:9" x14ac:dyDescent="0.3">
      <c r="A1720" s="1">
        <v>42432</v>
      </c>
      <c r="B1720" s="2" t="s">
        <v>1671</v>
      </c>
      <c r="C1720" s="2" t="s">
        <v>18</v>
      </c>
      <c r="D1720" s="2" t="s">
        <v>25</v>
      </c>
      <c r="E1720" s="2" t="s">
        <v>38</v>
      </c>
      <c r="F1720" s="2" t="s">
        <v>1209</v>
      </c>
      <c r="G1720" s="2">
        <v>35.28</v>
      </c>
      <c r="H1720" s="2">
        <v>3</v>
      </c>
      <c r="I1720" s="3">
        <v>12</v>
      </c>
    </row>
    <row r="1721" spans="1:9" x14ac:dyDescent="0.3">
      <c r="A1721" s="4">
        <v>42432</v>
      </c>
      <c r="B1721" s="5" t="s">
        <v>1433</v>
      </c>
      <c r="C1721" s="5" t="s">
        <v>1</v>
      </c>
      <c r="D1721" s="5" t="s">
        <v>2</v>
      </c>
      <c r="E1721" s="5" t="s">
        <v>144</v>
      </c>
      <c r="F1721" s="5" t="s">
        <v>1673</v>
      </c>
      <c r="G1721" s="5">
        <v>3930.07</v>
      </c>
      <c r="H1721" s="5">
        <v>3</v>
      </c>
      <c r="I1721" s="6">
        <v>-786.01</v>
      </c>
    </row>
    <row r="1722" spans="1:9" x14ac:dyDescent="0.3">
      <c r="A1722" s="1">
        <v>42432</v>
      </c>
      <c r="B1722" s="2" t="s">
        <v>1433</v>
      </c>
      <c r="C1722" s="2" t="s">
        <v>1</v>
      </c>
      <c r="D1722" s="2" t="s">
        <v>2</v>
      </c>
      <c r="E1722" s="2" t="s">
        <v>34</v>
      </c>
      <c r="F1722" s="2" t="s">
        <v>264</v>
      </c>
      <c r="G1722" s="2">
        <v>2.2999999999999998</v>
      </c>
      <c r="H1722" s="2">
        <v>1</v>
      </c>
      <c r="I1722" s="3">
        <v>0.78</v>
      </c>
    </row>
    <row r="1723" spans="1:9" x14ac:dyDescent="0.3">
      <c r="A1723" s="4">
        <v>42432</v>
      </c>
      <c r="B1723" s="5" t="s">
        <v>1433</v>
      </c>
      <c r="C1723" s="5" t="s">
        <v>1</v>
      </c>
      <c r="D1723" s="5" t="s">
        <v>30</v>
      </c>
      <c r="E1723" s="5" t="s">
        <v>31</v>
      </c>
      <c r="F1723" s="5" t="s">
        <v>490</v>
      </c>
      <c r="G1723" s="5">
        <v>431.98</v>
      </c>
      <c r="H1723" s="5">
        <v>3</v>
      </c>
      <c r="I1723" s="6">
        <v>32.4</v>
      </c>
    </row>
    <row r="1724" spans="1:9" x14ac:dyDescent="0.3">
      <c r="A1724" s="1">
        <v>42432</v>
      </c>
      <c r="B1724" s="2" t="s">
        <v>1433</v>
      </c>
      <c r="C1724" s="2" t="s">
        <v>1</v>
      </c>
      <c r="D1724" s="2" t="s">
        <v>30</v>
      </c>
      <c r="E1724" s="2" t="s">
        <v>43</v>
      </c>
      <c r="F1724" s="2" t="s">
        <v>506</v>
      </c>
      <c r="G1724" s="2">
        <v>41.72</v>
      </c>
      <c r="H1724" s="2">
        <v>7</v>
      </c>
      <c r="I1724" s="3">
        <v>5.74</v>
      </c>
    </row>
    <row r="1725" spans="1:9" x14ac:dyDescent="0.3">
      <c r="A1725" s="4">
        <v>42463</v>
      </c>
      <c r="B1725" s="5" t="s">
        <v>1674</v>
      </c>
      <c r="C1725" s="5" t="s">
        <v>18</v>
      </c>
      <c r="D1725" s="5" t="s">
        <v>2</v>
      </c>
      <c r="E1725" s="5" t="s">
        <v>15</v>
      </c>
      <c r="F1725" s="5" t="s">
        <v>1675</v>
      </c>
      <c r="G1725" s="5">
        <v>16.989999999999998</v>
      </c>
      <c r="H1725" s="5">
        <v>1</v>
      </c>
      <c r="I1725" s="6">
        <v>4.93</v>
      </c>
    </row>
    <row r="1726" spans="1:9" x14ac:dyDescent="0.3">
      <c r="A1726" s="1">
        <v>42463</v>
      </c>
      <c r="B1726" s="2" t="s">
        <v>1676</v>
      </c>
      <c r="C1726" s="2" t="s">
        <v>58</v>
      </c>
      <c r="D1726" s="2" t="s">
        <v>2</v>
      </c>
      <c r="E1726" s="2" t="s">
        <v>7</v>
      </c>
      <c r="F1726" s="2" t="s">
        <v>196</v>
      </c>
      <c r="G1726" s="2">
        <v>10.08</v>
      </c>
      <c r="H1726" s="2">
        <v>4</v>
      </c>
      <c r="I1726" s="3">
        <v>3.53</v>
      </c>
    </row>
    <row r="1727" spans="1:9" x14ac:dyDescent="0.3">
      <c r="A1727" s="4">
        <v>42463</v>
      </c>
      <c r="B1727" s="5" t="s">
        <v>413</v>
      </c>
      <c r="C1727" s="5" t="s">
        <v>283</v>
      </c>
      <c r="D1727" s="5" t="s">
        <v>2</v>
      </c>
      <c r="E1727" s="5" t="s">
        <v>11</v>
      </c>
      <c r="F1727" s="5" t="s">
        <v>414</v>
      </c>
      <c r="G1727" s="5">
        <v>128.4</v>
      </c>
      <c r="H1727" s="5">
        <v>3</v>
      </c>
      <c r="I1727" s="6">
        <v>64.2</v>
      </c>
    </row>
    <row r="1728" spans="1:9" x14ac:dyDescent="0.3">
      <c r="A1728" s="1">
        <v>42463</v>
      </c>
      <c r="B1728" s="2" t="s">
        <v>1214</v>
      </c>
      <c r="C1728" s="2" t="s">
        <v>1558</v>
      </c>
      <c r="D1728" s="2" t="s">
        <v>30</v>
      </c>
      <c r="E1728" s="2" t="s">
        <v>43</v>
      </c>
      <c r="F1728" s="2" t="s">
        <v>935</v>
      </c>
      <c r="G1728" s="2">
        <v>159.97999999999999</v>
      </c>
      <c r="H1728" s="2">
        <v>2</v>
      </c>
      <c r="I1728" s="3">
        <v>57.59</v>
      </c>
    </row>
    <row r="1729" spans="1:9" x14ac:dyDescent="0.3">
      <c r="A1729" s="4">
        <v>42493</v>
      </c>
      <c r="B1729" s="5" t="s">
        <v>1677</v>
      </c>
      <c r="C1729" s="5" t="s">
        <v>1</v>
      </c>
      <c r="D1729" s="5" t="s">
        <v>2</v>
      </c>
      <c r="E1729" s="5" t="s">
        <v>114</v>
      </c>
      <c r="F1729" s="5" t="s">
        <v>976</v>
      </c>
      <c r="G1729" s="5">
        <v>149.35</v>
      </c>
      <c r="H1729" s="5">
        <v>3</v>
      </c>
      <c r="I1729" s="6">
        <v>50.41</v>
      </c>
    </row>
    <row r="1730" spans="1:9" x14ac:dyDescent="0.3">
      <c r="A1730" s="1">
        <v>42493</v>
      </c>
      <c r="B1730" s="2" t="s">
        <v>1677</v>
      </c>
      <c r="C1730" s="2" t="s">
        <v>1</v>
      </c>
      <c r="D1730" s="2" t="s">
        <v>2</v>
      </c>
      <c r="E1730" s="2" t="s">
        <v>9</v>
      </c>
      <c r="F1730" s="2" t="s">
        <v>81</v>
      </c>
      <c r="G1730" s="2">
        <v>12.99</v>
      </c>
      <c r="H1730" s="2">
        <v>1</v>
      </c>
      <c r="I1730" s="3">
        <v>-0.81</v>
      </c>
    </row>
    <row r="1731" spans="1:9" x14ac:dyDescent="0.3">
      <c r="A1731" s="4">
        <v>42524</v>
      </c>
      <c r="B1731" s="5" t="s">
        <v>1171</v>
      </c>
      <c r="C1731" s="5" t="s">
        <v>14</v>
      </c>
      <c r="D1731" s="5" t="s">
        <v>30</v>
      </c>
      <c r="E1731" s="5" t="s">
        <v>31</v>
      </c>
      <c r="F1731" s="5" t="s">
        <v>442</v>
      </c>
      <c r="G1731" s="5">
        <v>431.94</v>
      </c>
      <c r="H1731" s="5">
        <v>2</v>
      </c>
      <c r="I1731" s="6">
        <v>-71.989999999999995</v>
      </c>
    </row>
    <row r="1732" spans="1:9" x14ac:dyDescent="0.3">
      <c r="A1732" s="1">
        <v>42524</v>
      </c>
      <c r="B1732" s="2" t="s">
        <v>1171</v>
      </c>
      <c r="C1732" s="2" t="s">
        <v>14</v>
      </c>
      <c r="D1732" s="2" t="s">
        <v>2</v>
      </c>
      <c r="E1732" s="2" t="s">
        <v>11</v>
      </c>
      <c r="F1732" s="2" t="s">
        <v>839</v>
      </c>
      <c r="G1732" s="2">
        <v>2.04</v>
      </c>
      <c r="H1732" s="2">
        <v>1</v>
      </c>
      <c r="I1732" s="3">
        <v>-1.5</v>
      </c>
    </row>
    <row r="1733" spans="1:9" x14ac:dyDescent="0.3">
      <c r="A1733" s="4">
        <v>42524</v>
      </c>
      <c r="B1733" s="5" t="s">
        <v>1171</v>
      </c>
      <c r="C1733" s="5" t="s">
        <v>14</v>
      </c>
      <c r="D1733" s="5" t="s">
        <v>30</v>
      </c>
      <c r="E1733" s="5" t="s">
        <v>31</v>
      </c>
      <c r="F1733" s="5" t="s">
        <v>1678</v>
      </c>
      <c r="G1733" s="5">
        <v>68.239999999999995</v>
      </c>
      <c r="H1733" s="5">
        <v>3</v>
      </c>
      <c r="I1733" s="6">
        <v>-12.51</v>
      </c>
    </row>
    <row r="1734" spans="1:9" x14ac:dyDescent="0.3">
      <c r="A1734" s="1">
        <v>42524</v>
      </c>
      <c r="B1734" s="2" t="s">
        <v>1176</v>
      </c>
      <c r="C1734" s="2" t="s">
        <v>6</v>
      </c>
      <c r="D1734" s="2" t="s">
        <v>2</v>
      </c>
      <c r="E1734" s="2" t="s">
        <v>133</v>
      </c>
      <c r="F1734" s="2" t="s">
        <v>391</v>
      </c>
      <c r="G1734" s="2">
        <v>2.33</v>
      </c>
      <c r="H1734" s="2">
        <v>3</v>
      </c>
      <c r="I1734" s="3">
        <v>-6.3</v>
      </c>
    </row>
    <row r="1735" spans="1:9" x14ac:dyDescent="0.3">
      <c r="A1735" s="4">
        <v>42524</v>
      </c>
      <c r="B1735" s="5" t="s">
        <v>1176</v>
      </c>
      <c r="C1735" s="5" t="s">
        <v>6</v>
      </c>
      <c r="D1735" s="5" t="s">
        <v>2</v>
      </c>
      <c r="E1735" s="5" t="s">
        <v>11</v>
      </c>
      <c r="F1735" s="5" t="s">
        <v>1679</v>
      </c>
      <c r="G1735" s="5">
        <v>1.73</v>
      </c>
      <c r="H1735" s="5">
        <v>4</v>
      </c>
      <c r="I1735" s="6">
        <v>-2.76</v>
      </c>
    </row>
    <row r="1736" spans="1:9" x14ac:dyDescent="0.3">
      <c r="A1736" s="1">
        <v>42524</v>
      </c>
      <c r="B1736" s="2" t="s">
        <v>1176</v>
      </c>
      <c r="C1736" s="2" t="s">
        <v>6</v>
      </c>
      <c r="D1736" s="2" t="s">
        <v>25</v>
      </c>
      <c r="E1736" s="2" t="s">
        <v>38</v>
      </c>
      <c r="F1736" s="2" t="s">
        <v>1680</v>
      </c>
      <c r="G1736" s="2">
        <v>159.04</v>
      </c>
      <c r="H1736" s="2">
        <v>5</v>
      </c>
      <c r="I1736" s="3">
        <v>-194.82</v>
      </c>
    </row>
    <row r="1737" spans="1:9" x14ac:dyDescent="0.3">
      <c r="A1737" s="4">
        <v>42524</v>
      </c>
      <c r="B1737" s="5" t="s">
        <v>1176</v>
      </c>
      <c r="C1737" s="5" t="s">
        <v>6</v>
      </c>
      <c r="D1737" s="5" t="s">
        <v>25</v>
      </c>
      <c r="E1737" s="5" t="s">
        <v>86</v>
      </c>
      <c r="F1737" s="5" t="s">
        <v>1612</v>
      </c>
      <c r="G1737" s="5">
        <v>145.97999999999999</v>
      </c>
      <c r="H1737" s="5">
        <v>2</v>
      </c>
      <c r="I1737" s="6">
        <v>-99.27</v>
      </c>
    </row>
    <row r="1738" spans="1:9" x14ac:dyDescent="0.3">
      <c r="A1738" s="1">
        <v>42554</v>
      </c>
      <c r="B1738" s="2" t="s">
        <v>471</v>
      </c>
      <c r="C1738" s="2" t="s">
        <v>1</v>
      </c>
      <c r="D1738" s="2" t="s">
        <v>30</v>
      </c>
      <c r="E1738" s="2" t="s">
        <v>31</v>
      </c>
      <c r="F1738" s="2" t="s">
        <v>1681</v>
      </c>
      <c r="G1738" s="2">
        <v>21.07</v>
      </c>
      <c r="H1738" s="2">
        <v>3</v>
      </c>
      <c r="I1738" s="3">
        <v>1.58</v>
      </c>
    </row>
    <row r="1739" spans="1:9" x14ac:dyDescent="0.3">
      <c r="A1739" s="4">
        <v>42585</v>
      </c>
      <c r="B1739" s="5" t="s">
        <v>1682</v>
      </c>
      <c r="C1739" s="5" t="s">
        <v>58</v>
      </c>
      <c r="D1739" s="5" t="s">
        <v>30</v>
      </c>
      <c r="E1739" s="5" t="s">
        <v>31</v>
      </c>
      <c r="F1739" s="5" t="s">
        <v>583</v>
      </c>
      <c r="G1739" s="5">
        <v>1363.96</v>
      </c>
      <c r="H1739" s="5">
        <v>5</v>
      </c>
      <c r="I1739" s="6">
        <v>85.25</v>
      </c>
    </row>
    <row r="1740" spans="1:9" x14ac:dyDescent="0.3">
      <c r="A1740" s="1">
        <v>42585</v>
      </c>
      <c r="B1740" s="2" t="s">
        <v>1682</v>
      </c>
      <c r="C1740" s="2" t="s">
        <v>58</v>
      </c>
      <c r="D1740" s="2" t="s">
        <v>25</v>
      </c>
      <c r="E1740" s="2" t="s">
        <v>38</v>
      </c>
      <c r="F1740" s="2" t="s">
        <v>720</v>
      </c>
      <c r="G1740" s="2">
        <v>102.36</v>
      </c>
      <c r="H1740" s="2">
        <v>3</v>
      </c>
      <c r="I1740" s="3">
        <v>-3.84</v>
      </c>
    </row>
    <row r="1741" spans="1:9" x14ac:dyDescent="0.3">
      <c r="A1741" s="4">
        <v>42585</v>
      </c>
      <c r="B1741" s="5" t="s">
        <v>327</v>
      </c>
      <c r="C1741" s="5" t="s">
        <v>253</v>
      </c>
      <c r="D1741" s="5" t="s">
        <v>2</v>
      </c>
      <c r="E1741" s="5" t="s">
        <v>11</v>
      </c>
      <c r="F1741" s="5" t="s">
        <v>69</v>
      </c>
      <c r="G1741" s="5">
        <v>9.6999999999999993</v>
      </c>
      <c r="H1741" s="5">
        <v>3</v>
      </c>
      <c r="I1741" s="6">
        <v>-7.11</v>
      </c>
    </row>
    <row r="1742" spans="1:9" x14ac:dyDescent="0.3">
      <c r="A1742" s="1">
        <v>42585</v>
      </c>
      <c r="B1742" s="2" t="s">
        <v>1683</v>
      </c>
      <c r="C1742" s="2" t="s">
        <v>14</v>
      </c>
      <c r="D1742" s="2" t="s">
        <v>30</v>
      </c>
      <c r="E1742" s="2" t="s">
        <v>31</v>
      </c>
      <c r="F1742" s="2" t="s">
        <v>60</v>
      </c>
      <c r="G1742" s="2">
        <v>108.58</v>
      </c>
      <c r="H1742" s="2">
        <v>4</v>
      </c>
      <c r="I1742" s="3">
        <v>-25.33</v>
      </c>
    </row>
    <row r="1743" spans="1:9" x14ac:dyDescent="0.3">
      <c r="A1743" s="4">
        <v>42585</v>
      </c>
      <c r="B1743" s="5" t="s">
        <v>1683</v>
      </c>
      <c r="C1743" s="5" t="s">
        <v>14</v>
      </c>
      <c r="D1743" s="5" t="s">
        <v>2</v>
      </c>
      <c r="E1743" s="5" t="s">
        <v>34</v>
      </c>
      <c r="F1743" s="5" t="s">
        <v>1495</v>
      </c>
      <c r="G1743" s="5">
        <v>5.98</v>
      </c>
      <c r="H1743" s="5">
        <v>2</v>
      </c>
      <c r="I1743" s="6">
        <v>-1.35</v>
      </c>
    </row>
    <row r="1744" spans="1:9" x14ac:dyDescent="0.3">
      <c r="A1744" s="1">
        <v>42585</v>
      </c>
      <c r="B1744" s="2" t="s">
        <v>1239</v>
      </c>
      <c r="C1744" s="2" t="s">
        <v>80</v>
      </c>
      <c r="D1744" s="2" t="s">
        <v>25</v>
      </c>
      <c r="E1744" s="2" t="s">
        <v>38</v>
      </c>
      <c r="F1744" s="2" t="s">
        <v>1057</v>
      </c>
      <c r="G1744" s="2">
        <v>113.6</v>
      </c>
      <c r="H1744" s="2">
        <v>8</v>
      </c>
      <c r="I1744" s="3">
        <v>44.3</v>
      </c>
    </row>
    <row r="1745" spans="1:9" x14ac:dyDescent="0.3">
      <c r="A1745" s="4">
        <v>42585</v>
      </c>
      <c r="B1745" s="5" t="s">
        <v>1239</v>
      </c>
      <c r="C1745" s="5" t="s">
        <v>80</v>
      </c>
      <c r="D1745" s="5" t="s">
        <v>2</v>
      </c>
      <c r="E1745" s="5" t="s">
        <v>3</v>
      </c>
      <c r="F1745" s="5" t="s">
        <v>1684</v>
      </c>
      <c r="G1745" s="5">
        <v>12.96</v>
      </c>
      <c r="H1745" s="5">
        <v>2</v>
      </c>
      <c r="I1745" s="6">
        <v>6.35</v>
      </c>
    </row>
    <row r="1746" spans="1:9" x14ac:dyDescent="0.3">
      <c r="A1746" s="1">
        <v>42585</v>
      </c>
      <c r="B1746" s="2" t="s">
        <v>1239</v>
      </c>
      <c r="C1746" s="2" t="s">
        <v>80</v>
      </c>
      <c r="D1746" s="2" t="s">
        <v>2</v>
      </c>
      <c r="E1746" s="2" t="s">
        <v>11</v>
      </c>
      <c r="F1746" s="2" t="s">
        <v>873</v>
      </c>
      <c r="G1746" s="2">
        <v>69.459999999999994</v>
      </c>
      <c r="H1746" s="2">
        <v>2</v>
      </c>
      <c r="I1746" s="3">
        <v>22.57</v>
      </c>
    </row>
    <row r="1747" spans="1:9" x14ac:dyDescent="0.3">
      <c r="A1747" s="4">
        <v>42585</v>
      </c>
      <c r="B1747" s="5" t="s">
        <v>1685</v>
      </c>
      <c r="C1747" s="5" t="s">
        <v>1</v>
      </c>
      <c r="D1747" s="5" t="s">
        <v>2</v>
      </c>
      <c r="E1747" s="5" t="s">
        <v>11</v>
      </c>
      <c r="F1747" s="5" t="s">
        <v>1421</v>
      </c>
      <c r="G1747" s="5">
        <v>8.86</v>
      </c>
      <c r="H1747" s="5">
        <v>9</v>
      </c>
      <c r="I1747" s="6">
        <v>-14.17</v>
      </c>
    </row>
    <row r="1748" spans="1:9" x14ac:dyDescent="0.3">
      <c r="A1748" s="1">
        <v>42585</v>
      </c>
      <c r="B1748" s="2" t="s">
        <v>1685</v>
      </c>
      <c r="C1748" s="2" t="s">
        <v>1</v>
      </c>
      <c r="D1748" s="2" t="s">
        <v>30</v>
      </c>
      <c r="E1748" s="2" t="s">
        <v>43</v>
      </c>
      <c r="F1748" s="2" t="s">
        <v>1686</v>
      </c>
      <c r="G1748" s="2">
        <v>27.96</v>
      </c>
      <c r="H1748" s="2">
        <v>5</v>
      </c>
      <c r="I1748" s="3">
        <v>8.39</v>
      </c>
    </row>
    <row r="1749" spans="1:9" x14ac:dyDescent="0.3">
      <c r="A1749" s="4">
        <v>42585</v>
      </c>
      <c r="B1749" s="5" t="s">
        <v>1685</v>
      </c>
      <c r="C1749" s="5" t="s">
        <v>1</v>
      </c>
      <c r="D1749" s="5" t="s">
        <v>2</v>
      </c>
      <c r="E1749" s="5" t="s">
        <v>114</v>
      </c>
      <c r="F1749" s="5" t="s">
        <v>1687</v>
      </c>
      <c r="G1749" s="5">
        <v>146.35</v>
      </c>
      <c r="H1749" s="5">
        <v>3</v>
      </c>
      <c r="I1749" s="6">
        <v>49.39</v>
      </c>
    </row>
    <row r="1750" spans="1:9" x14ac:dyDescent="0.3">
      <c r="A1750" s="1">
        <v>42585</v>
      </c>
      <c r="B1750" s="2" t="s">
        <v>553</v>
      </c>
      <c r="C1750" s="2" t="s">
        <v>160</v>
      </c>
      <c r="D1750" s="2" t="s">
        <v>2</v>
      </c>
      <c r="E1750" s="2" t="s">
        <v>133</v>
      </c>
      <c r="F1750" s="2" t="s">
        <v>1688</v>
      </c>
      <c r="G1750" s="2">
        <v>207.14</v>
      </c>
      <c r="H1750" s="2">
        <v>3</v>
      </c>
      <c r="I1750" s="3">
        <v>48.33</v>
      </c>
    </row>
    <row r="1751" spans="1:9" x14ac:dyDescent="0.3">
      <c r="A1751" s="4">
        <v>42585</v>
      </c>
      <c r="B1751" s="5" t="s">
        <v>553</v>
      </c>
      <c r="C1751" s="5" t="s">
        <v>160</v>
      </c>
      <c r="D1751" s="5" t="s">
        <v>2</v>
      </c>
      <c r="E1751" s="5" t="s">
        <v>15</v>
      </c>
      <c r="F1751" s="5" t="s">
        <v>482</v>
      </c>
      <c r="G1751" s="5">
        <v>13.9</v>
      </c>
      <c r="H1751" s="5">
        <v>5</v>
      </c>
      <c r="I1751" s="6">
        <v>3.75</v>
      </c>
    </row>
    <row r="1752" spans="1:9" x14ac:dyDescent="0.3">
      <c r="A1752" s="1">
        <v>42616</v>
      </c>
      <c r="B1752" s="2" t="s">
        <v>654</v>
      </c>
      <c r="C1752" s="2" t="s">
        <v>300</v>
      </c>
      <c r="D1752" s="2" t="s">
        <v>30</v>
      </c>
      <c r="E1752" s="2" t="s">
        <v>43</v>
      </c>
      <c r="F1752" s="2" t="s">
        <v>1106</v>
      </c>
      <c r="G1752" s="2">
        <v>199.75</v>
      </c>
      <c r="H1752" s="2">
        <v>5</v>
      </c>
      <c r="I1752" s="3">
        <v>87.89</v>
      </c>
    </row>
    <row r="1753" spans="1:9" x14ac:dyDescent="0.3">
      <c r="A1753" s="4">
        <v>42616</v>
      </c>
      <c r="B1753" s="5" t="s">
        <v>1689</v>
      </c>
      <c r="C1753" s="5" t="s">
        <v>181</v>
      </c>
      <c r="D1753" s="5" t="s">
        <v>2</v>
      </c>
      <c r="E1753" s="5" t="s">
        <v>9</v>
      </c>
      <c r="F1753" s="5" t="s">
        <v>1690</v>
      </c>
      <c r="G1753" s="5">
        <v>11.21</v>
      </c>
      <c r="H1753" s="5">
        <v>1</v>
      </c>
      <c r="I1753" s="6">
        <v>3.36</v>
      </c>
    </row>
    <row r="1754" spans="1:9" x14ac:dyDescent="0.3">
      <c r="A1754" s="1">
        <v>42616</v>
      </c>
      <c r="B1754" s="2" t="s">
        <v>1689</v>
      </c>
      <c r="C1754" s="2" t="s">
        <v>181</v>
      </c>
      <c r="D1754" s="2" t="s">
        <v>25</v>
      </c>
      <c r="E1754" s="2" t="s">
        <v>26</v>
      </c>
      <c r="F1754" s="2" t="s">
        <v>412</v>
      </c>
      <c r="G1754" s="2">
        <v>354.9</v>
      </c>
      <c r="H1754" s="2">
        <v>5</v>
      </c>
      <c r="I1754" s="3">
        <v>88.73</v>
      </c>
    </row>
    <row r="1755" spans="1:9" x14ac:dyDescent="0.3">
      <c r="A1755" s="4">
        <v>42616</v>
      </c>
      <c r="B1755" s="5" t="s">
        <v>1689</v>
      </c>
      <c r="C1755" s="5" t="s">
        <v>181</v>
      </c>
      <c r="D1755" s="5" t="s">
        <v>2</v>
      </c>
      <c r="E1755" s="5" t="s">
        <v>3</v>
      </c>
      <c r="F1755" s="5" t="s">
        <v>1691</v>
      </c>
      <c r="G1755" s="5">
        <v>17.940000000000001</v>
      </c>
      <c r="H1755" s="5">
        <v>3</v>
      </c>
      <c r="I1755" s="6">
        <v>8.7899999999999991</v>
      </c>
    </row>
    <row r="1756" spans="1:9" x14ac:dyDescent="0.3">
      <c r="A1756" s="1">
        <v>42616</v>
      </c>
      <c r="B1756" s="2" t="s">
        <v>1689</v>
      </c>
      <c r="C1756" s="2" t="s">
        <v>181</v>
      </c>
      <c r="D1756" s="2" t="s">
        <v>2</v>
      </c>
      <c r="E1756" s="2" t="s">
        <v>11</v>
      </c>
      <c r="F1756" s="2" t="s">
        <v>1338</v>
      </c>
      <c r="G1756" s="2">
        <v>51.8</v>
      </c>
      <c r="H1756" s="2">
        <v>4</v>
      </c>
      <c r="I1756" s="3">
        <v>23.31</v>
      </c>
    </row>
    <row r="1757" spans="1:9" x14ac:dyDescent="0.3">
      <c r="A1757" s="4">
        <v>42646</v>
      </c>
      <c r="B1757" s="5" t="s">
        <v>1692</v>
      </c>
      <c r="C1757" s="5" t="s">
        <v>80</v>
      </c>
      <c r="D1757" s="5" t="s">
        <v>25</v>
      </c>
      <c r="E1757" s="5" t="s">
        <v>129</v>
      </c>
      <c r="F1757" s="5" t="s">
        <v>392</v>
      </c>
      <c r="G1757" s="5">
        <v>176.78</v>
      </c>
      <c r="H1757" s="5">
        <v>1</v>
      </c>
      <c r="I1757" s="6">
        <v>-22.1</v>
      </c>
    </row>
    <row r="1758" spans="1:9" x14ac:dyDescent="0.3">
      <c r="A1758" s="1">
        <v>42646</v>
      </c>
      <c r="B1758" s="2" t="s">
        <v>1693</v>
      </c>
      <c r="C1758" s="2" t="s">
        <v>14</v>
      </c>
      <c r="D1758" s="2" t="s">
        <v>30</v>
      </c>
      <c r="E1758" s="2" t="s">
        <v>43</v>
      </c>
      <c r="F1758" s="2" t="s">
        <v>763</v>
      </c>
      <c r="G1758" s="2">
        <v>39.99</v>
      </c>
      <c r="H1758" s="2">
        <v>1</v>
      </c>
      <c r="I1758" s="3">
        <v>7.5</v>
      </c>
    </row>
    <row r="1759" spans="1:9" x14ac:dyDescent="0.3">
      <c r="A1759" s="4">
        <v>42646</v>
      </c>
      <c r="B1759" s="5" t="s">
        <v>1694</v>
      </c>
      <c r="C1759" s="5" t="s">
        <v>18</v>
      </c>
      <c r="D1759" s="5" t="s">
        <v>2</v>
      </c>
      <c r="E1759" s="5" t="s">
        <v>3</v>
      </c>
      <c r="F1759" s="5" t="s">
        <v>1695</v>
      </c>
      <c r="G1759" s="5">
        <v>14.9</v>
      </c>
      <c r="H1759" s="5">
        <v>5</v>
      </c>
      <c r="I1759" s="6">
        <v>7.15</v>
      </c>
    </row>
    <row r="1760" spans="1:9" x14ac:dyDescent="0.3">
      <c r="A1760" s="1">
        <v>42646</v>
      </c>
      <c r="B1760" s="2" t="s">
        <v>1694</v>
      </c>
      <c r="C1760" s="2" t="s">
        <v>18</v>
      </c>
      <c r="D1760" s="2" t="s">
        <v>30</v>
      </c>
      <c r="E1760" s="2" t="s">
        <v>31</v>
      </c>
      <c r="F1760" s="2" t="s">
        <v>1696</v>
      </c>
      <c r="G1760" s="2">
        <v>4158.91</v>
      </c>
      <c r="H1760" s="2">
        <v>8</v>
      </c>
      <c r="I1760" s="3">
        <v>363.9</v>
      </c>
    </row>
    <row r="1761" spans="1:9" x14ac:dyDescent="0.3">
      <c r="A1761" s="4">
        <v>42646</v>
      </c>
      <c r="B1761" s="5" t="s">
        <v>1697</v>
      </c>
      <c r="C1761" s="5" t="s">
        <v>18</v>
      </c>
      <c r="D1761" s="5" t="s">
        <v>30</v>
      </c>
      <c r="E1761" s="5" t="s">
        <v>43</v>
      </c>
      <c r="F1761" s="5" t="s">
        <v>743</v>
      </c>
      <c r="G1761" s="5">
        <v>26.85</v>
      </c>
      <c r="H1761" s="5">
        <v>3</v>
      </c>
      <c r="I1761" s="6">
        <v>5.0999999999999996</v>
      </c>
    </row>
    <row r="1762" spans="1:9" x14ac:dyDescent="0.3">
      <c r="A1762" s="1">
        <v>42646</v>
      </c>
      <c r="B1762" s="2" t="s">
        <v>1697</v>
      </c>
      <c r="C1762" s="2" t="s">
        <v>18</v>
      </c>
      <c r="D1762" s="2" t="s">
        <v>30</v>
      </c>
      <c r="E1762" s="2" t="s">
        <v>625</v>
      </c>
      <c r="F1762" s="2" t="s">
        <v>1698</v>
      </c>
      <c r="G1762" s="2">
        <v>3357.6</v>
      </c>
      <c r="H1762" s="2">
        <v>3</v>
      </c>
      <c r="I1762" s="3">
        <v>377.73</v>
      </c>
    </row>
    <row r="1763" spans="1:9" x14ac:dyDescent="0.3">
      <c r="A1763" s="4">
        <v>42646</v>
      </c>
      <c r="B1763" s="5" t="s">
        <v>1699</v>
      </c>
      <c r="C1763" s="5" t="s">
        <v>253</v>
      </c>
      <c r="D1763" s="5" t="s">
        <v>2</v>
      </c>
      <c r="E1763" s="5" t="s">
        <v>9</v>
      </c>
      <c r="F1763" s="5" t="s">
        <v>1700</v>
      </c>
      <c r="G1763" s="5">
        <v>104.7</v>
      </c>
      <c r="H1763" s="5">
        <v>1</v>
      </c>
      <c r="I1763" s="6">
        <v>6.54</v>
      </c>
    </row>
    <row r="1764" spans="1:9" x14ac:dyDescent="0.3">
      <c r="A1764" s="1">
        <v>42677</v>
      </c>
      <c r="B1764" s="2" t="s">
        <v>850</v>
      </c>
      <c r="C1764" s="2" t="s">
        <v>359</v>
      </c>
      <c r="D1764" s="2" t="s">
        <v>30</v>
      </c>
      <c r="E1764" s="2" t="s">
        <v>43</v>
      </c>
      <c r="F1764" s="2" t="s">
        <v>1552</v>
      </c>
      <c r="G1764" s="2">
        <v>45.98</v>
      </c>
      <c r="H1764" s="2">
        <v>2</v>
      </c>
      <c r="I1764" s="3">
        <v>19.77</v>
      </c>
    </row>
    <row r="1765" spans="1:9" x14ac:dyDescent="0.3">
      <c r="A1765" s="4">
        <v>42677</v>
      </c>
      <c r="B1765" s="5" t="s">
        <v>850</v>
      </c>
      <c r="C1765" s="5" t="s">
        <v>359</v>
      </c>
      <c r="D1765" s="5" t="s">
        <v>2</v>
      </c>
      <c r="E1765" s="5" t="s">
        <v>11</v>
      </c>
      <c r="F1765" s="5" t="s">
        <v>88</v>
      </c>
      <c r="G1765" s="5">
        <v>17.46</v>
      </c>
      <c r="H1765" s="5">
        <v>2</v>
      </c>
      <c r="I1765" s="6">
        <v>8.2100000000000009</v>
      </c>
    </row>
    <row r="1766" spans="1:9" x14ac:dyDescent="0.3">
      <c r="A1766" s="1">
        <v>42677</v>
      </c>
      <c r="B1766" s="2" t="s">
        <v>13</v>
      </c>
      <c r="C1766" s="2" t="s">
        <v>77</v>
      </c>
      <c r="D1766" s="2" t="s">
        <v>25</v>
      </c>
      <c r="E1766" s="2" t="s">
        <v>86</v>
      </c>
      <c r="F1766" s="2" t="s">
        <v>1186</v>
      </c>
      <c r="G1766" s="2">
        <v>244.01</v>
      </c>
      <c r="H1766" s="2">
        <v>2</v>
      </c>
      <c r="I1766" s="3">
        <v>-31.37</v>
      </c>
    </row>
    <row r="1767" spans="1:9" x14ac:dyDescent="0.3">
      <c r="A1767" s="4">
        <v>42677</v>
      </c>
      <c r="B1767" s="5" t="s">
        <v>1259</v>
      </c>
      <c r="C1767" s="5" t="s">
        <v>21</v>
      </c>
      <c r="D1767" s="5" t="s">
        <v>25</v>
      </c>
      <c r="E1767" s="5" t="s">
        <v>38</v>
      </c>
      <c r="F1767" s="5" t="s">
        <v>641</v>
      </c>
      <c r="G1767" s="5">
        <v>76.92</v>
      </c>
      <c r="H1767" s="5">
        <v>4</v>
      </c>
      <c r="I1767" s="6">
        <v>31.54</v>
      </c>
    </row>
    <row r="1768" spans="1:9" x14ac:dyDescent="0.3">
      <c r="A1768" s="1">
        <v>42677</v>
      </c>
      <c r="B1768" s="2" t="s">
        <v>1259</v>
      </c>
      <c r="C1768" s="2" t="s">
        <v>21</v>
      </c>
      <c r="D1768" s="2" t="s">
        <v>2</v>
      </c>
      <c r="E1768" s="2" t="s">
        <v>9</v>
      </c>
      <c r="F1768" s="2" t="s">
        <v>1267</v>
      </c>
      <c r="G1768" s="2">
        <v>481.32</v>
      </c>
      <c r="H1768" s="2">
        <v>4</v>
      </c>
      <c r="I1768" s="3">
        <v>125.14</v>
      </c>
    </row>
    <row r="1769" spans="1:9" x14ac:dyDescent="0.3">
      <c r="A1769" s="4">
        <v>42677</v>
      </c>
      <c r="B1769" s="5" t="s">
        <v>1701</v>
      </c>
      <c r="C1769" s="5" t="s">
        <v>14</v>
      </c>
      <c r="D1769" s="5" t="s">
        <v>25</v>
      </c>
      <c r="E1769" s="5" t="s">
        <v>38</v>
      </c>
      <c r="F1769" s="5" t="s">
        <v>1138</v>
      </c>
      <c r="G1769" s="5">
        <v>30.34</v>
      </c>
      <c r="H1769" s="5">
        <v>4</v>
      </c>
      <c r="I1769" s="6">
        <v>9.48</v>
      </c>
    </row>
    <row r="1770" spans="1:9" x14ac:dyDescent="0.3">
      <c r="A1770" s="1">
        <v>42707</v>
      </c>
      <c r="B1770" s="2" t="s">
        <v>1494</v>
      </c>
      <c r="C1770" s="2" t="s">
        <v>203</v>
      </c>
      <c r="D1770" s="2" t="s">
        <v>2</v>
      </c>
      <c r="E1770" s="2" t="s">
        <v>3</v>
      </c>
      <c r="F1770" s="2" t="s">
        <v>1591</v>
      </c>
      <c r="G1770" s="2">
        <v>12.96</v>
      </c>
      <c r="H1770" s="2">
        <v>2</v>
      </c>
      <c r="I1770" s="3">
        <v>6.22</v>
      </c>
    </row>
    <row r="1771" spans="1:9" x14ac:dyDescent="0.3">
      <c r="A1771" s="4">
        <v>42707</v>
      </c>
      <c r="B1771" s="5" t="s">
        <v>1285</v>
      </c>
      <c r="C1771" s="5" t="s">
        <v>80</v>
      </c>
      <c r="D1771" s="5" t="s">
        <v>2</v>
      </c>
      <c r="E1771" s="5" t="s">
        <v>114</v>
      </c>
      <c r="F1771" s="5" t="s">
        <v>115</v>
      </c>
      <c r="G1771" s="5">
        <v>29.34</v>
      </c>
      <c r="H1771" s="5">
        <v>3</v>
      </c>
      <c r="I1771" s="6">
        <v>13.5</v>
      </c>
    </row>
    <row r="1772" spans="1:9" x14ac:dyDescent="0.3">
      <c r="A1772" s="1">
        <v>42707</v>
      </c>
      <c r="B1772" s="2" t="s">
        <v>1549</v>
      </c>
      <c r="C1772" s="2" t="s">
        <v>18</v>
      </c>
      <c r="D1772" s="2" t="s">
        <v>2</v>
      </c>
      <c r="E1772" s="2" t="s">
        <v>9</v>
      </c>
      <c r="F1772" s="2" t="s">
        <v>1702</v>
      </c>
      <c r="G1772" s="2">
        <v>676.55</v>
      </c>
      <c r="H1772" s="2">
        <v>5</v>
      </c>
      <c r="I1772" s="3">
        <v>6.77</v>
      </c>
    </row>
    <row r="1773" spans="1:9" x14ac:dyDescent="0.3">
      <c r="A1773" s="4">
        <v>42707</v>
      </c>
      <c r="B1773" s="5" t="s">
        <v>1549</v>
      </c>
      <c r="C1773" s="5" t="s">
        <v>18</v>
      </c>
      <c r="D1773" s="5" t="s">
        <v>2</v>
      </c>
      <c r="E1773" s="5" t="s">
        <v>133</v>
      </c>
      <c r="F1773" s="5" t="s">
        <v>187</v>
      </c>
      <c r="G1773" s="5">
        <v>154.9</v>
      </c>
      <c r="H1773" s="5">
        <v>5</v>
      </c>
      <c r="I1773" s="6">
        <v>40.270000000000003</v>
      </c>
    </row>
    <row r="1774" spans="1:9" x14ac:dyDescent="0.3">
      <c r="A1774" s="1">
        <v>42707</v>
      </c>
      <c r="B1774" s="2" t="s">
        <v>1549</v>
      </c>
      <c r="C1774" s="2" t="s">
        <v>18</v>
      </c>
      <c r="D1774" s="2" t="s">
        <v>2</v>
      </c>
      <c r="E1774" s="2" t="s">
        <v>114</v>
      </c>
      <c r="F1774" s="2" t="s">
        <v>383</v>
      </c>
      <c r="G1774" s="2">
        <v>30.56</v>
      </c>
      <c r="H1774" s="2">
        <v>4</v>
      </c>
      <c r="I1774" s="3">
        <v>14.97</v>
      </c>
    </row>
    <row r="1775" spans="1:9" x14ac:dyDescent="0.3">
      <c r="A1775" s="4">
        <v>42707</v>
      </c>
      <c r="B1775" s="5" t="s">
        <v>1549</v>
      </c>
      <c r="C1775" s="5" t="s">
        <v>18</v>
      </c>
      <c r="D1775" s="5" t="s">
        <v>25</v>
      </c>
      <c r="E1775" s="5" t="s">
        <v>26</v>
      </c>
      <c r="F1775" s="5" t="s">
        <v>946</v>
      </c>
      <c r="G1775" s="5">
        <v>770.35</v>
      </c>
      <c r="H1775" s="5">
        <v>3</v>
      </c>
      <c r="I1775" s="6">
        <v>77.040000000000006</v>
      </c>
    </row>
    <row r="1776" spans="1:9" x14ac:dyDescent="0.3">
      <c r="A1776" s="1">
        <v>42707</v>
      </c>
      <c r="B1776" s="2" t="s">
        <v>1468</v>
      </c>
      <c r="C1776" s="2" t="s">
        <v>18</v>
      </c>
      <c r="D1776" s="2" t="s">
        <v>2</v>
      </c>
      <c r="E1776" s="2" t="s">
        <v>3</v>
      </c>
      <c r="F1776" s="2" t="s">
        <v>1703</v>
      </c>
      <c r="G1776" s="2">
        <v>19.98</v>
      </c>
      <c r="H1776" s="2">
        <v>2</v>
      </c>
      <c r="I1776" s="3">
        <v>8.99</v>
      </c>
    </row>
    <row r="1777" spans="1:9" x14ac:dyDescent="0.3">
      <c r="A1777" s="4">
        <v>42373</v>
      </c>
      <c r="B1777" s="5" t="s">
        <v>1704</v>
      </c>
      <c r="C1777" s="5" t="s">
        <v>80</v>
      </c>
      <c r="D1777" s="5" t="s">
        <v>2</v>
      </c>
      <c r="E1777" s="5" t="s">
        <v>15</v>
      </c>
      <c r="F1777" s="5" t="s">
        <v>142</v>
      </c>
      <c r="G1777" s="5">
        <v>59.52</v>
      </c>
      <c r="H1777" s="5">
        <v>3</v>
      </c>
      <c r="I1777" s="6">
        <v>15.48</v>
      </c>
    </row>
    <row r="1778" spans="1:9" x14ac:dyDescent="0.3">
      <c r="A1778" s="1">
        <v>42373</v>
      </c>
      <c r="B1778" s="2" t="s">
        <v>1704</v>
      </c>
      <c r="C1778" s="2" t="s">
        <v>80</v>
      </c>
      <c r="D1778" s="2" t="s">
        <v>2</v>
      </c>
      <c r="E1778" s="2" t="s">
        <v>9</v>
      </c>
      <c r="F1778" s="2" t="s">
        <v>109</v>
      </c>
      <c r="G1778" s="2">
        <v>161.94</v>
      </c>
      <c r="H1778" s="2">
        <v>3</v>
      </c>
      <c r="I1778" s="3">
        <v>9.7200000000000006</v>
      </c>
    </row>
    <row r="1779" spans="1:9" x14ac:dyDescent="0.3">
      <c r="A1779" s="4">
        <v>42373</v>
      </c>
      <c r="B1779" s="5" t="s">
        <v>1704</v>
      </c>
      <c r="C1779" s="5" t="s">
        <v>80</v>
      </c>
      <c r="D1779" s="5" t="s">
        <v>2</v>
      </c>
      <c r="E1779" s="5" t="s">
        <v>15</v>
      </c>
      <c r="F1779" s="5" t="s">
        <v>427</v>
      </c>
      <c r="G1779" s="5">
        <v>263.88</v>
      </c>
      <c r="H1779" s="5">
        <v>6</v>
      </c>
      <c r="I1779" s="6">
        <v>71.25</v>
      </c>
    </row>
    <row r="1780" spans="1:9" x14ac:dyDescent="0.3">
      <c r="A1780" s="1">
        <v>42373</v>
      </c>
      <c r="B1780" s="2" t="s">
        <v>1704</v>
      </c>
      <c r="C1780" s="2" t="s">
        <v>80</v>
      </c>
      <c r="D1780" s="2" t="s">
        <v>2</v>
      </c>
      <c r="E1780" s="2" t="s">
        <v>15</v>
      </c>
      <c r="F1780" s="2" t="s">
        <v>915</v>
      </c>
      <c r="G1780" s="2">
        <v>30.48</v>
      </c>
      <c r="H1780" s="2">
        <v>3</v>
      </c>
      <c r="I1780" s="3">
        <v>7.92</v>
      </c>
    </row>
    <row r="1781" spans="1:9" x14ac:dyDescent="0.3">
      <c r="A1781" s="4">
        <v>42373</v>
      </c>
      <c r="B1781" s="5" t="s">
        <v>1704</v>
      </c>
      <c r="C1781" s="5" t="s">
        <v>80</v>
      </c>
      <c r="D1781" s="5" t="s">
        <v>2</v>
      </c>
      <c r="E1781" s="5" t="s">
        <v>15</v>
      </c>
      <c r="F1781" s="5" t="s">
        <v>1705</v>
      </c>
      <c r="G1781" s="5">
        <v>9.84</v>
      </c>
      <c r="H1781" s="5">
        <v>3</v>
      </c>
      <c r="I1781" s="6">
        <v>2.85</v>
      </c>
    </row>
    <row r="1782" spans="1:9" x14ac:dyDescent="0.3">
      <c r="A1782" s="1">
        <v>42373</v>
      </c>
      <c r="B1782" s="2" t="s">
        <v>1704</v>
      </c>
      <c r="C1782" s="2" t="s">
        <v>80</v>
      </c>
      <c r="D1782" s="2" t="s">
        <v>30</v>
      </c>
      <c r="E1782" s="2" t="s">
        <v>31</v>
      </c>
      <c r="F1782" s="2" t="s">
        <v>1681</v>
      </c>
      <c r="G1782" s="2">
        <v>35.119999999999997</v>
      </c>
      <c r="H1782" s="2">
        <v>4</v>
      </c>
      <c r="I1782" s="3">
        <v>9.1300000000000008</v>
      </c>
    </row>
    <row r="1783" spans="1:9" x14ac:dyDescent="0.3">
      <c r="A1783" s="4">
        <v>42373</v>
      </c>
      <c r="B1783" s="5" t="s">
        <v>1474</v>
      </c>
      <c r="C1783" s="5" t="s">
        <v>253</v>
      </c>
      <c r="D1783" s="5" t="s">
        <v>2</v>
      </c>
      <c r="E1783" s="5" t="s">
        <v>34</v>
      </c>
      <c r="F1783" s="5" t="s">
        <v>56</v>
      </c>
      <c r="G1783" s="5">
        <v>31.56</v>
      </c>
      <c r="H1783" s="5">
        <v>5</v>
      </c>
      <c r="I1783" s="6">
        <v>9.86</v>
      </c>
    </row>
    <row r="1784" spans="1:9" x14ac:dyDescent="0.3">
      <c r="A1784" s="1">
        <v>42373</v>
      </c>
      <c r="B1784" s="2" t="s">
        <v>1474</v>
      </c>
      <c r="C1784" s="2" t="s">
        <v>253</v>
      </c>
      <c r="D1784" s="2" t="s">
        <v>2</v>
      </c>
      <c r="E1784" s="2" t="s">
        <v>133</v>
      </c>
      <c r="F1784" s="2" t="s">
        <v>1706</v>
      </c>
      <c r="G1784" s="2">
        <v>30.14</v>
      </c>
      <c r="H1784" s="2">
        <v>2</v>
      </c>
      <c r="I1784" s="3">
        <v>3.01</v>
      </c>
    </row>
    <row r="1785" spans="1:9" x14ac:dyDescent="0.3">
      <c r="A1785" s="4">
        <v>42373</v>
      </c>
      <c r="B1785" s="5" t="s">
        <v>1707</v>
      </c>
      <c r="C1785" s="5" t="s">
        <v>80</v>
      </c>
      <c r="D1785" s="5" t="s">
        <v>2</v>
      </c>
      <c r="E1785" s="5" t="s">
        <v>15</v>
      </c>
      <c r="F1785" s="5" t="s">
        <v>1708</v>
      </c>
      <c r="G1785" s="5">
        <v>88.04</v>
      </c>
      <c r="H1785" s="5">
        <v>4</v>
      </c>
      <c r="I1785" s="6">
        <v>22.89</v>
      </c>
    </row>
    <row r="1786" spans="1:9" x14ac:dyDescent="0.3">
      <c r="A1786" s="1">
        <v>42373</v>
      </c>
      <c r="B1786" s="2" t="s">
        <v>993</v>
      </c>
      <c r="C1786" s="2" t="s">
        <v>80</v>
      </c>
      <c r="D1786" s="2" t="s">
        <v>2</v>
      </c>
      <c r="E1786" s="2" t="s">
        <v>7</v>
      </c>
      <c r="F1786" s="2" t="s">
        <v>1709</v>
      </c>
      <c r="G1786" s="2">
        <v>20.7</v>
      </c>
      <c r="H1786" s="2">
        <v>2</v>
      </c>
      <c r="I1786" s="3">
        <v>9.94</v>
      </c>
    </row>
    <row r="1787" spans="1:9" x14ac:dyDescent="0.3">
      <c r="A1787" s="4">
        <v>42373</v>
      </c>
      <c r="B1787" s="5" t="s">
        <v>993</v>
      </c>
      <c r="C1787" s="5" t="s">
        <v>80</v>
      </c>
      <c r="D1787" s="5" t="s">
        <v>2</v>
      </c>
      <c r="E1787" s="5" t="s">
        <v>144</v>
      </c>
      <c r="F1787" s="5" t="s">
        <v>925</v>
      </c>
      <c r="G1787" s="5">
        <v>10.95</v>
      </c>
      <c r="H1787" s="5">
        <v>3</v>
      </c>
      <c r="I1787" s="6">
        <v>3.29</v>
      </c>
    </row>
    <row r="1788" spans="1:9" x14ac:dyDescent="0.3">
      <c r="A1788" s="1">
        <v>42373</v>
      </c>
      <c r="B1788" s="2" t="s">
        <v>993</v>
      </c>
      <c r="C1788" s="2" t="s">
        <v>80</v>
      </c>
      <c r="D1788" s="2" t="s">
        <v>2</v>
      </c>
      <c r="E1788" s="2" t="s">
        <v>11</v>
      </c>
      <c r="F1788" s="2" t="s">
        <v>1500</v>
      </c>
      <c r="G1788" s="2">
        <v>14.35</v>
      </c>
      <c r="H1788" s="2">
        <v>3</v>
      </c>
      <c r="I1788" s="3">
        <v>4.66</v>
      </c>
    </row>
    <row r="1789" spans="1:9" x14ac:dyDescent="0.3">
      <c r="A1789" s="4">
        <v>42373</v>
      </c>
      <c r="B1789" s="5" t="s">
        <v>989</v>
      </c>
      <c r="C1789" s="5" t="s">
        <v>80</v>
      </c>
      <c r="D1789" s="5" t="s">
        <v>25</v>
      </c>
      <c r="E1789" s="5" t="s">
        <v>26</v>
      </c>
      <c r="F1789" s="5" t="s">
        <v>685</v>
      </c>
      <c r="G1789" s="5">
        <v>1317.49</v>
      </c>
      <c r="H1789" s="5">
        <v>6</v>
      </c>
      <c r="I1789" s="6">
        <v>292.77999999999997</v>
      </c>
    </row>
    <row r="1790" spans="1:9" x14ac:dyDescent="0.3">
      <c r="A1790" s="1">
        <v>42373</v>
      </c>
      <c r="B1790" s="2" t="s">
        <v>989</v>
      </c>
      <c r="C1790" s="2" t="s">
        <v>80</v>
      </c>
      <c r="D1790" s="2" t="s">
        <v>2</v>
      </c>
      <c r="E1790" s="2" t="s">
        <v>144</v>
      </c>
      <c r="F1790" s="2" t="s">
        <v>429</v>
      </c>
      <c r="G1790" s="2">
        <v>63.84</v>
      </c>
      <c r="H1790" s="2">
        <v>8</v>
      </c>
      <c r="I1790" s="3">
        <v>18.510000000000002</v>
      </c>
    </row>
    <row r="1791" spans="1:9" x14ac:dyDescent="0.3">
      <c r="A1791" s="4">
        <v>42373</v>
      </c>
      <c r="B1791" s="5" t="s">
        <v>989</v>
      </c>
      <c r="C1791" s="5" t="s">
        <v>80</v>
      </c>
      <c r="D1791" s="5" t="s">
        <v>2</v>
      </c>
      <c r="E1791" s="5" t="s">
        <v>11</v>
      </c>
      <c r="F1791" s="5" t="s">
        <v>201</v>
      </c>
      <c r="G1791" s="5">
        <v>3.59</v>
      </c>
      <c r="H1791" s="5">
        <v>1</v>
      </c>
      <c r="I1791" s="6">
        <v>1.1200000000000001</v>
      </c>
    </row>
    <row r="1792" spans="1:9" x14ac:dyDescent="0.3">
      <c r="A1792" s="1">
        <v>42373</v>
      </c>
      <c r="B1792" s="2" t="s">
        <v>1710</v>
      </c>
      <c r="C1792" s="2" t="s">
        <v>21</v>
      </c>
      <c r="D1792" s="2" t="s">
        <v>25</v>
      </c>
      <c r="E1792" s="2" t="s">
        <v>38</v>
      </c>
      <c r="F1792" s="2" t="s">
        <v>1711</v>
      </c>
      <c r="G1792" s="2">
        <v>7.04</v>
      </c>
      <c r="H1792" s="2">
        <v>4</v>
      </c>
      <c r="I1792" s="3">
        <v>3.1</v>
      </c>
    </row>
    <row r="1793" spans="1:9" x14ac:dyDescent="0.3">
      <c r="A1793" s="4">
        <v>42373</v>
      </c>
      <c r="B1793" s="5" t="s">
        <v>1712</v>
      </c>
      <c r="C1793" s="5" t="s">
        <v>53</v>
      </c>
      <c r="D1793" s="5" t="s">
        <v>30</v>
      </c>
      <c r="E1793" s="5" t="s">
        <v>31</v>
      </c>
      <c r="F1793" s="5" t="s">
        <v>1645</v>
      </c>
      <c r="G1793" s="5">
        <v>12.99</v>
      </c>
      <c r="H1793" s="5">
        <v>1</v>
      </c>
      <c r="I1793" s="6">
        <v>0.26</v>
      </c>
    </row>
    <row r="1794" spans="1:9" x14ac:dyDescent="0.3">
      <c r="A1794" s="1">
        <v>42404</v>
      </c>
      <c r="B1794" s="2" t="s">
        <v>1003</v>
      </c>
      <c r="C1794" s="2" t="s">
        <v>53</v>
      </c>
      <c r="D1794" s="2" t="s">
        <v>25</v>
      </c>
      <c r="E1794" s="2" t="s">
        <v>26</v>
      </c>
      <c r="F1794" s="2" t="s">
        <v>1713</v>
      </c>
      <c r="G1794" s="2">
        <v>1454.9</v>
      </c>
      <c r="H1794" s="2">
        <v>5</v>
      </c>
      <c r="I1794" s="3">
        <v>378.27</v>
      </c>
    </row>
    <row r="1795" spans="1:9" x14ac:dyDescent="0.3">
      <c r="A1795" s="4">
        <v>42433</v>
      </c>
      <c r="B1795" s="5" t="s">
        <v>409</v>
      </c>
      <c r="C1795" s="5" t="s">
        <v>14</v>
      </c>
      <c r="D1795" s="5" t="s">
        <v>2</v>
      </c>
      <c r="E1795" s="5" t="s">
        <v>11</v>
      </c>
      <c r="F1795" s="5" t="s">
        <v>1714</v>
      </c>
      <c r="G1795" s="5">
        <v>99.85</v>
      </c>
      <c r="H1795" s="5">
        <v>9</v>
      </c>
      <c r="I1795" s="6">
        <v>-83.21</v>
      </c>
    </row>
    <row r="1796" spans="1:9" x14ac:dyDescent="0.3">
      <c r="A1796" s="1">
        <v>42433</v>
      </c>
      <c r="B1796" s="2" t="s">
        <v>1715</v>
      </c>
      <c r="C1796" s="2" t="s">
        <v>283</v>
      </c>
      <c r="D1796" s="2" t="s">
        <v>25</v>
      </c>
      <c r="E1796" s="2" t="s">
        <v>38</v>
      </c>
      <c r="F1796" s="2" t="s">
        <v>1394</v>
      </c>
      <c r="G1796" s="2">
        <v>71.12</v>
      </c>
      <c r="H1796" s="2">
        <v>4</v>
      </c>
      <c r="I1796" s="3">
        <v>22.05</v>
      </c>
    </row>
    <row r="1797" spans="1:9" x14ac:dyDescent="0.3">
      <c r="A1797" s="4">
        <v>42433</v>
      </c>
      <c r="B1797" s="5" t="s">
        <v>1715</v>
      </c>
      <c r="C1797" s="5" t="s">
        <v>283</v>
      </c>
      <c r="D1797" s="5" t="s">
        <v>30</v>
      </c>
      <c r="E1797" s="5" t="s">
        <v>31</v>
      </c>
      <c r="F1797" s="5" t="s">
        <v>806</v>
      </c>
      <c r="G1797" s="5">
        <v>259.95999999999998</v>
      </c>
      <c r="H1797" s="5">
        <v>4</v>
      </c>
      <c r="I1797" s="6">
        <v>124.78</v>
      </c>
    </row>
    <row r="1798" spans="1:9" x14ac:dyDescent="0.3">
      <c r="A1798" s="1">
        <v>42433</v>
      </c>
      <c r="B1798" s="2" t="s">
        <v>863</v>
      </c>
      <c r="C1798" s="2" t="s">
        <v>1</v>
      </c>
      <c r="D1798" s="2" t="s">
        <v>2</v>
      </c>
      <c r="E1798" s="2" t="s">
        <v>3</v>
      </c>
      <c r="F1798" s="2" t="s">
        <v>1197</v>
      </c>
      <c r="G1798" s="2">
        <v>10.27</v>
      </c>
      <c r="H1798" s="2">
        <v>3</v>
      </c>
      <c r="I1798" s="3">
        <v>3.21</v>
      </c>
    </row>
    <row r="1799" spans="1:9" x14ac:dyDescent="0.3">
      <c r="A1799" s="4">
        <v>42464</v>
      </c>
      <c r="B1799" s="5" t="s">
        <v>23</v>
      </c>
      <c r="C1799" s="5" t="s">
        <v>46</v>
      </c>
      <c r="D1799" s="5" t="s">
        <v>30</v>
      </c>
      <c r="E1799" s="5" t="s">
        <v>31</v>
      </c>
      <c r="F1799" s="5" t="s">
        <v>1655</v>
      </c>
      <c r="G1799" s="5">
        <v>149.97</v>
      </c>
      <c r="H1799" s="5">
        <v>3</v>
      </c>
      <c r="I1799" s="6">
        <v>6</v>
      </c>
    </row>
    <row r="1800" spans="1:9" x14ac:dyDescent="0.3">
      <c r="A1800" s="1">
        <v>42464</v>
      </c>
      <c r="B1800" s="2" t="s">
        <v>23</v>
      </c>
      <c r="C1800" s="2" t="s">
        <v>46</v>
      </c>
      <c r="D1800" s="2" t="s">
        <v>2</v>
      </c>
      <c r="E1800" s="2" t="s">
        <v>3</v>
      </c>
      <c r="F1800" s="2" t="s">
        <v>923</v>
      </c>
      <c r="G1800" s="2">
        <v>27.81</v>
      </c>
      <c r="H1800" s="2">
        <v>3</v>
      </c>
      <c r="I1800" s="3">
        <v>13.07</v>
      </c>
    </row>
    <row r="1801" spans="1:9" x14ac:dyDescent="0.3">
      <c r="A1801" s="4">
        <v>42464</v>
      </c>
      <c r="B1801" s="5" t="s">
        <v>1716</v>
      </c>
      <c r="C1801" s="5" t="s">
        <v>80</v>
      </c>
      <c r="D1801" s="5" t="s">
        <v>2</v>
      </c>
      <c r="E1801" s="5" t="s">
        <v>11</v>
      </c>
      <c r="F1801" s="5" t="s">
        <v>586</v>
      </c>
      <c r="G1801" s="5">
        <v>588.78</v>
      </c>
      <c r="H1801" s="5">
        <v>2</v>
      </c>
      <c r="I1801" s="6">
        <v>184</v>
      </c>
    </row>
    <row r="1802" spans="1:9" x14ac:dyDescent="0.3">
      <c r="A1802" s="1">
        <v>42464</v>
      </c>
      <c r="B1802" s="2" t="s">
        <v>465</v>
      </c>
      <c r="C1802" s="2" t="s">
        <v>80</v>
      </c>
      <c r="D1802" s="2" t="s">
        <v>25</v>
      </c>
      <c r="E1802" s="2" t="s">
        <v>38</v>
      </c>
      <c r="F1802" s="2" t="s">
        <v>347</v>
      </c>
      <c r="G1802" s="2">
        <v>82.64</v>
      </c>
      <c r="H1802" s="2">
        <v>2</v>
      </c>
      <c r="I1802" s="3">
        <v>7.44</v>
      </c>
    </row>
    <row r="1803" spans="1:9" x14ac:dyDescent="0.3">
      <c r="A1803" s="4">
        <v>42464</v>
      </c>
      <c r="B1803" s="5" t="s">
        <v>465</v>
      </c>
      <c r="C1803" s="5" t="s">
        <v>80</v>
      </c>
      <c r="D1803" s="5" t="s">
        <v>2</v>
      </c>
      <c r="E1803" s="5" t="s">
        <v>9</v>
      </c>
      <c r="F1803" s="5" t="s">
        <v>216</v>
      </c>
      <c r="G1803" s="5">
        <v>31.02</v>
      </c>
      <c r="H1803" s="5">
        <v>2</v>
      </c>
      <c r="I1803" s="6">
        <v>8.07</v>
      </c>
    </row>
    <row r="1804" spans="1:9" x14ac:dyDescent="0.3">
      <c r="A1804" s="1">
        <v>42464</v>
      </c>
      <c r="B1804" s="2" t="s">
        <v>465</v>
      </c>
      <c r="C1804" s="2" t="s">
        <v>80</v>
      </c>
      <c r="D1804" s="2" t="s">
        <v>30</v>
      </c>
      <c r="E1804" s="2" t="s">
        <v>43</v>
      </c>
      <c r="F1804" s="2" t="s">
        <v>1480</v>
      </c>
      <c r="G1804" s="2">
        <v>89.97</v>
      </c>
      <c r="H1804" s="2">
        <v>3</v>
      </c>
      <c r="I1804" s="3">
        <v>37.79</v>
      </c>
    </row>
    <row r="1805" spans="1:9" x14ac:dyDescent="0.3">
      <c r="A1805" s="4">
        <v>42494</v>
      </c>
      <c r="B1805" s="5" t="s">
        <v>270</v>
      </c>
      <c r="C1805" s="5" t="s">
        <v>1</v>
      </c>
      <c r="D1805" s="5" t="s">
        <v>2</v>
      </c>
      <c r="E1805" s="5" t="s">
        <v>9</v>
      </c>
      <c r="F1805" s="5" t="s">
        <v>312</v>
      </c>
      <c r="G1805" s="5">
        <v>158.37</v>
      </c>
      <c r="H1805" s="5">
        <v>7</v>
      </c>
      <c r="I1805" s="6">
        <v>13.86</v>
      </c>
    </row>
    <row r="1806" spans="1:9" x14ac:dyDescent="0.3">
      <c r="A1806" s="1">
        <v>42494</v>
      </c>
      <c r="B1806" s="2" t="s">
        <v>1462</v>
      </c>
      <c r="C1806" s="2" t="s">
        <v>14</v>
      </c>
      <c r="D1806" s="2" t="s">
        <v>30</v>
      </c>
      <c r="E1806" s="2" t="s">
        <v>31</v>
      </c>
      <c r="F1806" s="2" t="s">
        <v>1717</v>
      </c>
      <c r="G1806" s="2">
        <v>118.78</v>
      </c>
      <c r="H1806" s="2">
        <v>3</v>
      </c>
      <c r="I1806" s="3">
        <v>-27.72</v>
      </c>
    </row>
    <row r="1807" spans="1:9" x14ac:dyDescent="0.3">
      <c r="A1807" s="4">
        <v>42494</v>
      </c>
      <c r="B1807" s="5" t="s">
        <v>1462</v>
      </c>
      <c r="C1807" s="5" t="s">
        <v>14</v>
      </c>
      <c r="D1807" s="5" t="s">
        <v>2</v>
      </c>
      <c r="E1807" s="5" t="s">
        <v>144</v>
      </c>
      <c r="F1807" s="5" t="s">
        <v>1718</v>
      </c>
      <c r="G1807" s="5">
        <v>769.18</v>
      </c>
      <c r="H1807" s="5">
        <v>4</v>
      </c>
      <c r="I1807" s="6">
        <v>-163.44999999999999</v>
      </c>
    </row>
    <row r="1808" spans="1:9" x14ac:dyDescent="0.3">
      <c r="A1808" s="1">
        <v>42525</v>
      </c>
      <c r="B1808" s="2" t="s">
        <v>249</v>
      </c>
      <c r="C1808" s="2" t="s">
        <v>1498</v>
      </c>
      <c r="D1808" s="2" t="s">
        <v>30</v>
      </c>
      <c r="E1808" s="2" t="s">
        <v>31</v>
      </c>
      <c r="F1808" s="2" t="s">
        <v>1719</v>
      </c>
      <c r="G1808" s="2">
        <v>1294.75</v>
      </c>
      <c r="H1808" s="2">
        <v>5</v>
      </c>
      <c r="I1808" s="3">
        <v>336.64</v>
      </c>
    </row>
    <row r="1809" spans="1:9" x14ac:dyDescent="0.3">
      <c r="A1809" s="4">
        <v>42555</v>
      </c>
      <c r="B1809" s="5" t="s">
        <v>1539</v>
      </c>
      <c r="C1809" s="5" t="s">
        <v>18</v>
      </c>
      <c r="D1809" s="5" t="s">
        <v>30</v>
      </c>
      <c r="E1809" s="5" t="s">
        <v>290</v>
      </c>
      <c r="F1809" s="5" t="s">
        <v>1582</v>
      </c>
      <c r="G1809" s="5">
        <v>1199.98</v>
      </c>
      <c r="H1809" s="5">
        <v>3</v>
      </c>
      <c r="I1809" s="6">
        <v>374.99</v>
      </c>
    </row>
    <row r="1810" spans="1:9" x14ac:dyDescent="0.3">
      <c r="A1810" s="1">
        <v>42555</v>
      </c>
      <c r="B1810" s="2" t="s">
        <v>439</v>
      </c>
      <c r="C1810" s="2" t="s">
        <v>80</v>
      </c>
      <c r="D1810" s="2" t="s">
        <v>25</v>
      </c>
      <c r="E1810" s="2" t="s">
        <v>26</v>
      </c>
      <c r="F1810" s="2" t="s">
        <v>685</v>
      </c>
      <c r="G1810" s="2">
        <v>658.75</v>
      </c>
      <c r="H1810" s="2">
        <v>3</v>
      </c>
      <c r="I1810" s="3">
        <v>146.38999999999999</v>
      </c>
    </row>
    <row r="1811" spans="1:9" x14ac:dyDescent="0.3">
      <c r="A1811" s="4">
        <v>42555</v>
      </c>
      <c r="B1811" s="5" t="s">
        <v>1093</v>
      </c>
      <c r="C1811" s="5" t="s">
        <v>80</v>
      </c>
      <c r="D1811" s="5" t="s">
        <v>2</v>
      </c>
      <c r="E1811" s="5" t="s">
        <v>15</v>
      </c>
      <c r="F1811" s="5" t="s">
        <v>418</v>
      </c>
      <c r="G1811" s="5">
        <v>3.64</v>
      </c>
      <c r="H1811" s="5">
        <v>2</v>
      </c>
      <c r="I1811" s="6">
        <v>0.98</v>
      </c>
    </row>
    <row r="1812" spans="1:9" x14ac:dyDescent="0.3">
      <c r="A1812" s="1">
        <v>42555</v>
      </c>
      <c r="B1812" s="2" t="s">
        <v>738</v>
      </c>
      <c r="C1812" s="2" t="s">
        <v>77</v>
      </c>
      <c r="D1812" s="2" t="s">
        <v>2</v>
      </c>
      <c r="E1812" s="2" t="s">
        <v>3</v>
      </c>
      <c r="F1812" s="2" t="s">
        <v>1720</v>
      </c>
      <c r="G1812" s="2">
        <v>37.94</v>
      </c>
      <c r="H1812" s="2">
        <v>2</v>
      </c>
      <c r="I1812" s="3">
        <v>18.21</v>
      </c>
    </row>
    <row r="1813" spans="1:9" x14ac:dyDescent="0.3">
      <c r="A1813" s="4">
        <v>42555</v>
      </c>
      <c r="B1813" s="5" t="s">
        <v>797</v>
      </c>
      <c r="C1813" s="5" t="s">
        <v>14</v>
      </c>
      <c r="D1813" s="5" t="s">
        <v>2</v>
      </c>
      <c r="E1813" s="5" t="s">
        <v>133</v>
      </c>
      <c r="F1813" s="5" t="s">
        <v>1721</v>
      </c>
      <c r="G1813" s="5">
        <v>33.53</v>
      </c>
      <c r="H1813" s="5">
        <v>3</v>
      </c>
      <c r="I1813" s="6">
        <v>2.5099999999999998</v>
      </c>
    </row>
    <row r="1814" spans="1:9" x14ac:dyDescent="0.3">
      <c r="A1814" s="1">
        <v>42555</v>
      </c>
      <c r="B1814" s="2" t="s">
        <v>797</v>
      </c>
      <c r="C1814" s="2" t="s">
        <v>14</v>
      </c>
      <c r="D1814" s="2" t="s">
        <v>2</v>
      </c>
      <c r="E1814" s="2" t="s">
        <v>9</v>
      </c>
      <c r="F1814" s="2" t="s">
        <v>1722</v>
      </c>
      <c r="G1814" s="2">
        <v>36.74</v>
      </c>
      <c r="H1814" s="2">
        <v>3</v>
      </c>
      <c r="I1814" s="3">
        <v>3.67</v>
      </c>
    </row>
    <row r="1815" spans="1:9" x14ac:dyDescent="0.3">
      <c r="A1815" s="4">
        <v>42586</v>
      </c>
      <c r="B1815" s="5" t="s">
        <v>1723</v>
      </c>
      <c r="C1815" s="5" t="s">
        <v>80</v>
      </c>
      <c r="D1815" s="5" t="s">
        <v>25</v>
      </c>
      <c r="E1815" s="5" t="s">
        <v>129</v>
      </c>
      <c r="F1815" s="5" t="s">
        <v>1724</v>
      </c>
      <c r="G1815" s="5">
        <v>388.7</v>
      </c>
      <c r="H1815" s="5">
        <v>6</v>
      </c>
      <c r="I1815" s="6">
        <v>-4.8600000000000003</v>
      </c>
    </row>
    <row r="1816" spans="1:9" x14ac:dyDescent="0.3">
      <c r="A1816" s="1">
        <v>42586</v>
      </c>
      <c r="B1816" s="2" t="s">
        <v>1723</v>
      </c>
      <c r="C1816" s="2" t="s">
        <v>80</v>
      </c>
      <c r="D1816" s="2" t="s">
        <v>2</v>
      </c>
      <c r="E1816" s="2" t="s">
        <v>114</v>
      </c>
      <c r="F1816" s="2" t="s">
        <v>1481</v>
      </c>
      <c r="G1816" s="2">
        <v>8.26</v>
      </c>
      <c r="H1816" s="2">
        <v>2</v>
      </c>
      <c r="I1816" s="3">
        <v>3.8</v>
      </c>
    </row>
    <row r="1817" spans="1:9" x14ac:dyDescent="0.3">
      <c r="A1817" s="4">
        <v>42586</v>
      </c>
      <c r="B1817" s="5" t="s">
        <v>1723</v>
      </c>
      <c r="C1817" s="5" t="s">
        <v>80</v>
      </c>
      <c r="D1817" s="5" t="s">
        <v>2</v>
      </c>
      <c r="E1817" s="5" t="s">
        <v>15</v>
      </c>
      <c r="F1817" s="5" t="s">
        <v>22</v>
      </c>
      <c r="G1817" s="5">
        <v>17.04</v>
      </c>
      <c r="H1817" s="5">
        <v>4</v>
      </c>
      <c r="I1817" s="6">
        <v>6.99</v>
      </c>
    </row>
    <row r="1818" spans="1:9" x14ac:dyDescent="0.3">
      <c r="A1818" s="1">
        <v>42586</v>
      </c>
      <c r="B1818" s="2" t="s">
        <v>1723</v>
      </c>
      <c r="C1818" s="2" t="s">
        <v>80</v>
      </c>
      <c r="D1818" s="2" t="s">
        <v>2</v>
      </c>
      <c r="E1818" s="2" t="s">
        <v>3</v>
      </c>
      <c r="F1818" s="2" t="s">
        <v>1603</v>
      </c>
      <c r="G1818" s="2">
        <v>34.4</v>
      </c>
      <c r="H1818" s="2">
        <v>5</v>
      </c>
      <c r="I1818" s="3">
        <v>15.82</v>
      </c>
    </row>
    <row r="1819" spans="1:9" x14ac:dyDescent="0.3">
      <c r="A1819" s="4">
        <v>42586</v>
      </c>
      <c r="B1819" s="5" t="s">
        <v>700</v>
      </c>
      <c r="C1819" s="5" t="s">
        <v>18</v>
      </c>
      <c r="D1819" s="5" t="s">
        <v>2</v>
      </c>
      <c r="E1819" s="5" t="s">
        <v>3</v>
      </c>
      <c r="F1819" s="5" t="s">
        <v>1725</v>
      </c>
      <c r="G1819" s="5">
        <v>20.04</v>
      </c>
      <c r="H1819" s="5">
        <v>3</v>
      </c>
      <c r="I1819" s="6">
        <v>9.6199999999999992</v>
      </c>
    </row>
    <row r="1820" spans="1:9" x14ac:dyDescent="0.3">
      <c r="A1820" s="1">
        <v>42586</v>
      </c>
      <c r="B1820" s="2" t="s">
        <v>700</v>
      </c>
      <c r="C1820" s="2" t="s">
        <v>18</v>
      </c>
      <c r="D1820" s="2" t="s">
        <v>2</v>
      </c>
      <c r="E1820" s="2" t="s">
        <v>9</v>
      </c>
      <c r="F1820" s="2" t="s">
        <v>96</v>
      </c>
      <c r="G1820" s="2">
        <v>64.959999999999994</v>
      </c>
      <c r="H1820" s="2">
        <v>2</v>
      </c>
      <c r="I1820" s="3">
        <v>2.6</v>
      </c>
    </row>
    <row r="1821" spans="1:9" x14ac:dyDescent="0.3">
      <c r="A1821" s="4">
        <v>42586</v>
      </c>
      <c r="B1821" s="5" t="s">
        <v>700</v>
      </c>
      <c r="C1821" s="5" t="s">
        <v>18</v>
      </c>
      <c r="D1821" s="5" t="s">
        <v>2</v>
      </c>
      <c r="E1821" s="5" t="s">
        <v>3</v>
      </c>
      <c r="F1821" s="5" t="s">
        <v>1015</v>
      </c>
      <c r="G1821" s="5">
        <v>12.96</v>
      </c>
      <c r="H1821" s="5">
        <v>2</v>
      </c>
      <c r="I1821" s="6">
        <v>6.22</v>
      </c>
    </row>
    <row r="1822" spans="1:9" x14ac:dyDescent="0.3">
      <c r="A1822" s="1">
        <v>42586</v>
      </c>
      <c r="B1822" s="2" t="s">
        <v>1682</v>
      </c>
      <c r="C1822" s="2" t="s">
        <v>1</v>
      </c>
      <c r="D1822" s="2" t="s">
        <v>30</v>
      </c>
      <c r="E1822" s="2" t="s">
        <v>43</v>
      </c>
      <c r="F1822" s="2" t="s">
        <v>1726</v>
      </c>
      <c r="G1822" s="2">
        <v>431.93</v>
      </c>
      <c r="H1822" s="2">
        <v>9</v>
      </c>
      <c r="I1822" s="3">
        <v>64.790000000000006</v>
      </c>
    </row>
    <row r="1823" spans="1:9" x14ac:dyDescent="0.3">
      <c r="A1823" s="4">
        <v>42586</v>
      </c>
      <c r="B1823" s="5" t="s">
        <v>1682</v>
      </c>
      <c r="C1823" s="5" t="s">
        <v>1</v>
      </c>
      <c r="D1823" s="5" t="s">
        <v>25</v>
      </c>
      <c r="E1823" s="5" t="s">
        <v>26</v>
      </c>
      <c r="F1823" s="5" t="s">
        <v>1195</v>
      </c>
      <c r="G1823" s="5">
        <v>95.98</v>
      </c>
      <c r="H1823" s="5">
        <v>4</v>
      </c>
      <c r="I1823" s="6">
        <v>-4.1100000000000003</v>
      </c>
    </row>
    <row r="1824" spans="1:9" x14ac:dyDescent="0.3">
      <c r="A1824" s="1">
        <v>42586</v>
      </c>
      <c r="B1824" s="2" t="s">
        <v>1682</v>
      </c>
      <c r="C1824" s="2" t="s">
        <v>1</v>
      </c>
      <c r="D1824" s="2" t="s">
        <v>2</v>
      </c>
      <c r="E1824" s="2" t="s">
        <v>11</v>
      </c>
      <c r="F1824" s="2" t="s">
        <v>1727</v>
      </c>
      <c r="G1824" s="2">
        <v>1088.79</v>
      </c>
      <c r="H1824" s="2">
        <v>4</v>
      </c>
      <c r="I1824" s="3">
        <v>-1850.95</v>
      </c>
    </row>
    <row r="1825" spans="1:9" x14ac:dyDescent="0.3">
      <c r="A1825" s="4">
        <v>42586</v>
      </c>
      <c r="B1825" s="5" t="s">
        <v>1153</v>
      </c>
      <c r="C1825" s="5" t="s">
        <v>127</v>
      </c>
      <c r="D1825" s="5" t="s">
        <v>2</v>
      </c>
      <c r="E1825" s="5" t="s">
        <v>114</v>
      </c>
      <c r="F1825" s="5" t="s">
        <v>1728</v>
      </c>
      <c r="G1825" s="5">
        <v>8.8699999999999992</v>
      </c>
      <c r="H1825" s="5">
        <v>1</v>
      </c>
      <c r="I1825" s="6">
        <v>3.22</v>
      </c>
    </row>
    <row r="1826" spans="1:9" x14ac:dyDescent="0.3">
      <c r="A1826" s="1">
        <v>42586</v>
      </c>
      <c r="B1826" s="2" t="s">
        <v>1153</v>
      </c>
      <c r="C1826" s="2" t="s">
        <v>127</v>
      </c>
      <c r="D1826" s="2" t="s">
        <v>2</v>
      </c>
      <c r="E1826" s="2" t="s">
        <v>11</v>
      </c>
      <c r="F1826" s="2" t="s">
        <v>153</v>
      </c>
      <c r="G1826" s="2">
        <v>121.1</v>
      </c>
      <c r="H1826" s="2">
        <v>6</v>
      </c>
      <c r="I1826" s="3">
        <v>-100.92</v>
      </c>
    </row>
    <row r="1827" spans="1:9" x14ac:dyDescent="0.3">
      <c r="A1827" s="4">
        <v>42586</v>
      </c>
      <c r="B1827" s="5" t="s">
        <v>1285</v>
      </c>
      <c r="C1827" s="5" t="s">
        <v>18</v>
      </c>
      <c r="D1827" s="5" t="s">
        <v>25</v>
      </c>
      <c r="E1827" s="5" t="s">
        <v>38</v>
      </c>
      <c r="F1827" s="5" t="s">
        <v>1729</v>
      </c>
      <c r="G1827" s="5">
        <v>24.7</v>
      </c>
      <c r="H1827" s="5">
        <v>5</v>
      </c>
      <c r="I1827" s="6">
        <v>10.37</v>
      </c>
    </row>
    <row r="1828" spans="1:9" x14ac:dyDescent="0.3">
      <c r="A1828" s="1">
        <v>42586</v>
      </c>
      <c r="B1828" s="2" t="s">
        <v>327</v>
      </c>
      <c r="C1828" s="2" t="s">
        <v>21</v>
      </c>
      <c r="D1828" s="2" t="s">
        <v>2</v>
      </c>
      <c r="E1828" s="2" t="s">
        <v>114</v>
      </c>
      <c r="F1828" s="2" t="s">
        <v>1730</v>
      </c>
      <c r="G1828" s="2">
        <v>17.920000000000002</v>
      </c>
      <c r="H1828" s="2">
        <v>4</v>
      </c>
      <c r="I1828" s="3">
        <v>8.6</v>
      </c>
    </row>
    <row r="1829" spans="1:9" x14ac:dyDescent="0.3">
      <c r="A1829" s="4">
        <v>42586</v>
      </c>
      <c r="B1829" s="5" t="s">
        <v>348</v>
      </c>
      <c r="C1829" s="5" t="s">
        <v>21</v>
      </c>
      <c r="D1829" s="5" t="s">
        <v>25</v>
      </c>
      <c r="E1829" s="5" t="s">
        <v>129</v>
      </c>
      <c r="F1829" s="5" t="s">
        <v>1731</v>
      </c>
      <c r="G1829" s="5">
        <v>354.9</v>
      </c>
      <c r="H1829" s="5">
        <v>5</v>
      </c>
      <c r="I1829" s="6">
        <v>88.73</v>
      </c>
    </row>
    <row r="1830" spans="1:9" x14ac:dyDescent="0.3">
      <c r="A1830" s="1">
        <v>42586</v>
      </c>
      <c r="B1830" s="2" t="s">
        <v>374</v>
      </c>
      <c r="C1830" s="2" t="s">
        <v>368</v>
      </c>
      <c r="D1830" s="2" t="s">
        <v>2</v>
      </c>
      <c r="E1830" s="2" t="s">
        <v>34</v>
      </c>
      <c r="F1830" s="2" t="s">
        <v>679</v>
      </c>
      <c r="G1830" s="2">
        <v>30</v>
      </c>
      <c r="H1830" s="2">
        <v>6</v>
      </c>
      <c r="I1830" s="3">
        <v>14.4</v>
      </c>
    </row>
    <row r="1831" spans="1:9" x14ac:dyDescent="0.3">
      <c r="A1831" s="4">
        <v>42586</v>
      </c>
      <c r="B1831" s="5" t="s">
        <v>374</v>
      </c>
      <c r="C1831" s="5" t="s">
        <v>368</v>
      </c>
      <c r="D1831" s="5" t="s">
        <v>2</v>
      </c>
      <c r="E1831" s="5" t="s">
        <v>3</v>
      </c>
      <c r="F1831" s="5" t="s">
        <v>1684</v>
      </c>
      <c r="G1831" s="5">
        <v>25.92</v>
      </c>
      <c r="H1831" s="5">
        <v>4</v>
      </c>
      <c r="I1831" s="6">
        <v>12.7</v>
      </c>
    </row>
    <row r="1832" spans="1:9" x14ac:dyDescent="0.3">
      <c r="A1832" s="1">
        <v>42586</v>
      </c>
      <c r="B1832" s="2" t="s">
        <v>374</v>
      </c>
      <c r="C1832" s="2" t="s">
        <v>368</v>
      </c>
      <c r="D1832" s="2" t="s">
        <v>25</v>
      </c>
      <c r="E1832" s="2" t="s">
        <v>38</v>
      </c>
      <c r="F1832" s="2" t="s">
        <v>1732</v>
      </c>
      <c r="G1832" s="2">
        <v>159.91999999999999</v>
      </c>
      <c r="H1832" s="2">
        <v>4</v>
      </c>
      <c r="I1832" s="3">
        <v>31.98</v>
      </c>
    </row>
    <row r="1833" spans="1:9" x14ac:dyDescent="0.3">
      <c r="A1833" s="4">
        <v>42617</v>
      </c>
      <c r="B1833" s="5" t="s">
        <v>1120</v>
      </c>
      <c r="C1833" s="5" t="s">
        <v>62</v>
      </c>
      <c r="D1833" s="5" t="s">
        <v>2</v>
      </c>
      <c r="E1833" s="5" t="s">
        <v>11</v>
      </c>
      <c r="F1833" s="5" t="s">
        <v>833</v>
      </c>
      <c r="G1833" s="5">
        <v>35.35</v>
      </c>
      <c r="H1833" s="5">
        <v>9</v>
      </c>
      <c r="I1833" s="6">
        <v>12.82</v>
      </c>
    </row>
    <row r="1834" spans="1:9" x14ac:dyDescent="0.3">
      <c r="A1834" s="1">
        <v>42617</v>
      </c>
      <c r="B1834" s="2" t="s">
        <v>1733</v>
      </c>
      <c r="C1834" s="2" t="s">
        <v>160</v>
      </c>
      <c r="D1834" s="2" t="s">
        <v>30</v>
      </c>
      <c r="E1834" s="2" t="s">
        <v>31</v>
      </c>
      <c r="F1834" s="2" t="s">
        <v>1719</v>
      </c>
      <c r="G1834" s="2">
        <v>517.9</v>
      </c>
      <c r="H1834" s="2">
        <v>2</v>
      </c>
      <c r="I1834" s="3">
        <v>134.65</v>
      </c>
    </row>
    <row r="1835" spans="1:9" x14ac:dyDescent="0.3">
      <c r="A1835" s="4">
        <v>42617</v>
      </c>
      <c r="B1835" s="5" t="s">
        <v>1733</v>
      </c>
      <c r="C1835" s="5" t="s">
        <v>160</v>
      </c>
      <c r="D1835" s="5" t="s">
        <v>2</v>
      </c>
      <c r="E1835" s="5" t="s">
        <v>11</v>
      </c>
      <c r="F1835" s="5" t="s">
        <v>1734</v>
      </c>
      <c r="G1835" s="5">
        <v>5.28</v>
      </c>
      <c r="H1835" s="5">
        <v>2</v>
      </c>
      <c r="I1835" s="6">
        <v>2.4300000000000002</v>
      </c>
    </row>
    <row r="1836" spans="1:9" x14ac:dyDescent="0.3">
      <c r="A1836" s="1">
        <v>42617</v>
      </c>
      <c r="B1836" s="2" t="s">
        <v>1735</v>
      </c>
      <c r="C1836" s="2" t="s">
        <v>18</v>
      </c>
      <c r="D1836" s="2" t="s">
        <v>25</v>
      </c>
      <c r="E1836" s="2" t="s">
        <v>129</v>
      </c>
      <c r="F1836" s="2" t="s">
        <v>1736</v>
      </c>
      <c r="G1836" s="2">
        <v>556.66999999999996</v>
      </c>
      <c r="H1836" s="2">
        <v>5</v>
      </c>
      <c r="I1836" s="3">
        <v>6.55</v>
      </c>
    </row>
    <row r="1837" spans="1:9" x14ac:dyDescent="0.3">
      <c r="A1837" s="4">
        <v>42647</v>
      </c>
      <c r="B1837" s="5" t="s">
        <v>1662</v>
      </c>
      <c r="C1837" s="5" t="s">
        <v>127</v>
      </c>
      <c r="D1837" s="5" t="s">
        <v>2</v>
      </c>
      <c r="E1837" s="5" t="s">
        <v>11</v>
      </c>
      <c r="F1837" s="5" t="s">
        <v>615</v>
      </c>
      <c r="G1837" s="5">
        <v>8.9</v>
      </c>
      <c r="H1837" s="5">
        <v>2</v>
      </c>
      <c r="I1837" s="6">
        <v>-6.53</v>
      </c>
    </row>
    <row r="1838" spans="1:9" x14ac:dyDescent="0.3">
      <c r="A1838" s="1">
        <v>42647</v>
      </c>
      <c r="B1838" s="2" t="s">
        <v>171</v>
      </c>
      <c r="C1838" s="2" t="s">
        <v>18</v>
      </c>
      <c r="D1838" s="2" t="s">
        <v>2</v>
      </c>
      <c r="E1838" s="2" t="s">
        <v>3</v>
      </c>
      <c r="F1838" s="2" t="s">
        <v>1737</v>
      </c>
      <c r="G1838" s="2">
        <v>12.96</v>
      </c>
      <c r="H1838" s="2">
        <v>2</v>
      </c>
      <c r="I1838" s="3">
        <v>6.22</v>
      </c>
    </row>
    <row r="1839" spans="1:9" x14ac:dyDescent="0.3">
      <c r="A1839" s="4">
        <v>42647</v>
      </c>
      <c r="B1839" s="5" t="s">
        <v>171</v>
      </c>
      <c r="C1839" s="5" t="s">
        <v>18</v>
      </c>
      <c r="D1839" s="5" t="s">
        <v>2</v>
      </c>
      <c r="E1839" s="5" t="s">
        <v>11</v>
      </c>
      <c r="F1839" s="5" t="s">
        <v>1738</v>
      </c>
      <c r="G1839" s="5">
        <v>23.2</v>
      </c>
      <c r="H1839" s="5">
        <v>5</v>
      </c>
      <c r="I1839" s="6">
        <v>8.1199999999999992</v>
      </c>
    </row>
    <row r="1840" spans="1:9" x14ac:dyDescent="0.3">
      <c r="A1840" s="1">
        <v>42647</v>
      </c>
      <c r="B1840" s="2" t="s">
        <v>1274</v>
      </c>
      <c r="C1840" s="2" t="s">
        <v>18</v>
      </c>
      <c r="D1840" s="2" t="s">
        <v>2</v>
      </c>
      <c r="E1840" s="2" t="s">
        <v>133</v>
      </c>
      <c r="F1840" s="2" t="s">
        <v>1607</v>
      </c>
      <c r="G1840" s="2">
        <v>113.76</v>
      </c>
      <c r="H1840" s="2">
        <v>3</v>
      </c>
      <c r="I1840" s="3">
        <v>44.37</v>
      </c>
    </row>
    <row r="1841" spans="1:9" x14ac:dyDescent="0.3">
      <c r="A1841" s="4">
        <v>42647</v>
      </c>
      <c r="B1841" s="5" t="s">
        <v>1274</v>
      </c>
      <c r="C1841" s="5" t="s">
        <v>18</v>
      </c>
      <c r="D1841" s="5" t="s">
        <v>2</v>
      </c>
      <c r="E1841" s="5" t="s">
        <v>9</v>
      </c>
      <c r="F1841" s="5" t="s">
        <v>769</v>
      </c>
      <c r="G1841" s="5">
        <v>579.51</v>
      </c>
      <c r="H1841" s="5">
        <v>3</v>
      </c>
      <c r="I1841" s="6">
        <v>81.13</v>
      </c>
    </row>
    <row r="1842" spans="1:9" x14ac:dyDescent="0.3">
      <c r="A1842" s="1">
        <v>42647</v>
      </c>
      <c r="B1842" s="2" t="s">
        <v>1274</v>
      </c>
      <c r="C1842" s="2" t="s">
        <v>18</v>
      </c>
      <c r="D1842" s="2" t="s">
        <v>2</v>
      </c>
      <c r="E1842" s="2" t="s">
        <v>9</v>
      </c>
      <c r="F1842" s="2" t="s">
        <v>182</v>
      </c>
      <c r="G1842" s="2">
        <v>150.66</v>
      </c>
      <c r="H1842" s="2">
        <v>9</v>
      </c>
      <c r="I1842" s="3">
        <v>6.03</v>
      </c>
    </row>
    <row r="1843" spans="1:9" x14ac:dyDescent="0.3">
      <c r="A1843" s="4">
        <v>42647</v>
      </c>
      <c r="B1843" s="5" t="s">
        <v>1274</v>
      </c>
      <c r="C1843" s="5" t="s">
        <v>18</v>
      </c>
      <c r="D1843" s="5" t="s">
        <v>2</v>
      </c>
      <c r="E1843" s="5" t="s">
        <v>11</v>
      </c>
      <c r="F1843" s="5" t="s">
        <v>1739</v>
      </c>
      <c r="G1843" s="5">
        <v>48.03</v>
      </c>
      <c r="H1843" s="5">
        <v>4</v>
      </c>
      <c r="I1843" s="6">
        <v>15.61</v>
      </c>
    </row>
    <row r="1844" spans="1:9" x14ac:dyDescent="0.3">
      <c r="A1844" s="1">
        <v>42647</v>
      </c>
      <c r="B1844" s="2" t="s">
        <v>371</v>
      </c>
      <c r="C1844" s="2" t="s">
        <v>6</v>
      </c>
      <c r="D1844" s="2" t="s">
        <v>2</v>
      </c>
      <c r="E1844" s="2" t="s">
        <v>15</v>
      </c>
      <c r="F1844" s="2" t="s">
        <v>904</v>
      </c>
      <c r="G1844" s="2">
        <v>13.57</v>
      </c>
      <c r="H1844" s="2">
        <v>4</v>
      </c>
      <c r="I1844" s="3">
        <v>3.22</v>
      </c>
    </row>
    <row r="1845" spans="1:9" x14ac:dyDescent="0.3">
      <c r="A1845" s="4">
        <v>42708</v>
      </c>
      <c r="B1845" s="5" t="s">
        <v>1230</v>
      </c>
      <c r="C1845" s="5" t="s">
        <v>46</v>
      </c>
      <c r="D1845" s="5" t="s">
        <v>25</v>
      </c>
      <c r="E1845" s="5" t="s">
        <v>86</v>
      </c>
      <c r="F1845" s="5" t="s">
        <v>229</v>
      </c>
      <c r="G1845" s="5">
        <v>343.92</v>
      </c>
      <c r="H1845" s="5">
        <v>4</v>
      </c>
      <c r="I1845" s="6">
        <v>75.66</v>
      </c>
    </row>
    <row r="1846" spans="1:9" x14ac:dyDescent="0.3">
      <c r="A1846" s="1">
        <v>42708</v>
      </c>
      <c r="B1846" s="2" t="s">
        <v>1230</v>
      </c>
      <c r="C1846" s="2" t="s">
        <v>46</v>
      </c>
      <c r="D1846" s="2" t="s">
        <v>2</v>
      </c>
      <c r="E1846" s="2" t="s">
        <v>3</v>
      </c>
      <c r="F1846" s="2" t="s">
        <v>248</v>
      </c>
      <c r="G1846" s="2">
        <v>40.99</v>
      </c>
      <c r="H1846" s="2">
        <v>1</v>
      </c>
      <c r="I1846" s="3">
        <v>20.09</v>
      </c>
    </row>
    <row r="1847" spans="1:9" x14ac:dyDescent="0.3">
      <c r="A1847" s="4">
        <v>42708</v>
      </c>
      <c r="B1847" s="5" t="s">
        <v>1230</v>
      </c>
      <c r="C1847" s="5" t="s">
        <v>46</v>
      </c>
      <c r="D1847" s="5" t="s">
        <v>2</v>
      </c>
      <c r="E1847" s="5" t="s">
        <v>114</v>
      </c>
      <c r="F1847" s="5" t="s">
        <v>574</v>
      </c>
      <c r="G1847" s="5">
        <v>63.9</v>
      </c>
      <c r="H1847" s="5">
        <v>5</v>
      </c>
      <c r="I1847" s="6">
        <v>28.76</v>
      </c>
    </row>
    <row r="1848" spans="1:9" x14ac:dyDescent="0.3">
      <c r="A1848" s="1">
        <v>42708</v>
      </c>
      <c r="B1848" s="2" t="s">
        <v>744</v>
      </c>
      <c r="C1848" s="2" t="s">
        <v>18</v>
      </c>
      <c r="D1848" s="2" t="s">
        <v>25</v>
      </c>
      <c r="E1848" s="2" t="s">
        <v>26</v>
      </c>
      <c r="F1848" s="2" t="s">
        <v>1463</v>
      </c>
      <c r="G1848" s="2">
        <v>638.29</v>
      </c>
      <c r="H1848" s="2">
        <v>7</v>
      </c>
      <c r="I1848" s="3">
        <v>-31.91</v>
      </c>
    </row>
    <row r="1849" spans="1:9" x14ac:dyDescent="0.3">
      <c r="A1849" s="4">
        <v>42708</v>
      </c>
      <c r="B1849" s="5" t="s">
        <v>744</v>
      </c>
      <c r="C1849" s="5" t="s">
        <v>18</v>
      </c>
      <c r="D1849" s="5" t="s">
        <v>2</v>
      </c>
      <c r="E1849" s="5" t="s">
        <v>11</v>
      </c>
      <c r="F1849" s="5" t="s">
        <v>1740</v>
      </c>
      <c r="G1849" s="5">
        <v>13.21</v>
      </c>
      <c r="H1849" s="5">
        <v>1</v>
      </c>
      <c r="I1849" s="6">
        <v>4.62</v>
      </c>
    </row>
    <row r="1850" spans="1:9" x14ac:dyDescent="0.3">
      <c r="A1850" s="1">
        <v>42708</v>
      </c>
      <c r="B1850" s="2" t="s">
        <v>1741</v>
      </c>
      <c r="C1850" s="2" t="s">
        <v>18</v>
      </c>
      <c r="D1850" s="2" t="s">
        <v>2</v>
      </c>
      <c r="E1850" s="2" t="s">
        <v>3</v>
      </c>
      <c r="F1850" s="2" t="s">
        <v>1742</v>
      </c>
      <c r="G1850" s="2">
        <v>19.440000000000001</v>
      </c>
      <c r="H1850" s="2">
        <v>3</v>
      </c>
      <c r="I1850" s="3">
        <v>9.33</v>
      </c>
    </row>
    <row r="1851" spans="1:9" x14ac:dyDescent="0.3">
      <c r="A1851" s="4">
        <v>42708</v>
      </c>
      <c r="B1851" s="5" t="s">
        <v>1741</v>
      </c>
      <c r="C1851" s="5" t="s">
        <v>18</v>
      </c>
      <c r="D1851" s="5" t="s">
        <v>25</v>
      </c>
      <c r="E1851" s="5" t="s">
        <v>26</v>
      </c>
      <c r="F1851" s="5" t="s">
        <v>98</v>
      </c>
      <c r="G1851" s="5">
        <v>194.35</v>
      </c>
      <c r="H1851" s="5">
        <v>3</v>
      </c>
      <c r="I1851" s="6">
        <v>-36.44</v>
      </c>
    </row>
    <row r="1852" spans="1:9" x14ac:dyDescent="0.3">
      <c r="A1852" s="1">
        <v>42708</v>
      </c>
      <c r="B1852" s="2" t="s">
        <v>1741</v>
      </c>
      <c r="C1852" s="2" t="s">
        <v>18</v>
      </c>
      <c r="D1852" s="2" t="s">
        <v>2</v>
      </c>
      <c r="E1852" s="2" t="s">
        <v>11</v>
      </c>
      <c r="F1852" s="2" t="s">
        <v>1128</v>
      </c>
      <c r="G1852" s="2">
        <v>36.619999999999997</v>
      </c>
      <c r="H1852" s="2">
        <v>3</v>
      </c>
      <c r="I1852" s="3">
        <v>13.73</v>
      </c>
    </row>
    <row r="1853" spans="1:9" x14ac:dyDescent="0.3">
      <c r="A1853" s="4">
        <v>42708</v>
      </c>
      <c r="B1853" s="5" t="s">
        <v>993</v>
      </c>
      <c r="C1853" s="5" t="s">
        <v>121</v>
      </c>
      <c r="D1853" s="5" t="s">
        <v>2</v>
      </c>
      <c r="E1853" s="5" t="s">
        <v>9</v>
      </c>
      <c r="F1853" s="5" t="s">
        <v>109</v>
      </c>
      <c r="G1853" s="5">
        <v>129.55000000000001</v>
      </c>
      <c r="H1853" s="5">
        <v>3</v>
      </c>
      <c r="I1853" s="6">
        <v>-22.67</v>
      </c>
    </row>
    <row r="1854" spans="1:9" x14ac:dyDescent="0.3">
      <c r="A1854" s="1">
        <v>42708</v>
      </c>
      <c r="B1854" s="2" t="s">
        <v>993</v>
      </c>
      <c r="C1854" s="2" t="s">
        <v>121</v>
      </c>
      <c r="D1854" s="2" t="s">
        <v>2</v>
      </c>
      <c r="E1854" s="2" t="s">
        <v>9</v>
      </c>
      <c r="F1854" s="2" t="s">
        <v>1743</v>
      </c>
      <c r="G1854" s="2">
        <v>51.98</v>
      </c>
      <c r="H1854" s="2">
        <v>1</v>
      </c>
      <c r="I1854" s="3">
        <v>-5.2</v>
      </c>
    </row>
    <row r="1855" spans="1:9" x14ac:dyDescent="0.3">
      <c r="A1855" s="4">
        <v>42708</v>
      </c>
      <c r="B1855" s="5" t="s">
        <v>993</v>
      </c>
      <c r="C1855" s="5" t="s">
        <v>121</v>
      </c>
      <c r="D1855" s="5" t="s">
        <v>2</v>
      </c>
      <c r="E1855" s="5" t="s">
        <v>3</v>
      </c>
      <c r="F1855" s="5" t="s">
        <v>1744</v>
      </c>
      <c r="G1855" s="5">
        <v>10.27</v>
      </c>
      <c r="H1855" s="5">
        <v>3</v>
      </c>
      <c r="I1855" s="6">
        <v>3.47</v>
      </c>
    </row>
    <row r="1856" spans="1:9" x14ac:dyDescent="0.3">
      <c r="A1856" s="1">
        <v>42374</v>
      </c>
      <c r="B1856" s="2" t="s">
        <v>1735</v>
      </c>
      <c r="C1856" s="2" t="s">
        <v>411</v>
      </c>
      <c r="D1856" s="2" t="s">
        <v>2</v>
      </c>
      <c r="E1856" s="2" t="s">
        <v>7</v>
      </c>
      <c r="F1856" s="2" t="s">
        <v>820</v>
      </c>
      <c r="G1856" s="2">
        <v>3.98</v>
      </c>
      <c r="H1856" s="2">
        <v>1</v>
      </c>
      <c r="I1856" s="3">
        <v>1.29</v>
      </c>
    </row>
    <row r="1857" spans="1:9" x14ac:dyDescent="0.3">
      <c r="A1857" s="4">
        <v>42374</v>
      </c>
      <c r="B1857" s="5" t="s">
        <v>1735</v>
      </c>
      <c r="C1857" s="5" t="s">
        <v>411</v>
      </c>
      <c r="D1857" s="5" t="s">
        <v>25</v>
      </c>
      <c r="E1857" s="5" t="s">
        <v>86</v>
      </c>
      <c r="F1857" s="5" t="s">
        <v>432</v>
      </c>
      <c r="G1857" s="5">
        <v>370.62</v>
      </c>
      <c r="H1857" s="5">
        <v>3</v>
      </c>
      <c r="I1857" s="6">
        <v>-142.07</v>
      </c>
    </row>
    <row r="1858" spans="1:9" x14ac:dyDescent="0.3">
      <c r="A1858" s="1">
        <v>42374</v>
      </c>
      <c r="B1858" s="2" t="s">
        <v>1735</v>
      </c>
      <c r="C1858" s="2" t="s">
        <v>411</v>
      </c>
      <c r="D1858" s="2" t="s">
        <v>2</v>
      </c>
      <c r="E1858" s="2" t="s">
        <v>11</v>
      </c>
      <c r="F1858" s="2" t="s">
        <v>494</v>
      </c>
      <c r="G1858" s="2">
        <v>2.74</v>
      </c>
      <c r="H1858" s="2">
        <v>2</v>
      </c>
      <c r="I1858" s="3">
        <v>-2.0099999999999998</v>
      </c>
    </row>
    <row r="1859" spans="1:9" x14ac:dyDescent="0.3">
      <c r="A1859" s="4">
        <v>42374</v>
      </c>
      <c r="B1859" s="5" t="s">
        <v>1745</v>
      </c>
      <c r="C1859" s="5" t="s">
        <v>368</v>
      </c>
      <c r="D1859" s="5" t="s">
        <v>2</v>
      </c>
      <c r="E1859" s="5" t="s">
        <v>3</v>
      </c>
      <c r="F1859" s="5" t="s">
        <v>1746</v>
      </c>
      <c r="G1859" s="5">
        <v>109.92</v>
      </c>
      <c r="H1859" s="5">
        <v>2</v>
      </c>
      <c r="I1859" s="6">
        <v>53.86</v>
      </c>
    </row>
    <row r="1860" spans="1:9" x14ac:dyDescent="0.3">
      <c r="A1860" s="1">
        <v>42374</v>
      </c>
      <c r="B1860" s="2" t="s">
        <v>1745</v>
      </c>
      <c r="C1860" s="2" t="s">
        <v>368</v>
      </c>
      <c r="D1860" s="2" t="s">
        <v>2</v>
      </c>
      <c r="E1860" s="2" t="s">
        <v>3</v>
      </c>
      <c r="F1860" s="2" t="s">
        <v>1747</v>
      </c>
      <c r="G1860" s="2">
        <v>19.440000000000001</v>
      </c>
      <c r="H1860" s="2">
        <v>3</v>
      </c>
      <c r="I1860" s="3">
        <v>9.33</v>
      </c>
    </row>
    <row r="1861" spans="1:9" x14ac:dyDescent="0.3">
      <c r="A1861" s="4">
        <v>42374</v>
      </c>
      <c r="B1861" s="5" t="s">
        <v>1745</v>
      </c>
      <c r="C1861" s="5" t="s">
        <v>368</v>
      </c>
      <c r="D1861" s="5" t="s">
        <v>2</v>
      </c>
      <c r="E1861" s="5" t="s">
        <v>15</v>
      </c>
      <c r="F1861" s="5" t="s">
        <v>338</v>
      </c>
      <c r="G1861" s="5">
        <v>11.16</v>
      </c>
      <c r="H1861" s="5">
        <v>2</v>
      </c>
      <c r="I1861" s="6">
        <v>4.3499999999999996</v>
      </c>
    </row>
    <row r="1862" spans="1:9" x14ac:dyDescent="0.3">
      <c r="A1862" s="1">
        <v>42405</v>
      </c>
      <c r="B1862" s="2" t="s">
        <v>1693</v>
      </c>
      <c r="C1862" s="2" t="s">
        <v>1</v>
      </c>
      <c r="D1862" s="2" t="s">
        <v>2</v>
      </c>
      <c r="E1862" s="2" t="s">
        <v>15</v>
      </c>
      <c r="F1862" s="2" t="s">
        <v>1168</v>
      </c>
      <c r="G1862" s="2">
        <v>86.35</v>
      </c>
      <c r="H1862" s="2">
        <v>3</v>
      </c>
      <c r="I1862" s="3">
        <v>5.4</v>
      </c>
    </row>
    <row r="1863" spans="1:9" x14ac:dyDescent="0.3">
      <c r="A1863" s="4">
        <v>42405</v>
      </c>
      <c r="B1863" s="5" t="s">
        <v>1748</v>
      </c>
      <c r="C1863" s="5" t="s">
        <v>80</v>
      </c>
      <c r="D1863" s="5" t="s">
        <v>2</v>
      </c>
      <c r="E1863" s="5" t="s">
        <v>9</v>
      </c>
      <c r="F1863" s="5" t="s">
        <v>1749</v>
      </c>
      <c r="G1863" s="5">
        <v>44.94</v>
      </c>
      <c r="H1863" s="5">
        <v>3</v>
      </c>
      <c r="I1863" s="6">
        <v>12.58</v>
      </c>
    </row>
    <row r="1864" spans="1:9" x14ac:dyDescent="0.3">
      <c r="A1864" s="1">
        <v>42405</v>
      </c>
      <c r="B1864" s="2" t="s">
        <v>1748</v>
      </c>
      <c r="C1864" s="2" t="s">
        <v>80</v>
      </c>
      <c r="D1864" s="2" t="s">
        <v>2</v>
      </c>
      <c r="E1864" s="2" t="s">
        <v>11</v>
      </c>
      <c r="F1864" s="2" t="s">
        <v>1012</v>
      </c>
      <c r="G1864" s="2">
        <v>45.58</v>
      </c>
      <c r="H1864" s="2">
        <v>3</v>
      </c>
      <c r="I1864" s="3">
        <v>15.95</v>
      </c>
    </row>
    <row r="1865" spans="1:9" x14ac:dyDescent="0.3">
      <c r="A1865" s="4">
        <v>42405</v>
      </c>
      <c r="B1865" s="5" t="s">
        <v>1750</v>
      </c>
      <c r="C1865" s="5" t="s">
        <v>121</v>
      </c>
      <c r="D1865" s="5" t="s">
        <v>25</v>
      </c>
      <c r="E1865" s="5" t="s">
        <v>26</v>
      </c>
      <c r="F1865" s="5" t="s">
        <v>1751</v>
      </c>
      <c r="G1865" s="5">
        <v>187.06</v>
      </c>
      <c r="H1865" s="5">
        <v>9</v>
      </c>
      <c r="I1865" s="6">
        <v>11.69</v>
      </c>
    </row>
    <row r="1866" spans="1:9" x14ac:dyDescent="0.3">
      <c r="A1866" s="1">
        <v>42405</v>
      </c>
      <c r="B1866" s="2" t="s">
        <v>1526</v>
      </c>
      <c r="C1866" s="2" t="s">
        <v>1</v>
      </c>
      <c r="D1866" s="2" t="s">
        <v>2</v>
      </c>
      <c r="E1866" s="2" t="s">
        <v>9</v>
      </c>
      <c r="F1866" s="2" t="s">
        <v>547</v>
      </c>
      <c r="G1866" s="2">
        <v>18.940000000000001</v>
      </c>
      <c r="H1866" s="2">
        <v>3</v>
      </c>
      <c r="I1866" s="3">
        <v>-3.79</v>
      </c>
    </row>
    <row r="1867" spans="1:9" x14ac:dyDescent="0.3">
      <c r="A1867" s="4">
        <v>42405</v>
      </c>
      <c r="B1867" s="5" t="s">
        <v>1526</v>
      </c>
      <c r="C1867" s="5" t="s">
        <v>1</v>
      </c>
      <c r="D1867" s="5" t="s">
        <v>2</v>
      </c>
      <c r="E1867" s="5" t="s">
        <v>9</v>
      </c>
      <c r="F1867" s="5" t="s">
        <v>1752</v>
      </c>
      <c r="G1867" s="5">
        <v>12.67</v>
      </c>
      <c r="H1867" s="5">
        <v>3</v>
      </c>
      <c r="I1867" s="6">
        <v>-3.17</v>
      </c>
    </row>
    <row r="1868" spans="1:9" x14ac:dyDescent="0.3">
      <c r="A1868" s="1">
        <v>42405</v>
      </c>
      <c r="B1868" s="2" t="s">
        <v>1526</v>
      </c>
      <c r="C1868" s="2" t="s">
        <v>1</v>
      </c>
      <c r="D1868" s="2" t="s">
        <v>2</v>
      </c>
      <c r="E1868" s="2" t="s">
        <v>7</v>
      </c>
      <c r="F1868" s="2" t="s">
        <v>1753</v>
      </c>
      <c r="G1868" s="2">
        <v>5.04</v>
      </c>
      <c r="H1868" s="2">
        <v>2</v>
      </c>
      <c r="I1868" s="3">
        <v>1.76</v>
      </c>
    </row>
    <row r="1869" spans="1:9" x14ac:dyDescent="0.3">
      <c r="A1869" s="4">
        <v>42405</v>
      </c>
      <c r="B1869" s="5" t="s">
        <v>407</v>
      </c>
      <c r="C1869" s="5" t="s">
        <v>1</v>
      </c>
      <c r="D1869" s="5" t="s">
        <v>25</v>
      </c>
      <c r="E1869" s="5" t="s">
        <v>26</v>
      </c>
      <c r="F1869" s="5" t="s">
        <v>760</v>
      </c>
      <c r="G1869" s="5">
        <v>366.74</v>
      </c>
      <c r="H1869" s="5">
        <v>4</v>
      </c>
      <c r="I1869" s="6">
        <v>-110.02</v>
      </c>
    </row>
    <row r="1870" spans="1:9" x14ac:dyDescent="0.3">
      <c r="A1870" s="1">
        <v>42405</v>
      </c>
      <c r="B1870" s="2" t="s">
        <v>285</v>
      </c>
      <c r="C1870" s="2" t="s">
        <v>80</v>
      </c>
      <c r="D1870" s="2" t="s">
        <v>25</v>
      </c>
      <c r="E1870" s="2" t="s">
        <v>38</v>
      </c>
      <c r="F1870" s="2" t="s">
        <v>1754</v>
      </c>
      <c r="G1870" s="2">
        <v>12.56</v>
      </c>
      <c r="H1870" s="2">
        <v>2</v>
      </c>
      <c r="I1870" s="3">
        <v>4.0199999999999996</v>
      </c>
    </row>
    <row r="1871" spans="1:9" x14ac:dyDescent="0.3">
      <c r="A1871" s="4">
        <v>42405</v>
      </c>
      <c r="B1871" s="5" t="s">
        <v>285</v>
      </c>
      <c r="C1871" s="5" t="s">
        <v>80</v>
      </c>
      <c r="D1871" s="5" t="s">
        <v>2</v>
      </c>
      <c r="E1871" s="5" t="s">
        <v>11</v>
      </c>
      <c r="F1871" s="5" t="s">
        <v>458</v>
      </c>
      <c r="G1871" s="5">
        <v>90.48</v>
      </c>
      <c r="H1871" s="5">
        <v>3</v>
      </c>
      <c r="I1871" s="6">
        <v>33.93</v>
      </c>
    </row>
    <row r="1872" spans="1:9" x14ac:dyDescent="0.3">
      <c r="A1872" s="1">
        <v>42405</v>
      </c>
      <c r="B1872" s="2" t="s">
        <v>285</v>
      </c>
      <c r="C1872" s="2" t="s">
        <v>80</v>
      </c>
      <c r="D1872" s="2" t="s">
        <v>2</v>
      </c>
      <c r="E1872" s="2" t="s">
        <v>3</v>
      </c>
      <c r="F1872" s="2" t="s">
        <v>810</v>
      </c>
      <c r="G1872" s="2">
        <v>13.08</v>
      </c>
      <c r="H1872" s="2">
        <v>2</v>
      </c>
      <c r="I1872" s="3">
        <v>6.02</v>
      </c>
    </row>
    <row r="1873" spans="1:9" x14ac:dyDescent="0.3">
      <c r="A1873" s="4">
        <v>42405</v>
      </c>
      <c r="B1873" s="5" t="s">
        <v>285</v>
      </c>
      <c r="C1873" s="5" t="s">
        <v>80</v>
      </c>
      <c r="D1873" s="5" t="s">
        <v>25</v>
      </c>
      <c r="E1873" s="5" t="s">
        <v>38</v>
      </c>
      <c r="F1873" s="5" t="s">
        <v>818</v>
      </c>
      <c r="G1873" s="5">
        <v>214.7</v>
      </c>
      <c r="H1873" s="5">
        <v>5</v>
      </c>
      <c r="I1873" s="6">
        <v>83.73</v>
      </c>
    </row>
    <row r="1874" spans="1:9" x14ac:dyDescent="0.3">
      <c r="A1874" s="1">
        <v>42434</v>
      </c>
      <c r="B1874" s="2" t="s">
        <v>1488</v>
      </c>
      <c r="C1874" s="2" t="s">
        <v>6</v>
      </c>
      <c r="D1874" s="2" t="s">
        <v>2</v>
      </c>
      <c r="E1874" s="2" t="s">
        <v>11</v>
      </c>
      <c r="F1874" s="2" t="s">
        <v>1755</v>
      </c>
      <c r="G1874" s="2">
        <v>2.1800000000000002</v>
      </c>
      <c r="H1874" s="2">
        <v>1</v>
      </c>
      <c r="I1874" s="3">
        <v>-3.6</v>
      </c>
    </row>
    <row r="1875" spans="1:9" x14ac:dyDescent="0.3">
      <c r="A1875" s="4">
        <v>42434</v>
      </c>
      <c r="B1875" s="5" t="s">
        <v>1488</v>
      </c>
      <c r="C1875" s="5" t="s">
        <v>6</v>
      </c>
      <c r="D1875" s="5" t="s">
        <v>2</v>
      </c>
      <c r="E1875" s="5" t="s">
        <v>15</v>
      </c>
      <c r="F1875" s="5" t="s">
        <v>1756</v>
      </c>
      <c r="G1875" s="5">
        <v>27.38</v>
      </c>
      <c r="H1875" s="5">
        <v>7</v>
      </c>
      <c r="I1875" s="6">
        <v>2.74</v>
      </c>
    </row>
    <row r="1876" spans="1:9" x14ac:dyDescent="0.3">
      <c r="A1876" s="1">
        <v>42434</v>
      </c>
      <c r="B1876" s="2" t="s">
        <v>1488</v>
      </c>
      <c r="C1876" s="2" t="s">
        <v>6</v>
      </c>
      <c r="D1876" s="2" t="s">
        <v>2</v>
      </c>
      <c r="E1876" s="2" t="s">
        <v>133</v>
      </c>
      <c r="F1876" s="2" t="s">
        <v>604</v>
      </c>
      <c r="G1876" s="2">
        <v>26.41</v>
      </c>
      <c r="H1876" s="2">
        <v>3</v>
      </c>
      <c r="I1876" s="3">
        <v>-71.3</v>
      </c>
    </row>
    <row r="1877" spans="1:9" x14ac:dyDescent="0.3">
      <c r="A1877" s="4">
        <v>42434</v>
      </c>
      <c r="B1877" s="5" t="s">
        <v>1757</v>
      </c>
      <c r="C1877" s="5" t="s">
        <v>127</v>
      </c>
      <c r="D1877" s="5" t="s">
        <v>30</v>
      </c>
      <c r="E1877" s="5" t="s">
        <v>43</v>
      </c>
      <c r="F1877" s="5" t="s">
        <v>933</v>
      </c>
      <c r="G1877" s="5">
        <v>132.52000000000001</v>
      </c>
      <c r="H1877" s="5">
        <v>5</v>
      </c>
      <c r="I1877" s="6">
        <v>34.79</v>
      </c>
    </row>
    <row r="1878" spans="1:9" x14ac:dyDescent="0.3">
      <c r="A1878" s="1">
        <v>42434</v>
      </c>
      <c r="B1878" s="2" t="s">
        <v>1757</v>
      </c>
      <c r="C1878" s="2" t="s">
        <v>127</v>
      </c>
      <c r="D1878" s="2" t="s">
        <v>2</v>
      </c>
      <c r="E1878" s="2" t="s">
        <v>9</v>
      </c>
      <c r="F1878" s="2" t="s">
        <v>1071</v>
      </c>
      <c r="G1878" s="2">
        <v>195.64</v>
      </c>
      <c r="H1878" s="2">
        <v>5</v>
      </c>
      <c r="I1878" s="3">
        <v>-44.02</v>
      </c>
    </row>
    <row r="1879" spans="1:9" x14ac:dyDescent="0.3">
      <c r="A1879" s="4">
        <v>42434</v>
      </c>
      <c r="B1879" s="5" t="s">
        <v>1757</v>
      </c>
      <c r="C1879" s="5" t="s">
        <v>127</v>
      </c>
      <c r="D1879" s="5" t="s">
        <v>25</v>
      </c>
      <c r="E1879" s="5" t="s">
        <v>38</v>
      </c>
      <c r="F1879" s="5" t="s">
        <v>1758</v>
      </c>
      <c r="G1879" s="5">
        <v>51.97</v>
      </c>
      <c r="H1879" s="5">
        <v>2</v>
      </c>
      <c r="I1879" s="6">
        <v>10.39</v>
      </c>
    </row>
    <row r="1880" spans="1:9" x14ac:dyDescent="0.3">
      <c r="A1880" s="1">
        <v>42434</v>
      </c>
      <c r="B1880" s="2" t="s">
        <v>1757</v>
      </c>
      <c r="C1880" s="2" t="s">
        <v>127</v>
      </c>
      <c r="D1880" s="2" t="s">
        <v>30</v>
      </c>
      <c r="E1880" s="2" t="s">
        <v>43</v>
      </c>
      <c r="F1880" s="2" t="s">
        <v>1533</v>
      </c>
      <c r="G1880" s="2">
        <v>431.98</v>
      </c>
      <c r="H1880" s="2">
        <v>3</v>
      </c>
      <c r="I1880" s="3">
        <v>-75.599999999999994</v>
      </c>
    </row>
    <row r="1881" spans="1:9" x14ac:dyDescent="0.3">
      <c r="A1881" s="4">
        <v>42434</v>
      </c>
      <c r="B1881" s="5" t="s">
        <v>1757</v>
      </c>
      <c r="C1881" s="5" t="s">
        <v>127</v>
      </c>
      <c r="D1881" s="5" t="s">
        <v>30</v>
      </c>
      <c r="E1881" s="5" t="s">
        <v>625</v>
      </c>
      <c r="F1881" s="5" t="s">
        <v>1759</v>
      </c>
      <c r="G1881" s="5">
        <v>224.94</v>
      </c>
      <c r="H1881" s="5">
        <v>3</v>
      </c>
      <c r="I1881" s="6">
        <v>-164.95</v>
      </c>
    </row>
    <row r="1882" spans="1:9" x14ac:dyDescent="0.3">
      <c r="A1882" s="1">
        <v>42434</v>
      </c>
      <c r="B1882" s="2" t="s">
        <v>1757</v>
      </c>
      <c r="C1882" s="2" t="s">
        <v>127</v>
      </c>
      <c r="D1882" s="2" t="s">
        <v>2</v>
      </c>
      <c r="E1882" s="2" t="s">
        <v>7</v>
      </c>
      <c r="F1882" s="2" t="s">
        <v>1760</v>
      </c>
      <c r="G1882" s="2">
        <v>6</v>
      </c>
      <c r="H1882" s="2">
        <v>2</v>
      </c>
      <c r="I1882" s="3">
        <v>2.1</v>
      </c>
    </row>
    <row r="1883" spans="1:9" x14ac:dyDescent="0.3">
      <c r="A1883" s="4">
        <v>42495</v>
      </c>
      <c r="B1883" s="5" t="s">
        <v>804</v>
      </c>
      <c r="C1883" s="5" t="s">
        <v>24</v>
      </c>
      <c r="D1883" s="5" t="s">
        <v>2</v>
      </c>
      <c r="E1883" s="5" t="s">
        <v>3</v>
      </c>
      <c r="F1883" s="5" t="s">
        <v>435</v>
      </c>
      <c r="G1883" s="5">
        <v>79.14</v>
      </c>
      <c r="H1883" s="5">
        <v>3</v>
      </c>
      <c r="I1883" s="6">
        <v>36.4</v>
      </c>
    </row>
    <row r="1884" spans="1:9" x14ac:dyDescent="0.3">
      <c r="A1884" s="1">
        <v>42495</v>
      </c>
      <c r="B1884" s="2" t="s">
        <v>1761</v>
      </c>
      <c r="C1884" s="2" t="s">
        <v>411</v>
      </c>
      <c r="D1884" s="2" t="s">
        <v>2</v>
      </c>
      <c r="E1884" s="2" t="s">
        <v>3</v>
      </c>
      <c r="F1884" s="2" t="s">
        <v>1762</v>
      </c>
      <c r="G1884" s="2">
        <v>14.35</v>
      </c>
      <c r="H1884" s="2">
        <v>3</v>
      </c>
      <c r="I1884" s="3">
        <v>5.2</v>
      </c>
    </row>
    <row r="1885" spans="1:9" x14ac:dyDescent="0.3">
      <c r="A1885" s="4">
        <v>42495</v>
      </c>
      <c r="B1885" s="5" t="s">
        <v>1763</v>
      </c>
      <c r="C1885" s="5" t="s">
        <v>18</v>
      </c>
      <c r="D1885" s="5" t="s">
        <v>2</v>
      </c>
      <c r="E1885" s="5" t="s">
        <v>9</v>
      </c>
      <c r="F1885" s="5" t="s">
        <v>478</v>
      </c>
      <c r="G1885" s="5">
        <v>5.98</v>
      </c>
      <c r="H1885" s="5">
        <v>1</v>
      </c>
      <c r="I1885" s="6">
        <v>1.02</v>
      </c>
    </row>
    <row r="1886" spans="1:9" x14ac:dyDescent="0.3">
      <c r="A1886" s="1">
        <v>42495</v>
      </c>
      <c r="B1886" s="2" t="s">
        <v>1763</v>
      </c>
      <c r="C1886" s="2" t="s">
        <v>18</v>
      </c>
      <c r="D1886" s="2" t="s">
        <v>30</v>
      </c>
      <c r="E1886" s="2" t="s">
        <v>31</v>
      </c>
      <c r="F1886" s="2" t="s">
        <v>1764</v>
      </c>
      <c r="G1886" s="2">
        <v>246.17</v>
      </c>
      <c r="H1886" s="2">
        <v>3</v>
      </c>
      <c r="I1886" s="3">
        <v>21.54</v>
      </c>
    </row>
    <row r="1887" spans="1:9" x14ac:dyDescent="0.3">
      <c r="A1887" s="4">
        <v>42495</v>
      </c>
      <c r="B1887" s="5" t="s">
        <v>1271</v>
      </c>
      <c r="C1887" s="5" t="s">
        <v>18</v>
      </c>
      <c r="D1887" s="5" t="s">
        <v>2</v>
      </c>
      <c r="E1887" s="5" t="s">
        <v>11</v>
      </c>
      <c r="F1887" s="5" t="s">
        <v>1765</v>
      </c>
      <c r="G1887" s="5">
        <v>6.72</v>
      </c>
      <c r="H1887" s="5">
        <v>5</v>
      </c>
      <c r="I1887" s="6">
        <v>2.35</v>
      </c>
    </row>
    <row r="1888" spans="1:9" x14ac:dyDescent="0.3">
      <c r="A1888" s="1">
        <v>42495</v>
      </c>
      <c r="B1888" s="2" t="s">
        <v>1271</v>
      </c>
      <c r="C1888" s="2" t="s">
        <v>18</v>
      </c>
      <c r="D1888" s="2" t="s">
        <v>25</v>
      </c>
      <c r="E1888" s="2" t="s">
        <v>86</v>
      </c>
      <c r="F1888" s="2" t="s">
        <v>259</v>
      </c>
      <c r="G1888" s="2">
        <v>298.77999999999997</v>
      </c>
      <c r="H1888" s="2">
        <v>3</v>
      </c>
      <c r="I1888" s="3">
        <v>7.47</v>
      </c>
    </row>
    <row r="1889" spans="1:9" x14ac:dyDescent="0.3">
      <c r="A1889" s="4">
        <v>42495</v>
      </c>
      <c r="B1889" s="5" t="s">
        <v>1715</v>
      </c>
      <c r="C1889" s="5" t="s">
        <v>411</v>
      </c>
      <c r="D1889" s="5" t="s">
        <v>25</v>
      </c>
      <c r="E1889" s="5" t="s">
        <v>38</v>
      </c>
      <c r="F1889" s="5" t="s">
        <v>1023</v>
      </c>
      <c r="G1889" s="5">
        <v>16.72</v>
      </c>
      <c r="H1889" s="5">
        <v>5</v>
      </c>
      <c r="I1889" s="6">
        <v>3.34</v>
      </c>
    </row>
    <row r="1890" spans="1:9" x14ac:dyDescent="0.3">
      <c r="A1890" s="1">
        <v>42495</v>
      </c>
      <c r="B1890" s="2" t="s">
        <v>1036</v>
      </c>
      <c r="C1890" s="2" t="s">
        <v>18</v>
      </c>
      <c r="D1890" s="2" t="s">
        <v>25</v>
      </c>
      <c r="E1890" s="2" t="s">
        <v>86</v>
      </c>
      <c r="F1890" s="2" t="s">
        <v>1766</v>
      </c>
      <c r="G1890" s="2">
        <v>71.09</v>
      </c>
      <c r="H1890" s="2">
        <v>2</v>
      </c>
      <c r="I1890" s="3">
        <v>-1.78</v>
      </c>
    </row>
    <row r="1891" spans="1:9" x14ac:dyDescent="0.3">
      <c r="A1891" s="4">
        <v>42495</v>
      </c>
      <c r="B1891" s="5" t="s">
        <v>1767</v>
      </c>
      <c r="C1891" s="5" t="s">
        <v>83</v>
      </c>
      <c r="D1891" s="5" t="s">
        <v>25</v>
      </c>
      <c r="E1891" s="5" t="s">
        <v>86</v>
      </c>
      <c r="F1891" s="5" t="s">
        <v>1768</v>
      </c>
      <c r="G1891" s="5">
        <v>1685.88</v>
      </c>
      <c r="H1891" s="5">
        <v>6</v>
      </c>
      <c r="I1891" s="6">
        <v>320.32</v>
      </c>
    </row>
    <row r="1892" spans="1:9" x14ac:dyDescent="0.3">
      <c r="A1892" s="1">
        <v>42495</v>
      </c>
      <c r="B1892" s="2" t="s">
        <v>1767</v>
      </c>
      <c r="C1892" s="2" t="s">
        <v>83</v>
      </c>
      <c r="D1892" s="2" t="s">
        <v>2</v>
      </c>
      <c r="E1892" s="2" t="s">
        <v>11</v>
      </c>
      <c r="F1892" s="2" t="s">
        <v>1203</v>
      </c>
      <c r="G1892" s="2">
        <v>5.73</v>
      </c>
      <c r="H1892" s="2">
        <v>2</v>
      </c>
      <c r="I1892" s="3">
        <v>2</v>
      </c>
    </row>
    <row r="1893" spans="1:9" x14ac:dyDescent="0.3">
      <c r="A1893" s="4">
        <v>42495</v>
      </c>
      <c r="B1893" s="5" t="s">
        <v>654</v>
      </c>
      <c r="C1893" s="5" t="s">
        <v>58</v>
      </c>
      <c r="D1893" s="5" t="s">
        <v>2</v>
      </c>
      <c r="E1893" s="5" t="s">
        <v>3</v>
      </c>
      <c r="F1893" s="5" t="s">
        <v>1769</v>
      </c>
      <c r="G1893" s="5">
        <v>93.25</v>
      </c>
      <c r="H1893" s="5">
        <v>4</v>
      </c>
      <c r="I1893" s="6">
        <v>31.47</v>
      </c>
    </row>
    <row r="1894" spans="1:9" x14ac:dyDescent="0.3">
      <c r="A1894" s="1">
        <v>42495</v>
      </c>
      <c r="B1894" s="2" t="s">
        <v>654</v>
      </c>
      <c r="C1894" s="2" t="s">
        <v>58</v>
      </c>
      <c r="D1894" s="2" t="s">
        <v>30</v>
      </c>
      <c r="E1894" s="2" t="s">
        <v>31</v>
      </c>
      <c r="F1894" s="2" t="s">
        <v>1770</v>
      </c>
      <c r="G1894" s="2">
        <v>177.48</v>
      </c>
      <c r="H1894" s="2">
        <v>3</v>
      </c>
      <c r="I1894" s="3">
        <v>19.97</v>
      </c>
    </row>
    <row r="1895" spans="1:9" x14ac:dyDescent="0.3">
      <c r="A1895" s="4">
        <v>42526</v>
      </c>
      <c r="B1895" s="5" t="s">
        <v>1299</v>
      </c>
      <c r="C1895" s="5" t="s">
        <v>127</v>
      </c>
      <c r="D1895" s="5" t="s">
        <v>2</v>
      </c>
      <c r="E1895" s="5" t="s">
        <v>34</v>
      </c>
      <c r="F1895" s="5" t="s">
        <v>1771</v>
      </c>
      <c r="G1895" s="5">
        <v>7.22</v>
      </c>
      <c r="H1895" s="5">
        <v>2</v>
      </c>
      <c r="I1895" s="6">
        <v>1.71</v>
      </c>
    </row>
    <row r="1896" spans="1:9" x14ac:dyDescent="0.3">
      <c r="A1896" s="1">
        <v>42526</v>
      </c>
      <c r="B1896" s="2" t="s">
        <v>1299</v>
      </c>
      <c r="C1896" s="2" t="s">
        <v>127</v>
      </c>
      <c r="D1896" s="2" t="s">
        <v>2</v>
      </c>
      <c r="E1896" s="2" t="s">
        <v>3</v>
      </c>
      <c r="F1896" s="2" t="s">
        <v>1218</v>
      </c>
      <c r="G1896" s="2">
        <v>49.57</v>
      </c>
      <c r="H1896" s="2">
        <v>2</v>
      </c>
      <c r="I1896" s="3">
        <v>15.49</v>
      </c>
    </row>
    <row r="1897" spans="1:9" x14ac:dyDescent="0.3">
      <c r="A1897" s="4">
        <v>42526</v>
      </c>
      <c r="B1897" s="5" t="s">
        <v>1299</v>
      </c>
      <c r="C1897" s="5" t="s">
        <v>127</v>
      </c>
      <c r="D1897" s="5" t="s">
        <v>25</v>
      </c>
      <c r="E1897" s="5" t="s">
        <v>38</v>
      </c>
      <c r="F1897" s="5" t="s">
        <v>1772</v>
      </c>
      <c r="G1897" s="5">
        <v>54.71</v>
      </c>
      <c r="H1897" s="5">
        <v>7</v>
      </c>
      <c r="I1897" s="6">
        <v>11.63</v>
      </c>
    </row>
    <row r="1898" spans="1:9" x14ac:dyDescent="0.3">
      <c r="A1898" s="1">
        <v>42526</v>
      </c>
      <c r="B1898" s="2" t="s">
        <v>1584</v>
      </c>
      <c r="C1898" s="2" t="s">
        <v>6</v>
      </c>
      <c r="D1898" s="2" t="s">
        <v>2</v>
      </c>
      <c r="E1898" s="2" t="s">
        <v>11</v>
      </c>
      <c r="F1898" s="2" t="s">
        <v>1152</v>
      </c>
      <c r="G1898" s="2">
        <v>3.21</v>
      </c>
      <c r="H1898" s="2">
        <v>2</v>
      </c>
      <c r="I1898" s="3">
        <v>-5.29</v>
      </c>
    </row>
    <row r="1899" spans="1:9" x14ac:dyDescent="0.3">
      <c r="A1899" s="4">
        <v>42526</v>
      </c>
      <c r="B1899" s="5" t="s">
        <v>1584</v>
      </c>
      <c r="C1899" s="5" t="s">
        <v>6</v>
      </c>
      <c r="D1899" s="5" t="s">
        <v>30</v>
      </c>
      <c r="E1899" s="5" t="s">
        <v>43</v>
      </c>
      <c r="F1899" s="5" t="s">
        <v>546</v>
      </c>
      <c r="G1899" s="5">
        <v>26.18</v>
      </c>
      <c r="H1899" s="5">
        <v>2</v>
      </c>
      <c r="I1899" s="6">
        <v>-3.27</v>
      </c>
    </row>
    <row r="1900" spans="1:9" x14ac:dyDescent="0.3">
      <c r="A1900" s="1">
        <v>42526</v>
      </c>
      <c r="B1900" s="2" t="s">
        <v>1299</v>
      </c>
      <c r="C1900" s="2" t="s">
        <v>90</v>
      </c>
      <c r="D1900" s="2" t="s">
        <v>2</v>
      </c>
      <c r="E1900" s="2" t="s">
        <v>133</v>
      </c>
      <c r="F1900" s="2" t="s">
        <v>1045</v>
      </c>
      <c r="G1900" s="2">
        <v>54.48</v>
      </c>
      <c r="H1900" s="2">
        <v>1</v>
      </c>
      <c r="I1900" s="3">
        <v>15.25</v>
      </c>
    </row>
    <row r="1901" spans="1:9" x14ac:dyDescent="0.3">
      <c r="A1901" s="4">
        <v>42526</v>
      </c>
      <c r="B1901" s="5" t="s">
        <v>587</v>
      </c>
      <c r="C1901" s="5" t="s">
        <v>18</v>
      </c>
      <c r="D1901" s="5" t="s">
        <v>25</v>
      </c>
      <c r="E1901" s="5" t="s">
        <v>38</v>
      </c>
      <c r="F1901" s="5" t="s">
        <v>1773</v>
      </c>
      <c r="G1901" s="5">
        <v>41.6</v>
      </c>
      <c r="H1901" s="5">
        <v>4</v>
      </c>
      <c r="I1901" s="6">
        <v>14.14</v>
      </c>
    </row>
    <row r="1902" spans="1:9" x14ac:dyDescent="0.3">
      <c r="A1902" s="1">
        <v>42556</v>
      </c>
      <c r="B1902" s="2" t="s">
        <v>1692</v>
      </c>
      <c r="C1902" s="2" t="s">
        <v>80</v>
      </c>
      <c r="D1902" s="2" t="s">
        <v>2</v>
      </c>
      <c r="E1902" s="2" t="s">
        <v>11</v>
      </c>
      <c r="F1902" s="2" t="s">
        <v>1107</v>
      </c>
      <c r="G1902" s="2">
        <v>85.23</v>
      </c>
      <c r="H1902" s="2">
        <v>7</v>
      </c>
      <c r="I1902" s="3">
        <v>30.9</v>
      </c>
    </row>
    <row r="1903" spans="1:9" x14ac:dyDescent="0.3">
      <c r="A1903" s="4">
        <v>42556</v>
      </c>
      <c r="B1903" s="5" t="s">
        <v>1692</v>
      </c>
      <c r="C1903" s="5" t="s">
        <v>80</v>
      </c>
      <c r="D1903" s="5" t="s">
        <v>2</v>
      </c>
      <c r="E1903" s="5" t="s">
        <v>7</v>
      </c>
      <c r="F1903" s="5" t="s">
        <v>696</v>
      </c>
      <c r="G1903" s="5">
        <v>44.4</v>
      </c>
      <c r="H1903" s="5">
        <v>3</v>
      </c>
      <c r="I1903" s="6">
        <v>22.2</v>
      </c>
    </row>
    <row r="1904" spans="1:9" x14ac:dyDescent="0.3">
      <c r="A1904" s="1">
        <v>42556</v>
      </c>
      <c r="B1904" s="2" t="s">
        <v>1692</v>
      </c>
      <c r="C1904" s="2" t="s">
        <v>80</v>
      </c>
      <c r="D1904" s="2" t="s">
        <v>25</v>
      </c>
      <c r="E1904" s="2" t="s">
        <v>26</v>
      </c>
      <c r="F1904" s="2" t="s">
        <v>1111</v>
      </c>
      <c r="G1904" s="2">
        <v>442.76</v>
      </c>
      <c r="H1904" s="2">
        <v>4</v>
      </c>
      <c r="I1904" s="3">
        <v>59.04</v>
      </c>
    </row>
    <row r="1905" spans="1:9" x14ac:dyDescent="0.3">
      <c r="A1905" s="4">
        <v>42556</v>
      </c>
      <c r="B1905" s="5" t="s">
        <v>1692</v>
      </c>
      <c r="C1905" s="5" t="s">
        <v>80</v>
      </c>
      <c r="D1905" s="5" t="s">
        <v>30</v>
      </c>
      <c r="E1905" s="5" t="s">
        <v>625</v>
      </c>
      <c r="F1905" s="5" t="s">
        <v>1774</v>
      </c>
      <c r="G1905" s="5">
        <v>3999.95</v>
      </c>
      <c r="H1905" s="5">
        <v>5</v>
      </c>
      <c r="I1905" s="6">
        <v>1159.99</v>
      </c>
    </row>
    <row r="1906" spans="1:9" x14ac:dyDescent="0.3">
      <c r="A1906" s="1">
        <v>42556</v>
      </c>
      <c r="B1906" s="2" t="s">
        <v>1692</v>
      </c>
      <c r="C1906" s="2" t="s">
        <v>80</v>
      </c>
      <c r="D1906" s="2" t="s">
        <v>30</v>
      </c>
      <c r="E1906" s="2" t="s">
        <v>43</v>
      </c>
      <c r="F1906" s="2" t="s">
        <v>568</v>
      </c>
      <c r="G1906" s="2">
        <v>199.95</v>
      </c>
      <c r="H1906" s="2">
        <v>5</v>
      </c>
      <c r="I1906" s="3">
        <v>21.99</v>
      </c>
    </row>
    <row r="1907" spans="1:9" x14ac:dyDescent="0.3">
      <c r="A1907" s="4">
        <v>42556</v>
      </c>
      <c r="B1907" s="5" t="s">
        <v>1692</v>
      </c>
      <c r="C1907" s="5" t="s">
        <v>80</v>
      </c>
      <c r="D1907" s="5" t="s">
        <v>25</v>
      </c>
      <c r="E1907" s="5" t="s">
        <v>38</v>
      </c>
      <c r="F1907" s="5" t="s">
        <v>1182</v>
      </c>
      <c r="G1907" s="5">
        <v>63.68</v>
      </c>
      <c r="H1907" s="5">
        <v>8</v>
      </c>
      <c r="I1907" s="6">
        <v>28.02</v>
      </c>
    </row>
    <row r="1908" spans="1:9" x14ac:dyDescent="0.3">
      <c r="A1908" s="1">
        <v>42587</v>
      </c>
      <c r="B1908" s="2" t="s">
        <v>1402</v>
      </c>
      <c r="C1908" s="2" t="s">
        <v>50</v>
      </c>
      <c r="D1908" s="2" t="s">
        <v>25</v>
      </c>
      <c r="E1908" s="2" t="s">
        <v>38</v>
      </c>
      <c r="F1908" s="2" t="s">
        <v>1775</v>
      </c>
      <c r="G1908" s="2">
        <v>211.96</v>
      </c>
      <c r="H1908" s="2">
        <v>2</v>
      </c>
      <c r="I1908" s="3">
        <v>42.39</v>
      </c>
    </row>
    <row r="1909" spans="1:9" x14ac:dyDescent="0.3">
      <c r="A1909" s="4">
        <v>42587</v>
      </c>
      <c r="B1909" s="5" t="s">
        <v>137</v>
      </c>
      <c r="C1909" s="5" t="s">
        <v>127</v>
      </c>
      <c r="D1909" s="5" t="s">
        <v>2</v>
      </c>
      <c r="E1909" s="5" t="s">
        <v>9</v>
      </c>
      <c r="F1909" s="5" t="s">
        <v>522</v>
      </c>
      <c r="G1909" s="5">
        <v>1006.06</v>
      </c>
      <c r="H1909" s="5">
        <v>3</v>
      </c>
      <c r="I1909" s="6">
        <v>88.03</v>
      </c>
    </row>
    <row r="1910" spans="1:9" x14ac:dyDescent="0.3">
      <c r="A1910" s="1">
        <v>42587</v>
      </c>
      <c r="B1910" s="2" t="s">
        <v>137</v>
      </c>
      <c r="C1910" s="2" t="s">
        <v>127</v>
      </c>
      <c r="D1910" s="2" t="s">
        <v>2</v>
      </c>
      <c r="E1910" s="2" t="s">
        <v>3</v>
      </c>
      <c r="F1910" s="2" t="s">
        <v>188</v>
      </c>
      <c r="G1910" s="2">
        <v>10.69</v>
      </c>
      <c r="H1910" s="2">
        <v>2</v>
      </c>
      <c r="I1910" s="3">
        <v>3.74</v>
      </c>
    </row>
    <row r="1911" spans="1:9" x14ac:dyDescent="0.3">
      <c r="A1911" s="4">
        <v>42587</v>
      </c>
      <c r="B1911" s="5" t="s">
        <v>137</v>
      </c>
      <c r="C1911" s="5" t="s">
        <v>127</v>
      </c>
      <c r="D1911" s="5" t="s">
        <v>2</v>
      </c>
      <c r="E1911" s="5" t="s">
        <v>3</v>
      </c>
      <c r="F1911" s="5" t="s">
        <v>1232</v>
      </c>
      <c r="G1911" s="5">
        <v>10.37</v>
      </c>
      <c r="H1911" s="5">
        <v>2</v>
      </c>
      <c r="I1911" s="6">
        <v>3.63</v>
      </c>
    </row>
    <row r="1912" spans="1:9" x14ac:dyDescent="0.3">
      <c r="A1912" s="1">
        <v>42587</v>
      </c>
      <c r="B1912" s="2" t="s">
        <v>137</v>
      </c>
      <c r="C1912" s="2" t="s">
        <v>127</v>
      </c>
      <c r="D1912" s="2" t="s">
        <v>2</v>
      </c>
      <c r="E1912" s="2" t="s">
        <v>9</v>
      </c>
      <c r="F1912" s="2" t="s">
        <v>1487</v>
      </c>
      <c r="G1912" s="2">
        <v>25.12</v>
      </c>
      <c r="H1912" s="2">
        <v>2</v>
      </c>
      <c r="I1912" s="3">
        <v>1.57</v>
      </c>
    </row>
    <row r="1913" spans="1:9" x14ac:dyDescent="0.3">
      <c r="A1913" s="4">
        <v>42587</v>
      </c>
      <c r="B1913" s="5" t="s">
        <v>137</v>
      </c>
      <c r="C1913" s="5" t="s">
        <v>127</v>
      </c>
      <c r="D1913" s="5" t="s">
        <v>30</v>
      </c>
      <c r="E1913" s="5" t="s">
        <v>43</v>
      </c>
      <c r="F1913" s="5" t="s">
        <v>345</v>
      </c>
      <c r="G1913" s="5">
        <v>58.11</v>
      </c>
      <c r="H1913" s="5">
        <v>2</v>
      </c>
      <c r="I1913" s="6">
        <v>7.26</v>
      </c>
    </row>
    <row r="1914" spans="1:9" x14ac:dyDescent="0.3">
      <c r="A1914" s="1">
        <v>42587</v>
      </c>
      <c r="B1914" s="2" t="s">
        <v>559</v>
      </c>
      <c r="C1914" s="2" t="s">
        <v>18</v>
      </c>
      <c r="D1914" s="2" t="s">
        <v>2</v>
      </c>
      <c r="E1914" s="2" t="s">
        <v>3</v>
      </c>
      <c r="F1914" s="2" t="s">
        <v>1072</v>
      </c>
      <c r="G1914" s="2">
        <v>17.940000000000001</v>
      </c>
      <c r="H1914" s="2">
        <v>3</v>
      </c>
      <c r="I1914" s="3">
        <v>8.07</v>
      </c>
    </row>
    <row r="1915" spans="1:9" x14ac:dyDescent="0.3">
      <c r="A1915" s="4">
        <v>42618</v>
      </c>
      <c r="B1915" s="5" t="s">
        <v>545</v>
      </c>
      <c r="C1915" s="5" t="s">
        <v>62</v>
      </c>
      <c r="D1915" s="5" t="s">
        <v>30</v>
      </c>
      <c r="E1915" s="5" t="s">
        <v>43</v>
      </c>
      <c r="F1915" s="5" t="s">
        <v>1776</v>
      </c>
      <c r="G1915" s="5">
        <v>93.98</v>
      </c>
      <c r="H1915" s="5">
        <v>2</v>
      </c>
      <c r="I1915" s="6">
        <v>13.16</v>
      </c>
    </row>
    <row r="1916" spans="1:9" x14ac:dyDescent="0.3">
      <c r="A1916" s="1">
        <v>42618</v>
      </c>
      <c r="B1916" s="2" t="s">
        <v>1606</v>
      </c>
      <c r="C1916" s="2" t="s">
        <v>14</v>
      </c>
      <c r="D1916" s="2" t="s">
        <v>2</v>
      </c>
      <c r="E1916" s="2" t="s">
        <v>114</v>
      </c>
      <c r="F1916" s="2" t="s">
        <v>115</v>
      </c>
      <c r="G1916" s="2">
        <v>9.34</v>
      </c>
      <c r="H1916" s="2">
        <v>1</v>
      </c>
      <c r="I1916" s="3">
        <v>3.5</v>
      </c>
    </row>
    <row r="1917" spans="1:9" x14ac:dyDescent="0.3">
      <c r="A1917" s="4">
        <v>42618</v>
      </c>
      <c r="B1917" s="5" t="s">
        <v>1606</v>
      </c>
      <c r="C1917" s="5" t="s">
        <v>14</v>
      </c>
      <c r="D1917" s="5" t="s">
        <v>2</v>
      </c>
      <c r="E1917" s="5" t="s">
        <v>15</v>
      </c>
      <c r="F1917" s="5" t="s">
        <v>199</v>
      </c>
      <c r="G1917" s="5">
        <v>79.36</v>
      </c>
      <c r="H1917" s="5">
        <v>5</v>
      </c>
      <c r="I1917" s="6">
        <v>9.92</v>
      </c>
    </row>
    <row r="1918" spans="1:9" x14ac:dyDescent="0.3">
      <c r="A1918" s="1">
        <v>42618</v>
      </c>
      <c r="B1918" s="2" t="s">
        <v>1194</v>
      </c>
      <c r="C1918" s="2" t="s">
        <v>80</v>
      </c>
      <c r="D1918" s="2" t="s">
        <v>2</v>
      </c>
      <c r="E1918" s="2" t="s">
        <v>15</v>
      </c>
      <c r="F1918" s="2" t="s">
        <v>1777</v>
      </c>
      <c r="G1918" s="2">
        <v>8</v>
      </c>
      <c r="H1918" s="2">
        <v>5</v>
      </c>
      <c r="I1918" s="3">
        <v>3.44</v>
      </c>
    </row>
    <row r="1919" spans="1:9" x14ac:dyDescent="0.3">
      <c r="A1919" s="4">
        <v>42618</v>
      </c>
      <c r="B1919" s="5" t="s">
        <v>549</v>
      </c>
      <c r="C1919" s="5" t="s">
        <v>18</v>
      </c>
      <c r="D1919" s="5" t="s">
        <v>2</v>
      </c>
      <c r="E1919" s="5" t="s">
        <v>3</v>
      </c>
      <c r="F1919" s="5" t="s">
        <v>1778</v>
      </c>
      <c r="G1919" s="5">
        <v>32.04</v>
      </c>
      <c r="H1919" s="5">
        <v>4</v>
      </c>
      <c r="I1919" s="6">
        <v>14.42</v>
      </c>
    </row>
    <row r="1920" spans="1:9" x14ac:dyDescent="0.3">
      <c r="A1920" s="1">
        <v>42618</v>
      </c>
      <c r="B1920" s="2" t="s">
        <v>13</v>
      </c>
      <c r="C1920" s="2" t="s">
        <v>1</v>
      </c>
      <c r="D1920" s="2" t="s">
        <v>30</v>
      </c>
      <c r="E1920" s="2" t="s">
        <v>31</v>
      </c>
      <c r="F1920" s="2" t="s">
        <v>825</v>
      </c>
      <c r="G1920" s="2">
        <v>19.14</v>
      </c>
      <c r="H1920" s="2">
        <v>2</v>
      </c>
      <c r="I1920" s="3">
        <v>1.91</v>
      </c>
    </row>
    <row r="1921" spans="1:9" x14ac:dyDescent="0.3">
      <c r="A1921" s="4">
        <v>42618</v>
      </c>
      <c r="B1921" s="5" t="s">
        <v>1779</v>
      </c>
      <c r="C1921" s="5" t="s">
        <v>46</v>
      </c>
      <c r="D1921" s="5" t="s">
        <v>2</v>
      </c>
      <c r="E1921" s="5" t="s">
        <v>15</v>
      </c>
      <c r="F1921" s="5" t="s">
        <v>1455</v>
      </c>
      <c r="G1921" s="5">
        <v>27.86</v>
      </c>
      <c r="H1921" s="5">
        <v>7</v>
      </c>
      <c r="I1921" s="6">
        <v>9.19</v>
      </c>
    </row>
    <row r="1922" spans="1:9" x14ac:dyDescent="0.3">
      <c r="A1922" s="1">
        <v>42618</v>
      </c>
      <c r="B1922" s="2" t="s">
        <v>1780</v>
      </c>
      <c r="C1922" s="2" t="s">
        <v>1</v>
      </c>
      <c r="D1922" s="2" t="s">
        <v>2</v>
      </c>
      <c r="E1922" s="2" t="s">
        <v>9</v>
      </c>
      <c r="F1922" s="2" t="s">
        <v>380</v>
      </c>
      <c r="G1922" s="2">
        <v>856.66</v>
      </c>
      <c r="H1922" s="2">
        <v>6</v>
      </c>
      <c r="I1922" s="3">
        <v>107.08</v>
      </c>
    </row>
    <row r="1923" spans="1:9" x14ac:dyDescent="0.3">
      <c r="A1923" s="4">
        <v>42618</v>
      </c>
      <c r="B1923" s="5" t="s">
        <v>1780</v>
      </c>
      <c r="C1923" s="5" t="s">
        <v>1</v>
      </c>
      <c r="D1923" s="5" t="s">
        <v>2</v>
      </c>
      <c r="E1923" s="5" t="s">
        <v>11</v>
      </c>
      <c r="F1923" s="5" t="s">
        <v>224</v>
      </c>
      <c r="G1923" s="5">
        <v>13.18</v>
      </c>
      <c r="H1923" s="5">
        <v>4</v>
      </c>
      <c r="I1923" s="6">
        <v>-20.440000000000001</v>
      </c>
    </row>
    <row r="1924" spans="1:9" x14ac:dyDescent="0.3">
      <c r="A1924" s="1">
        <v>42618</v>
      </c>
      <c r="B1924" s="2" t="s">
        <v>1780</v>
      </c>
      <c r="C1924" s="2" t="s">
        <v>1</v>
      </c>
      <c r="D1924" s="2" t="s">
        <v>2</v>
      </c>
      <c r="E1924" s="2" t="s">
        <v>133</v>
      </c>
      <c r="F1924" s="2" t="s">
        <v>1781</v>
      </c>
      <c r="G1924" s="2">
        <v>48.78</v>
      </c>
      <c r="H1924" s="2">
        <v>4</v>
      </c>
      <c r="I1924" s="3">
        <v>-131.72</v>
      </c>
    </row>
    <row r="1925" spans="1:9" x14ac:dyDescent="0.3">
      <c r="A1925" s="4">
        <v>42618</v>
      </c>
      <c r="B1925" s="5" t="s">
        <v>1780</v>
      </c>
      <c r="C1925" s="5" t="s">
        <v>1</v>
      </c>
      <c r="D1925" s="5" t="s">
        <v>2</v>
      </c>
      <c r="E1925" s="5" t="s">
        <v>3</v>
      </c>
      <c r="F1925" s="5" t="s">
        <v>1782</v>
      </c>
      <c r="G1925" s="5">
        <v>76.64</v>
      </c>
      <c r="H1925" s="5">
        <v>2</v>
      </c>
      <c r="I1925" s="6">
        <v>26.82</v>
      </c>
    </row>
    <row r="1926" spans="1:9" x14ac:dyDescent="0.3">
      <c r="A1926" s="1">
        <v>42618</v>
      </c>
      <c r="B1926" s="2" t="s">
        <v>1780</v>
      </c>
      <c r="C1926" s="2" t="s">
        <v>1</v>
      </c>
      <c r="D1926" s="2" t="s">
        <v>2</v>
      </c>
      <c r="E1926" s="2" t="s">
        <v>11</v>
      </c>
      <c r="F1926" s="2" t="s">
        <v>1783</v>
      </c>
      <c r="G1926" s="2">
        <v>18.53</v>
      </c>
      <c r="H1926" s="2">
        <v>6</v>
      </c>
      <c r="I1926" s="3">
        <v>-27.79</v>
      </c>
    </row>
    <row r="1927" spans="1:9" x14ac:dyDescent="0.3">
      <c r="A1927" s="4">
        <v>42648</v>
      </c>
      <c r="B1927" s="5" t="s">
        <v>589</v>
      </c>
      <c r="C1927" s="5" t="s">
        <v>62</v>
      </c>
      <c r="D1927" s="5" t="s">
        <v>2</v>
      </c>
      <c r="E1927" s="5" t="s">
        <v>3</v>
      </c>
      <c r="F1927" s="5" t="s">
        <v>1762</v>
      </c>
      <c r="G1927" s="5">
        <v>11.96</v>
      </c>
      <c r="H1927" s="5">
        <v>2</v>
      </c>
      <c r="I1927" s="6">
        <v>5.86</v>
      </c>
    </row>
    <row r="1928" spans="1:9" x14ac:dyDescent="0.3">
      <c r="A1928" s="1">
        <v>42648</v>
      </c>
      <c r="B1928" s="2" t="s">
        <v>1420</v>
      </c>
      <c r="C1928" s="2" t="s">
        <v>14</v>
      </c>
      <c r="D1928" s="2" t="s">
        <v>30</v>
      </c>
      <c r="E1928" s="2" t="s">
        <v>31</v>
      </c>
      <c r="F1928" s="2" t="s">
        <v>803</v>
      </c>
      <c r="G1928" s="2">
        <v>743.99</v>
      </c>
      <c r="H1928" s="2">
        <v>2</v>
      </c>
      <c r="I1928" s="3">
        <v>-124</v>
      </c>
    </row>
    <row r="1929" spans="1:9" x14ac:dyDescent="0.3">
      <c r="A1929" s="4">
        <v>42648</v>
      </c>
      <c r="B1929" s="5" t="s">
        <v>587</v>
      </c>
      <c r="C1929" s="5" t="s">
        <v>6</v>
      </c>
      <c r="D1929" s="5" t="s">
        <v>2</v>
      </c>
      <c r="E1929" s="5" t="s">
        <v>114</v>
      </c>
      <c r="F1929" s="5" t="s">
        <v>1784</v>
      </c>
      <c r="G1929" s="5">
        <v>7.07</v>
      </c>
      <c r="H1929" s="5">
        <v>2</v>
      </c>
      <c r="I1929" s="6">
        <v>2.39</v>
      </c>
    </row>
    <row r="1930" spans="1:9" x14ac:dyDescent="0.3">
      <c r="A1930" s="1">
        <v>42679</v>
      </c>
      <c r="B1930" s="2" t="s">
        <v>678</v>
      </c>
      <c r="C1930" s="2" t="s">
        <v>18</v>
      </c>
      <c r="D1930" s="2" t="s">
        <v>2</v>
      </c>
      <c r="E1930" s="2" t="s">
        <v>3</v>
      </c>
      <c r="F1930" s="2" t="s">
        <v>1072</v>
      </c>
      <c r="G1930" s="2">
        <v>5.98</v>
      </c>
      <c r="H1930" s="2">
        <v>1</v>
      </c>
      <c r="I1930" s="3">
        <v>2.69</v>
      </c>
    </row>
    <row r="1931" spans="1:9" x14ac:dyDescent="0.3">
      <c r="A1931" s="4">
        <v>42709</v>
      </c>
      <c r="B1931" s="5" t="s">
        <v>1785</v>
      </c>
      <c r="C1931" s="5" t="s">
        <v>46</v>
      </c>
      <c r="D1931" s="5" t="s">
        <v>2</v>
      </c>
      <c r="E1931" s="5" t="s">
        <v>15</v>
      </c>
      <c r="F1931" s="5" t="s">
        <v>29</v>
      </c>
      <c r="G1931" s="5">
        <v>10.96</v>
      </c>
      <c r="H1931" s="5">
        <v>4</v>
      </c>
      <c r="I1931" s="6">
        <v>2.96</v>
      </c>
    </row>
    <row r="1932" spans="1:9" x14ac:dyDescent="0.3">
      <c r="A1932" s="1">
        <v>42709</v>
      </c>
      <c r="B1932" s="2" t="s">
        <v>171</v>
      </c>
      <c r="C1932" s="2" t="s">
        <v>14</v>
      </c>
      <c r="D1932" s="2" t="s">
        <v>2</v>
      </c>
      <c r="E1932" s="2" t="s">
        <v>9</v>
      </c>
      <c r="F1932" s="2" t="s">
        <v>1576</v>
      </c>
      <c r="G1932" s="2">
        <v>82.37</v>
      </c>
      <c r="H1932" s="2">
        <v>2</v>
      </c>
      <c r="I1932" s="3">
        <v>-19.559999999999999</v>
      </c>
    </row>
    <row r="1933" spans="1:9" x14ac:dyDescent="0.3">
      <c r="A1933" s="4">
        <v>42709</v>
      </c>
      <c r="B1933" s="5" t="s">
        <v>1786</v>
      </c>
      <c r="C1933" s="5" t="s">
        <v>62</v>
      </c>
      <c r="D1933" s="5" t="s">
        <v>2</v>
      </c>
      <c r="E1933" s="5" t="s">
        <v>114</v>
      </c>
      <c r="F1933" s="5" t="s">
        <v>1787</v>
      </c>
      <c r="G1933" s="5">
        <v>54.9</v>
      </c>
      <c r="H1933" s="5">
        <v>5</v>
      </c>
      <c r="I1933" s="6">
        <v>26.9</v>
      </c>
    </row>
    <row r="1934" spans="1:9" x14ac:dyDescent="0.3">
      <c r="A1934" s="1">
        <v>42709</v>
      </c>
      <c r="B1934" s="2" t="s">
        <v>1564</v>
      </c>
      <c r="C1934" s="2" t="s">
        <v>80</v>
      </c>
      <c r="D1934" s="2" t="s">
        <v>25</v>
      </c>
      <c r="E1934" s="2" t="s">
        <v>38</v>
      </c>
      <c r="F1934" s="2" t="s">
        <v>862</v>
      </c>
      <c r="G1934" s="2">
        <v>10.02</v>
      </c>
      <c r="H1934" s="2">
        <v>3</v>
      </c>
      <c r="I1934" s="3">
        <v>4.41</v>
      </c>
    </row>
    <row r="1935" spans="1:9" x14ac:dyDescent="0.3">
      <c r="A1935" s="4">
        <v>42709</v>
      </c>
      <c r="B1935" s="5" t="s">
        <v>1564</v>
      </c>
      <c r="C1935" s="5" t="s">
        <v>80</v>
      </c>
      <c r="D1935" s="5" t="s">
        <v>30</v>
      </c>
      <c r="E1935" s="5" t="s">
        <v>31</v>
      </c>
      <c r="F1935" s="5" t="s">
        <v>271</v>
      </c>
      <c r="G1935" s="5">
        <v>631.96</v>
      </c>
      <c r="H1935" s="5">
        <v>4</v>
      </c>
      <c r="I1935" s="6">
        <v>303.33999999999997</v>
      </c>
    </row>
    <row r="1936" spans="1:9" x14ac:dyDescent="0.3">
      <c r="A1936" s="1">
        <v>42709</v>
      </c>
      <c r="B1936" s="2" t="s">
        <v>1788</v>
      </c>
      <c r="C1936" s="2" t="s">
        <v>18</v>
      </c>
      <c r="D1936" s="2" t="s">
        <v>30</v>
      </c>
      <c r="E1936" s="2" t="s">
        <v>43</v>
      </c>
      <c r="F1936" s="2" t="s">
        <v>1789</v>
      </c>
      <c r="G1936" s="2">
        <v>120</v>
      </c>
      <c r="H1936" s="2">
        <v>6</v>
      </c>
      <c r="I1936" s="3">
        <v>46.8</v>
      </c>
    </row>
    <row r="1937" spans="1:9" x14ac:dyDescent="0.3">
      <c r="A1937" s="4">
        <v>42709</v>
      </c>
      <c r="B1937" s="5" t="s">
        <v>1788</v>
      </c>
      <c r="C1937" s="5" t="s">
        <v>18</v>
      </c>
      <c r="D1937" s="5" t="s">
        <v>2</v>
      </c>
      <c r="E1937" s="5" t="s">
        <v>133</v>
      </c>
      <c r="F1937" s="5" t="s">
        <v>351</v>
      </c>
      <c r="G1937" s="5">
        <v>8.67</v>
      </c>
      <c r="H1937" s="5">
        <v>1</v>
      </c>
      <c r="I1937" s="6">
        <v>2.34</v>
      </c>
    </row>
    <row r="1938" spans="1:9" x14ac:dyDescent="0.3">
      <c r="A1938" s="1">
        <v>42406</v>
      </c>
      <c r="B1938" s="2" t="s">
        <v>673</v>
      </c>
      <c r="C1938" s="2" t="s">
        <v>14</v>
      </c>
      <c r="D1938" s="2" t="s">
        <v>2</v>
      </c>
      <c r="E1938" s="2" t="s">
        <v>9</v>
      </c>
      <c r="F1938" s="2" t="s">
        <v>687</v>
      </c>
      <c r="G1938" s="2">
        <v>64.78</v>
      </c>
      <c r="H1938" s="2">
        <v>1</v>
      </c>
      <c r="I1938" s="3">
        <v>-12.96</v>
      </c>
    </row>
    <row r="1939" spans="1:9" x14ac:dyDescent="0.3">
      <c r="A1939" s="4">
        <v>42406</v>
      </c>
      <c r="B1939" s="5" t="s">
        <v>285</v>
      </c>
      <c r="C1939" s="5" t="s">
        <v>62</v>
      </c>
      <c r="D1939" s="5" t="s">
        <v>2</v>
      </c>
      <c r="E1939" s="5" t="s">
        <v>3</v>
      </c>
      <c r="F1939" s="5" t="s">
        <v>880</v>
      </c>
      <c r="G1939" s="5">
        <v>30.18</v>
      </c>
      <c r="H1939" s="5">
        <v>3</v>
      </c>
      <c r="I1939" s="6">
        <v>13.88</v>
      </c>
    </row>
    <row r="1940" spans="1:9" x14ac:dyDescent="0.3">
      <c r="A1940" s="1">
        <v>42406</v>
      </c>
      <c r="B1940" s="2" t="s">
        <v>285</v>
      </c>
      <c r="C1940" s="2" t="s">
        <v>62</v>
      </c>
      <c r="D1940" s="2" t="s">
        <v>2</v>
      </c>
      <c r="E1940" s="2" t="s">
        <v>11</v>
      </c>
      <c r="F1940" s="2" t="s">
        <v>322</v>
      </c>
      <c r="G1940" s="2">
        <v>51.65</v>
      </c>
      <c r="H1940" s="2">
        <v>12</v>
      </c>
      <c r="I1940" s="3">
        <v>18.72</v>
      </c>
    </row>
    <row r="1941" spans="1:9" x14ac:dyDescent="0.3">
      <c r="A1941" s="4">
        <v>42406</v>
      </c>
      <c r="B1941" s="5" t="s">
        <v>285</v>
      </c>
      <c r="C1941" s="5" t="s">
        <v>62</v>
      </c>
      <c r="D1941" s="5" t="s">
        <v>2</v>
      </c>
      <c r="E1941" s="5" t="s">
        <v>11</v>
      </c>
      <c r="F1941" s="5" t="s">
        <v>608</v>
      </c>
      <c r="G1941" s="5">
        <v>11.23</v>
      </c>
      <c r="H1941" s="5">
        <v>3</v>
      </c>
      <c r="I1941" s="6">
        <v>3.93</v>
      </c>
    </row>
    <row r="1942" spans="1:9" x14ac:dyDescent="0.3">
      <c r="A1942" s="1">
        <v>42435</v>
      </c>
      <c r="B1942" s="2" t="s">
        <v>1499</v>
      </c>
      <c r="C1942" s="2" t="s">
        <v>18</v>
      </c>
      <c r="D1942" s="2" t="s">
        <v>25</v>
      </c>
      <c r="E1942" s="2" t="s">
        <v>86</v>
      </c>
      <c r="F1942" s="2" t="s">
        <v>1766</v>
      </c>
      <c r="G1942" s="2">
        <v>71.09</v>
      </c>
      <c r="H1942" s="2">
        <v>2</v>
      </c>
      <c r="I1942" s="3">
        <v>-1.78</v>
      </c>
    </row>
    <row r="1943" spans="1:9" x14ac:dyDescent="0.3">
      <c r="A1943" s="4">
        <v>42466</v>
      </c>
      <c r="B1943" s="5" t="s">
        <v>907</v>
      </c>
      <c r="C1943" s="5" t="s">
        <v>46</v>
      </c>
      <c r="D1943" s="5" t="s">
        <v>2</v>
      </c>
      <c r="E1943" s="5" t="s">
        <v>3</v>
      </c>
      <c r="F1943" s="5" t="s">
        <v>689</v>
      </c>
      <c r="G1943" s="5">
        <v>75.88</v>
      </c>
      <c r="H1943" s="5">
        <v>2</v>
      </c>
      <c r="I1943" s="6">
        <v>35.659999999999997</v>
      </c>
    </row>
    <row r="1944" spans="1:9" x14ac:dyDescent="0.3">
      <c r="A1944" s="1">
        <v>42466</v>
      </c>
      <c r="B1944" s="2" t="s">
        <v>595</v>
      </c>
      <c r="C1944" s="2" t="s">
        <v>6</v>
      </c>
      <c r="D1944" s="2" t="s">
        <v>2</v>
      </c>
      <c r="E1944" s="2" t="s">
        <v>3</v>
      </c>
      <c r="F1944" s="2" t="s">
        <v>212</v>
      </c>
      <c r="G1944" s="2">
        <v>25.92</v>
      </c>
      <c r="H1944" s="2">
        <v>5</v>
      </c>
      <c r="I1944" s="3">
        <v>9.4</v>
      </c>
    </row>
    <row r="1945" spans="1:9" x14ac:dyDescent="0.3">
      <c r="A1945" s="4">
        <v>42466</v>
      </c>
      <c r="B1945" s="5" t="s">
        <v>595</v>
      </c>
      <c r="C1945" s="5" t="s">
        <v>6</v>
      </c>
      <c r="D1945" s="5" t="s">
        <v>25</v>
      </c>
      <c r="E1945" s="5" t="s">
        <v>38</v>
      </c>
      <c r="F1945" s="5" t="s">
        <v>1790</v>
      </c>
      <c r="G1945" s="5">
        <v>419.68</v>
      </c>
      <c r="H1945" s="5">
        <v>5</v>
      </c>
      <c r="I1945" s="6">
        <v>-356.73</v>
      </c>
    </row>
    <row r="1946" spans="1:9" x14ac:dyDescent="0.3">
      <c r="A1946" s="1">
        <v>42466</v>
      </c>
      <c r="B1946" s="2" t="s">
        <v>595</v>
      </c>
      <c r="C1946" s="2" t="s">
        <v>6</v>
      </c>
      <c r="D1946" s="2" t="s">
        <v>25</v>
      </c>
      <c r="E1946" s="2" t="s">
        <v>38</v>
      </c>
      <c r="F1946" s="2" t="s">
        <v>1182</v>
      </c>
      <c r="G1946" s="2">
        <v>11.69</v>
      </c>
      <c r="H1946" s="2">
        <v>3</v>
      </c>
      <c r="I1946" s="3">
        <v>-4.68</v>
      </c>
    </row>
    <row r="1947" spans="1:9" x14ac:dyDescent="0.3">
      <c r="A1947" s="4">
        <v>42466</v>
      </c>
      <c r="B1947" s="5" t="s">
        <v>595</v>
      </c>
      <c r="C1947" s="5" t="s">
        <v>6</v>
      </c>
      <c r="D1947" s="5" t="s">
        <v>30</v>
      </c>
      <c r="E1947" s="5" t="s">
        <v>31</v>
      </c>
      <c r="F1947" s="5" t="s">
        <v>1791</v>
      </c>
      <c r="G1947" s="5">
        <v>31.98</v>
      </c>
      <c r="H1947" s="5">
        <v>2</v>
      </c>
      <c r="I1947" s="6">
        <v>11.19</v>
      </c>
    </row>
    <row r="1948" spans="1:9" x14ac:dyDescent="0.3">
      <c r="A1948" s="1">
        <v>42466</v>
      </c>
      <c r="B1948" s="2" t="s">
        <v>595</v>
      </c>
      <c r="C1948" s="2" t="s">
        <v>6</v>
      </c>
      <c r="D1948" s="2" t="s">
        <v>25</v>
      </c>
      <c r="E1948" s="2" t="s">
        <v>86</v>
      </c>
      <c r="F1948" s="2" t="s">
        <v>1326</v>
      </c>
      <c r="G1948" s="2">
        <v>177.23</v>
      </c>
      <c r="H1948" s="2">
        <v>5</v>
      </c>
      <c r="I1948" s="3">
        <v>-120.51</v>
      </c>
    </row>
    <row r="1949" spans="1:9" x14ac:dyDescent="0.3">
      <c r="A1949" s="4">
        <v>42466</v>
      </c>
      <c r="B1949" s="5" t="s">
        <v>595</v>
      </c>
      <c r="C1949" s="5" t="s">
        <v>6</v>
      </c>
      <c r="D1949" s="5" t="s">
        <v>25</v>
      </c>
      <c r="E1949" s="5" t="s">
        <v>38</v>
      </c>
      <c r="F1949" s="5" t="s">
        <v>1792</v>
      </c>
      <c r="G1949" s="5">
        <v>4.04</v>
      </c>
      <c r="H1949" s="5">
        <v>3</v>
      </c>
      <c r="I1949" s="6">
        <v>-2.83</v>
      </c>
    </row>
    <row r="1950" spans="1:9" x14ac:dyDescent="0.3">
      <c r="A1950" s="1">
        <v>42466</v>
      </c>
      <c r="B1950" s="2" t="s">
        <v>595</v>
      </c>
      <c r="C1950" s="2" t="s">
        <v>6</v>
      </c>
      <c r="D1950" s="2" t="s">
        <v>2</v>
      </c>
      <c r="E1950" s="2" t="s">
        <v>15</v>
      </c>
      <c r="F1950" s="2" t="s">
        <v>221</v>
      </c>
      <c r="G1950" s="2">
        <v>7.41</v>
      </c>
      <c r="H1950" s="2">
        <v>2</v>
      </c>
      <c r="I1950" s="3">
        <v>1.2</v>
      </c>
    </row>
    <row r="1951" spans="1:9" x14ac:dyDescent="0.3">
      <c r="A1951" s="4">
        <v>42466</v>
      </c>
      <c r="B1951" s="5" t="s">
        <v>1793</v>
      </c>
      <c r="C1951" s="5" t="s">
        <v>80</v>
      </c>
      <c r="D1951" s="5" t="s">
        <v>2</v>
      </c>
      <c r="E1951" s="5" t="s">
        <v>3</v>
      </c>
      <c r="F1951" s="5" t="s">
        <v>315</v>
      </c>
      <c r="G1951" s="5">
        <v>14.94</v>
      </c>
      <c r="H1951" s="5">
        <v>3</v>
      </c>
      <c r="I1951" s="6">
        <v>7.02</v>
      </c>
    </row>
    <row r="1952" spans="1:9" x14ac:dyDescent="0.3">
      <c r="A1952" s="1">
        <v>42466</v>
      </c>
      <c r="B1952" s="2" t="s">
        <v>1793</v>
      </c>
      <c r="C1952" s="2" t="s">
        <v>80</v>
      </c>
      <c r="D1952" s="2" t="s">
        <v>30</v>
      </c>
      <c r="E1952" s="2" t="s">
        <v>625</v>
      </c>
      <c r="F1952" s="2" t="s">
        <v>1794</v>
      </c>
      <c r="G1952" s="2">
        <v>1349.85</v>
      </c>
      <c r="H1952" s="2">
        <v>3</v>
      </c>
      <c r="I1952" s="3">
        <v>364.46</v>
      </c>
    </row>
    <row r="1953" spans="1:9" x14ac:dyDescent="0.3">
      <c r="A1953" s="4">
        <v>42466</v>
      </c>
      <c r="B1953" s="5" t="s">
        <v>1793</v>
      </c>
      <c r="C1953" s="5" t="s">
        <v>80</v>
      </c>
      <c r="D1953" s="5" t="s">
        <v>25</v>
      </c>
      <c r="E1953" s="5" t="s">
        <v>129</v>
      </c>
      <c r="F1953" s="5" t="s">
        <v>1795</v>
      </c>
      <c r="G1953" s="5">
        <v>136.78</v>
      </c>
      <c r="H1953" s="5">
        <v>1</v>
      </c>
      <c r="I1953" s="6">
        <v>5.13</v>
      </c>
    </row>
    <row r="1954" spans="1:9" x14ac:dyDescent="0.3">
      <c r="A1954" s="1">
        <v>42466</v>
      </c>
      <c r="B1954" s="2" t="s">
        <v>1793</v>
      </c>
      <c r="C1954" s="2" t="s">
        <v>80</v>
      </c>
      <c r="D1954" s="2" t="s">
        <v>25</v>
      </c>
      <c r="E1954" s="2" t="s">
        <v>38</v>
      </c>
      <c r="F1954" s="2" t="s">
        <v>948</v>
      </c>
      <c r="G1954" s="2">
        <v>61.12</v>
      </c>
      <c r="H1954" s="2">
        <v>4</v>
      </c>
      <c r="I1954" s="3">
        <v>20.78</v>
      </c>
    </row>
    <row r="1955" spans="1:9" x14ac:dyDescent="0.3">
      <c r="A1955" s="4">
        <v>42496</v>
      </c>
      <c r="B1955" s="5" t="s">
        <v>292</v>
      </c>
      <c r="C1955" s="5" t="s">
        <v>14</v>
      </c>
      <c r="D1955" s="5" t="s">
        <v>2</v>
      </c>
      <c r="E1955" s="5" t="s">
        <v>9</v>
      </c>
      <c r="F1955" s="5" t="s">
        <v>1796</v>
      </c>
      <c r="G1955" s="5">
        <v>124.61</v>
      </c>
      <c r="H1955" s="5">
        <v>4</v>
      </c>
      <c r="I1955" s="6">
        <v>-23.36</v>
      </c>
    </row>
    <row r="1956" spans="1:9" x14ac:dyDescent="0.3">
      <c r="A1956" s="1">
        <v>42496</v>
      </c>
      <c r="B1956" s="2" t="s">
        <v>292</v>
      </c>
      <c r="C1956" s="2" t="s">
        <v>14</v>
      </c>
      <c r="D1956" s="2" t="s">
        <v>2</v>
      </c>
      <c r="E1956" s="2" t="s">
        <v>7</v>
      </c>
      <c r="F1956" s="2" t="s">
        <v>1753</v>
      </c>
      <c r="G1956" s="2">
        <v>7.56</v>
      </c>
      <c r="H1956" s="2">
        <v>3</v>
      </c>
      <c r="I1956" s="3">
        <v>2.65</v>
      </c>
    </row>
    <row r="1957" spans="1:9" x14ac:dyDescent="0.3">
      <c r="A1957" s="4">
        <v>42496</v>
      </c>
      <c r="B1957" s="5" t="s">
        <v>1797</v>
      </c>
      <c r="C1957" s="5" t="s">
        <v>50</v>
      </c>
      <c r="D1957" s="5" t="s">
        <v>2</v>
      </c>
      <c r="E1957" s="5" t="s">
        <v>9</v>
      </c>
      <c r="F1957" s="5" t="s">
        <v>988</v>
      </c>
      <c r="G1957" s="5">
        <v>360.38</v>
      </c>
      <c r="H1957" s="5">
        <v>2</v>
      </c>
      <c r="I1957" s="6">
        <v>93.7</v>
      </c>
    </row>
    <row r="1958" spans="1:9" x14ac:dyDescent="0.3">
      <c r="A1958" s="1">
        <v>42496</v>
      </c>
      <c r="B1958" s="2" t="s">
        <v>1797</v>
      </c>
      <c r="C1958" s="2" t="s">
        <v>50</v>
      </c>
      <c r="D1958" s="2" t="s">
        <v>2</v>
      </c>
      <c r="E1958" s="2" t="s">
        <v>15</v>
      </c>
      <c r="F1958" s="2" t="s">
        <v>1515</v>
      </c>
      <c r="G1958" s="2">
        <v>11.16</v>
      </c>
      <c r="H1958" s="2">
        <v>2</v>
      </c>
      <c r="I1958" s="3">
        <v>2.79</v>
      </c>
    </row>
    <row r="1959" spans="1:9" x14ac:dyDescent="0.3">
      <c r="A1959" s="4">
        <v>42496</v>
      </c>
      <c r="B1959" s="5" t="s">
        <v>1797</v>
      </c>
      <c r="C1959" s="5" t="s">
        <v>50</v>
      </c>
      <c r="D1959" s="5" t="s">
        <v>2</v>
      </c>
      <c r="E1959" s="5" t="s">
        <v>7</v>
      </c>
      <c r="F1959" s="5" t="s">
        <v>895</v>
      </c>
      <c r="G1959" s="5">
        <v>14.94</v>
      </c>
      <c r="H1959" s="5">
        <v>3</v>
      </c>
      <c r="I1959" s="6">
        <v>6.87</v>
      </c>
    </row>
    <row r="1960" spans="1:9" x14ac:dyDescent="0.3">
      <c r="A1960" s="1">
        <v>42496</v>
      </c>
      <c r="B1960" s="2" t="s">
        <v>166</v>
      </c>
      <c r="C1960" s="2" t="s">
        <v>18</v>
      </c>
      <c r="D1960" s="2" t="s">
        <v>2</v>
      </c>
      <c r="E1960" s="2" t="s">
        <v>11</v>
      </c>
      <c r="F1960" s="2" t="s">
        <v>201</v>
      </c>
      <c r="G1960" s="2">
        <v>21.55</v>
      </c>
      <c r="H1960" s="2">
        <v>6</v>
      </c>
      <c r="I1960" s="3">
        <v>7</v>
      </c>
    </row>
    <row r="1961" spans="1:9" x14ac:dyDescent="0.3">
      <c r="A1961" s="4">
        <v>42496</v>
      </c>
      <c r="B1961" s="5" t="s">
        <v>166</v>
      </c>
      <c r="C1961" s="5" t="s">
        <v>18</v>
      </c>
      <c r="D1961" s="5" t="s">
        <v>2</v>
      </c>
      <c r="E1961" s="5" t="s">
        <v>133</v>
      </c>
      <c r="F1961" s="5" t="s">
        <v>373</v>
      </c>
      <c r="G1961" s="5">
        <v>58.24</v>
      </c>
      <c r="H1961" s="5">
        <v>4</v>
      </c>
      <c r="I1961" s="6">
        <v>15.72</v>
      </c>
    </row>
    <row r="1962" spans="1:9" x14ac:dyDescent="0.3">
      <c r="A1962" s="1">
        <v>42496</v>
      </c>
      <c r="B1962" s="2" t="s">
        <v>1596</v>
      </c>
      <c r="C1962" s="2" t="s">
        <v>62</v>
      </c>
      <c r="D1962" s="2" t="s">
        <v>2</v>
      </c>
      <c r="E1962" s="2" t="s">
        <v>144</v>
      </c>
      <c r="F1962" s="2" t="s">
        <v>528</v>
      </c>
      <c r="G1962" s="2">
        <v>61.38</v>
      </c>
      <c r="H1962" s="2">
        <v>6</v>
      </c>
      <c r="I1962" s="3">
        <v>15.96</v>
      </c>
    </row>
    <row r="1963" spans="1:9" x14ac:dyDescent="0.3">
      <c r="A1963" s="4">
        <v>42527</v>
      </c>
      <c r="B1963" s="5" t="s">
        <v>973</v>
      </c>
      <c r="C1963" s="5" t="s">
        <v>6</v>
      </c>
      <c r="D1963" s="5" t="s">
        <v>30</v>
      </c>
      <c r="E1963" s="5" t="s">
        <v>31</v>
      </c>
      <c r="F1963" s="5" t="s">
        <v>1764</v>
      </c>
      <c r="G1963" s="5">
        <v>328.22</v>
      </c>
      <c r="H1963" s="5">
        <v>4</v>
      </c>
      <c r="I1963" s="6">
        <v>28.72</v>
      </c>
    </row>
    <row r="1964" spans="1:9" x14ac:dyDescent="0.3">
      <c r="A1964" s="1">
        <v>42527</v>
      </c>
      <c r="B1964" s="2" t="s">
        <v>99</v>
      </c>
      <c r="C1964" s="2" t="s">
        <v>181</v>
      </c>
      <c r="D1964" s="2" t="s">
        <v>2</v>
      </c>
      <c r="E1964" s="2" t="s">
        <v>9</v>
      </c>
      <c r="F1964" s="2" t="s">
        <v>1537</v>
      </c>
      <c r="G1964" s="2">
        <v>714.3</v>
      </c>
      <c r="H1964" s="2">
        <v>5</v>
      </c>
      <c r="I1964" s="3">
        <v>207.15</v>
      </c>
    </row>
    <row r="1965" spans="1:9" x14ac:dyDescent="0.3">
      <c r="A1965" s="4">
        <v>42527</v>
      </c>
      <c r="B1965" s="5" t="s">
        <v>1798</v>
      </c>
      <c r="C1965" s="5" t="s">
        <v>181</v>
      </c>
      <c r="D1965" s="5" t="s">
        <v>2</v>
      </c>
      <c r="E1965" s="5" t="s">
        <v>3</v>
      </c>
      <c r="F1965" s="5" t="s">
        <v>1559</v>
      </c>
      <c r="G1965" s="5">
        <v>105.52</v>
      </c>
      <c r="H1965" s="5">
        <v>4</v>
      </c>
      <c r="I1965" s="6">
        <v>48.54</v>
      </c>
    </row>
    <row r="1966" spans="1:9" x14ac:dyDescent="0.3">
      <c r="A1966" s="1">
        <v>42527</v>
      </c>
      <c r="B1966" s="2" t="s">
        <v>1285</v>
      </c>
      <c r="C1966" s="2" t="s">
        <v>368</v>
      </c>
      <c r="D1966" s="2" t="s">
        <v>30</v>
      </c>
      <c r="E1966" s="2" t="s">
        <v>43</v>
      </c>
      <c r="F1966" s="2" t="s">
        <v>1480</v>
      </c>
      <c r="G1966" s="2">
        <v>179.94</v>
      </c>
      <c r="H1966" s="2">
        <v>6</v>
      </c>
      <c r="I1966" s="3">
        <v>75.569999999999993</v>
      </c>
    </row>
    <row r="1967" spans="1:9" x14ac:dyDescent="0.3">
      <c r="A1967" s="4">
        <v>42527</v>
      </c>
      <c r="B1967" s="5" t="s">
        <v>1285</v>
      </c>
      <c r="C1967" s="5" t="s">
        <v>368</v>
      </c>
      <c r="D1967" s="5" t="s">
        <v>30</v>
      </c>
      <c r="E1967" s="5" t="s">
        <v>43</v>
      </c>
      <c r="F1967" s="5" t="s">
        <v>743</v>
      </c>
      <c r="G1967" s="5">
        <v>26.85</v>
      </c>
      <c r="H1967" s="5">
        <v>3</v>
      </c>
      <c r="I1967" s="6">
        <v>5.0999999999999996</v>
      </c>
    </row>
    <row r="1968" spans="1:9" x14ac:dyDescent="0.3">
      <c r="A1968" s="1">
        <v>42527</v>
      </c>
      <c r="B1968" s="2" t="s">
        <v>1285</v>
      </c>
      <c r="C1968" s="2" t="s">
        <v>368</v>
      </c>
      <c r="D1968" s="2" t="s">
        <v>30</v>
      </c>
      <c r="E1968" s="2" t="s">
        <v>43</v>
      </c>
      <c r="F1968" s="2" t="s">
        <v>1799</v>
      </c>
      <c r="G1968" s="2">
        <v>323.37</v>
      </c>
      <c r="H1968" s="2">
        <v>3</v>
      </c>
      <c r="I1968" s="3">
        <v>129.35</v>
      </c>
    </row>
    <row r="1969" spans="1:9" x14ac:dyDescent="0.3">
      <c r="A1969" s="4">
        <v>42527</v>
      </c>
      <c r="B1969" s="5" t="s">
        <v>1285</v>
      </c>
      <c r="C1969" s="5" t="s">
        <v>368</v>
      </c>
      <c r="D1969" s="5" t="s">
        <v>2</v>
      </c>
      <c r="E1969" s="5" t="s">
        <v>3</v>
      </c>
      <c r="F1969" s="5" t="s">
        <v>1800</v>
      </c>
      <c r="G1969" s="5">
        <v>59.94</v>
      </c>
      <c r="H1969" s="5">
        <v>3</v>
      </c>
      <c r="I1969" s="6">
        <v>28.17</v>
      </c>
    </row>
    <row r="1970" spans="1:9" x14ac:dyDescent="0.3">
      <c r="A1970" s="1">
        <v>42527</v>
      </c>
      <c r="B1970" s="2" t="s">
        <v>1285</v>
      </c>
      <c r="C1970" s="2" t="s">
        <v>368</v>
      </c>
      <c r="D1970" s="2" t="s">
        <v>2</v>
      </c>
      <c r="E1970" s="2" t="s">
        <v>11</v>
      </c>
      <c r="F1970" s="2" t="s">
        <v>1801</v>
      </c>
      <c r="G1970" s="2">
        <v>64.14</v>
      </c>
      <c r="H1970" s="2">
        <v>3</v>
      </c>
      <c r="I1970" s="3">
        <v>30.79</v>
      </c>
    </row>
    <row r="1971" spans="1:9" x14ac:dyDescent="0.3">
      <c r="A1971" s="4">
        <v>42527</v>
      </c>
      <c r="B1971" s="5" t="s">
        <v>1285</v>
      </c>
      <c r="C1971" s="5" t="s">
        <v>368</v>
      </c>
      <c r="D1971" s="5" t="s">
        <v>2</v>
      </c>
      <c r="E1971" s="5" t="s">
        <v>11</v>
      </c>
      <c r="F1971" s="5" t="s">
        <v>1802</v>
      </c>
      <c r="G1971" s="5">
        <v>11.67</v>
      </c>
      <c r="H1971" s="5">
        <v>3</v>
      </c>
      <c r="I1971" s="6">
        <v>5.6</v>
      </c>
    </row>
    <row r="1972" spans="1:9" x14ac:dyDescent="0.3">
      <c r="A1972" s="1">
        <v>42527</v>
      </c>
      <c r="B1972" s="2" t="s">
        <v>1285</v>
      </c>
      <c r="C1972" s="2" t="s">
        <v>368</v>
      </c>
      <c r="D1972" s="2" t="s">
        <v>2</v>
      </c>
      <c r="E1972" s="2" t="s">
        <v>3</v>
      </c>
      <c r="F1972" s="2" t="s">
        <v>1803</v>
      </c>
      <c r="G1972" s="2">
        <v>12.96</v>
      </c>
      <c r="H1972" s="2">
        <v>2</v>
      </c>
      <c r="I1972" s="3">
        <v>6.22</v>
      </c>
    </row>
    <row r="1973" spans="1:9" x14ac:dyDescent="0.3">
      <c r="A1973" s="4">
        <v>42527</v>
      </c>
      <c r="B1973" s="5" t="s">
        <v>382</v>
      </c>
      <c r="C1973" s="5" t="s">
        <v>18</v>
      </c>
      <c r="D1973" s="5" t="s">
        <v>2</v>
      </c>
      <c r="E1973" s="5" t="s">
        <v>7</v>
      </c>
      <c r="F1973" s="5" t="s">
        <v>1571</v>
      </c>
      <c r="G1973" s="5">
        <v>22.05</v>
      </c>
      <c r="H1973" s="5">
        <v>7</v>
      </c>
      <c r="I1973" s="6">
        <v>10.58</v>
      </c>
    </row>
    <row r="1974" spans="1:9" x14ac:dyDescent="0.3">
      <c r="A1974" s="1">
        <v>42527</v>
      </c>
      <c r="B1974" s="2" t="s">
        <v>382</v>
      </c>
      <c r="C1974" s="2" t="s">
        <v>18</v>
      </c>
      <c r="D1974" s="2" t="s">
        <v>2</v>
      </c>
      <c r="E1974" s="2" t="s">
        <v>3</v>
      </c>
      <c r="F1974" s="2" t="s">
        <v>1804</v>
      </c>
      <c r="G1974" s="2">
        <v>99.9</v>
      </c>
      <c r="H1974" s="2">
        <v>5</v>
      </c>
      <c r="I1974" s="3">
        <v>46.95</v>
      </c>
    </row>
    <row r="1975" spans="1:9" x14ac:dyDescent="0.3">
      <c r="A1975" s="4">
        <v>42527</v>
      </c>
      <c r="B1975" s="5" t="s">
        <v>23</v>
      </c>
      <c r="C1975" s="5" t="s">
        <v>18</v>
      </c>
      <c r="D1975" s="5" t="s">
        <v>30</v>
      </c>
      <c r="E1975" s="5" t="s">
        <v>31</v>
      </c>
      <c r="F1975" s="5" t="s">
        <v>1805</v>
      </c>
      <c r="G1975" s="5">
        <v>3023.93</v>
      </c>
      <c r="H1975" s="5">
        <v>9</v>
      </c>
      <c r="I1975" s="6">
        <v>226.79</v>
      </c>
    </row>
    <row r="1976" spans="1:9" x14ac:dyDescent="0.3">
      <c r="A1976" s="1">
        <v>42527</v>
      </c>
      <c r="B1976" s="2" t="s">
        <v>23</v>
      </c>
      <c r="C1976" s="2" t="s">
        <v>18</v>
      </c>
      <c r="D1976" s="2" t="s">
        <v>30</v>
      </c>
      <c r="E1976" s="2" t="s">
        <v>43</v>
      </c>
      <c r="F1976" s="2" t="s">
        <v>702</v>
      </c>
      <c r="G1976" s="2">
        <v>26.96</v>
      </c>
      <c r="H1976" s="2">
        <v>2</v>
      </c>
      <c r="I1976" s="3">
        <v>3.77</v>
      </c>
    </row>
    <row r="1977" spans="1:9" x14ac:dyDescent="0.3">
      <c r="A1977" s="4">
        <v>42527</v>
      </c>
      <c r="B1977" s="5" t="s">
        <v>23</v>
      </c>
      <c r="C1977" s="5" t="s">
        <v>18</v>
      </c>
      <c r="D1977" s="5" t="s">
        <v>30</v>
      </c>
      <c r="E1977" s="5" t="s">
        <v>31</v>
      </c>
      <c r="F1977" s="5" t="s">
        <v>740</v>
      </c>
      <c r="G1977" s="5">
        <v>477.6</v>
      </c>
      <c r="H1977" s="5">
        <v>3</v>
      </c>
      <c r="I1977" s="6">
        <v>161.19</v>
      </c>
    </row>
    <row r="1978" spans="1:9" x14ac:dyDescent="0.3">
      <c r="A1978" s="1">
        <v>42527</v>
      </c>
      <c r="B1978" s="2" t="s">
        <v>1806</v>
      </c>
      <c r="C1978" s="2" t="s">
        <v>127</v>
      </c>
      <c r="D1978" s="2" t="s">
        <v>25</v>
      </c>
      <c r="E1978" s="2" t="s">
        <v>38</v>
      </c>
      <c r="F1978" s="2" t="s">
        <v>1807</v>
      </c>
      <c r="G1978" s="2">
        <v>466.32</v>
      </c>
      <c r="H1978" s="2">
        <v>3</v>
      </c>
      <c r="I1978" s="3">
        <v>34.97</v>
      </c>
    </row>
    <row r="1979" spans="1:9" x14ac:dyDescent="0.3">
      <c r="A1979" s="4">
        <v>42527</v>
      </c>
      <c r="B1979" s="5" t="s">
        <v>1806</v>
      </c>
      <c r="C1979" s="5" t="s">
        <v>127</v>
      </c>
      <c r="D1979" s="5" t="s">
        <v>25</v>
      </c>
      <c r="E1979" s="5" t="s">
        <v>38</v>
      </c>
      <c r="F1979" s="5" t="s">
        <v>1808</v>
      </c>
      <c r="G1979" s="5">
        <v>82.64</v>
      </c>
      <c r="H1979" s="5">
        <v>2</v>
      </c>
      <c r="I1979" s="6">
        <v>0</v>
      </c>
    </row>
    <row r="1980" spans="1:9" x14ac:dyDescent="0.3">
      <c r="A1980" s="1">
        <v>42557</v>
      </c>
      <c r="B1980" s="2" t="s">
        <v>1809</v>
      </c>
      <c r="C1980" s="2" t="s">
        <v>80</v>
      </c>
      <c r="D1980" s="2" t="s">
        <v>2</v>
      </c>
      <c r="E1980" s="2" t="s">
        <v>3</v>
      </c>
      <c r="F1980" s="2" t="s">
        <v>250</v>
      </c>
      <c r="G1980" s="2">
        <v>32.4</v>
      </c>
      <c r="H1980" s="2">
        <v>5</v>
      </c>
      <c r="I1980" s="3">
        <v>15.55</v>
      </c>
    </row>
    <row r="1981" spans="1:9" x14ac:dyDescent="0.3">
      <c r="A1981" s="4">
        <v>42557</v>
      </c>
      <c r="B1981" s="5" t="s">
        <v>1145</v>
      </c>
      <c r="C1981" s="5" t="s">
        <v>18</v>
      </c>
      <c r="D1981" s="5" t="s">
        <v>2</v>
      </c>
      <c r="E1981" s="5" t="s">
        <v>11</v>
      </c>
      <c r="F1981" s="5" t="s">
        <v>1500</v>
      </c>
      <c r="G1981" s="5">
        <v>4.78</v>
      </c>
      <c r="H1981" s="5">
        <v>1</v>
      </c>
      <c r="I1981" s="6">
        <v>1.55</v>
      </c>
    </row>
    <row r="1982" spans="1:9" x14ac:dyDescent="0.3">
      <c r="A1982" s="1">
        <v>42557</v>
      </c>
      <c r="B1982" s="2" t="s">
        <v>1145</v>
      </c>
      <c r="C1982" s="2" t="s">
        <v>18</v>
      </c>
      <c r="D1982" s="2" t="s">
        <v>2</v>
      </c>
      <c r="E1982" s="2" t="s">
        <v>3</v>
      </c>
      <c r="F1982" s="2" t="s">
        <v>1525</v>
      </c>
      <c r="G1982" s="2">
        <v>4.7300000000000004</v>
      </c>
      <c r="H1982" s="2">
        <v>1</v>
      </c>
      <c r="I1982" s="3">
        <v>2.3199999999999998</v>
      </c>
    </row>
    <row r="1983" spans="1:9" x14ac:dyDescent="0.3">
      <c r="A1983" s="4">
        <v>42557</v>
      </c>
      <c r="B1983" s="5" t="s">
        <v>1810</v>
      </c>
      <c r="C1983" s="5" t="s">
        <v>14</v>
      </c>
      <c r="D1983" s="5" t="s">
        <v>2</v>
      </c>
      <c r="E1983" s="5" t="s">
        <v>34</v>
      </c>
      <c r="F1983" s="5" t="s">
        <v>677</v>
      </c>
      <c r="G1983" s="5">
        <v>9.65</v>
      </c>
      <c r="H1983" s="5">
        <v>6</v>
      </c>
      <c r="I1983" s="6">
        <v>3.5</v>
      </c>
    </row>
    <row r="1984" spans="1:9" x14ac:dyDescent="0.3">
      <c r="A1984" s="1">
        <v>42619</v>
      </c>
      <c r="B1984" s="2" t="s">
        <v>339</v>
      </c>
      <c r="C1984" s="2" t="s">
        <v>18</v>
      </c>
      <c r="D1984" s="2" t="s">
        <v>30</v>
      </c>
      <c r="E1984" s="2" t="s">
        <v>31</v>
      </c>
      <c r="F1984" s="2" t="s">
        <v>1770</v>
      </c>
      <c r="G1984" s="2">
        <v>177.48</v>
      </c>
      <c r="H1984" s="2">
        <v>3</v>
      </c>
      <c r="I1984" s="3">
        <v>19.97</v>
      </c>
    </row>
    <row r="1985" spans="1:9" x14ac:dyDescent="0.3">
      <c r="A1985" s="4">
        <v>42619</v>
      </c>
      <c r="B1985" s="5" t="s">
        <v>1811</v>
      </c>
      <c r="C1985" s="5" t="s">
        <v>58</v>
      </c>
      <c r="D1985" s="5" t="s">
        <v>30</v>
      </c>
      <c r="E1985" s="5" t="s">
        <v>625</v>
      </c>
      <c r="F1985" s="5" t="s">
        <v>1812</v>
      </c>
      <c r="G1985" s="5">
        <v>695.7</v>
      </c>
      <c r="H1985" s="5">
        <v>2</v>
      </c>
      <c r="I1985" s="6">
        <v>-27.83</v>
      </c>
    </row>
    <row r="1986" spans="1:9" x14ac:dyDescent="0.3">
      <c r="A1986" s="1">
        <v>42619</v>
      </c>
      <c r="B1986" s="2" t="s">
        <v>1813</v>
      </c>
      <c r="C1986" s="2" t="s">
        <v>18</v>
      </c>
      <c r="D1986" s="2" t="s">
        <v>25</v>
      </c>
      <c r="E1986" s="2" t="s">
        <v>26</v>
      </c>
      <c r="F1986" s="2" t="s">
        <v>746</v>
      </c>
      <c r="G1986" s="2">
        <v>122.35</v>
      </c>
      <c r="H1986" s="2">
        <v>3</v>
      </c>
      <c r="I1986" s="3">
        <v>13.76</v>
      </c>
    </row>
    <row r="1987" spans="1:9" x14ac:dyDescent="0.3">
      <c r="A1987" s="4">
        <v>42619</v>
      </c>
      <c r="B1987" s="5" t="s">
        <v>890</v>
      </c>
      <c r="C1987" s="5" t="s">
        <v>359</v>
      </c>
      <c r="D1987" s="5" t="s">
        <v>25</v>
      </c>
      <c r="E1987" s="5" t="s">
        <v>86</v>
      </c>
      <c r="F1987" s="5" t="s">
        <v>1814</v>
      </c>
      <c r="G1987" s="5">
        <v>692.94</v>
      </c>
      <c r="H1987" s="5">
        <v>3</v>
      </c>
      <c r="I1987" s="6">
        <v>173.24</v>
      </c>
    </row>
    <row r="1988" spans="1:9" x14ac:dyDescent="0.3">
      <c r="A1988" s="1">
        <v>42649</v>
      </c>
      <c r="B1988" s="2" t="s">
        <v>1815</v>
      </c>
      <c r="C1988" s="2" t="s">
        <v>18</v>
      </c>
      <c r="D1988" s="2" t="s">
        <v>2</v>
      </c>
      <c r="E1988" s="2" t="s">
        <v>7</v>
      </c>
      <c r="F1988" s="2" t="s">
        <v>1709</v>
      </c>
      <c r="G1988" s="2">
        <v>20.7</v>
      </c>
      <c r="H1988" s="2">
        <v>2</v>
      </c>
      <c r="I1988" s="3">
        <v>9.94</v>
      </c>
    </row>
    <row r="1989" spans="1:9" x14ac:dyDescent="0.3">
      <c r="A1989" s="4">
        <v>42649</v>
      </c>
      <c r="B1989" s="5" t="s">
        <v>1815</v>
      </c>
      <c r="C1989" s="5" t="s">
        <v>18</v>
      </c>
      <c r="D1989" s="5" t="s">
        <v>25</v>
      </c>
      <c r="E1989" s="5" t="s">
        <v>86</v>
      </c>
      <c r="F1989" s="5" t="s">
        <v>1816</v>
      </c>
      <c r="G1989" s="5">
        <v>1335.68</v>
      </c>
      <c r="H1989" s="5">
        <v>4</v>
      </c>
      <c r="I1989" s="6">
        <v>-217.05</v>
      </c>
    </row>
    <row r="1990" spans="1:9" x14ac:dyDescent="0.3">
      <c r="A1990" s="1">
        <v>42649</v>
      </c>
      <c r="B1990" s="2" t="s">
        <v>1815</v>
      </c>
      <c r="C1990" s="2" t="s">
        <v>18</v>
      </c>
      <c r="D1990" s="2" t="s">
        <v>2</v>
      </c>
      <c r="E1990" s="2" t="s">
        <v>3</v>
      </c>
      <c r="F1990" s="2" t="s">
        <v>250</v>
      </c>
      <c r="G1990" s="2">
        <v>32.4</v>
      </c>
      <c r="H1990" s="2">
        <v>5</v>
      </c>
      <c r="I1990" s="3">
        <v>15.55</v>
      </c>
    </row>
    <row r="1991" spans="1:9" x14ac:dyDescent="0.3">
      <c r="A1991" s="4">
        <v>42649</v>
      </c>
      <c r="B1991" s="5" t="s">
        <v>1643</v>
      </c>
      <c r="C1991" s="5" t="s">
        <v>14</v>
      </c>
      <c r="D1991" s="5" t="s">
        <v>2</v>
      </c>
      <c r="E1991" s="5" t="s">
        <v>7</v>
      </c>
      <c r="F1991" s="5" t="s">
        <v>1817</v>
      </c>
      <c r="G1991" s="5">
        <v>23.62</v>
      </c>
      <c r="H1991" s="5">
        <v>8</v>
      </c>
      <c r="I1991" s="6">
        <v>7.97</v>
      </c>
    </row>
    <row r="1992" spans="1:9" x14ac:dyDescent="0.3">
      <c r="A1992" s="1">
        <v>42680</v>
      </c>
      <c r="B1992" s="2" t="s">
        <v>200</v>
      </c>
      <c r="C1992" s="2" t="s">
        <v>1</v>
      </c>
      <c r="D1992" s="2" t="s">
        <v>2</v>
      </c>
      <c r="E1992" s="2" t="s">
        <v>11</v>
      </c>
      <c r="F1992" s="2" t="s">
        <v>1765</v>
      </c>
      <c r="G1992" s="2">
        <v>1.34</v>
      </c>
      <c r="H1992" s="2">
        <v>4</v>
      </c>
      <c r="I1992" s="3">
        <v>-2.15</v>
      </c>
    </row>
    <row r="1993" spans="1:9" x14ac:dyDescent="0.3">
      <c r="A1993" s="4">
        <v>42680</v>
      </c>
      <c r="B1993" s="5" t="s">
        <v>200</v>
      </c>
      <c r="C1993" s="5" t="s">
        <v>1</v>
      </c>
      <c r="D1993" s="5" t="s">
        <v>2</v>
      </c>
      <c r="E1993" s="5" t="s">
        <v>11</v>
      </c>
      <c r="F1993" s="5" t="s">
        <v>146</v>
      </c>
      <c r="G1993" s="5">
        <v>8.27</v>
      </c>
      <c r="H1993" s="5">
        <v>4</v>
      </c>
      <c r="I1993" s="6">
        <v>-13.65</v>
      </c>
    </row>
    <row r="1994" spans="1:9" x14ac:dyDescent="0.3">
      <c r="A1994" s="1">
        <v>42680</v>
      </c>
      <c r="B1994" s="2" t="s">
        <v>200</v>
      </c>
      <c r="C1994" s="2" t="s">
        <v>1</v>
      </c>
      <c r="D1994" s="2" t="s">
        <v>25</v>
      </c>
      <c r="E1994" s="2" t="s">
        <v>38</v>
      </c>
      <c r="F1994" s="2" t="s">
        <v>245</v>
      </c>
      <c r="G1994" s="2">
        <v>12.54</v>
      </c>
      <c r="H1994" s="2">
        <v>7</v>
      </c>
      <c r="I1994" s="3">
        <v>-9.09</v>
      </c>
    </row>
    <row r="1995" spans="1:9" x14ac:dyDescent="0.3">
      <c r="A1995" s="4">
        <v>42680</v>
      </c>
      <c r="B1995" s="5" t="s">
        <v>1818</v>
      </c>
      <c r="C1995" s="5" t="s">
        <v>80</v>
      </c>
      <c r="D1995" s="5" t="s">
        <v>30</v>
      </c>
      <c r="E1995" s="5" t="s">
        <v>43</v>
      </c>
      <c r="F1995" s="5" t="s">
        <v>1144</v>
      </c>
      <c r="G1995" s="5">
        <v>239.97</v>
      </c>
      <c r="H1995" s="5">
        <v>3</v>
      </c>
      <c r="I1995" s="6">
        <v>71.989999999999995</v>
      </c>
    </row>
    <row r="1996" spans="1:9" x14ac:dyDescent="0.3">
      <c r="A1996" s="1">
        <v>42680</v>
      </c>
      <c r="B1996" s="2" t="s">
        <v>267</v>
      </c>
      <c r="C1996" s="2" t="s">
        <v>62</v>
      </c>
      <c r="D1996" s="2" t="s">
        <v>2</v>
      </c>
      <c r="E1996" s="2" t="s">
        <v>7</v>
      </c>
      <c r="F1996" s="2" t="s">
        <v>1602</v>
      </c>
      <c r="G1996" s="2">
        <v>14.62</v>
      </c>
      <c r="H1996" s="2">
        <v>2</v>
      </c>
      <c r="I1996" s="3">
        <v>6.87</v>
      </c>
    </row>
    <row r="1997" spans="1:9" x14ac:dyDescent="0.3">
      <c r="A1997" s="4">
        <v>42680</v>
      </c>
      <c r="B1997" s="5" t="s">
        <v>267</v>
      </c>
      <c r="C1997" s="5" t="s">
        <v>62</v>
      </c>
      <c r="D1997" s="5" t="s">
        <v>2</v>
      </c>
      <c r="E1997" s="5" t="s">
        <v>11</v>
      </c>
      <c r="F1997" s="5" t="s">
        <v>93</v>
      </c>
      <c r="G1997" s="5">
        <v>53.98</v>
      </c>
      <c r="H1997" s="5">
        <v>14</v>
      </c>
      <c r="I1997" s="6">
        <v>17.54</v>
      </c>
    </row>
    <row r="1998" spans="1:9" x14ac:dyDescent="0.3">
      <c r="A1998" s="1">
        <v>42680</v>
      </c>
      <c r="B1998" s="2" t="s">
        <v>267</v>
      </c>
      <c r="C1998" s="2" t="s">
        <v>62</v>
      </c>
      <c r="D1998" s="2" t="s">
        <v>30</v>
      </c>
      <c r="E1998" s="2" t="s">
        <v>43</v>
      </c>
      <c r="F1998" s="2" t="s">
        <v>1819</v>
      </c>
      <c r="G1998" s="2">
        <v>389.97</v>
      </c>
      <c r="H1998" s="2">
        <v>3</v>
      </c>
      <c r="I1998" s="3">
        <v>132.59</v>
      </c>
    </row>
    <row r="1999" spans="1:9" x14ac:dyDescent="0.3">
      <c r="A1999" s="4">
        <v>42680</v>
      </c>
      <c r="B1999" s="5" t="s">
        <v>49</v>
      </c>
      <c r="C1999" s="5" t="s">
        <v>18</v>
      </c>
      <c r="D1999" s="5" t="s">
        <v>25</v>
      </c>
      <c r="E1999" s="5" t="s">
        <v>86</v>
      </c>
      <c r="F1999" s="5" t="s">
        <v>1018</v>
      </c>
      <c r="G1999" s="5">
        <v>902.71</v>
      </c>
      <c r="H1999" s="5">
        <v>3</v>
      </c>
      <c r="I1999" s="6">
        <v>33.85</v>
      </c>
    </row>
    <row r="2000" spans="1:9" x14ac:dyDescent="0.3">
      <c r="A2000" s="1">
        <v>42710</v>
      </c>
      <c r="B2000" s="2" t="s">
        <v>1820</v>
      </c>
      <c r="C2000" s="2" t="s">
        <v>18</v>
      </c>
      <c r="D2000" s="2" t="s">
        <v>2</v>
      </c>
      <c r="E2000" s="2" t="s">
        <v>7</v>
      </c>
      <c r="F2000" s="2" t="s">
        <v>512</v>
      </c>
      <c r="G2000" s="2">
        <v>14.62</v>
      </c>
      <c r="H2000" s="2">
        <v>2</v>
      </c>
      <c r="I2000" s="3">
        <v>6.87</v>
      </c>
    </row>
    <row r="2001" spans="1:9" x14ac:dyDescent="0.3">
      <c r="A2001" s="4">
        <v>42710</v>
      </c>
      <c r="B2001" s="5" t="s">
        <v>1821</v>
      </c>
      <c r="C2001" s="5" t="s">
        <v>244</v>
      </c>
      <c r="D2001" s="5" t="s">
        <v>2</v>
      </c>
      <c r="E2001" s="5" t="s">
        <v>133</v>
      </c>
      <c r="F2001" s="5" t="s">
        <v>1822</v>
      </c>
      <c r="G2001" s="5">
        <v>208.16</v>
      </c>
      <c r="H2001" s="5">
        <v>1</v>
      </c>
      <c r="I2001" s="6">
        <v>56.2</v>
      </c>
    </row>
    <row r="2002" spans="1:9" x14ac:dyDescent="0.3">
      <c r="A2002" s="1">
        <v>42710</v>
      </c>
      <c r="B2002" s="2" t="s">
        <v>1821</v>
      </c>
      <c r="C2002" s="2" t="s">
        <v>244</v>
      </c>
      <c r="D2002" s="2" t="s">
        <v>2</v>
      </c>
      <c r="E2002" s="2" t="s">
        <v>11</v>
      </c>
      <c r="F2002" s="2" t="s">
        <v>1823</v>
      </c>
      <c r="G2002" s="2">
        <v>16.739999999999998</v>
      </c>
      <c r="H2002" s="2">
        <v>3</v>
      </c>
      <c r="I2002" s="3">
        <v>8.0399999999999991</v>
      </c>
    </row>
    <row r="2003" spans="1:9" x14ac:dyDescent="0.3">
      <c r="A2003" s="4">
        <v>42710</v>
      </c>
      <c r="B2003" s="5" t="s">
        <v>381</v>
      </c>
      <c r="C2003" s="5" t="s">
        <v>50</v>
      </c>
      <c r="D2003" s="5" t="s">
        <v>25</v>
      </c>
      <c r="E2003" s="5" t="s">
        <v>38</v>
      </c>
      <c r="F2003" s="5" t="s">
        <v>1328</v>
      </c>
      <c r="G2003" s="5">
        <v>47.04</v>
      </c>
      <c r="H2003" s="5">
        <v>3</v>
      </c>
      <c r="I2003" s="6">
        <v>18.350000000000001</v>
      </c>
    </row>
    <row r="2004" spans="1:9" x14ac:dyDescent="0.3">
      <c r="A2004" s="1">
        <v>42710</v>
      </c>
      <c r="B2004" s="2" t="s">
        <v>381</v>
      </c>
      <c r="C2004" s="2" t="s">
        <v>50</v>
      </c>
      <c r="D2004" s="2" t="s">
        <v>2</v>
      </c>
      <c r="E2004" s="2" t="s">
        <v>11</v>
      </c>
      <c r="F2004" s="2" t="s">
        <v>420</v>
      </c>
      <c r="G2004" s="2">
        <v>30.84</v>
      </c>
      <c r="H2004" s="2">
        <v>4</v>
      </c>
      <c r="I2004" s="3">
        <v>13.88</v>
      </c>
    </row>
    <row r="2005" spans="1:9" x14ac:dyDescent="0.3">
      <c r="A2005" s="4">
        <v>42710</v>
      </c>
      <c r="B2005" s="5" t="s">
        <v>381</v>
      </c>
      <c r="C2005" s="5" t="s">
        <v>50</v>
      </c>
      <c r="D2005" s="5" t="s">
        <v>2</v>
      </c>
      <c r="E2005" s="5" t="s">
        <v>9</v>
      </c>
      <c r="F2005" s="5" t="s">
        <v>994</v>
      </c>
      <c r="G2005" s="5">
        <v>226.56</v>
      </c>
      <c r="H2005" s="5">
        <v>6</v>
      </c>
      <c r="I2005" s="6">
        <v>63.44</v>
      </c>
    </row>
    <row r="2006" spans="1:9" x14ac:dyDescent="0.3">
      <c r="A2006" s="1">
        <v>42710</v>
      </c>
      <c r="B2006" s="2" t="s">
        <v>381</v>
      </c>
      <c r="C2006" s="2" t="s">
        <v>50</v>
      </c>
      <c r="D2006" s="2" t="s">
        <v>2</v>
      </c>
      <c r="E2006" s="2" t="s">
        <v>114</v>
      </c>
      <c r="F2006" s="2" t="s">
        <v>574</v>
      </c>
      <c r="G2006" s="2">
        <v>115.02</v>
      </c>
      <c r="H2006" s="2">
        <v>9</v>
      </c>
      <c r="I2006" s="3">
        <v>51.76</v>
      </c>
    </row>
    <row r="2007" spans="1:9" x14ac:dyDescent="0.3">
      <c r="A2007" s="4">
        <v>42710</v>
      </c>
      <c r="B2007" s="5" t="s">
        <v>381</v>
      </c>
      <c r="C2007" s="5" t="s">
        <v>50</v>
      </c>
      <c r="D2007" s="5" t="s">
        <v>30</v>
      </c>
      <c r="E2007" s="5" t="s">
        <v>31</v>
      </c>
      <c r="F2007" s="5" t="s">
        <v>1442</v>
      </c>
      <c r="G2007" s="5">
        <v>68.040000000000006</v>
      </c>
      <c r="H2007" s="5">
        <v>7</v>
      </c>
      <c r="I2007" s="6">
        <v>19.73</v>
      </c>
    </row>
    <row r="2008" spans="1:9" x14ac:dyDescent="0.3">
      <c r="A2008" s="1">
        <v>42710</v>
      </c>
      <c r="B2008" s="2" t="s">
        <v>1340</v>
      </c>
      <c r="C2008" s="2" t="s">
        <v>6</v>
      </c>
      <c r="D2008" s="2" t="s">
        <v>30</v>
      </c>
      <c r="E2008" s="2" t="s">
        <v>625</v>
      </c>
      <c r="F2008" s="2" t="s">
        <v>1824</v>
      </c>
      <c r="G2008" s="2">
        <v>1007.98</v>
      </c>
      <c r="H2008" s="2">
        <v>3</v>
      </c>
      <c r="I2008" s="3">
        <v>43.2</v>
      </c>
    </row>
    <row r="2009" spans="1:9" x14ac:dyDescent="0.3">
      <c r="A2009" s="4">
        <v>42710</v>
      </c>
      <c r="B2009" s="5" t="s">
        <v>1340</v>
      </c>
      <c r="C2009" s="5" t="s">
        <v>6</v>
      </c>
      <c r="D2009" s="5" t="s">
        <v>2</v>
      </c>
      <c r="E2009" s="5" t="s">
        <v>3</v>
      </c>
      <c r="F2009" s="5" t="s">
        <v>1358</v>
      </c>
      <c r="G2009" s="5">
        <v>313.49</v>
      </c>
      <c r="H2009" s="5">
        <v>7</v>
      </c>
      <c r="I2009" s="6">
        <v>113.64</v>
      </c>
    </row>
    <row r="2010" spans="1:9" x14ac:dyDescent="0.3">
      <c r="A2010" s="1">
        <v>42710</v>
      </c>
      <c r="B2010" s="2" t="s">
        <v>1825</v>
      </c>
      <c r="C2010" s="2" t="s">
        <v>6</v>
      </c>
      <c r="D2010" s="2" t="s">
        <v>2</v>
      </c>
      <c r="E2010" s="2" t="s">
        <v>3</v>
      </c>
      <c r="F2010" s="2" t="s">
        <v>1529</v>
      </c>
      <c r="G2010" s="2">
        <v>23.12</v>
      </c>
      <c r="H2010" s="2">
        <v>5</v>
      </c>
      <c r="I2010" s="3">
        <v>8.3800000000000008</v>
      </c>
    </row>
    <row r="2011" spans="1:9" x14ac:dyDescent="0.3">
      <c r="A2011" s="4">
        <v>42710</v>
      </c>
      <c r="B2011" s="5" t="s">
        <v>1488</v>
      </c>
      <c r="C2011" s="5" t="s">
        <v>80</v>
      </c>
      <c r="D2011" s="5" t="s">
        <v>2</v>
      </c>
      <c r="E2011" s="5" t="s">
        <v>3</v>
      </c>
      <c r="F2011" s="5" t="s">
        <v>1826</v>
      </c>
      <c r="G2011" s="5">
        <v>92.94</v>
      </c>
      <c r="H2011" s="5">
        <v>3</v>
      </c>
      <c r="I2011" s="6">
        <v>41.82</v>
      </c>
    </row>
    <row r="2012" spans="1:9" x14ac:dyDescent="0.3">
      <c r="A2012" s="1">
        <v>42710</v>
      </c>
      <c r="B2012" s="2" t="s">
        <v>1488</v>
      </c>
      <c r="C2012" s="2" t="s">
        <v>80</v>
      </c>
      <c r="D2012" s="2" t="s">
        <v>2</v>
      </c>
      <c r="E2012" s="2" t="s">
        <v>133</v>
      </c>
      <c r="F2012" s="2" t="s">
        <v>984</v>
      </c>
      <c r="G2012" s="2">
        <v>52.56</v>
      </c>
      <c r="H2012" s="2">
        <v>3</v>
      </c>
      <c r="I2012" s="3">
        <v>18.399999999999999</v>
      </c>
    </row>
    <row r="2013" spans="1:9" x14ac:dyDescent="0.3">
      <c r="A2013" s="4">
        <v>42710</v>
      </c>
      <c r="B2013" s="5" t="s">
        <v>817</v>
      </c>
      <c r="C2013" s="5" t="s">
        <v>18</v>
      </c>
      <c r="D2013" s="5" t="s">
        <v>2</v>
      </c>
      <c r="E2013" s="5" t="s">
        <v>3</v>
      </c>
      <c r="F2013" s="5" t="s">
        <v>1826</v>
      </c>
      <c r="G2013" s="5">
        <v>185.88</v>
      </c>
      <c r="H2013" s="5">
        <v>6</v>
      </c>
      <c r="I2013" s="6">
        <v>83.65</v>
      </c>
    </row>
    <row r="2014" spans="1:9" x14ac:dyDescent="0.3">
      <c r="A2014" s="1">
        <v>42710</v>
      </c>
      <c r="B2014" s="2" t="s">
        <v>817</v>
      </c>
      <c r="C2014" s="2" t="s">
        <v>18</v>
      </c>
      <c r="D2014" s="2" t="s">
        <v>2</v>
      </c>
      <c r="E2014" s="2" t="s">
        <v>3</v>
      </c>
      <c r="F2014" s="2" t="s">
        <v>1827</v>
      </c>
      <c r="G2014" s="2">
        <v>12.96</v>
      </c>
      <c r="H2014" s="2">
        <v>2</v>
      </c>
      <c r="I2014" s="3">
        <v>6.22</v>
      </c>
    </row>
    <row r="2015" spans="1:9" x14ac:dyDescent="0.3">
      <c r="A2015" s="4">
        <v>42710</v>
      </c>
      <c r="B2015" s="5" t="s">
        <v>1828</v>
      </c>
      <c r="C2015" s="5" t="s">
        <v>1</v>
      </c>
      <c r="D2015" s="5" t="s">
        <v>2</v>
      </c>
      <c r="E2015" s="5" t="s">
        <v>133</v>
      </c>
      <c r="F2015" s="5" t="s">
        <v>1125</v>
      </c>
      <c r="G2015" s="5">
        <v>64.38</v>
      </c>
      <c r="H2015" s="5">
        <v>4</v>
      </c>
      <c r="I2015" s="6">
        <v>-160.96</v>
      </c>
    </row>
    <row r="2016" spans="1:9" x14ac:dyDescent="0.3">
      <c r="A2016" s="1">
        <v>42710</v>
      </c>
      <c r="B2016" s="2" t="s">
        <v>1828</v>
      </c>
      <c r="C2016" s="2" t="s">
        <v>1</v>
      </c>
      <c r="D2016" s="2" t="s">
        <v>25</v>
      </c>
      <c r="E2016" s="2" t="s">
        <v>38</v>
      </c>
      <c r="F2016" s="2" t="s">
        <v>1829</v>
      </c>
      <c r="G2016" s="2">
        <v>6.98</v>
      </c>
      <c r="H2016" s="2">
        <v>2</v>
      </c>
      <c r="I2016" s="3">
        <v>-4.54</v>
      </c>
    </row>
    <row r="2017" spans="1:9" x14ac:dyDescent="0.3">
      <c r="A2017" s="4">
        <v>42710</v>
      </c>
      <c r="B2017" s="5" t="s">
        <v>1828</v>
      </c>
      <c r="C2017" s="5" t="s">
        <v>1</v>
      </c>
      <c r="D2017" s="5" t="s">
        <v>2</v>
      </c>
      <c r="E2017" s="5" t="s">
        <v>15</v>
      </c>
      <c r="F2017" s="5" t="s">
        <v>692</v>
      </c>
      <c r="G2017" s="5">
        <v>11.26</v>
      </c>
      <c r="H2017" s="5">
        <v>8</v>
      </c>
      <c r="I2017" s="6">
        <v>3.94</v>
      </c>
    </row>
    <row r="2018" spans="1:9" x14ac:dyDescent="0.3">
      <c r="A2018" s="1">
        <v>42710</v>
      </c>
      <c r="B2018" s="2" t="s">
        <v>1828</v>
      </c>
      <c r="C2018" s="2" t="s">
        <v>1</v>
      </c>
      <c r="D2018" s="2" t="s">
        <v>2</v>
      </c>
      <c r="E2018" s="2" t="s">
        <v>3</v>
      </c>
      <c r="F2018" s="2" t="s">
        <v>1830</v>
      </c>
      <c r="G2018" s="2">
        <v>15.55</v>
      </c>
      <c r="H2018" s="2">
        <v>3</v>
      </c>
      <c r="I2018" s="3">
        <v>5.64</v>
      </c>
    </row>
    <row r="2019" spans="1:9" x14ac:dyDescent="0.3">
      <c r="A2019" s="4">
        <v>42710</v>
      </c>
      <c r="B2019" s="5" t="s">
        <v>1828</v>
      </c>
      <c r="C2019" s="5" t="s">
        <v>1</v>
      </c>
      <c r="D2019" s="5" t="s">
        <v>25</v>
      </c>
      <c r="E2019" s="5" t="s">
        <v>26</v>
      </c>
      <c r="F2019" s="5" t="s">
        <v>794</v>
      </c>
      <c r="G2019" s="5">
        <v>379.37</v>
      </c>
      <c r="H2019" s="5">
        <v>2</v>
      </c>
      <c r="I2019" s="6">
        <v>-119.23</v>
      </c>
    </row>
    <row r="2020" spans="1:9" x14ac:dyDescent="0.3">
      <c r="A2020" s="1">
        <v>42710</v>
      </c>
      <c r="B2020" s="2" t="s">
        <v>1828</v>
      </c>
      <c r="C2020" s="2" t="s">
        <v>1</v>
      </c>
      <c r="D2020" s="2" t="s">
        <v>2</v>
      </c>
      <c r="E2020" s="2" t="s">
        <v>9</v>
      </c>
      <c r="F2020" s="2" t="s">
        <v>529</v>
      </c>
      <c r="G2020" s="2">
        <v>67.540000000000006</v>
      </c>
      <c r="H2020" s="2">
        <v>9</v>
      </c>
      <c r="I2020" s="3">
        <v>6.75</v>
      </c>
    </row>
    <row r="2021" spans="1:9" x14ac:dyDescent="0.3">
      <c r="A2021" s="4">
        <v>42710</v>
      </c>
      <c r="B2021" s="5" t="s">
        <v>1828</v>
      </c>
      <c r="C2021" s="5" t="s">
        <v>1</v>
      </c>
      <c r="D2021" s="5" t="s">
        <v>2</v>
      </c>
      <c r="E2021" s="5" t="s">
        <v>11</v>
      </c>
      <c r="F2021" s="5" t="s">
        <v>1831</v>
      </c>
      <c r="G2021" s="5">
        <v>1.52</v>
      </c>
      <c r="H2021" s="5">
        <v>2</v>
      </c>
      <c r="I2021" s="6">
        <v>-2.67</v>
      </c>
    </row>
    <row r="2022" spans="1:9" x14ac:dyDescent="0.3">
      <c r="A2022" s="1">
        <v>42376</v>
      </c>
      <c r="B2022" s="2" t="s">
        <v>1832</v>
      </c>
      <c r="C2022" s="2" t="s">
        <v>138</v>
      </c>
      <c r="D2022" s="2" t="s">
        <v>2</v>
      </c>
      <c r="E2022" s="2" t="s">
        <v>11</v>
      </c>
      <c r="F2022" s="2" t="s">
        <v>1312</v>
      </c>
      <c r="G2022" s="2">
        <v>14.2</v>
      </c>
      <c r="H2022" s="2">
        <v>2</v>
      </c>
      <c r="I2022" s="3">
        <v>6.53</v>
      </c>
    </row>
    <row r="2023" spans="1:9" x14ac:dyDescent="0.3">
      <c r="A2023" s="4">
        <v>42376</v>
      </c>
      <c r="B2023" s="5" t="s">
        <v>1832</v>
      </c>
      <c r="C2023" s="5" t="s">
        <v>138</v>
      </c>
      <c r="D2023" s="5" t="s">
        <v>2</v>
      </c>
      <c r="E2023" s="5" t="s">
        <v>3</v>
      </c>
      <c r="F2023" s="5" t="s">
        <v>701</v>
      </c>
      <c r="G2023" s="5">
        <v>12.96</v>
      </c>
      <c r="H2023" s="5">
        <v>2</v>
      </c>
      <c r="I2023" s="6">
        <v>6.22</v>
      </c>
    </row>
    <row r="2024" spans="1:9" x14ac:dyDescent="0.3">
      <c r="A2024" s="1">
        <v>42376</v>
      </c>
      <c r="B2024" s="2" t="s">
        <v>1832</v>
      </c>
      <c r="C2024" s="2" t="s">
        <v>138</v>
      </c>
      <c r="D2024" s="2" t="s">
        <v>2</v>
      </c>
      <c r="E2024" s="2" t="s">
        <v>11</v>
      </c>
      <c r="F2024" s="2" t="s">
        <v>1833</v>
      </c>
      <c r="G2024" s="2">
        <v>58.34</v>
      </c>
      <c r="H2024" s="2">
        <v>2</v>
      </c>
      <c r="I2024" s="3">
        <v>28</v>
      </c>
    </row>
    <row r="2025" spans="1:9" x14ac:dyDescent="0.3">
      <c r="A2025" s="4">
        <v>42376</v>
      </c>
      <c r="B2025" s="5" t="s">
        <v>1105</v>
      </c>
      <c r="C2025" s="5" t="s">
        <v>375</v>
      </c>
      <c r="D2025" s="5" t="s">
        <v>30</v>
      </c>
      <c r="E2025" s="5" t="s">
        <v>290</v>
      </c>
      <c r="F2025" s="5" t="s">
        <v>1408</v>
      </c>
      <c r="G2025" s="5">
        <v>1499.95</v>
      </c>
      <c r="H2025" s="5">
        <v>5</v>
      </c>
      <c r="I2025" s="6">
        <v>449.99</v>
      </c>
    </row>
    <row r="2026" spans="1:9" x14ac:dyDescent="0.3">
      <c r="A2026" s="1">
        <v>42376</v>
      </c>
      <c r="B2026" s="2" t="s">
        <v>1570</v>
      </c>
      <c r="C2026" s="2" t="s">
        <v>80</v>
      </c>
      <c r="D2026" s="2" t="s">
        <v>2</v>
      </c>
      <c r="E2026" s="2" t="s">
        <v>7</v>
      </c>
      <c r="F2026" s="2" t="s">
        <v>1834</v>
      </c>
      <c r="G2026" s="2">
        <v>30.53</v>
      </c>
      <c r="H2026" s="2">
        <v>1</v>
      </c>
      <c r="I2026" s="3">
        <v>14.04</v>
      </c>
    </row>
    <row r="2027" spans="1:9" x14ac:dyDescent="0.3">
      <c r="A2027" s="4">
        <v>42376</v>
      </c>
      <c r="B2027" s="5" t="s">
        <v>1570</v>
      </c>
      <c r="C2027" s="5" t="s">
        <v>80</v>
      </c>
      <c r="D2027" s="5" t="s">
        <v>30</v>
      </c>
      <c r="E2027" s="5" t="s">
        <v>43</v>
      </c>
      <c r="F2027" s="5" t="s">
        <v>1835</v>
      </c>
      <c r="G2027" s="5">
        <v>30.84</v>
      </c>
      <c r="H2027" s="5">
        <v>3</v>
      </c>
      <c r="I2027" s="6">
        <v>6.17</v>
      </c>
    </row>
    <row r="2028" spans="1:9" x14ac:dyDescent="0.3">
      <c r="A2028" s="1">
        <v>42376</v>
      </c>
      <c r="B2028" s="2" t="s">
        <v>1570</v>
      </c>
      <c r="C2028" s="2" t="s">
        <v>80</v>
      </c>
      <c r="D2028" s="2" t="s">
        <v>2</v>
      </c>
      <c r="E2028" s="2" t="s">
        <v>3</v>
      </c>
      <c r="F2028" s="2" t="s">
        <v>1836</v>
      </c>
      <c r="G2028" s="2">
        <v>75.06</v>
      </c>
      <c r="H2028" s="2">
        <v>9</v>
      </c>
      <c r="I2028" s="3">
        <v>33.78</v>
      </c>
    </row>
    <row r="2029" spans="1:9" x14ac:dyDescent="0.3">
      <c r="A2029" s="4">
        <v>42376</v>
      </c>
      <c r="B2029" s="5" t="s">
        <v>519</v>
      </c>
      <c r="C2029" s="5" t="s">
        <v>62</v>
      </c>
      <c r="D2029" s="5" t="s">
        <v>2</v>
      </c>
      <c r="E2029" s="5" t="s">
        <v>11</v>
      </c>
      <c r="F2029" s="5" t="s">
        <v>183</v>
      </c>
      <c r="G2029" s="5">
        <v>2.5</v>
      </c>
      <c r="H2029" s="5">
        <v>1</v>
      </c>
      <c r="I2029" s="6">
        <v>0.9</v>
      </c>
    </row>
    <row r="2030" spans="1:9" x14ac:dyDescent="0.3">
      <c r="A2030" s="1">
        <v>42407</v>
      </c>
      <c r="B2030" s="2" t="s">
        <v>1402</v>
      </c>
      <c r="C2030" s="2" t="s">
        <v>18</v>
      </c>
      <c r="D2030" s="2" t="s">
        <v>25</v>
      </c>
      <c r="E2030" s="2" t="s">
        <v>26</v>
      </c>
      <c r="F2030" s="2" t="s">
        <v>508</v>
      </c>
      <c r="G2030" s="2">
        <v>195.18</v>
      </c>
      <c r="H2030" s="2">
        <v>1</v>
      </c>
      <c r="I2030" s="3">
        <v>19.52</v>
      </c>
    </row>
    <row r="2031" spans="1:9" x14ac:dyDescent="0.3">
      <c r="A2031" s="4">
        <v>42407</v>
      </c>
      <c r="B2031" s="5" t="s">
        <v>1837</v>
      </c>
      <c r="C2031" s="5" t="s">
        <v>46</v>
      </c>
      <c r="D2031" s="5" t="s">
        <v>2</v>
      </c>
      <c r="E2031" s="5" t="s">
        <v>15</v>
      </c>
      <c r="F2031" s="5" t="s">
        <v>1838</v>
      </c>
      <c r="G2031" s="5">
        <v>7.7</v>
      </c>
      <c r="H2031" s="5">
        <v>2</v>
      </c>
      <c r="I2031" s="6">
        <v>3.16</v>
      </c>
    </row>
    <row r="2032" spans="1:9" x14ac:dyDescent="0.3">
      <c r="A2032" s="1">
        <v>42407</v>
      </c>
      <c r="B2032" s="2" t="s">
        <v>817</v>
      </c>
      <c r="C2032" s="2" t="s">
        <v>1</v>
      </c>
      <c r="D2032" s="2" t="s">
        <v>25</v>
      </c>
      <c r="E2032" s="2" t="s">
        <v>26</v>
      </c>
      <c r="F2032" s="2" t="s">
        <v>906</v>
      </c>
      <c r="G2032" s="2">
        <v>528.42999999999995</v>
      </c>
      <c r="H2032" s="2">
        <v>5</v>
      </c>
      <c r="I2032" s="3">
        <v>0</v>
      </c>
    </row>
    <row r="2033" spans="1:9" x14ac:dyDescent="0.3">
      <c r="A2033" s="4">
        <v>42407</v>
      </c>
      <c r="B2033" s="5" t="s">
        <v>817</v>
      </c>
      <c r="C2033" s="5" t="s">
        <v>1</v>
      </c>
      <c r="D2033" s="5" t="s">
        <v>2</v>
      </c>
      <c r="E2033" s="5" t="s">
        <v>3</v>
      </c>
      <c r="F2033" s="5" t="s">
        <v>1600</v>
      </c>
      <c r="G2033" s="5">
        <v>41.47</v>
      </c>
      <c r="H2033" s="5">
        <v>8</v>
      </c>
      <c r="I2033" s="6">
        <v>14.52</v>
      </c>
    </row>
    <row r="2034" spans="1:9" x14ac:dyDescent="0.3">
      <c r="A2034" s="1">
        <v>42436</v>
      </c>
      <c r="B2034" s="2" t="s">
        <v>1839</v>
      </c>
      <c r="C2034" s="2" t="s">
        <v>18</v>
      </c>
      <c r="D2034" s="2" t="s">
        <v>2</v>
      </c>
      <c r="E2034" s="2" t="s">
        <v>3</v>
      </c>
      <c r="F2034" s="2" t="s">
        <v>491</v>
      </c>
      <c r="G2034" s="2">
        <v>12.96</v>
      </c>
      <c r="H2034" s="2">
        <v>2</v>
      </c>
      <c r="I2034" s="3">
        <v>6.22</v>
      </c>
    </row>
    <row r="2035" spans="1:9" x14ac:dyDescent="0.3">
      <c r="A2035" s="4">
        <v>42436</v>
      </c>
      <c r="B2035" s="5" t="s">
        <v>1839</v>
      </c>
      <c r="C2035" s="5" t="s">
        <v>18</v>
      </c>
      <c r="D2035" s="5" t="s">
        <v>2</v>
      </c>
      <c r="E2035" s="5" t="s">
        <v>34</v>
      </c>
      <c r="F2035" s="5" t="s">
        <v>1457</v>
      </c>
      <c r="G2035" s="5">
        <v>3.96</v>
      </c>
      <c r="H2035" s="5">
        <v>2</v>
      </c>
      <c r="I2035" s="6">
        <v>0.08</v>
      </c>
    </row>
    <row r="2036" spans="1:9" x14ac:dyDescent="0.3">
      <c r="A2036" s="1">
        <v>42436</v>
      </c>
      <c r="B2036" s="2" t="s">
        <v>1549</v>
      </c>
      <c r="C2036" s="2" t="s">
        <v>80</v>
      </c>
      <c r="D2036" s="2" t="s">
        <v>2</v>
      </c>
      <c r="E2036" s="2" t="s">
        <v>133</v>
      </c>
      <c r="F2036" s="2" t="s">
        <v>1840</v>
      </c>
      <c r="G2036" s="2">
        <v>706.86</v>
      </c>
      <c r="H2036" s="2">
        <v>7</v>
      </c>
      <c r="I2036" s="3">
        <v>197.92</v>
      </c>
    </row>
    <row r="2037" spans="1:9" x14ac:dyDescent="0.3">
      <c r="A2037" s="4">
        <v>42436</v>
      </c>
      <c r="B2037" s="5" t="s">
        <v>171</v>
      </c>
      <c r="C2037" s="5" t="s">
        <v>14</v>
      </c>
      <c r="D2037" s="5" t="s">
        <v>2</v>
      </c>
      <c r="E2037" s="5" t="s">
        <v>3</v>
      </c>
      <c r="F2037" s="5" t="s">
        <v>1841</v>
      </c>
      <c r="G2037" s="5">
        <v>123.92</v>
      </c>
      <c r="H2037" s="5">
        <v>5</v>
      </c>
      <c r="I2037" s="6">
        <v>38.729999999999997</v>
      </c>
    </row>
    <row r="2038" spans="1:9" x14ac:dyDescent="0.3">
      <c r="A2038" s="1">
        <v>42467</v>
      </c>
      <c r="B2038" s="2" t="s">
        <v>947</v>
      </c>
      <c r="C2038" s="2" t="s">
        <v>18</v>
      </c>
      <c r="D2038" s="2" t="s">
        <v>25</v>
      </c>
      <c r="E2038" s="2" t="s">
        <v>38</v>
      </c>
      <c r="F2038" s="2" t="s">
        <v>943</v>
      </c>
      <c r="G2038" s="2">
        <v>25.4</v>
      </c>
      <c r="H2038" s="2">
        <v>5</v>
      </c>
      <c r="I2038" s="3">
        <v>8.64</v>
      </c>
    </row>
    <row r="2039" spans="1:9" x14ac:dyDescent="0.3">
      <c r="A2039" s="4">
        <v>42467</v>
      </c>
      <c r="B2039" s="5" t="s">
        <v>947</v>
      </c>
      <c r="C2039" s="5" t="s">
        <v>18</v>
      </c>
      <c r="D2039" s="5" t="s">
        <v>2</v>
      </c>
      <c r="E2039" s="5" t="s">
        <v>114</v>
      </c>
      <c r="F2039" s="5" t="s">
        <v>1842</v>
      </c>
      <c r="G2039" s="5">
        <v>43.96</v>
      </c>
      <c r="H2039" s="5">
        <v>2</v>
      </c>
      <c r="I2039" s="6">
        <v>20.66</v>
      </c>
    </row>
    <row r="2040" spans="1:9" x14ac:dyDescent="0.3">
      <c r="A2040" s="1">
        <v>42467</v>
      </c>
      <c r="B2040" s="2" t="s">
        <v>947</v>
      </c>
      <c r="C2040" s="2" t="s">
        <v>18</v>
      </c>
      <c r="D2040" s="2" t="s">
        <v>25</v>
      </c>
      <c r="E2040" s="2" t="s">
        <v>129</v>
      </c>
      <c r="F2040" s="2" t="s">
        <v>1086</v>
      </c>
      <c r="G2040" s="2">
        <v>1279.17</v>
      </c>
      <c r="H2040" s="2">
        <v>5</v>
      </c>
      <c r="I2040" s="3">
        <v>225.74</v>
      </c>
    </row>
    <row r="2041" spans="1:9" x14ac:dyDescent="0.3">
      <c r="A2041" s="4">
        <v>42467</v>
      </c>
      <c r="B2041" s="5" t="s">
        <v>947</v>
      </c>
      <c r="C2041" s="5" t="s">
        <v>18</v>
      </c>
      <c r="D2041" s="5" t="s">
        <v>2</v>
      </c>
      <c r="E2041" s="5" t="s">
        <v>9</v>
      </c>
      <c r="F2041" s="5" t="s">
        <v>131</v>
      </c>
      <c r="G2041" s="5">
        <v>27.92</v>
      </c>
      <c r="H2041" s="5">
        <v>4</v>
      </c>
      <c r="I2041" s="6">
        <v>0.56000000000000005</v>
      </c>
    </row>
    <row r="2042" spans="1:9" x14ac:dyDescent="0.3">
      <c r="A2042" s="1">
        <v>42467</v>
      </c>
      <c r="B2042" s="2" t="s">
        <v>654</v>
      </c>
      <c r="C2042" s="2" t="s">
        <v>62</v>
      </c>
      <c r="D2042" s="2" t="s">
        <v>25</v>
      </c>
      <c r="E2042" s="2" t="s">
        <v>38</v>
      </c>
      <c r="F2042" s="2" t="s">
        <v>943</v>
      </c>
      <c r="G2042" s="2">
        <v>25.4</v>
      </c>
      <c r="H2042" s="2">
        <v>5</v>
      </c>
      <c r="I2042" s="3">
        <v>8.64</v>
      </c>
    </row>
    <row r="2043" spans="1:9" x14ac:dyDescent="0.3">
      <c r="A2043" s="4">
        <v>42467</v>
      </c>
      <c r="B2043" s="5" t="s">
        <v>654</v>
      </c>
      <c r="C2043" s="5" t="s">
        <v>62</v>
      </c>
      <c r="D2043" s="5" t="s">
        <v>30</v>
      </c>
      <c r="E2043" s="5" t="s">
        <v>31</v>
      </c>
      <c r="F2043" s="5" t="s">
        <v>1770</v>
      </c>
      <c r="G2043" s="5">
        <v>177.48</v>
      </c>
      <c r="H2043" s="5">
        <v>3</v>
      </c>
      <c r="I2043" s="6">
        <v>19.97</v>
      </c>
    </row>
    <row r="2044" spans="1:9" x14ac:dyDescent="0.3">
      <c r="A2044" s="1">
        <v>42467</v>
      </c>
      <c r="B2044" s="2" t="s">
        <v>654</v>
      </c>
      <c r="C2044" s="2" t="s">
        <v>62</v>
      </c>
      <c r="D2044" s="2" t="s">
        <v>30</v>
      </c>
      <c r="E2044" s="2" t="s">
        <v>31</v>
      </c>
      <c r="F2044" s="2" t="s">
        <v>1843</v>
      </c>
      <c r="G2044" s="2">
        <v>71.98</v>
      </c>
      <c r="H2044" s="2">
        <v>3</v>
      </c>
      <c r="I2044" s="3">
        <v>9</v>
      </c>
    </row>
    <row r="2045" spans="1:9" x14ac:dyDescent="0.3">
      <c r="A2045" s="4">
        <v>42558</v>
      </c>
      <c r="B2045" s="5" t="s">
        <v>1536</v>
      </c>
      <c r="C2045" s="5" t="s">
        <v>58</v>
      </c>
      <c r="D2045" s="5" t="s">
        <v>2</v>
      </c>
      <c r="E2045" s="5" t="s">
        <v>144</v>
      </c>
      <c r="F2045" s="5" t="s">
        <v>1844</v>
      </c>
      <c r="G2045" s="5">
        <v>45.58</v>
      </c>
      <c r="H2045" s="5">
        <v>7</v>
      </c>
      <c r="I2045" s="6">
        <v>5.13</v>
      </c>
    </row>
    <row r="2046" spans="1:9" x14ac:dyDescent="0.3">
      <c r="A2046" s="1">
        <v>42558</v>
      </c>
      <c r="B2046" s="2" t="s">
        <v>348</v>
      </c>
      <c r="C2046" s="2" t="s">
        <v>18</v>
      </c>
      <c r="D2046" s="2" t="s">
        <v>25</v>
      </c>
      <c r="E2046" s="2" t="s">
        <v>38</v>
      </c>
      <c r="F2046" s="2" t="s">
        <v>469</v>
      </c>
      <c r="G2046" s="2">
        <v>215.65</v>
      </c>
      <c r="H2046" s="2">
        <v>5</v>
      </c>
      <c r="I2046" s="3">
        <v>73.319999999999993</v>
      </c>
    </row>
    <row r="2047" spans="1:9" x14ac:dyDescent="0.3">
      <c r="A2047" s="4">
        <v>42558</v>
      </c>
      <c r="B2047" s="5" t="s">
        <v>1845</v>
      </c>
      <c r="C2047" s="5" t="s">
        <v>6</v>
      </c>
      <c r="D2047" s="5" t="s">
        <v>25</v>
      </c>
      <c r="E2047" s="5" t="s">
        <v>38</v>
      </c>
      <c r="F2047" s="5" t="s">
        <v>1846</v>
      </c>
      <c r="G2047" s="5">
        <v>60.29</v>
      </c>
      <c r="H2047" s="5">
        <v>8</v>
      </c>
      <c r="I2047" s="6">
        <v>-27.13</v>
      </c>
    </row>
    <row r="2048" spans="1:9" x14ac:dyDescent="0.3">
      <c r="A2048" s="1">
        <v>42558</v>
      </c>
      <c r="B2048" s="2" t="s">
        <v>1845</v>
      </c>
      <c r="C2048" s="2" t="s">
        <v>6</v>
      </c>
      <c r="D2048" s="2" t="s">
        <v>2</v>
      </c>
      <c r="E2048" s="2" t="s">
        <v>34</v>
      </c>
      <c r="F2048" s="2" t="s">
        <v>662</v>
      </c>
      <c r="G2048" s="2">
        <v>2.63</v>
      </c>
      <c r="H2048" s="2">
        <v>1</v>
      </c>
      <c r="I2048" s="3">
        <v>0.82</v>
      </c>
    </row>
    <row r="2049" spans="1:9" x14ac:dyDescent="0.3">
      <c r="A2049" s="4">
        <v>42558</v>
      </c>
      <c r="B2049" s="5" t="s">
        <v>1845</v>
      </c>
      <c r="C2049" s="5" t="s">
        <v>6</v>
      </c>
      <c r="D2049" s="5" t="s">
        <v>2</v>
      </c>
      <c r="E2049" s="5" t="s">
        <v>3</v>
      </c>
      <c r="F2049" s="5" t="s">
        <v>1272</v>
      </c>
      <c r="G2049" s="5">
        <v>23.69</v>
      </c>
      <c r="H2049" s="5">
        <v>9</v>
      </c>
      <c r="I2049" s="6">
        <v>7.7</v>
      </c>
    </row>
    <row r="2050" spans="1:9" x14ac:dyDescent="0.3">
      <c r="A2050" s="1">
        <v>42558</v>
      </c>
      <c r="B2050" s="2" t="s">
        <v>1845</v>
      </c>
      <c r="C2050" s="2" t="s">
        <v>6</v>
      </c>
      <c r="D2050" s="2" t="s">
        <v>25</v>
      </c>
      <c r="E2050" s="2" t="s">
        <v>26</v>
      </c>
      <c r="F2050" s="2" t="s">
        <v>1318</v>
      </c>
      <c r="G2050" s="2">
        <v>253.37</v>
      </c>
      <c r="H2050" s="2">
        <v>2</v>
      </c>
      <c r="I2050" s="3">
        <v>-14.48</v>
      </c>
    </row>
    <row r="2051" spans="1:9" x14ac:dyDescent="0.3">
      <c r="A2051" s="4">
        <v>42558</v>
      </c>
      <c r="B2051" s="5" t="s">
        <v>1847</v>
      </c>
      <c r="C2051" s="5" t="s">
        <v>18</v>
      </c>
      <c r="D2051" s="5" t="s">
        <v>25</v>
      </c>
      <c r="E2051" s="5" t="s">
        <v>26</v>
      </c>
      <c r="F2051" s="5" t="s">
        <v>1848</v>
      </c>
      <c r="G2051" s="5">
        <v>287.97000000000003</v>
      </c>
      <c r="H2051" s="5">
        <v>4</v>
      </c>
      <c r="I2051" s="6">
        <v>-3.6</v>
      </c>
    </row>
    <row r="2052" spans="1:9" x14ac:dyDescent="0.3">
      <c r="A2052" s="1">
        <v>42558</v>
      </c>
      <c r="B2052" s="2" t="s">
        <v>1847</v>
      </c>
      <c r="C2052" s="2" t="s">
        <v>18</v>
      </c>
      <c r="D2052" s="2" t="s">
        <v>30</v>
      </c>
      <c r="E2052" s="2" t="s">
        <v>290</v>
      </c>
      <c r="F2052" s="2" t="s">
        <v>1104</v>
      </c>
      <c r="G2052" s="2">
        <v>2799.96</v>
      </c>
      <c r="H2052" s="2">
        <v>5</v>
      </c>
      <c r="I2052" s="3">
        <v>944.99</v>
      </c>
    </row>
    <row r="2053" spans="1:9" x14ac:dyDescent="0.3">
      <c r="A2053" s="4">
        <v>42558</v>
      </c>
      <c r="B2053" s="5" t="s">
        <v>1847</v>
      </c>
      <c r="C2053" s="5" t="s">
        <v>18</v>
      </c>
      <c r="D2053" s="5" t="s">
        <v>2</v>
      </c>
      <c r="E2053" s="5" t="s">
        <v>3</v>
      </c>
      <c r="F2053" s="5" t="s">
        <v>960</v>
      </c>
      <c r="G2053" s="5">
        <v>48.94</v>
      </c>
      <c r="H2053" s="5">
        <v>1</v>
      </c>
      <c r="I2053" s="6">
        <v>24.47</v>
      </c>
    </row>
    <row r="2054" spans="1:9" x14ac:dyDescent="0.3">
      <c r="A2054" s="1">
        <v>42558</v>
      </c>
      <c r="B2054" s="2" t="s">
        <v>1849</v>
      </c>
      <c r="C2054" s="2" t="s">
        <v>14</v>
      </c>
      <c r="D2054" s="2" t="s">
        <v>2</v>
      </c>
      <c r="E2054" s="2" t="s">
        <v>7</v>
      </c>
      <c r="F2054" s="2" t="s">
        <v>1522</v>
      </c>
      <c r="G2054" s="2">
        <v>10.08</v>
      </c>
      <c r="H2054" s="2">
        <v>2</v>
      </c>
      <c r="I2054" s="3">
        <v>3.28</v>
      </c>
    </row>
    <row r="2055" spans="1:9" x14ac:dyDescent="0.3">
      <c r="A2055" s="4">
        <v>42558</v>
      </c>
      <c r="B2055" s="5" t="s">
        <v>1849</v>
      </c>
      <c r="C2055" s="5" t="s">
        <v>14</v>
      </c>
      <c r="D2055" s="5" t="s">
        <v>30</v>
      </c>
      <c r="E2055" s="5" t="s">
        <v>31</v>
      </c>
      <c r="F2055" s="5" t="s">
        <v>535</v>
      </c>
      <c r="G2055" s="5">
        <v>59.99</v>
      </c>
      <c r="H2055" s="5">
        <v>1</v>
      </c>
      <c r="I2055" s="6">
        <v>-13</v>
      </c>
    </row>
    <row r="2056" spans="1:9" x14ac:dyDescent="0.3">
      <c r="A2056" s="1">
        <v>42558</v>
      </c>
      <c r="B2056" s="2" t="s">
        <v>1849</v>
      </c>
      <c r="C2056" s="2" t="s">
        <v>14</v>
      </c>
      <c r="D2056" s="2" t="s">
        <v>2</v>
      </c>
      <c r="E2056" s="2" t="s">
        <v>11</v>
      </c>
      <c r="F2056" s="2" t="s">
        <v>1831</v>
      </c>
      <c r="G2056" s="2">
        <v>5.72</v>
      </c>
      <c r="H2056" s="2">
        <v>5</v>
      </c>
      <c r="I2056" s="3">
        <v>-4.76</v>
      </c>
    </row>
    <row r="2057" spans="1:9" x14ac:dyDescent="0.3">
      <c r="A2057" s="4">
        <v>42558</v>
      </c>
      <c r="B2057" s="5" t="s">
        <v>1849</v>
      </c>
      <c r="C2057" s="5" t="s">
        <v>14</v>
      </c>
      <c r="D2057" s="5" t="s">
        <v>2</v>
      </c>
      <c r="E2057" s="5" t="s">
        <v>11</v>
      </c>
      <c r="F2057" s="5" t="s">
        <v>1237</v>
      </c>
      <c r="G2057" s="5">
        <v>9.42</v>
      </c>
      <c r="H2057" s="5">
        <v>5</v>
      </c>
      <c r="I2057" s="6">
        <v>-7.85</v>
      </c>
    </row>
    <row r="2058" spans="1:9" x14ac:dyDescent="0.3">
      <c r="A2058" s="1">
        <v>42558</v>
      </c>
      <c r="B2058" s="2" t="s">
        <v>1227</v>
      </c>
      <c r="C2058" s="2" t="s">
        <v>375</v>
      </c>
      <c r="D2058" s="2" t="s">
        <v>2</v>
      </c>
      <c r="E2058" s="2" t="s">
        <v>3</v>
      </c>
      <c r="F2058" s="2" t="s">
        <v>250</v>
      </c>
      <c r="G2058" s="2">
        <v>12.96</v>
      </c>
      <c r="H2058" s="2">
        <v>2</v>
      </c>
      <c r="I2058" s="3">
        <v>6.22</v>
      </c>
    </row>
    <row r="2059" spans="1:9" x14ac:dyDescent="0.3">
      <c r="A2059" s="4">
        <v>42558</v>
      </c>
      <c r="B2059" s="5" t="s">
        <v>1227</v>
      </c>
      <c r="C2059" s="5" t="s">
        <v>375</v>
      </c>
      <c r="D2059" s="5" t="s">
        <v>2</v>
      </c>
      <c r="E2059" s="5" t="s">
        <v>15</v>
      </c>
      <c r="F2059" s="5" t="s">
        <v>548</v>
      </c>
      <c r="G2059" s="5">
        <v>45.98</v>
      </c>
      <c r="H2059" s="5">
        <v>2</v>
      </c>
      <c r="I2059" s="6">
        <v>12.87</v>
      </c>
    </row>
    <row r="2060" spans="1:9" x14ac:dyDescent="0.3">
      <c r="A2060" s="1">
        <v>42589</v>
      </c>
      <c r="B2060" s="2" t="s">
        <v>1798</v>
      </c>
      <c r="C2060" s="2" t="s">
        <v>1</v>
      </c>
      <c r="D2060" s="2" t="s">
        <v>30</v>
      </c>
      <c r="E2060" s="2" t="s">
        <v>31</v>
      </c>
      <c r="F2060" s="2" t="s">
        <v>1850</v>
      </c>
      <c r="G2060" s="2">
        <v>863.64</v>
      </c>
      <c r="H2060" s="2">
        <v>9</v>
      </c>
      <c r="I2060" s="3">
        <v>107.96</v>
      </c>
    </row>
    <row r="2061" spans="1:9" x14ac:dyDescent="0.3">
      <c r="A2061" s="4">
        <v>42589</v>
      </c>
      <c r="B2061" s="5" t="s">
        <v>1798</v>
      </c>
      <c r="C2061" s="5" t="s">
        <v>1</v>
      </c>
      <c r="D2061" s="5" t="s">
        <v>2</v>
      </c>
      <c r="E2061" s="5" t="s">
        <v>15</v>
      </c>
      <c r="F2061" s="5" t="s">
        <v>142</v>
      </c>
      <c r="G2061" s="5">
        <v>47.62</v>
      </c>
      <c r="H2061" s="5">
        <v>3</v>
      </c>
      <c r="I2061" s="6">
        <v>3.57</v>
      </c>
    </row>
    <row r="2062" spans="1:9" x14ac:dyDescent="0.3">
      <c r="A2062" s="1">
        <v>42589</v>
      </c>
      <c r="B2062" s="2" t="s">
        <v>1851</v>
      </c>
      <c r="C2062" s="2" t="s">
        <v>163</v>
      </c>
      <c r="D2062" s="2" t="s">
        <v>2</v>
      </c>
      <c r="E2062" s="2" t="s">
        <v>11</v>
      </c>
      <c r="F2062" s="2" t="s">
        <v>1852</v>
      </c>
      <c r="G2062" s="2">
        <v>19.97</v>
      </c>
      <c r="H2062" s="2">
        <v>2</v>
      </c>
      <c r="I2062" s="3">
        <v>-13.31</v>
      </c>
    </row>
    <row r="2063" spans="1:9" x14ac:dyDescent="0.3">
      <c r="A2063" s="4">
        <v>42589</v>
      </c>
      <c r="B2063" s="5" t="s">
        <v>1851</v>
      </c>
      <c r="C2063" s="5" t="s">
        <v>163</v>
      </c>
      <c r="D2063" s="5" t="s">
        <v>2</v>
      </c>
      <c r="E2063" s="5" t="s">
        <v>9</v>
      </c>
      <c r="F2063" s="5" t="s">
        <v>478</v>
      </c>
      <c r="G2063" s="5">
        <v>33.49</v>
      </c>
      <c r="H2063" s="5">
        <v>7</v>
      </c>
      <c r="I2063" s="6">
        <v>-1.26</v>
      </c>
    </row>
    <row r="2064" spans="1:9" x14ac:dyDescent="0.3">
      <c r="A2064" s="1">
        <v>42589</v>
      </c>
      <c r="B2064" s="2" t="s">
        <v>1851</v>
      </c>
      <c r="C2064" s="2" t="s">
        <v>163</v>
      </c>
      <c r="D2064" s="2" t="s">
        <v>2</v>
      </c>
      <c r="E2064" s="2" t="s">
        <v>11</v>
      </c>
      <c r="F2064" s="2" t="s">
        <v>1280</v>
      </c>
      <c r="G2064" s="2">
        <v>8.74</v>
      </c>
      <c r="H2064" s="2">
        <v>4</v>
      </c>
      <c r="I2064" s="3">
        <v>-6.12</v>
      </c>
    </row>
    <row r="2065" spans="1:9" x14ac:dyDescent="0.3">
      <c r="A2065" s="4">
        <v>42589</v>
      </c>
      <c r="B2065" s="5" t="s">
        <v>1851</v>
      </c>
      <c r="C2065" s="5" t="s">
        <v>163</v>
      </c>
      <c r="D2065" s="5" t="s">
        <v>25</v>
      </c>
      <c r="E2065" s="5" t="s">
        <v>26</v>
      </c>
      <c r="F2065" s="5" t="s">
        <v>667</v>
      </c>
      <c r="G2065" s="5">
        <v>662.88</v>
      </c>
      <c r="H2065" s="5">
        <v>3</v>
      </c>
      <c r="I2065" s="6">
        <v>74.569999999999993</v>
      </c>
    </row>
    <row r="2066" spans="1:9" x14ac:dyDescent="0.3">
      <c r="A2066" s="1">
        <v>42589</v>
      </c>
      <c r="B2066" s="2" t="s">
        <v>710</v>
      </c>
      <c r="C2066" s="2" t="s">
        <v>62</v>
      </c>
      <c r="D2066" s="2" t="s">
        <v>30</v>
      </c>
      <c r="E2066" s="2" t="s">
        <v>31</v>
      </c>
      <c r="F2066" s="2" t="s">
        <v>1853</v>
      </c>
      <c r="G2066" s="2">
        <v>107.98</v>
      </c>
      <c r="H2066" s="2">
        <v>1</v>
      </c>
      <c r="I2066" s="3">
        <v>9.4499999999999993</v>
      </c>
    </row>
    <row r="2067" spans="1:9" x14ac:dyDescent="0.3">
      <c r="A2067" s="4">
        <v>42589</v>
      </c>
      <c r="B2067" s="5" t="s">
        <v>710</v>
      </c>
      <c r="C2067" s="5" t="s">
        <v>62</v>
      </c>
      <c r="D2067" s="5" t="s">
        <v>2</v>
      </c>
      <c r="E2067" s="5" t="s">
        <v>11</v>
      </c>
      <c r="F2067" s="5" t="s">
        <v>220</v>
      </c>
      <c r="G2067" s="5">
        <v>19.3</v>
      </c>
      <c r="H2067" s="5">
        <v>3</v>
      </c>
      <c r="I2067" s="6">
        <v>6.03</v>
      </c>
    </row>
    <row r="2068" spans="1:9" x14ac:dyDescent="0.3">
      <c r="A2068" s="1">
        <v>42589</v>
      </c>
      <c r="B2068" s="2" t="s">
        <v>1715</v>
      </c>
      <c r="C2068" s="2" t="s">
        <v>58</v>
      </c>
      <c r="D2068" s="2" t="s">
        <v>30</v>
      </c>
      <c r="E2068" s="2" t="s">
        <v>31</v>
      </c>
      <c r="F2068" s="2" t="s">
        <v>1854</v>
      </c>
      <c r="G2068" s="2">
        <v>823.96</v>
      </c>
      <c r="H2068" s="2">
        <v>5</v>
      </c>
      <c r="I2068" s="3">
        <v>51.5</v>
      </c>
    </row>
    <row r="2069" spans="1:9" x14ac:dyDescent="0.3">
      <c r="A2069" s="4">
        <v>42589</v>
      </c>
      <c r="B2069" s="5" t="s">
        <v>1715</v>
      </c>
      <c r="C2069" s="5" t="s">
        <v>58</v>
      </c>
      <c r="D2069" s="5" t="s">
        <v>2</v>
      </c>
      <c r="E2069" s="5" t="s">
        <v>3</v>
      </c>
      <c r="F2069" s="5" t="s">
        <v>1855</v>
      </c>
      <c r="G2069" s="5">
        <v>15.98</v>
      </c>
      <c r="H2069" s="5">
        <v>2</v>
      </c>
      <c r="I2069" s="6">
        <v>5</v>
      </c>
    </row>
    <row r="2070" spans="1:9" x14ac:dyDescent="0.3">
      <c r="A2070" s="1">
        <v>42589</v>
      </c>
      <c r="B2070" s="2" t="s">
        <v>1856</v>
      </c>
      <c r="C2070" s="2" t="s">
        <v>1300</v>
      </c>
      <c r="D2070" s="2" t="s">
        <v>2</v>
      </c>
      <c r="E2070" s="2" t="s">
        <v>3</v>
      </c>
      <c r="F2070" s="2" t="s">
        <v>284</v>
      </c>
      <c r="G2070" s="2">
        <v>12.96</v>
      </c>
      <c r="H2070" s="2">
        <v>2</v>
      </c>
      <c r="I2070" s="3">
        <v>6.22</v>
      </c>
    </row>
    <row r="2071" spans="1:9" x14ac:dyDescent="0.3">
      <c r="A2071" s="4">
        <v>42620</v>
      </c>
      <c r="B2071" s="5" t="s">
        <v>1623</v>
      </c>
      <c r="C2071" s="5" t="s">
        <v>80</v>
      </c>
      <c r="D2071" s="5" t="s">
        <v>25</v>
      </c>
      <c r="E2071" s="5" t="s">
        <v>26</v>
      </c>
      <c r="F2071" s="5" t="s">
        <v>552</v>
      </c>
      <c r="G2071" s="5">
        <v>408.01</v>
      </c>
      <c r="H2071" s="5">
        <v>2</v>
      </c>
      <c r="I2071" s="6">
        <v>72.53</v>
      </c>
    </row>
    <row r="2072" spans="1:9" x14ac:dyDescent="0.3">
      <c r="A2072" s="1">
        <v>42620</v>
      </c>
      <c r="B2072" s="2" t="s">
        <v>1623</v>
      </c>
      <c r="C2072" s="2" t="s">
        <v>80</v>
      </c>
      <c r="D2072" s="2" t="s">
        <v>25</v>
      </c>
      <c r="E2072" s="2" t="s">
        <v>38</v>
      </c>
      <c r="F2072" s="2" t="s">
        <v>347</v>
      </c>
      <c r="G2072" s="2">
        <v>165.28</v>
      </c>
      <c r="H2072" s="2">
        <v>4</v>
      </c>
      <c r="I2072" s="3">
        <v>14.88</v>
      </c>
    </row>
    <row r="2073" spans="1:9" x14ac:dyDescent="0.3">
      <c r="A2073" s="4">
        <v>42650</v>
      </c>
      <c r="B2073" s="5" t="s">
        <v>1056</v>
      </c>
      <c r="C2073" s="5" t="s">
        <v>253</v>
      </c>
      <c r="D2073" s="5" t="s">
        <v>2</v>
      </c>
      <c r="E2073" s="5" t="s">
        <v>9</v>
      </c>
      <c r="F2073" s="5" t="s">
        <v>1350</v>
      </c>
      <c r="G2073" s="5">
        <v>16.77</v>
      </c>
      <c r="H2073" s="5">
        <v>2</v>
      </c>
      <c r="I2073" s="6">
        <v>1.47</v>
      </c>
    </row>
    <row r="2074" spans="1:9" x14ac:dyDescent="0.3">
      <c r="A2074" s="1">
        <v>42650</v>
      </c>
      <c r="B2074" s="2" t="s">
        <v>1022</v>
      </c>
      <c r="C2074" s="2" t="s">
        <v>1</v>
      </c>
      <c r="D2074" s="2" t="s">
        <v>2</v>
      </c>
      <c r="E2074" s="2" t="s">
        <v>9</v>
      </c>
      <c r="F2074" s="2" t="s">
        <v>1092</v>
      </c>
      <c r="G2074" s="2">
        <v>338.04</v>
      </c>
      <c r="H2074" s="2">
        <v>3</v>
      </c>
      <c r="I2074" s="3">
        <v>-33.799999999999997</v>
      </c>
    </row>
    <row r="2075" spans="1:9" x14ac:dyDescent="0.3">
      <c r="A2075" s="4">
        <v>42650</v>
      </c>
      <c r="B2075" s="5" t="s">
        <v>1022</v>
      </c>
      <c r="C2075" s="5" t="s">
        <v>1</v>
      </c>
      <c r="D2075" s="5" t="s">
        <v>2</v>
      </c>
      <c r="E2075" s="5" t="s">
        <v>15</v>
      </c>
      <c r="F2075" s="5" t="s">
        <v>366</v>
      </c>
      <c r="G2075" s="5">
        <v>154.24</v>
      </c>
      <c r="H2075" s="5">
        <v>4</v>
      </c>
      <c r="I2075" s="6">
        <v>17.350000000000001</v>
      </c>
    </row>
    <row r="2076" spans="1:9" x14ac:dyDescent="0.3">
      <c r="A2076" s="1">
        <v>42650</v>
      </c>
      <c r="B2076" s="2" t="s">
        <v>519</v>
      </c>
      <c r="C2076" s="2" t="s">
        <v>253</v>
      </c>
      <c r="D2076" s="2" t="s">
        <v>2</v>
      </c>
      <c r="E2076" s="2" t="s">
        <v>11</v>
      </c>
      <c r="F2076" s="2" t="s">
        <v>376</v>
      </c>
      <c r="G2076" s="2">
        <v>44.86</v>
      </c>
      <c r="H2076" s="2">
        <v>6</v>
      </c>
      <c r="I2076" s="3">
        <v>-35.880000000000003</v>
      </c>
    </row>
    <row r="2077" spans="1:9" x14ac:dyDescent="0.3">
      <c r="A2077" s="4">
        <v>42650</v>
      </c>
      <c r="B2077" s="5" t="s">
        <v>817</v>
      </c>
      <c r="C2077" s="5" t="s">
        <v>14</v>
      </c>
      <c r="D2077" s="5" t="s">
        <v>30</v>
      </c>
      <c r="E2077" s="5" t="s">
        <v>625</v>
      </c>
      <c r="F2077" s="5" t="s">
        <v>1857</v>
      </c>
      <c r="G2077" s="5">
        <v>341.99</v>
      </c>
      <c r="H2077" s="5">
        <v>3</v>
      </c>
      <c r="I2077" s="6">
        <v>-319.19</v>
      </c>
    </row>
    <row r="2078" spans="1:9" x14ac:dyDescent="0.3">
      <c r="A2078" s="1">
        <v>42711</v>
      </c>
      <c r="B2078" s="2" t="s">
        <v>1590</v>
      </c>
      <c r="C2078" s="2" t="s">
        <v>18</v>
      </c>
      <c r="D2078" s="2" t="s">
        <v>30</v>
      </c>
      <c r="E2078" s="2" t="s">
        <v>31</v>
      </c>
      <c r="F2078" s="2" t="s">
        <v>1099</v>
      </c>
      <c r="G2078" s="2">
        <v>95.76</v>
      </c>
      <c r="H2078" s="2">
        <v>6</v>
      </c>
      <c r="I2078" s="3">
        <v>7.18</v>
      </c>
    </row>
    <row r="2079" spans="1:9" x14ac:dyDescent="0.3">
      <c r="A2079" s="4">
        <v>42377</v>
      </c>
      <c r="B2079" s="5" t="s">
        <v>1858</v>
      </c>
      <c r="C2079" s="5" t="s">
        <v>1</v>
      </c>
      <c r="D2079" s="5" t="s">
        <v>2</v>
      </c>
      <c r="E2079" s="5" t="s">
        <v>3</v>
      </c>
      <c r="F2079" s="5" t="s">
        <v>315</v>
      </c>
      <c r="G2079" s="5">
        <v>19.649999999999999</v>
      </c>
      <c r="H2079" s="5">
        <v>2</v>
      </c>
      <c r="I2079" s="6">
        <v>6.63</v>
      </c>
    </row>
    <row r="2080" spans="1:9" x14ac:dyDescent="0.3">
      <c r="A2080" s="1">
        <v>42377</v>
      </c>
      <c r="B2080" s="2" t="s">
        <v>433</v>
      </c>
      <c r="C2080" s="2" t="s">
        <v>18</v>
      </c>
      <c r="D2080" s="2" t="s">
        <v>30</v>
      </c>
      <c r="E2080" s="2" t="s">
        <v>31</v>
      </c>
      <c r="F2080" s="2" t="s">
        <v>1696</v>
      </c>
      <c r="G2080" s="2">
        <v>1039.73</v>
      </c>
      <c r="H2080" s="2">
        <v>2</v>
      </c>
      <c r="I2080" s="3">
        <v>90.98</v>
      </c>
    </row>
    <row r="2081" spans="1:9" x14ac:dyDescent="0.3">
      <c r="A2081" s="4">
        <v>42377</v>
      </c>
      <c r="B2081" s="5" t="s">
        <v>433</v>
      </c>
      <c r="C2081" s="5" t="s">
        <v>18</v>
      </c>
      <c r="D2081" s="5" t="s">
        <v>2</v>
      </c>
      <c r="E2081" s="5" t="s">
        <v>133</v>
      </c>
      <c r="F2081" s="5" t="s">
        <v>421</v>
      </c>
      <c r="G2081" s="5">
        <v>45.96</v>
      </c>
      <c r="H2081" s="5">
        <v>2</v>
      </c>
      <c r="I2081" s="6">
        <v>13.79</v>
      </c>
    </row>
    <row r="2082" spans="1:9" x14ac:dyDescent="0.3">
      <c r="A2082" s="1">
        <v>42377</v>
      </c>
      <c r="B2082" s="2" t="s">
        <v>1598</v>
      </c>
      <c r="C2082" s="2" t="s">
        <v>14</v>
      </c>
      <c r="D2082" s="2" t="s">
        <v>25</v>
      </c>
      <c r="E2082" s="2" t="s">
        <v>38</v>
      </c>
      <c r="F2082" s="2" t="s">
        <v>1859</v>
      </c>
      <c r="G2082" s="2">
        <v>19.309999999999999</v>
      </c>
      <c r="H2082" s="2">
        <v>2</v>
      </c>
      <c r="I2082" s="3">
        <v>3.14</v>
      </c>
    </row>
    <row r="2083" spans="1:9" x14ac:dyDescent="0.3">
      <c r="A2083" s="4">
        <v>42408</v>
      </c>
      <c r="B2083" s="5" t="s">
        <v>1845</v>
      </c>
      <c r="C2083" s="5" t="s">
        <v>18</v>
      </c>
      <c r="D2083" s="5" t="s">
        <v>25</v>
      </c>
      <c r="E2083" s="5" t="s">
        <v>86</v>
      </c>
      <c r="F2083" s="5" t="s">
        <v>1860</v>
      </c>
      <c r="G2083" s="5">
        <v>136.46</v>
      </c>
      <c r="H2083" s="5">
        <v>2</v>
      </c>
      <c r="I2083" s="6">
        <v>15.35</v>
      </c>
    </row>
    <row r="2084" spans="1:9" x14ac:dyDescent="0.3">
      <c r="A2084" s="1">
        <v>42408</v>
      </c>
      <c r="B2084" s="2" t="s">
        <v>1845</v>
      </c>
      <c r="C2084" s="2" t="s">
        <v>18</v>
      </c>
      <c r="D2084" s="2" t="s">
        <v>30</v>
      </c>
      <c r="E2084" s="2" t="s">
        <v>31</v>
      </c>
      <c r="F2084" s="2" t="s">
        <v>1861</v>
      </c>
      <c r="G2084" s="2">
        <v>333.58</v>
      </c>
      <c r="H2084" s="2">
        <v>3</v>
      </c>
      <c r="I2084" s="3">
        <v>33.36</v>
      </c>
    </row>
    <row r="2085" spans="1:9" x14ac:dyDescent="0.3">
      <c r="A2085" s="4">
        <v>42408</v>
      </c>
      <c r="B2085" s="5" t="s">
        <v>1845</v>
      </c>
      <c r="C2085" s="5" t="s">
        <v>18</v>
      </c>
      <c r="D2085" s="5" t="s">
        <v>2</v>
      </c>
      <c r="E2085" s="5" t="s">
        <v>11</v>
      </c>
      <c r="F2085" s="5" t="s">
        <v>1862</v>
      </c>
      <c r="G2085" s="5">
        <v>12.54</v>
      </c>
      <c r="H2085" s="5">
        <v>2</v>
      </c>
      <c r="I2085" s="6">
        <v>4.7</v>
      </c>
    </row>
    <row r="2086" spans="1:9" x14ac:dyDescent="0.3">
      <c r="A2086" s="1">
        <v>42437</v>
      </c>
      <c r="B2086" s="2" t="s">
        <v>1863</v>
      </c>
      <c r="C2086" s="2" t="s">
        <v>640</v>
      </c>
      <c r="D2086" s="2" t="s">
        <v>2</v>
      </c>
      <c r="E2086" s="2" t="s">
        <v>114</v>
      </c>
      <c r="F2086" s="2" t="s">
        <v>1413</v>
      </c>
      <c r="G2086" s="2">
        <v>81.540000000000006</v>
      </c>
      <c r="H2086" s="2">
        <v>3</v>
      </c>
      <c r="I2086" s="3">
        <v>38.32</v>
      </c>
    </row>
    <row r="2087" spans="1:9" x14ac:dyDescent="0.3">
      <c r="A2087" s="4">
        <v>42437</v>
      </c>
      <c r="B2087" s="5" t="s">
        <v>1863</v>
      </c>
      <c r="C2087" s="5" t="s">
        <v>640</v>
      </c>
      <c r="D2087" s="5" t="s">
        <v>30</v>
      </c>
      <c r="E2087" s="5" t="s">
        <v>43</v>
      </c>
      <c r="F2087" s="5" t="s">
        <v>1864</v>
      </c>
      <c r="G2087" s="5">
        <v>167.28</v>
      </c>
      <c r="H2087" s="5">
        <v>12</v>
      </c>
      <c r="I2087" s="6">
        <v>23.42</v>
      </c>
    </row>
    <row r="2088" spans="1:9" x14ac:dyDescent="0.3">
      <c r="A2088" s="1">
        <v>42468</v>
      </c>
      <c r="B2088" s="2" t="s">
        <v>1865</v>
      </c>
      <c r="C2088" s="2" t="s">
        <v>46</v>
      </c>
      <c r="D2088" s="2" t="s">
        <v>2</v>
      </c>
      <c r="E2088" s="2" t="s">
        <v>144</v>
      </c>
      <c r="F2088" s="2" t="s">
        <v>1169</v>
      </c>
      <c r="G2088" s="2">
        <v>35.06</v>
      </c>
      <c r="H2088" s="2">
        <v>2</v>
      </c>
      <c r="I2088" s="3">
        <v>10.52</v>
      </c>
    </row>
    <row r="2089" spans="1:9" x14ac:dyDescent="0.3">
      <c r="A2089" s="4">
        <v>42468</v>
      </c>
      <c r="B2089" s="5" t="s">
        <v>1865</v>
      </c>
      <c r="C2089" s="5" t="s">
        <v>46</v>
      </c>
      <c r="D2089" s="5" t="s">
        <v>2</v>
      </c>
      <c r="E2089" s="5" t="s">
        <v>7</v>
      </c>
      <c r="F2089" s="5" t="s">
        <v>1486</v>
      </c>
      <c r="G2089" s="5">
        <v>4.13</v>
      </c>
      <c r="H2089" s="5">
        <v>1</v>
      </c>
      <c r="I2089" s="6">
        <v>1.9</v>
      </c>
    </row>
    <row r="2090" spans="1:9" x14ac:dyDescent="0.3">
      <c r="A2090" s="1">
        <v>42468</v>
      </c>
      <c r="B2090" s="2" t="s">
        <v>1865</v>
      </c>
      <c r="C2090" s="2" t="s">
        <v>46</v>
      </c>
      <c r="D2090" s="2" t="s">
        <v>25</v>
      </c>
      <c r="E2090" s="2" t="s">
        <v>38</v>
      </c>
      <c r="F2090" s="2" t="s">
        <v>461</v>
      </c>
      <c r="G2090" s="2">
        <v>109.8</v>
      </c>
      <c r="H2090" s="2">
        <v>9</v>
      </c>
      <c r="I2090" s="3">
        <v>46.12</v>
      </c>
    </row>
    <row r="2091" spans="1:9" x14ac:dyDescent="0.3">
      <c r="A2091" s="4">
        <v>42468</v>
      </c>
      <c r="B2091" s="5" t="s">
        <v>1865</v>
      </c>
      <c r="C2091" s="5" t="s">
        <v>46</v>
      </c>
      <c r="D2091" s="5" t="s">
        <v>2</v>
      </c>
      <c r="E2091" s="5" t="s">
        <v>7</v>
      </c>
      <c r="F2091" s="5" t="s">
        <v>1866</v>
      </c>
      <c r="G2091" s="5">
        <v>9.82</v>
      </c>
      <c r="H2091" s="5">
        <v>2</v>
      </c>
      <c r="I2091" s="6">
        <v>4.8099999999999996</v>
      </c>
    </row>
    <row r="2092" spans="1:9" x14ac:dyDescent="0.3">
      <c r="A2092" s="1">
        <v>42468</v>
      </c>
      <c r="B2092" s="2" t="s">
        <v>1867</v>
      </c>
      <c r="C2092" s="2" t="s">
        <v>6</v>
      </c>
      <c r="D2092" s="2" t="s">
        <v>2</v>
      </c>
      <c r="E2092" s="2" t="s">
        <v>11</v>
      </c>
      <c r="F2092" s="2" t="s">
        <v>1297</v>
      </c>
      <c r="G2092" s="2">
        <v>3.98</v>
      </c>
      <c r="H2092" s="2">
        <v>5</v>
      </c>
      <c r="I2092" s="3">
        <v>-6.57</v>
      </c>
    </row>
    <row r="2093" spans="1:9" x14ac:dyDescent="0.3">
      <c r="A2093" s="4">
        <v>42468</v>
      </c>
      <c r="B2093" s="5" t="s">
        <v>1868</v>
      </c>
      <c r="C2093" s="5" t="s">
        <v>18</v>
      </c>
      <c r="D2093" s="5" t="s">
        <v>30</v>
      </c>
      <c r="E2093" s="5" t="s">
        <v>31</v>
      </c>
      <c r="F2093" s="5" t="s">
        <v>419</v>
      </c>
      <c r="G2093" s="5">
        <v>302.38</v>
      </c>
      <c r="H2093" s="5">
        <v>2</v>
      </c>
      <c r="I2093" s="6">
        <v>30.24</v>
      </c>
    </row>
    <row r="2094" spans="1:9" x14ac:dyDescent="0.3">
      <c r="A2094" s="1">
        <v>42468</v>
      </c>
      <c r="B2094" s="2" t="s">
        <v>1868</v>
      </c>
      <c r="C2094" s="2" t="s">
        <v>18</v>
      </c>
      <c r="D2094" s="2" t="s">
        <v>2</v>
      </c>
      <c r="E2094" s="2" t="s">
        <v>11</v>
      </c>
      <c r="F2094" s="2" t="s">
        <v>88</v>
      </c>
      <c r="G2094" s="2">
        <v>20.95</v>
      </c>
      <c r="H2094" s="2">
        <v>3</v>
      </c>
      <c r="I2094" s="3">
        <v>7.07</v>
      </c>
    </row>
    <row r="2095" spans="1:9" x14ac:dyDescent="0.3">
      <c r="A2095" s="4">
        <v>42468</v>
      </c>
      <c r="B2095" s="5" t="s">
        <v>1868</v>
      </c>
      <c r="C2095" s="5" t="s">
        <v>18</v>
      </c>
      <c r="D2095" s="5" t="s">
        <v>2</v>
      </c>
      <c r="E2095" s="5" t="s">
        <v>11</v>
      </c>
      <c r="F2095" s="5" t="s">
        <v>1869</v>
      </c>
      <c r="G2095" s="5">
        <v>11.78</v>
      </c>
      <c r="H2095" s="5">
        <v>3</v>
      </c>
      <c r="I2095" s="6">
        <v>3.98</v>
      </c>
    </row>
    <row r="2096" spans="1:9" x14ac:dyDescent="0.3">
      <c r="A2096" s="1">
        <v>42498</v>
      </c>
      <c r="B2096" s="2" t="s">
        <v>1641</v>
      </c>
      <c r="C2096" s="2" t="s">
        <v>244</v>
      </c>
      <c r="D2096" s="2" t="s">
        <v>2</v>
      </c>
      <c r="E2096" s="2" t="s">
        <v>15</v>
      </c>
      <c r="F2096" s="2" t="s">
        <v>1870</v>
      </c>
      <c r="G2096" s="2">
        <v>197.05</v>
      </c>
      <c r="H2096" s="2">
        <v>7</v>
      </c>
      <c r="I2096" s="3">
        <v>59.12</v>
      </c>
    </row>
    <row r="2097" spans="1:9" x14ac:dyDescent="0.3">
      <c r="A2097" s="4">
        <v>42529</v>
      </c>
      <c r="B2097" s="5" t="s">
        <v>190</v>
      </c>
      <c r="C2097" s="5" t="s">
        <v>80</v>
      </c>
      <c r="D2097" s="5" t="s">
        <v>2</v>
      </c>
      <c r="E2097" s="5" t="s">
        <v>3</v>
      </c>
      <c r="F2097" s="5" t="s">
        <v>315</v>
      </c>
      <c r="G2097" s="5">
        <v>70.88</v>
      </c>
      <c r="H2097" s="5">
        <v>2</v>
      </c>
      <c r="I2097" s="6">
        <v>33.31</v>
      </c>
    </row>
    <row r="2098" spans="1:9" x14ac:dyDescent="0.3">
      <c r="A2098" s="1">
        <v>42529</v>
      </c>
      <c r="B2098" s="2" t="s">
        <v>576</v>
      </c>
      <c r="C2098" s="2" t="s">
        <v>18</v>
      </c>
      <c r="D2098" s="2" t="s">
        <v>30</v>
      </c>
      <c r="E2098" s="2" t="s">
        <v>31</v>
      </c>
      <c r="F2098" s="2" t="s">
        <v>1557</v>
      </c>
      <c r="G2098" s="2">
        <v>211.17</v>
      </c>
      <c r="H2098" s="2">
        <v>4</v>
      </c>
      <c r="I2098" s="3">
        <v>18.48</v>
      </c>
    </row>
    <row r="2099" spans="1:9" x14ac:dyDescent="0.3">
      <c r="A2099" s="4">
        <v>42529</v>
      </c>
      <c r="B2099" s="5" t="s">
        <v>1871</v>
      </c>
      <c r="C2099" s="5" t="s">
        <v>80</v>
      </c>
      <c r="D2099" s="5" t="s">
        <v>2</v>
      </c>
      <c r="E2099" s="5" t="s">
        <v>15</v>
      </c>
      <c r="F2099" s="5" t="s">
        <v>22</v>
      </c>
      <c r="G2099" s="5">
        <v>38.340000000000003</v>
      </c>
      <c r="H2099" s="5">
        <v>9</v>
      </c>
      <c r="I2099" s="6">
        <v>15.72</v>
      </c>
    </row>
    <row r="2100" spans="1:9" x14ac:dyDescent="0.3">
      <c r="A2100" s="1">
        <v>42559</v>
      </c>
      <c r="B2100" s="2" t="s">
        <v>1872</v>
      </c>
      <c r="C2100" s="2" t="s">
        <v>62</v>
      </c>
      <c r="D2100" s="2" t="s">
        <v>30</v>
      </c>
      <c r="E2100" s="2" t="s">
        <v>43</v>
      </c>
      <c r="F2100" s="2" t="s">
        <v>1873</v>
      </c>
      <c r="G2100" s="2">
        <v>179.97</v>
      </c>
      <c r="H2100" s="2">
        <v>3</v>
      </c>
      <c r="I2100" s="3">
        <v>86.39</v>
      </c>
    </row>
    <row r="2101" spans="1:9" x14ac:dyDescent="0.3">
      <c r="A2101" s="4">
        <v>42590</v>
      </c>
      <c r="B2101" s="5" t="s">
        <v>786</v>
      </c>
      <c r="C2101" s="5" t="s">
        <v>1</v>
      </c>
      <c r="D2101" s="5" t="s">
        <v>2</v>
      </c>
      <c r="E2101" s="5" t="s">
        <v>34</v>
      </c>
      <c r="F2101" s="5" t="s">
        <v>851</v>
      </c>
      <c r="G2101" s="5">
        <v>11.17</v>
      </c>
      <c r="H2101" s="5">
        <v>4</v>
      </c>
      <c r="I2101" s="6">
        <v>3.63</v>
      </c>
    </row>
    <row r="2102" spans="1:9" x14ac:dyDescent="0.3">
      <c r="A2102" s="1">
        <v>42590</v>
      </c>
      <c r="B2102" s="2" t="s">
        <v>786</v>
      </c>
      <c r="C2102" s="2" t="s">
        <v>1</v>
      </c>
      <c r="D2102" s="2" t="s">
        <v>2</v>
      </c>
      <c r="E2102" s="2" t="s">
        <v>3</v>
      </c>
      <c r="F2102" s="2" t="s">
        <v>1874</v>
      </c>
      <c r="G2102" s="2">
        <v>53.95</v>
      </c>
      <c r="H2102" s="2">
        <v>3</v>
      </c>
      <c r="I2102" s="3">
        <v>17.53</v>
      </c>
    </row>
    <row r="2103" spans="1:9" x14ac:dyDescent="0.3">
      <c r="A2103" s="4">
        <v>42590</v>
      </c>
      <c r="B2103" s="5" t="s">
        <v>1478</v>
      </c>
      <c r="C2103" s="5" t="s">
        <v>450</v>
      </c>
      <c r="D2103" s="5" t="s">
        <v>2</v>
      </c>
      <c r="E2103" s="5" t="s">
        <v>34</v>
      </c>
      <c r="F2103" s="5" t="s">
        <v>35</v>
      </c>
      <c r="G2103" s="5">
        <v>23.34</v>
      </c>
      <c r="H2103" s="5">
        <v>3</v>
      </c>
      <c r="I2103" s="6">
        <v>0.23</v>
      </c>
    </row>
    <row r="2104" spans="1:9" x14ac:dyDescent="0.3">
      <c r="A2104" s="1">
        <v>42590</v>
      </c>
      <c r="B2104" s="2" t="s">
        <v>1365</v>
      </c>
      <c r="C2104" s="2" t="s">
        <v>18</v>
      </c>
      <c r="D2104" s="2" t="s">
        <v>25</v>
      </c>
      <c r="E2104" s="2" t="s">
        <v>86</v>
      </c>
      <c r="F2104" s="2" t="s">
        <v>1875</v>
      </c>
      <c r="G2104" s="2">
        <v>513.02</v>
      </c>
      <c r="H2104" s="2">
        <v>2</v>
      </c>
      <c r="I2104" s="3">
        <v>12.83</v>
      </c>
    </row>
    <row r="2105" spans="1:9" x14ac:dyDescent="0.3">
      <c r="A2105" s="4">
        <v>42590</v>
      </c>
      <c r="B2105" s="5" t="s">
        <v>1365</v>
      </c>
      <c r="C2105" s="5" t="s">
        <v>18</v>
      </c>
      <c r="D2105" s="5" t="s">
        <v>2</v>
      </c>
      <c r="E2105" s="5" t="s">
        <v>133</v>
      </c>
      <c r="F2105" s="5" t="s">
        <v>1157</v>
      </c>
      <c r="G2105" s="5">
        <v>487.92</v>
      </c>
      <c r="H2105" s="5">
        <v>6</v>
      </c>
      <c r="I2105" s="6">
        <v>136.62</v>
      </c>
    </row>
    <row r="2106" spans="1:9" x14ac:dyDescent="0.3">
      <c r="A2106" s="1">
        <v>42590</v>
      </c>
      <c r="B2106" s="2" t="s">
        <v>1365</v>
      </c>
      <c r="C2106" s="2" t="s">
        <v>18</v>
      </c>
      <c r="D2106" s="2" t="s">
        <v>2</v>
      </c>
      <c r="E2106" s="2" t="s">
        <v>11</v>
      </c>
      <c r="F2106" s="2" t="s">
        <v>1370</v>
      </c>
      <c r="G2106" s="2">
        <v>15.24</v>
      </c>
      <c r="H2106" s="2">
        <v>5</v>
      </c>
      <c r="I2106" s="3">
        <v>5.33</v>
      </c>
    </row>
    <row r="2107" spans="1:9" x14ac:dyDescent="0.3">
      <c r="A2107" s="4">
        <v>42590</v>
      </c>
      <c r="B2107" s="5" t="s">
        <v>1378</v>
      </c>
      <c r="C2107" s="5" t="s">
        <v>640</v>
      </c>
      <c r="D2107" s="5" t="s">
        <v>2</v>
      </c>
      <c r="E2107" s="5" t="s">
        <v>3</v>
      </c>
      <c r="F2107" s="5" t="s">
        <v>1876</v>
      </c>
      <c r="G2107" s="5">
        <v>10.56</v>
      </c>
      <c r="H2107" s="5">
        <v>2</v>
      </c>
      <c r="I2107" s="6">
        <v>4.75</v>
      </c>
    </row>
    <row r="2108" spans="1:9" x14ac:dyDescent="0.3">
      <c r="A2108" s="1">
        <v>42621</v>
      </c>
      <c r="B2108" s="2" t="s">
        <v>792</v>
      </c>
      <c r="C2108" s="2" t="s">
        <v>121</v>
      </c>
      <c r="D2108" s="2" t="s">
        <v>2</v>
      </c>
      <c r="E2108" s="2" t="s">
        <v>3</v>
      </c>
      <c r="F2108" s="2" t="s">
        <v>897</v>
      </c>
      <c r="G2108" s="2">
        <v>30.82</v>
      </c>
      <c r="H2108" s="2">
        <v>9</v>
      </c>
      <c r="I2108" s="3">
        <v>9.6300000000000008</v>
      </c>
    </row>
    <row r="2109" spans="1:9" x14ac:dyDescent="0.3">
      <c r="A2109" s="4">
        <v>42621</v>
      </c>
      <c r="B2109" s="5" t="s">
        <v>792</v>
      </c>
      <c r="C2109" s="5" t="s">
        <v>121</v>
      </c>
      <c r="D2109" s="5" t="s">
        <v>30</v>
      </c>
      <c r="E2109" s="5" t="s">
        <v>31</v>
      </c>
      <c r="F2109" s="5" t="s">
        <v>1877</v>
      </c>
      <c r="G2109" s="5">
        <v>44.78</v>
      </c>
      <c r="H2109" s="5">
        <v>2</v>
      </c>
      <c r="I2109" s="6">
        <v>4.4800000000000004</v>
      </c>
    </row>
    <row r="2110" spans="1:9" x14ac:dyDescent="0.3">
      <c r="A2110" s="1">
        <v>42621</v>
      </c>
      <c r="B2110" s="2" t="s">
        <v>792</v>
      </c>
      <c r="C2110" s="2" t="s">
        <v>121</v>
      </c>
      <c r="D2110" s="2" t="s">
        <v>2</v>
      </c>
      <c r="E2110" s="2" t="s">
        <v>133</v>
      </c>
      <c r="F2110" s="2" t="s">
        <v>668</v>
      </c>
      <c r="G2110" s="2">
        <v>569.54</v>
      </c>
      <c r="H2110" s="2">
        <v>4</v>
      </c>
      <c r="I2110" s="3">
        <v>64.069999999999993</v>
      </c>
    </row>
    <row r="2111" spans="1:9" x14ac:dyDescent="0.3">
      <c r="A2111" s="4">
        <v>42621</v>
      </c>
      <c r="B2111" s="5" t="s">
        <v>476</v>
      </c>
      <c r="C2111" s="5" t="s">
        <v>411</v>
      </c>
      <c r="D2111" s="5" t="s">
        <v>2</v>
      </c>
      <c r="E2111" s="5" t="s">
        <v>11</v>
      </c>
      <c r="F2111" s="5" t="s">
        <v>498</v>
      </c>
      <c r="G2111" s="5">
        <v>4.34</v>
      </c>
      <c r="H2111" s="5">
        <v>3</v>
      </c>
      <c r="I2111" s="6">
        <v>-3.04</v>
      </c>
    </row>
    <row r="2112" spans="1:9" x14ac:dyDescent="0.3">
      <c r="A2112" s="1">
        <v>42621</v>
      </c>
      <c r="B2112" s="2" t="s">
        <v>476</v>
      </c>
      <c r="C2112" s="2" t="s">
        <v>411</v>
      </c>
      <c r="D2112" s="2" t="s">
        <v>2</v>
      </c>
      <c r="E2112" s="2" t="s">
        <v>11</v>
      </c>
      <c r="F2112" s="2" t="s">
        <v>1878</v>
      </c>
      <c r="G2112" s="2">
        <v>11.88</v>
      </c>
      <c r="H2112" s="2">
        <v>5</v>
      </c>
      <c r="I2112" s="3">
        <v>-7.92</v>
      </c>
    </row>
    <row r="2113" spans="1:9" x14ac:dyDescent="0.3">
      <c r="A2113" s="4">
        <v>42682</v>
      </c>
      <c r="B2113" s="5" t="s">
        <v>1879</v>
      </c>
      <c r="C2113" s="5" t="s">
        <v>640</v>
      </c>
      <c r="D2113" s="5" t="s">
        <v>2</v>
      </c>
      <c r="E2113" s="5" t="s">
        <v>3</v>
      </c>
      <c r="F2113" s="5" t="s">
        <v>1426</v>
      </c>
      <c r="G2113" s="5">
        <v>32.4</v>
      </c>
      <c r="H2113" s="5">
        <v>5</v>
      </c>
      <c r="I2113" s="6">
        <v>15.55</v>
      </c>
    </row>
    <row r="2114" spans="1:9" x14ac:dyDescent="0.3">
      <c r="A2114" s="1">
        <v>42682</v>
      </c>
      <c r="B2114" s="2" t="s">
        <v>1879</v>
      </c>
      <c r="C2114" s="2" t="s">
        <v>640</v>
      </c>
      <c r="D2114" s="2" t="s">
        <v>2</v>
      </c>
      <c r="E2114" s="2" t="s">
        <v>11</v>
      </c>
      <c r="F2114" s="2" t="s">
        <v>1500</v>
      </c>
      <c r="G2114" s="2">
        <v>41.86</v>
      </c>
      <c r="H2114" s="2">
        <v>7</v>
      </c>
      <c r="I2114" s="3">
        <v>19.260000000000002</v>
      </c>
    </row>
    <row r="2115" spans="1:9" x14ac:dyDescent="0.3">
      <c r="A2115" s="4">
        <v>42682</v>
      </c>
      <c r="B2115" s="5" t="s">
        <v>1879</v>
      </c>
      <c r="C2115" s="5" t="s">
        <v>640</v>
      </c>
      <c r="D2115" s="5" t="s">
        <v>2</v>
      </c>
      <c r="E2115" s="5" t="s">
        <v>11</v>
      </c>
      <c r="F2115" s="5" t="s">
        <v>1880</v>
      </c>
      <c r="G2115" s="5">
        <v>77.56</v>
      </c>
      <c r="H2115" s="5">
        <v>2</v>
      </c>
      <c r="I2115" s="6">
        <v>35.68</v>
      </c>
    </row>
    <row r="2116" spans="1:9" x14ac:dyDescent="0.3">
      <c r="A2116" s="1">
        <v>42712</v>
      </c>
      <c r="B2116" s="2" t="s">
        <v>1176</v>
      </c>
      <c r="C2116" s="2" t="s">
        <v>1516</v>
      </c>
      <c r="D2116" s="2" t="s">
        <v>2</v>
      </c>
      <c r="E2116" s="2" t="s">
        <v>3</v>
      </c>
      <c r="F2116" s="2" t="s">
        <v>265</v>
      </c>
      <c r="G2116" s="2">
        <v>6.48</v>
      </c>
      <c r="H2116" s="2">
        <v>1</v>
      </c>
      <c r="I2116" s="3">
        <v>3.11</v>
      </c>
    </row>
    <row r="2117" spans="1:9" x14ac:dyDescent="0.3">
      <c r="A2117" s="4">
        <v>42712</v>
      </c>
      <c r="B2117" s="5" t="s">
        <v>1745</v>
      </c>
      <c r="C2117" s="5" t="s">
        <v>1</v>
      </c>
      <c r="D2117" s="5" t="s">
        <v>30</v>
      </c>
      <c r="E2117" s="5" t="s">
        <v>43</v>
      </c>
      <c r="F2117" s="5" t="s">
        <v>1881</v>
      </c>
      <c r="G2117" s="5">
        <v>1399.94</v>
      </c>
      <c r="H2117" s="5">
        <v>7</v>
      </c>
      <c r="I2117" s="6">
        <v>52.5</v>
      </c>
    </row>
    <row r="2118" spans="1:9" x14ac:dyDescent="0.3">
      <c r="A2118" s="1">
        <v>42712</v>
      </c>
      <c r="B2118" s="2" t="s">
        <v>465</v>
      </c>
      <c r="C2118" s="2" t="s">
        <v>80</v>
      </c>
      <c r="D2118" s="2" t="s">
        <v>25</v>
      </c>
      <c r="E2118" s="2" t="s">
        <v>26</v>
      </c>
      <c r="F2118" s="2" t="s">
        <v>98</v>
      </c>
      <c r="G2118" s="2">
        <v>145.76</v>
      </c>
      <c r="H2118" s="2">
        <v>2</v>
      </c>
      <c r="I2118" s="3">
        <v>-8.1</v>
      </c>
    </row>
    <row r="2119" spans="1:9" x14ac:dyDescent="0.3">
      <c r="A2119" s="4">
        <v>42712</v>
      </c>
      <c r="B2119" s="5" t="s">
        <v>1052</v>
      </c>
      <c r="C2119" s="5" t="s">
        <v>58</v>
      </c>
      <c r="D2119" s="5" t="s">
        <v>25</v>
      </c>
      <c r="E2119" s="5" t="s">
        <v>86</v>
      </c>
      <c r="F2119" s="5" t="s">
        <v>1882</v>
      </c>
      <c r="G2119" s="5">
        <v>562.29</v>
      </c>
      <c r="H2119" s="5">
        <v>7</v>
      </c>
      <c r="I2119" s="6">
        <v>-255.59</v>
      </c>
    </row>
    <row r="2120" spans="1:9" x14ac:dyDescent="0.3">
      <c r="A2120" s="1">
        <v>42712</v>
      </c>
      <c r="B2120" s="2" t="s">
        <v>632</v>
      </c>
      <c r="C2120" s="2" t="s">
        <v>80</v>
      </c>
      <c r="D2120" s="2" t="s">
        <v>25</v>
      </c>
      <c r="E2120" s="2" t="s">
        <v>86</v>
      </c>
      <c r="F2120" s="2" t="s">
        <v>1186</v>
      </c>
      <c r="G2120" s="2">
        <v>209.15</v>
      </c>
      <c r="H2120" s="2">
        <v>2</v>
      </c>
      <c r="I2120" s="3">
        <v>-66.23</v>
      </c>
    </row>
    <row r="2121" spans="1:9" x14ac:dyDescent="0.3">
      <c r="A2121" s="4">
        <v>42712</v>
      </c>
      <c r="B2121" s="5" t="s">
        <v>632</v>
      </c>
      <c r="C2121" s="5" t="s">
        <v>80</v>
      </c>
      <c r="D2121" s="5" t="s">
        <v>2</v>
      </c>
      <c r="E2121" s="5" t="s">
        <v>9</v>
      </c>
      <c r="F2121" s="5" t="s">
        <v>164</v>
      </c>
      <c r="G2121" s="5">
        <v>1591.02</v>
      </c>
      <c r="H2121" s="5">
        <v>6</v>
      </c>
      <c r="I2121" s="6">
        <v>286.38</v>
      </c>
    </row>
    <row r="2122" spans="1:9" x14ac:dyDescent="0.3">
      <c r="A2122" s="1">
        <v>42712</v>
      </c>
      <c r="B2122" s="2" t="s">
        <v>65</v>
      </c>
      <c r="C2122" s="2" t="s">
        <v>14</v>
      </c>
      <c r="D2122" s="2" t="s">
        <v>2</v>
      </c>
      <c r="E2122" s="2" t="s">
        <v>15</v>
      </c>
      <c r="F2122" s="2" t="s">
        <v>1883</v>
      </c>
      <c r="G2122" s="2">
        <v>37.31</v>
      </c>
      <c r="H2122" s="2">
        <v>4</v>
      </c>
      <c r="I2122" s="3">
        <v>2.8</v>
      </c>
    </row>
    <row r="2123" spans="1:9" x14ac:dyDescent="0.3">
      <c r="A2123" s="4">
        <v>42378</v>
      </c>
      <c r="B2123" s="5" t="s">
        <v>1884</v>
      </c>
      <c r="C2123" s="5" t="s">
        <v>80</v>
      </c>
      <c r="D2123" s="5" t="s">
        <v>30</v>
      </c>
      <c r="E2123" s="5" t="s">
        <v>43</v>
      </c>
      <c r="F2123" s="5" t="s">
        <v>1885</v>
      </c>
      <c r="G2123" s="5">
        <v>6.79</v>
      </c>
      <c r="H2123" s="5">
        <v>1</v>
      </c>
      <c r="I2123" s="6">
        <v>2.31</v>
      </c>
    </row>
    <row r="2124" spans="1:9" x14ac:dyDescent="0.3">
      <c r="A2124" s="1">
        <v>42378</v>
      </c>
      <c r="B2124" s="2" t="s">
        <v>1884</v>
      </c>
      <c r="C2124" s="2" t="s">
        <v>80</v>
      </c>
      <c r="D2124" s="2" t="s">
        <v>2</v>
      </c>
      <c r="E2124" s="2" t="s">
        <v>3</v>
      </c>
      <c r="F2124" s="2" t="s">
        <v>493</v>
      </c>
      <c r="G2124" s="2">
        <v>24.56</v>
      </c>
      <c r="H2124" s="2">
        <v>2</v>
      </c>
      <c r="I2124" s="3">
        <v>11.54</v>
      </c>
    </row>
    <row r="2125" spans="1:9" x14ac:dyDescent="0.3">
      <c r="A2125" s="4">
        <v>42378</v>
      </c>
      <c r="B2125" s="5" t="s">
        <v>1884</v>
      </c>
      <c r="C2125" s="5" t="s">
        <v>80</v>
      </c>
      <c r="D2125" s="5" t="s">
        <v>2</v>
      </c>
      <c r="E2125" s="5" t="s">
        <v>11</v>
      </c>
      <c r="F2125" s="5" t="s">
        <v>1370</v>
      </c>
      <c r="G2125" s="5">
        <v>3.05</v>
      </c>
      <c r="H2125" s="5">
        <v>1</v>
      </c>
      <c r="I2125" s="6">
        <v>1.07</v>
      </c>
    </row>
    <row r="2126" spans="1:9" x14ac:dyDescent="0.3">
      <c r="A2126" s="1">
        <v>42378</v>
      </c>
      <c r="B2126" s="2" t="s">
        <v>1884</v>
      </c>
      <c r="C2126" s="2" t="s">
        <v>80</v>
      </c>
      <c r="D2126" s="2" t="s">
        <v>2</v>
      </c>
      <c r="E2126" s="2" t="s">
        <v>3</v>
      </c>
      <c r="F2126" s="2" t="s">
        <v>493</v>
      </c>
      <c r="G2126" s="2">
        <v>49.12</v>
      </c>
      <c r="H2126" s="2">
        <v>4</v>
      </c>
      <c r="I2126" s="3">
        <v>23.09</v>
      </c>
    </row>
    <row r="2127" spans="1:9" x14ac:dyDescent="0.3">
      <c r="A2127" s="4">
        <v>42378</v>
      </c>
      <c r="B2127" s="5" t="s">
        <v>1884</v>
      </c>
      <c r="C2127" s="5" t="s">
        <v>80</v>
      </c>
      <c r="D2127" s="5" t="s">
        <v>2</v>
      </c>
      <c r="E2127" s="5" t="s">
        <v>11</v>
      </c>
      <c r="F2127" s="5" t="s">
        <v>1727</v>
      </c>
      <c r="G2127" s="5">
        <v>4355.17</v>
      </c>
      <c r="H2127" s="5">
        <v>4</v>
      </c>
      <c r="I2127" s="6">
        <v>1415.43</v>
      </c>
    </row>
    <row r="2128" spans="1:9" x14ac:dyDescent="0.3">
      <c r="A2128" s="1">
        <v>42378</v>
      </c>
      <c r="B2128" s="2" t="s">
        <v>1780</v>
      </c>
      <c r="C2128" s="2" t="s">
        <v>18</v>
      </c>
      <c r="D2128" s="2" t="s">
        <v>2</v>
      </c>
      <c r="E2128" s="2" t="s">
        <v>114</v>
      </c>
      <c r="F2128" s="2" t="s">
        <v>1349</v>
      </c>
      <c r="G2128" s="2">
        <v>21.88</v>
      </c>
      <c r="H2128" s="2">
        <v>2</v>
      </c>
      <c r="I2128" s="3">
        <v>10.94</v>
      </c>
    </row>
    <row r="2129" spans="1:9" x14ac:dyDescent="0.3">
      <c r="A2129" s="4">
        <v>42378</v>
      </c>
      <c r="B2129" s="5" t="s">
        <v>1549</v>
      </c>
      <c r="C2129" s="5" t="s">
        <v>14</v>
      </c>
      <c r="D2129" s="5" t="s">
        <v>2</v>
      </c>
      <c r="E2129" s="5" t="s">
        <v>3</v>
      </c>
      <c r="F2129" s="5" t="s">
        <v>1886</v>
      </c>
      <c r="G2129" s="5">
        <v>30.48</v>
      </c>
      <c r="H2129" s="5">
        <v>6</v>
      </c>
      <c r="I2129" s="6">
        <v>9.91</v>
      </c>
    </row>
    <row r="2130" spans="1:9" x14ac:dyDescent="0.3">
      <c r="A2130" s="1">
        <v>42378</v>
      </c>
      <c r="B2130" s="2" t="s">
        <v>1549</v>
      </c>
      <c r="C2130" s="2" t="s">
        <v>14</v>
      </c>
      <c r="D2130" s="2" t="s">
        <v>30</v>
      </c>
      <c r="E2130" s="2" t="s">
        <v>31</v>
      </c>
      <c r="F2130" s="2" t="s">
        <v>1887</v>
      </c>
      <c r="G2130" s="2">
        <v>23.99</v>
      </c>
      <c r="H2130" s="2">
        <v>2</v>
      </c>
      <c r="I2130" s="3">
        <v>-4.8</v>
      </c>
    </row>
    <row r="2131" spans="1:9" x14ac:dyDescent="0.3">
      <c r="A2131" s="4">
        <v>42378</v>
      </c>
      <c r="B2131" s="5" t="s">
        <v>1549</v>
      </c>
      <c r="C2131" s="5" t="s">
        <v>14</v>
      </c>
      <c r="D2131" s="5" t="s">
        <v>2</v>
      </c>
      <c r="E2131" s="5" t="s">
        <v>34</v>
      </c>
      <c r="F2131" s="5" t="s">
        <v>56</v>
      </c>
      <c r="G2131" s="5">
        <v>16.690000000000001</v>
      </c>
      <c r="H2131" s="5">
        <v>7</v>
      </c>
      <c r="I2131" s="6">
        <v>5.42</v>
      </c>
    </row>
    <row r="2132" spans="1:9" x14ac:dyDescent="0.3">
      <c r="A2132" s="1">
        <v>42378</v>
      </c>
      <c r="B2132" s="2" t="s">
        <v>327</v>
      </c>
      <c r="C2132" s="2" t="s">
        <v>80</v>
      </c>
      <c r="D2132" s="2" t="s">
        <v>30</v>
      </c>
      <c r="E2132" s="2" t="s">
        <v>43</v>
      </c>
      <c r="F2132" s="2" t="s">
        <v>54</v>
      </c>
      <c r="G2132" s="2">
        <v>468.9</v>
      </c>
      <c r="H2132" s="2">
        <v>6</v>
      </c>
      <c r="I2132" s="3">
        <v>206.32</v>
      </c>
    </row>
    <row r="2133" spans="1:9" x14ac:dyDescent="0.3">
      <c r="A2133" s="4">
        <v>42378</v>
      </c>
      <c r="B2133" s="5" t="s">
        <v>327</v>
      </c>
      <c r="C2133" s="5" t="s">
        <v>80</v>
      </c>
      <c r="D2133" s="5" t="s">
        <v>30</v>
      </c>
      <c r="E2133" s="5" t="s">
        <v>43</v>
      </c>
      <c r="F2133" s="5" t="s">
        <v>276</v>
      </c>
      <c r="G2133" s="5">
        <v>72.48</v>
      </c>
      <c r="H2133" s="5">
        <v>2</v>
      </c>
      <c r="I2133" s="6">
        <v>30.44</v>
      </c>
    </row>
    <row r="2134" spans="1:9" x14ac:dyDescent="0.3">
      <c r="A2134" s="1">
        <v>42378</v>
      </c>
      <c r="B2134" s="2" t="s">
        <v>327</v>
      </c>
      <c r="C2134" s="2" t="s">
        <v>80</v>
      </c>
      <c r="D2134" s="2" t="s">
        <v>2</v>
      </c>
      <c r="E2134" s="2" t="s">
        <v>144</v>
      </c>
      <c r="F2134" s="2" t="s">
        <v>925</v>
      </c>
      <c r="G2134" s="2">
        <v>10.95</v>
      </c>
      <c r="H2134" s="2">
        <v>3</v>
      </c>
      <c r="I2134" s="3">
        <v>3.29</v>
      </c>
    </row>
    <row r="2135" spans="1:9" x14ac:dyDescent="0.3">
      <c r="A2135" s="4">
        <v>42378</v>
      </c>
      <c r="B2135" s="5" t="s">
        <v>327</v>
      </c>
      <c r="C2135" s="5" t="s">
        <v>80</v>
      </c>
      <c r="D2135" s="5" t="s">
        <v>25</v>
      </c>
      <c r="E2135" s="5" t="s">
        <v>38</v>
      </c>
      <c r="F2135" s="5" t="s">
        <v>39</v>
      </c>
      <c r="G2135" s="5">
        <v>191.82</v>
      </c>
      <c r="H2135" s="5">
        <v>3</v>
      </c>
      <c r="I2135" s="6">
        <v>61.38</v>
      </c>
    </row>
    <row r="2136" spans="1:9" x14ac:dyDescent="0.3">
      <c r="A2136" s="1">
        <v>42378</v>
      </c>
      <c r="B2136" s="2" t="s">
        <v>928</v>
      </c>
      <c r="C2136" s="2" t="s">
        <v>160</v>
      </c>
      <c r="D2136" s="2" t="s">
        <v>2</v>
      </c>
      <c r="E2136" s="2" t="s">
        <v>11</v>
      </c>
      <c r="F2136" s="2" t="s">
        <v>93</v>
      </c>
      <c r="G2136" s="2">
        <v>24.1</v>
      </c>
      <c r="H2136" s="2">
        <v>5</v>
      </c>
      <c r="I2136" s="3">
        <v>11.09</v>
      </c>
    </row>
    <row r="2137" spans="1:9" x14ac:dyDescent="0.3">
      <c r="A2137" s="4">
        <v>42378</v>
      </c>
      <c r="B2137" s="5" t="s">
        <v>928</v>
      </c>
      <c r="C2137" s="5" t="s">
        <v>160</v>
      </c>
      <c r="D2137" s="5" t="s">
        <v>30</v>
      </c>
      <c r="E2137" s="5" t="s">
        <v>31</v>
      </c>
      <c r="F2137" s="5" t="s">
        <v>1681</v>
      </c>
      <c r="G2137" s="5">
        <v>8.7799999999999994</v>
      </c>
      <c r="H2137" s="5">
        <v>1</v>
      </c>
      <c r="I2137" s="6">
        <v>2.2799999999999998</v>
      </c>
    </row>
    <row r="2138" spans="1:9" x14ac:dyDescent="0.3">
      <c r="A2138" s="1">
        <v>42378</v>
      </c>
      <c r="B2138" s="2" t="s">
        <v>928</v>
      </c>
      <c r="C2138" s="2" t="s">
        <v>160</v>
      </c>
      <c r="D2138" s="2" t="s">
        <v>2</v>
      </c>
      <c r="E2138" s="2" t="s">
        <v>133</v>
      </c>
      <c r="F2138" s="2" t="s">
        <v>1888</v>
      </c>
      <c r="G2138" s="2">
        <v>376.74</v>
      </c>
      <c r="H2138" s="2">
        <v>4</v>
      </c>
      <c r="I2138" s="3">
        <v>71.16</v>
      </c>
    </row>
    <row r="2139" spans="1:9" x14ac:dyDescent="0.3">
      <c r="A2139" s="4">
        <v>42378</v>
      </c>
      <c r="B2139" s="5" t="s">
        <v>928</v>
      </c>
      <c r="C2139" s="5" t="s">
        <v>160</v>
      </c>
      <c r="D2139" s="5" t="s">
        <v>2</v>
      </c>
      <c r="E2139" s="5" t="s">
        <v>11</v>
      </c>
      <c r="F2139" s="5" t="s">
        <v>1427</v>
      </c>
      <c r="G2139" s="5">
        <v>29.52</v>
      </c>
      <c r="H2139" s="5">
        <v>4</v>
      </c>
      <c r="I2139" s="6">
        <v>14.46</v>
      </c>
    </row>
    <row r="2140" spans="1:9" x14ac:dyDescent="0.3">
      <c r="A2140" s="1">
        <v>42378</v>
      </c>
      <c r="B2140" s="2" t="s">
        <v>928</v>
      </c>
      <c r="C2140" s="2" t="s">
        <v>160</v>
      </c>
      <c r="D2140" s="2" t="s">
        <v>2</v>
      </c>
      <c r="E2140" s="2" t="s">
        <v>15</v>
      </c>
      <c r="F2140" s="2" t="s">
        <v>1889</v>
      </c>
      <c r="G2140" s="2">
        <v>11.96</v>
      </c>
      <c r="H2140" s="2">
        <v>2</v>
      </c>
      <c r="I2140" s="3">
        <v>2.99</v>
      </c>
    </row>
    <row r="2141" spans="1:9" x14ac:dyDescent="0.3">
      <c r="A2141" s="4">
        <v>42378</v>
      </c>
      <c r="B2141" s="5" t="s">
        <v>928</v>
      </c>
      <c r="C2141" s="5" t="s">
        <v>160</v>
      </c>
      <c r="D2141" s="5" t="s">
        <v>2</v>
      </c>
      <c r="E2141" s="5" t="s">
        <v>11</v>
      </c>
      <c r="F2141" s="5" t="s">
        <v>1485</v>
      </c>
      <c r="G2141" s="5">
        <v>26.4</v>
      </c>
      <c r="H2141" s="5">
        <v>5</v>
      </c>
      <c r="I2141" s="6">
        <v>12.67</v>
      </c>
    </row>
    <row r="2142" spans="1:9" x14ac:dyDescent="0.3">
      <c r="A2142" s="1">
        <v>42378</v>
      </c>
      <c r="B2142" s="2" t="s">
        <v>1890</v>
      </c>
      <c r="C2142" s="2" t="s">
        <v>18</v>
      </c>
      <c r="D2142" s="2" t="s">
        <v>2</v>
      </c>
      <c r="E2142" s="2" t="s">
        <v>114</v>
      </c>
      <c r="F2142" s="2" t="s">
        <v>574</v>
      </c>
      <c r="G2142" s="2">
        <v>12.78</v>
      </c>
      <c r="H2142" s="2">
        <v>1</v>
      </c>
      <c r="I2142" s="3">
        <v>5.75</v>
      </c>
    </row>
    <row r="2143" spans="1:9" x14ac:dyDescent="0.3">
      <c r="A2143" s="4">
        <v>42409</v>
      </c>
      <c r="B2143" s="5" t="s">
        <v>907</v>
      </c>
      <c r="C2143" s="5" t="s">
        <v>80</v>
      </c>
      <c r="D2143" s="5" t="s">
        <v>2</v>
      </c>
      <c r="E2143" s="5" t="s">
        <v>15</v>
      </c>
      <c r="F2143" s="5" t="s">
        <v>882</v>
      </c>
      <c r="G2143" s="5">
        <v>75.48</v>
      </c>
      <c r="H2143" s="5">
        <v>2</v>
      </c>
      <c r="I2143" s="6">
        <v>19.62</v>
      </c>
    </row>
    <row r="2144" spans="1:9" x14ac:dyDescent="0.3">
      <c r="A2144" s="1">
        <v>42409</v>
      </c>
      <c r="B2144" s="2" t="s">
        <v>907</v>
      </c>
      <c r="C2144" s="2" t="s">
        <v>80</v>
      </c>
      <c r="D2144" s="2" t="s">
        <v>25</v>
      </c>
      <c r="E2144" s="2" t="s">
        <v>38</v>
      </c>
      <c r="F2144" s="2" t="s">
        <v>635</v>
      </c>
      <c r="G2144" s="2">
        <v>39.979999999999997</v>
      </c>
      <c r="H2144" s="2">
        <v>2</v>
      </c>
      <c r="I2144" s="3">
        <v>10</v>
      </c>
    </row>
    <row r="2145" spans="1:9" x14ac:dyDescent="0.3">
      <c r="A2145" s="4">
        <v>42409</v>
      </c>
      <c r="B2145" s="5" t="s">
        <v>545</v>
      </c>
      <c r="C2145" s="5" t="s">
        <v>53</v>
      </c>
      <c r="D2145" s="5" t="s">
        <v>2</v>
      </c>
      <c r="E2145" s="5" t="s">
        <v>34</v>
      </c>
      <c r="F2145" s="5" t="s">
        <v>753</v>
      </c>
      <c r="G2145" s="5">
        <v>1.81</v>
      </c>
      <c r="H2145" s="5">
        <v>1</v>
      </c>
      <c r="I2145" s="6">
        <v>0.65</v>
      </c>
    </row>
    <row r="2146" spans="1:9" x14ac:dyDescent="0.3">
      <c r="A2146" s="1">
        <v>42409</v>
      </c>
      <c r="B2146" s="2" t="s">
        <v>545</v>
      </c>
      <c r="C2146" s="2" t="s">
        <v>53</v>
      </c>
      <c r="D2146" s="2" t="s">
        <v>2</v>
      </c>
      <c r="E2146" s="2" t="s">
        <v>11</v>
      </c>
      <c r="F2146" s="2" t="s">
        <v>879</v>
      </c>
      <c r="G2146" s="2">
        <v>8.26</v>
      </c>
      <c r="H2146" s="2">
        <v>2</v>
      </c>
      <c r="I2146" s="3">
        <v>3.88</v>
      </c>
    </row>
    <row r="2147" spans="1:9" x14ac:dyDescent="0.3">
      <c r="A2147" s="4">
        <v>42409</v>
      </c>
      <c r="B2147" s="5" t="s">
        <v>648</v>
      </c>
      <c r="C2147" s="5" t="s">
        <v>18</v>
      </c>
      <c r="D2147" s="5" t="s">
        <v>2</v>
      </c>
      <c r="E2147" s="5" t="s">
        <v>9</v>
      </c>
      <c r="F2147" s="5" t="s">
        <v>216</v>
      </c>
      <c r="G2147" s="5">
        <v>46.53</v>
      </c>
      <c r="H2147" s="5">
        <v>3</v>
      </c>
      <c r="I2147" s="6">
        <v>12.1</v>
      </c>
    </row>
    <row r="2148" spans="1:9" x14ac:dyDescent="0.3">
      <c r="A2148" s="1">
        <v>42409</v>
      </c>
      <c r="B2148" s="2" t="s">
        <v>979</v>
      </c>
      <c r="C2148" s="2" t="s">
        <v>6</v>
      </c>
      <c r="D2148" s="2" t="s">
        <v>2</v>
      </c>
      <c r="E2148" s="2" t="s">
        <v>7</v>
      </c>
      <c r="F2148" s="2" t="s">
        <v>512</v>
      </c>
      <c r="G2148" s="2">
        <v>29.24</v>
      </c>
      <c r="H2148" s="2">
        <v>5</v>
      </c>
      <c r="I2148" s="3">
        <v>9.8699999999999992</v>
      </c>
    </row>
    <row r="2149" spans="1:9" x14ac:dyDescent="0.3">
      <c r="A2149" s="4">
        <v>42409</v>
      </c>
      <c r="B2149" s="5" t="s">
        <v>979</v>
      </c>
      <c r="C2149" s="5" t="s">
        <v>6</v>
      </c>
      <c r="D2149" s="5" t="s">
        <v>2</v>
      </c>
      <c r="E2149" s="5" t="s">
        <v>9</v>
      </c>
      <c r="F2149" s="5" t="s">
        <v>987</v>
      </c>
      <c r="G2149" s="5">
        <v>35.17</v>
      </c>
      <c r="H2149" s="5">
        <v>2</v>
      </c>
      <c r="I2149" s="6">
        <v>-8.35</v>
      </c>
    </row>
    <row r="2150" spans="1:9" x14ac:dyDescent="0.3">
      <c r="A2150" s="1">
        <v>42409</v>
      </c>
      <c r="B2150" s="2" t="s">
        <v>979</v>
      </c>
      <c r="C2150" s="2" t="s">
        <v>6</v>
      </c>
      <c r="D2150" s="2" t="s">
        <v>30</v>
      </c>
      <c r="E2150" s="2" t="s">
        <v>625</v>
      </c>
      <c r="F2150" s="2" t="s">
        <v>1891</v>
      </c>
      <c r="G2150" s="2">
        <v>1362.9</v>
      </c>
      <c r="H2150" s="2">
        <v>3</v>
      </c>
      <c r="I2150" s="3">
        <v>-19.47</v>
      </c>
    </row>
    <row r="2151" spans="1:9" x14ac:dyDescent="0.3">
      <c r="A2151" s="4">
        <v>42409</v>
      </c>
      <c r="B2151" s="5" t="s">
        <v>728</v>
      </c>
      <c r="C2151" s="5" t="s">
        <v>6</v>
      </c>
      <c r="D2151" s="5" t="s">
        <v>25</v>
      </c>
      <c r="E2151" s="5" t="s">
        <v>38</v>
      </c>
      <c r="F2151" s="5" t="s">
        <v>1399</v>
      </c>
      <c r="G2151" s="5">
        <v>84.27</v>
      </c>
      <c r="H2151" s="5">
        <v>2</v>
      </c>
      <c r="I2151" s="6">
        <v>-75.84</v>
      </c>
    </row>
    <row r="2152" spans="1:9" x14ac:dyDescent="0.3">
      <c r="A2152" s="1">
        <v>42409</v>
      </c>
      <c r="B2152" s="2" t="s">
        <v>1851</v>
      </c>
      <c r="C2152" s="2" t="s">
        <v>121</v>
      </c>
      <c r="D2152" s="2" t="s">
        <v>2</v>
      </c>
      <c r="E2152" s="2" t="s">
        <v>11</v>
      </c>
      <c r="F2152" s="2" t="s">
        <v>1755</v>
      </c>
      <c r="G2152" s="2">
        <v>22.91</v>
      </c>
      <c r="H2152" s="2">
        <v>7</v>
      </c>
      <c r="I2152" s="3">
        <v>-17.57</v>
      </c>
    </row>
    <row r="2153" spans="1:9" x14ac:dyDescent="0.3">
      <c r="A2153" s="4">
        <v>42409</v>
      </c>
      <c r="B2153" s="5" t="s">
        <v>1851</v>
      </c>
      <c r="C2153" s="5" t="s">
        <v>121</v>
      </c>
      <c r="D2153" s="5" t="s">
        <v>2</v>
      </c>
      <c r="E2153" s="5" t="s">
        <v>133</v>
      </c>
      <c r="F2153" s="5" t="s">
        <v>1892</v>
      </c>
      <c r="G2153" s="5">
        <v>309.45999999999998</v>
      </c>
      <c r="H2153" s="5">
        <v>9</v>
      </c>
      <c r="I2153" s="6">
        <v>34.81</v>
      </c>
    </row>
    <row r="2154" spans="1:9" x14ac:dyDescent="0.3">
      <c r="A2154" s="1">
        <v>42409</v>
      </c>
      <c r="B2154" s="2" t="s">
        <v>1851</v>
      </c>
      <c r="C2154" s="2" t="s">
        <v>121</v>
      </c>
      <c r="D2154" s="2" t="s">
        <v>2</v>
      </c>
      <c r="E2154" s="2" t="s">
        <v>15</v>
      </c>
      <c r="F2154" s="2" t="s">
        <v>122</v>
      </c>
      <c r="G2154" s="2">
        <v>19.46</v>
      </c>
      <c r="H2154" s="2">
        <v>4</v>
      </c>
      <c r="I2154" s="3">
        <v>3.4</v>
      </c>
    </row>
    <row r="2155" spans="1:9" x14ac:dyDescent="0.3">
      <c r="A2155" s="4">
        <v>42409</v>
      </c>
      <c r="B2155" s="5" t="s">
        <v>1851</v>
      </c>
      <c r="C2155" s="5" t="s">
        <v>121</v>
      </c>
      <c r="D2155" s="5" t="s">
        <v>25</v>
      </c>
      <c r="E2155" s="5" t="s">
        <v>86</v>
      </c>
      <c r="F2155" s="5" t="s">
        <v>838</v>
      </c>
      <c r="G2155" s="5">
        <v>472.52</v>
      </c>
      <c r="H2155" s="5">
        <v>3</v>
      </c>
      <c r="I2155" s="6">
        <v>-149.63</v>
      </c>
    </row>
    <row r="2156" spans="1:9" x14ac:dyDescent="0.3">
      <c r="A2156" s="1">
        <v>42409</v>
      </c>
      <c r="B2156" s="2" t="s">
        <v>1851</v>
      </c>
      <c r="C2156" s="2" t="s">
        <v>121</v>
      </c>
      <c r="D2156" s="2" t="s">
        <v>30</v>
      </c>
      <c r="E2156" s="2" t="s">
        <v>43</v>
      </c>
      <c r="F2156" s="2" t="s">
        <v>1893</v>
      </c>
      <c r="G2156" s="2">
        <v>1012.68</v>
      </c>
      <c r="H2156" s="2">
        <v>3</v>
      </c>
      <c r="I2156" s="3">
        <v>303.8</v>
      </c>
    </row>
    <row r="2157" spans="1:9" x14ac:dyDescent="0.3">
      <c r="A2157" s="4">
        <v>42409</v>
      </c>
      <c r="B2157" s="5" t="s">
        <v>1851</v>
      </c>
      <c r="C2157" s="5" t="s">
        <v>121</v>
      </c>
      <c r="D2157" s="5" t="s">
        <v>2</v>
      </c>
      <c r="E2157" s="5" t="s">
        <v>11</v>
      </c>
      <c r="F2157" s="5" t="s">
        <v>1375</v>
      </c>
      <c r="G2157" s="5">
        <v>17.22</v>
      </c>
      <c r="H2157" s="5">
        <v>5</v>
      </c>
      <c r="I2157" s="6">
        <v>-12.63</v>
      </c>
    </row>
    <row r="2158" spans="1:9" x14ac:dyDescent="0.3">
      <c r="A2158" s="1">
        <v>42409</v>
      </c>
      <c r="B2158" s="2" t="s">
        <v>1118</v>
      </c>
      <c r="C2158" s="2" t="s">
        <v>62</v>
      </c>
      <c r="D2158" s="2" t="s">
        <v>30</v>
      </c>
      <c r="E2158" s="2" t="s">
        <v>290</v>
      </c>
      <c r="F2158" s="2" t="s">
        <v>1582</v>
      </c>
      <c r="G2158" s="2">
        <v>999.98</v>
      </c>
      <c r="H2158" s="2">
        <v>2</v>
      </c>
      <c r="I2158" s="3">
        <v>449.99</v>
      </c>
    </row>
    <row r="2159" spans="1:9" x14ac:dyDescent="0.3">
      <c r="A2159" s="4">
        <v>42409</v>
      </c>
      <c r="B2159" s="5" t="s">
        <v>1809</v>
      </c>
      <c r="C2159" s="5" t="s">
        <v>1</v>
      </c>
      <c r="D2159" s="5" t="s">
        <v>2</v>
      </c>
      <c r="E2159" s="5" t="s">
        <v>11</v>
      </c>
      <c r="F2159" s="5" t="s">
        <v>996</v>
      </c>
      <c r="G2159" s="5">
        <v>8.61</v>
      </c>
      <c r="H2159" s="5">
        <v>8</v>
      </c>
      <c r="I2159" s="6">
        <v>-13.34</v>
      </c>
    </row>
    <row r="2160" spans="1:9" x14ac:dyDescent="0.3">
      <c r="A2160" s="1">
        <v>42409</v>
      </c>
      <c r="B2160" s="2" t="s">
        <v>1809</v>
      </c>
      <c r="C2160" s="2" t="s">
        <v>1</v>
      </c>
      <c r="D2160" s="2" t="s">
        <v>30</v>
      </c>
      <c r="E2160" s="2" t="s">
        <v>43</v>
      </c>
      <c r="F2160" s="2" t="s">
        <v>1635</v>
      </c>
      <c r="G2160" s="2">
        <v>159.56</v>
      </c>
      <c r="H2160" s="2">
        <v>5</v>
      </c>
      <c r="I2160" s="3">
        <v>33.909999999999997</v>
      </c>
    </row>
    <row r="2161" spans="1:9" x14ac:dyDescent="0.3">
      <c r="A2161" s="4">
        <v>42409</v>
      </c>
      <c r="B2161" s="5" t="s">
        <v>664</v>
      </c>
      <c r="C2161" s="5" t="s">
        <v>62</v>
      </c>
      <c r="D2161" s="5" t="s">
        <v>25</v>
      </c>
      <c r="E2161" s="5" t="s">
        <v>26</v>
      </c>
      <c r="F2161" s="5" t="s">
        <v>1848</v>
      </c>
      <c r="G2161" s="5">
        <v>215.98</v>
      </c>
      <c r="H2161" s="5">
        <v>3</v>
      </c>
      <c r="I2161" s="6">
        <v>-2.7</v>
      </c>
    </row>
    <row r="2162" spans="1:9" x14ac:dyDescent="0.3">
      <c r="A2162" s="1">
        <v>42409</v>
      </c>
      <c r="B2162" s="2" t="s">
        <v>664</v>
      </c>
      <c r="C2162" s="2" t="s">
        <v>62</v>
      </c>
      <c r="D2162" s="2" t="s">
        <v>2</v>
      </c>
      <c r="E2162" s="2" t="s">
        <v>114</v>
      </c>
      <c r="F2162" s="2" t="s">
        <v>1842</v>
      </c>
      <c r="G2162" s="2">
        <v>65.94</v>
      </c>
      <c r="H2162" s="2">
        <v>3</v>
      </c>
      <c r="I2162" s="3">
        <v>30.99</v>
      </c>
    </row>
    <row r="2163" spans="1:9" x14ac:dyDescent="0.3">
      <c r="A2163" s="4">
        <v>42409</v>
      </c>
      <c r="B2163" s="5" t="s">
        <v>561</v>
      </c>
      <c r="C2163" s="5" t="s">
        <v>18</v>
      </c>
      <c r="D2163" s="5" t="s">
        <v>25</v>
      </c>
      <c r="E2163" s="5" t="s">
        <v>38</v>
      </c>
      <c r="F2163" s="5" t="s">
        <v>1894</v>
      </c>
      <c r="G2163" s="5">
        <v>94.68</v>
      </c>
      <c r="H2163" s="5">
        <v>9</v>
      </c>
      <c r="I2163" s="6">
        <v>31.24</v>
      </c>
    </row>
    <row r="2164" spans="1:9" x14ac:dyDescent="0.3">
      <c r="A2164" s="1">
        <v>42409</v>
      </c>
      <c r="B2164" s="2" t="s">
        <v>561</v>
      </c>
      <c r="C2164" s="2" t="s">
        <v>18</v>
      </c>
      <c r="D2164" s="2" t="s">
        <v>2</v>
      </c>
      <c r="E2164" s="2" t="s">
        <v>9</v>
      </c>
      <c r="F2164" s="2" t="s">
        <v>547</v>
      </c>
      <c r="G2164" s="2">
        <v>23.67</v>
      </c>
      <c r="H2164" s="2">
        <v>3</v>
      </c>
      <c r="I2164" s="3">
        <v>0.95</v>
      </c>
    </row>
    <row r="2165" spans="1:9" x14ac:dyDescent="0.3">
      <c r="A2165" s="4">
        <v>42409</v>
      </c>
      <c r="B2165" s="5" t="s">
        <v>561</v>
      </c>
      <c r="C2165" s="5" t="s">
        <v>18</v>
      </c>
      <c r="D2165" s="5" t="s">
        <v>30</v>
      </c>
      <c r="E2165" s="5" t="s">
        <v>31</v>
      </c>
      <c r="F2165" s="5" t="s">
        <v>583</v>
      </c>
      <c r="G2165" s="5">
        <v>1091.17</v>
      </c>
      <c r="H2165" s="5">
        <v>4</v>
      </c>
      <c r="I2165" s="6">
        <v>68.2</v>
      </c>
    </row>
    <row r="2166" spans="1:9" x14ac:dyDescent="0.3">
      <c r="A2166" s="1">
        <v>42409</v>
      </c>
      <c r="B2166" s="2" t="s">
        <v>561</v>
      </c>
      <c r="C2166" s="2" t="s">
        <v>18</v>
      </c>
      <c r="D2166" s="2" t="s">
        <v>2</v>
      </c>
      <c r="E2166" s="2" t="s">
        <v>15</v>
      </c>
      <c r="F2166" s="2" t="s">
        <v>1895</v>
      </c>
      <c r="G2166" s="2">
        <v>18.690000000000001</v>
      </c>
      <c r="H2166" s="2">
        <v>7</v>
      </c>
      <c r="I2166" s="3">
        <v>5.23</v>
      </c>
    </row>
    <row r="2167" spans="1:9" x14ac:dyDescent="0.3">
      <c r="A2167" s="4">
        <v>42409</v>
      </c>
      <c r="B2167" s="5" t="s">
        <v>561</v>
      </c>
      <c r="C2167" s="5" t="s">
        <v>18</v>
      </c>
      <c r="D2167" s="5" t="s">
        <v>25</v>
      </c>
      <c r="E2167" s="5" t="s">
        <v>86</v>
      </c>
      <c r="F2167" s="5" t="s">
        <v>422</v>
      </c>
      <c r="G2167" s="5">
        <v>568.73</v>
      </c>
      <c r="H2167" s="5">
        <v>3</v>
      </c>
      <c r="I2167" s="6">
        <v>28.44</v>
      </c>
    </row>
    <row r="2168" spans="1:9" x14ac:dyDescent="0.3">
      <c r="A2168" s="1">
        <v>42409</v>
      </c>
      <c r="B2168" s="2" t="s">
        <v>561</v>
      </c>
      <c r="C2168" s="2" t="s">
        <v>18</v>
      </c>
      <c r="D2168" s="2" t="s">
        <v>2</v>
      </c>
      <c r="E2168" s="2" t="s">
        <v>11</v>
      </c>
      <c r="F2168" s="2" t="s">
        <v>1561</v>
      </c>
      <c r="G2168" s="2">
        <v>7.31</v>
      </c>
      <c r="H2168" s="2">
        <v>1</v>
      </c>
      <c r="I2168" s="3">
        <v>2.56</v>
      </c>
    </row>
    <row r="2169" spans="1:9" x14ac:dyDescent="0.3">
      <c r="A2169" s="4">
        <v>42438</v>
      </c>
      <c r="B2169" s="5" t="s">
        <v>195</v>
      </c>
      <c r="C2169" s="5" t="s">
        <v>14</v>
      </c>
      <c r="D2169" s="5" t="s">
        <v>2</v>
      </c>
      <c r="E2169" s="5" t="s">
        <v>11</v>
      </c>
      <c r="F2169" s="5" t="s">
        <v>1327</v>
      </c>
      <c r="G2169" s="5">
        <v>1141.47</v>
      </c>
      <c r="H2169" s="5">
        <v>5</v>
      </c>
      <c r="I2169" s="6">
        <v>-760.98</v>
      </c>
    </row>
    <row r="2170" spans="1:9" x14ac:dyDescent="0.3">
      <c r="A2170" s="1">
        <v>42438</v>
      </c>
      <c r="B2170" s="2" t="s">
        <v>195</v>
      </c>
      <c r="C2170" s="2" t="s">
        <v>14</v>
      </c>
      <c r="D2170" s="2" t="s">
        <v>30</v>
      </c>
      <c r="E2170" s="2" t="s">
        <v>31</v>
      </c>
      <c r="F2170" s="2" t="s">
        <v>1236</v>
      </c>
      <c r="G2170" s="2">
        <v>280.77999999999997</v>
      </c>
      <c r="H2170" s="2">
        <v>3</v>
      </c>
      <c r="I2170" s="3">
        <v>-46.8</v>
      </c>
    </row>
    <row r="2171" spans="1:9" x14ac:dyDescent="0.3">
      <c r="A2171" s="4">
        <v>42438</v>
      </c>
      <c r="B2171" s="5" t="s">
        <v>827</v>
      </c>
      <c r="C2171" s="5" t="s">
        <v>6</v>
      </c>
      <c r="D2171" s="5" t="s">
        <v>25</v>
      </c>
      <c r="E2171" s="5" t="s">
        <v>38</v>
      </c>
      <c r="F2171" s="5" t="s">
        <v>1896</v>
      </c>
      <c r="G2171" s="5">
        <v>83.95</v>
      </c>
      <c r="H2171" s="5">
        <v>3</v>
      </c>
      <c r="I2171" s="6">
        <v>-90.25</v>
      </c>
    </row>
    <row r="2172" spans="1:9" x14ac:dyDescent="0.3">
      <c r="A2172" s="1">
        <v>42438</v>
      </c>
      <c r="B2172" s="2" t="s">
        <v>409</v>
      </c>
      <c r="C2172" s="2" t="s">
        <v>6</v>
      </c>
      <c r="D2172" s="2" t="s">
        <v>2</v>
      </c>
      <c r="E2172" s="2" t="s">
        <v>11</v>
      </c>
      <c r="F2172" s="2" t="s">
        <v>1082</v>
      </c>
      <c r="G2172" s="2">
        <v>8.81</v>
      </c>
      <c r="H2172" s="2">
        <v>3</v>
      </c>
      <c r="I2172" s="3">
        <v>-14.97</v>
      </c>
    </row>
    <row r="2173" spans="1:9" x14ac:dyDescent="0.3">
      <c r="A2173" s="4">
        <v>42438</v>
      </c>
      <c r="B2173" s="5" t="s">
        <v>171</v>
      </c>
      <c r="C2173" s="5" t="s">
        <v>300</v>
      </c>
      <c r="D2173" s="5" t="s">
        <v>2</v>
      </c>
      <c r="E2173" s="5" t="s">
        <v>3</v>
      </c>
      <c r="F2173" s="5" t="s">
        <v>1603</v>
      </c>
      <c r="G2173" s="5">
        <v>48.16</v>
      </c>
      <c r="H2173" s="5">
        <v>7</v>
      </c>
      <c r="I2173" s="6">
        <v>22.15</v>
      </c>
    </row>
    <row r="2174" spans="1:9" x14ac:dyDescent="0.3">
      <c r="A2174" s="1">
        <v>42438</v>
      </c>
      <c r="B2174" s="2" t="s">
        <v>1100</v>
      </c>
      <c r="C2174" s="2" t="s">
        <v>53</v>
      </c>
      <c r="D2174" s="2" t="s">
        <v>2</v>
      </c>
      <c r="E2174" s="2" t="s">
        <v>9</v>
      </c>
      <c r="F2174" s="2" t="s">
        <v>1897</v>
      </c>
      <c r="G2174" s="2">
        <v>54.5</v>
      </c>
      <c r="H2174" s="2">
        <v>5</v>
      </c>
      <c r="I2174" s="3">
        <v>14.17</v>
      </c>
    </row>
    <row r="2175" spans="1:9" x14ac:dyDescent="0.3">
      <c r="A2175" s="4">
        <v>42438</v>
      </c>
      <c r="B2175" s="5" t="s">
        <v>1020</v>
      </c>
      <c r="C2175" s="5" t="s">
        <v>203</v>
      </c>
      <c r="D2175" s="5" t="s">
        <v>2</v>
      </c>
      <c r="E2175" s="5" t="s">
        <v>11</v>
      </c>
      <c r="F2175" s="5" t="s">
        <v>1755</v>
      </c>
      <c r="G2175" s="5">
        <v>87.28</v>
      </c>
      <c r="H2175" s="5">
        <v>8</v>
      </c>
      <c r="I2175" s="6">
        <v>41.02</v>
      </c>
    </row>
    <row r="2176" spans="1:9" x14ac:dyDescent="0.3">
      <c r="A2176" s="1">
        <v>42438</v>
      </c>
      <c r="B2176" s="2" t="s">
        <v>1735</v>
      </c>
      <c r="C2176" s="2" t="s">
        <v>958</v>
      </c>
      <c r="D2176" s="2" t="s">
        <v>25</v>
      </c>
      <c r="E2176" s="2" t="s">
        <v>129</v>
      </c>
      <c r="F2176" s="2" t="s">
        <v>1364</v>
      </c>
      <c r="G2176" s="2">
        <v>344.94</v>
      </c>
      <c r="H2176" s="2">
        <v>3</v>
      </c>
      <c r="I2176" s="3">
        <v>31.04</v>
      </c>
    </row>
    <row r="2177" spans="1:9" x14ac:dyDescent="0.3">
      <c r="A2177" s="4">
        <v>42438</v>
      </c>
      <c r="B2177" s="5" t="s">
        <v>1735</v>
      </c>
      <c r="C2177" s="5" t="s">
        <v>958</v>
      </c>
      <c r="D2177" s="5" t="s">
        <v>25</v>
      </c>
      <c r="E2177" s="5" t="s">
        <v>38</v>
      </c>
      <c r="F2177" s="5" t="s">
        <v>1304</v>
      </c>
      <c r="G2177" s="5">
        <v>14.76</v>
      </c>
      <c r="H2177" s="5">
        <v>2</v>
      </c>
      <c r="I2177" s="6">
        <v>4.28</v>
      </c>
    </row>
    <row r="2178" spans="1:9" x14ac:dyDescent="0.3">
      <c r="A2178" s="1">
        <v>42438</v>
      </c>
      <c r="B2178" s="2" t="s">
        <v>1735</v>
      </c>
      <c r="C2178" s="2" t="s">
        <v>958</v>
      </c>
      <c r="D2178" s="2" t="s">
        <v>2</v>
      </c>
      <c r="E2178" s="2" t="s">
        <v>11</v>
      </c>
      <c r="F2178" s="2" t="s">
        <v>1134</v>
      </c>
      <c r="G2178" s="2">
        <v>12.76</v>
      </c>
      <c r="H2178" s="2">
        <v>2</v>
      </c>
      <c r="I2178" s="3">
        <v>5.87</v>
      </c>
    </row>
    <row r="2179" spans="1:9" x14ac:dyDescent="0.3">
      <c r="A2179" s="4">
        <v>42438</v>
      </c>
      <c r="B2179" s="5" t="s">
        <v>1735</v>
      </c>
      <c r="C2179" s="5" t="s">
        <v>958</v>
      </c>
      <c r="D2179" s="5" t="s">
        <v>2</v>
      </c>
      <c r="E2179" s="5" t="s">
        <v>7</v>
      </c>
      <c r="F2179" s="5" t="s">
        <v>1602</v>
      </c>
      <c r="G2179" s="5">
        <v>58.48</v>
      </c>
      <c r="H2179" s="5">
        <v>8</v>
      </c>
      <c r="I2179" s="6">
        <v>27.49</v>
      </c>
    </row>
    <row r="2180" spans="1:9" x14ac:dyDescent="0.3">
      <c r="A2180" s="1">
        <v>42438</v>
      </c>
      <c r="B2180" s="2" t="s">
        <v>1898</v>
      </c>
      <c r="C2180" s="2" t="s">
        <v>6</v>
      </c>
      <c r="D2180" s="2" t="s">
        <v>25</v>
      </c>
      <c r="E2180" s="2" t="s">
        <v>129</v>
      </c>
      <c r="F2180" s="2" t="s">
        <v>1899</v>
      </c>
      <c r="G2180" s="2">
        <v>198.74</v>
      </c>
      <c r="H2180" s="2">
        <v>4</v>
      </c>
      <c r="I2180" s="3">
        <v>0</v>
      </c>
    </row>
    <row r="2181" spans="1:9" x14ac:dyDescent="0.3">
      <c r="A2181" s="4">
        <v>42438</v>
      </c>
      <c r="B2181" s="5" t="s">
        <v>1568</v>
      </c>
      <c r="C2181" s="5" t="s">
        <v>127</v>
      </c>
      <c r="D2181" s="5" t="s">
        <v>2</v>
      </c>
      <c r="E2181" s="5" t="s">
        <v>3</v>
      </c>
      <c r="F2181" s="5" t="s">
        <v>1900</v>
      </c>
      <c r="G2181" s="5">
        <v>30.96</v>
      </c>
      <c r="H2181" s="5">
        <v>6</v>
      </c>
      <c r="I2181" s="6">
        <v>11.22</v>
      </c>
    </row>
    <row r="2182" spans="1:9" x14ac:dyDescent="0.3">
      <c r="A2182" s="1">
        <v>42469</v>
      </c>
      <c r="B2182" s="2" t="s">
        <v>515</v>
      </c>
      <c r="C2182" s="2" t="s">
        <v>1</v>
      </c>
      <c r="D2182" s="2" t="s">
        <v>2</v>
      </c>
      <c r="E2182" s="2" t="s">
        <v>15</v>
      </c>
      <c r="F2182" s="2" t="s">
        <v>1155</v>
      </c>
      <c r="G2182" s="2">
        <v>3.91</v>
      </c>
      <c r="H2182" s="2">
        <v>1</v>
      </c>
      <c r="I2182" s="3">
        <v>1.03</v>
      </c>
    </row>
    <row r="2183" spans="1:9" x14ac:dyDescent="0.3">
      <c r="A2183" s="4">
        <v>42469</v>
      </c>
      <c r="B2183" s="5" t="s">
        <v>515</v>
      </c>
      <c r="C2183" s="5" t="s">
        <v>1</v>
      </c>
      <c r="D2183" s="5" t="s">
        <v>2</v>
      </c>
      <c r="E2183" s="5" t="s">
        <v>15</v>
      </c>
      <c r="F2183" s="5" t="s">
        <v>165</v>
      </c>
      <c r="G2183" s="5">
        <v>62.38</v>
      </c>
      <c r="H2183" s="5">
        <v>3</v>
      </c>
      <c r="I2183" s="6">
        <v>7.02</v>
      </c>
    </row>
    <row r="2184" spans="1:9" x14ac:dyDescent="0.3">
      <c r="A2184" s="1">
        <v>42469</v>
      </c>
      <c r="B2184" s="2" t="s">
        <v>623</v>
      </c>
      <c r="C2184" s="2" t="s">
        <v>80</v>
      </c>
      <c r="D2184" s="2" t="s">
        <v>25</v>
      </c>
      <c r="E2184" s="2" t="s">
        <v>38</v>
      </c>
      <c r="F2184" s="2" t="s">
        <v>1371</v>
      </c>
      <c r="G2184" s="2">
        <v>63.94</v>
      </c>
      <c r="H2184" s="2">
        <v>1</v>
      </c>
      <c r="I2184" s="3">
        <v>24.94</v>
      </c>
    </row>
    <row r="2185" spans="1:9" x14ac:dyDescent="0.3">
      <c r="A2185" s="4">
        <v>42469</v>
      </c>
      <c r="B2185" s="5" t="s">
        <v>623</v>
      </c>
      <c r="C2185" s="5" t="s">
        <v>80</v>
      </c>
      <c r="D2185" s="5" t="s">
        <v>2</v>
      </c>
      <c r="E2185" s="5" t="s">
        <v>11</v>
      </c>
      <c r="F2185" s="5" t="s">
        <v>1638</v>
      </c>
      <c r="G2185" s="5">
        <v>60.6</v>
      </c>
      <c r="H2185" s="5">
        <v>5</v>
      </c>
      <c r="I2185" s="6">
        <v>20.45</v>
      </c>
    </row>
    <row r="2186" spans="1:9" x14ac:dyDescent="0.3">
      <c r="A2186" s="1">
        <v>42469</v>
      </c>
      <c r="B2186" s="2" t="s">
        <v>623</v>
      </c>
      <c r="C2186" s="2" t="s">
        <v>80</v>
      </c>
      <c r="D2186" s="2" t="s">
        <v>2</v>
      </c>
      <c r="E2186" s="2" t="s">
        <v>144</v>
      </c>
      <c r="F2186" s="2" t="s">
        <v>1901</v>
      </c>
      <c r="G2186" s="2">
        <v>22.72</v>
      </c>
      <c r="H2186" s="2">
        <v>4</v>
      </c>
      <c r="I2186" s="3">
        <v>6.59</v>
      </c>
    </row>
    <row r="2187" spans="1:9" x14ac:dyDescent="0.3">
      <c r="A2187" s="4">
        <v>42469</v>
      </c>
      <c r="B2187" s="5" t="s">
        <v>74</v>
      </c>
      <c r="C2187" s="5" t="s">
        <v>411</v>
      </c>
      <c r="D2187" s="5" t="s">
        <v>2</v>
      </c>
      <c r="E2187" s="5" t="s">
        <v>3</v>
      </c>
      <c r="F2187" s="5" t="s">
        <v>964</v>
      </c>
      <c r="G2187" s="5">
        <v>12.19</v>
      </c>
      <c r="H2187" s="5">
        <v>3</v>
      </c>
      <c r="I2187" s="6">
        <v>4.1100000000000003</v>
      </c>
    </row>
    <row r="2188" spans="1:9" x14ac:dyDescent="0.3">
      <c r="A2188" s="1">
        <v>42469</v>
      </c>
      <c r="B2188" s="2" t="s">
        <v>74</v>
      </c>
      <c r="C2188" s="2" t="s">
        <v>411</v>
      </c>
      <c r="D2188" s="2" t="s">
        <v>2</v>
      </c>
      <c r="E2188" s="2" t="s">
        <v>133</v>
      </c>
      <c r="F2188" s="2" t="s">
        <v>1045</v>
      </c>
      <c r="G2188" s="2">
        <v>87.17</v>
      </c>
      <c r="H2188" s="2">
        <v>2</v>
      </c>
      <c r="I2188" s="3">
        <v>8.7200000000000006</v>
      </c>
    </row>
    <row r="2189" spans="1:9" x14ac:dyDescent="0.3">
      <c r="A2189" s="4">
        <v>42469</v>
      </c>
      <c r="B2189" s="5" t="s">
        <v>74</v>
      </c>
      <c r="C2189" s="5" t="s">
        <v>411</v>
      </c>
      <c r="D2189" s="5" t="s">
        <v>2</v>
      </c>
      <c r="E2189" s="5" t="s">
        <v>15</v>
      </c>
      <c r="F2189" s="5" t="s">
        <v>286</v>
      </c>
      <c r="G2189" s="5">
        <v>31.74</v>
      </c>
      <c r="H2189" s="5">
        <v>2</v>
      </c>
      <c r="I2189" s="6">
        <v>8.33</v>
      </c>
    </row>
    <row r="2190" spans="1:9" x14ac:dyDescent="0.3">
      <c r="A2190" s="1">
        <v>42469</v>
      </c>
      <c r="B2190" s="2" t="s">
        <v>947</v>
      </c>
      <c r="C2190" s="2" t="s">
        <v>24</v>
      </c>
      <c r="D2190" s="2" t="s">
        <v>25</v>
      </c>
      <c r="E2190" s="2" t="s">
        <v>38</v>
      </c>
      <c r="F2190" s="2" t="s">
        <v>1057</v>
      </c>
      <c r="G2190" s="2">
        <v>42.6</v>
      </c>
      <c r="H2190" s="2">
        <v>3</v>
      </c>
      <c r="I2190" s="3">
        <v>16.61</v>
      </c>
    </row>
    <row r="2191" spans="1:9" x14ac:dyDescent="0.3">
      <c r="A2191" s="4">
        <v>42469</v>
      </c>
      <c r="B2191" s="5" t="s">
        <v>947</v>
      </c>
      <c r="C2191" s="5" t="s">
        <v>24</v>
      </c>
      <c r="D2191" s="5" t="s">
        <v>2</v>
      </c>
      <c r="E2191" s="5" t="s">
        <v>11</v>
      </c>
      <c r="F2191" s="5" t="s">
        <v>1012</v>
      </c>
      <c r="G2191" s="5">
        <v>113.94</v>
      </c>
      <c r="H2191" s="5">
        <v>6</v>
      </c>
      <c r="I2191" s="6">
        <v>54.69</v>
      </c>
    </row>
    <row r="2192" spans="1:9" x14ac:dyDescent="0.3">
      <c r="A2192" s="1">
        <v>42469</v>
      </c>
      <c r="B2192" s="2" t="s">
        <v>947</v>
      </c>
      <c r="C2192" s="2" t="s">
        <v>24</v>
      </c>
      <c r="D2192" s="2" t="s">
        <v>2</v>
      </c>
      <c r="E2192" s="2" t="s">
        <v>9</v>
      </c>
      <c r="F2192" s="2" t="s">
        <v>96</v>
      </c>
      <c r="G2192" s="2">
        <v>129.91999999999999</v>
      </c>
      <c r="H2192" s="2">
        <v>4</v>
      </c>
      <c r="I2192" s="3">
        <v>5.2</v>
      </c>
    </row>
    <row r="2193" spans="1:9" x14ac:dyDescent="0.3">
      <c r="A2193" s="4">
        <v>42469</v>
      </c>
      <c r="B2193" s="5" t="s">
        <v>947</v>
      </c>
      <c r="C2193" s="5" t="s">
        <v>24</v>
      </c>
      <c r="D2193" s="5" t="s">
        <v>2</v>
      </c>
      <c r="E2193" s="5" t="s">
        <v>15</v>
      </c>
      <c r="F2193" s="5" t="s">
        <v>692</v>
      </c>
      <c r="G2193" s="5">
        <v>5.28</v>
      </c>
      <c r="H2193" s="5">
        <v>3</v>
      </c>
      <c r="I2193" s="6">
        <v>2.5299999999999998</v>
      </c>
    </row>
    <row r="2194" spans="1:9" x14ac:dyDescent="0.3">
      <c r="A2194" s="1">
        <v>42469</v>
      </c>
      <c r="B2194" s="2" t="s">
        <v>223</v>
      </c>
      <c r="C2194" s="2" t="s">
        <v>359</v>
      </c>
      <c r="D2194" s="2" t="s">
        <v>2</v>
      </c>
      <c r="E2194" s="2" t="s">
        <v>9</v>
      </c>
      <c r="F2194" s="2" t="s">
        <v>380</v>
      </c>
      <c r="G2194" s="2">
        <v>535.41</v>
      </c>
      <c r="H2194" s="2">
        <v>3</v>
      </c>
      <c r="I2194" s="3">
        <v>160.62</v>
      </c>
    </row>
    <row r="2195" spans="1:9" x14ac:dyDescent="0.3">
      <c r="A2195" s="4">
        <v>42469</v>
      </c>
      <c r="B2195" s="5" t="s">
        <v>13</v>
      </c>
      <c r="C2195" s="5" t="s">
        <v>90</v>
      </c>
      <c r="D2195" s="5" t="s">
        <v>2</v>
      </c>
      <c r="E2195" s="5" t="s">
        <v>114</v>
      </c>
      <c r="F2195" s="5" t="s">
        <v>115</v>
      </c>
      <c r="G2195" s="5">
        <v>16.559999999999999</v>
      </c>
      <c r="H2195" s="5">
        <v>2</v>
      </c>
      <c r="I2195" s="6">
        <v>7.78</v>
      </c>
    </row>
    <row r="2196" spans="1:9" x14ac:dyDescent="0.3">
      <c r="A2196" s="1">
        <v>42469</v>
      </c>
      <c r="B2196" s="2" t="s">
        <v>13</v>
      </c>
      <c r="C2196" s="2" t="s">
        <v>90</v>
      </c>
      <c r="D2196" s="2" t="s">
        <v>30</v>
      </c>
      <c r="E2196" s="2" t="s">
        <v>43</v>
      </c>
      <c r="F2196" s="2" t="s">
        <v>328</v>
      </c>
      <c r="G2196" s="2">
        <v>279.95</v>
      </c>
      <c r="H2196" s="2">
        <v>5</v>
      </c>
      <c r="I2196" s="3">
        <v>67.19</v>
      </c>
    </row>
    <row r="2197" spans="1:9" x14ac:dyDescent="0.3">
      <c r="A2197" s="4">
        <v>42469</v>
      </c>
      <c r="B2197" s="5" t="s">
        <v>884</v>
      </c>
      <c r="C2197" s="5" t="s">
        <v>368</v>
      </c>
      <c r="D2197" s="5" t="s">
        <v>2</v>
      </c>
      <c r="E2197" s="5" t="s">
        <v>3</v>
      </c>
      <c r="F2197" s="5" t="s">
        <v>1329</v>
      </c>
      <c r="G2197" s="5">
        <v>239.5</v>
      </c>
      <c r="H2197" s="5">
        <v>5</v>
      </c>
      <c r="I2197" s="6">
        <v>114.96</v>
      </c>
    </row>
    <row r="2198" spans="1:9" x14ac:dyDescent="0.3">
      <c r="A2198" s="1">
        <v>42469</v>
      </c>
      <c r="B2198" s="2" t="s">
        <v>1902</v>
      </c>
      <c r="C2198" s="2" t="s">
        <v>18</v>
      </c>
      <c r="D2198" s="2" t="s">
        <v>25</v>
      </c>
      <c r="E2198" s="2" t="s">
        <v>38</v>
      </c>
      <c r="F2198" s="2" t="s">
        <v>1903</v>
      </c>
      <c r="G2198" s="2">
        <v>24.27</v>
      </c>
      <c r="H2198" s="2">
        <v>3</v>
      </c>
      <c r="I2198" s="3">
        <v>8.74</v>
      </c>
    </row>
    <row r="2199" spans="1:9" x14ac:dyDescent="0.3">
      <c r="A2199" s="4">
        <v>42469</v>
      </c>
      <c r="B2199" s="5" t="s">
        <v>1902</v>
      </c>
      <c r="C2199" s="5" t="s">
        <v>18</v>
      </c>
      <c r="D2199" s="5" t="s">
        <v>30</v>
      </c>
      <c r="E2199" s="5" t="s">
        <v>290</v>
      </c>
      <c r="F2199" s="5" t="s">
        <v>1104</v>
      </c>
      <c r="G2199" s="5">
        <v>2799.96</v>
      </c>
      <c r="H2199" s="5">
        <v>5</v>
      </c>
      <c r="I2199" s="6">
        <v>944.99</v>
      </c>
    </row>
    <row r="2200" spans="1:9" x14ac:dyDescent="0.3">
      <c r="A2200" s="1">
        <v>42499</v>
      </c>
      <c r="B2200" s="2" t="s">
        <v>1623</v>
      </c>
      <c r="C2200" s="2" t="s">
        <v>14</v>
      </c>
      <c r="D2200" s="2" t="s">
        <v>25</v>
      </c>
      <c r="E2200" s="2" t="s">
        <v>38</v>
      </c>
      <c r="F2200" s="2" t="s">
        <v>1286</v>
      </c>
      <c r="G2200" s="2">
        <v>82.8</v>
      </c>
      <c r="H2200" s="2">
        <v>2</v>
      </c>
      <c r="I2200" s="3">
        <v>10.35</v>
      </c>
    </row>
    <row r="2201" spans="1:9" x14ac:dyDescent="0.3">
      <c r="A2201" s="4">
        <v>42499</v>
      </c>
      <c r="B2201" s="5" t="s">
        <v>901</v>
      </c>
      <c r="C2201" s="5" t="s">
        <v>160</v>
      </c>
      <c r="D2201" s="5" t="s">
        <v>25</v>
      </c>
      <c r="E2201" s="5" t="s">
        <v>38</v>
      </c>
      <c r="F2201" s="5" t="s">
        <v>377</v>
      </c>
      <c r="G2201" s="5">
        <v>12.22</v>
      </c>
      <c r="H2201" s="5">
        <v>1</v>
      </c>
      <c r="I2201" s="6">
        <v>3.67</v>
      </c>
    </row>
    <row r="2202" spans="1:9" x14ac:dyDescent="0.3">
      <c r="A2202" s="1">
        <v>42499</v>
      </c>
      <c r="B2202" s="2" t="s">
        <v>901</v>
      </c>
      <c r="C2202" s="2" t="s">
        <v>160</v>
      </c>
      <c r="D2202" s="2" t="s">
        <v>2</v>
      </c>
      <c r="E2202" s="2" t="s">
        <v>9</v>
      </c>
      <c r="F2202" s="2" t="s">
        <v>1743</v>
      </c>
      <c r="G2202" s="2">
        <v>194.94</v>
      </c>
      <c r="H2202" s="2">
        <v>3</v>
      </c>
      <c r="I2202" s="3">
        <v>23.39</v>
      </c>
    </row>
    <row r="2203" spans="1:9" x14ac:dyDescent="0.3">
      <c r="A2203" s="4">
        <v>42499</v>
      </c>
      <c r="B2203" s="5" t="s">
        <v>901</v>
      </c>
      <c r="C2203" s="5" t="s">
        <v>160</v>
      </c>
      <c r="D2203" s="5" t="s">
        <v>2</v>
      </c>
      <c r="E2203" s="5" t="s">
        <v>9</v>
      </c>
      <c r="F2203" s="5" t="s">
        <v>1904</v>
      </c>
      <c r="G2203" s="5">
        <v>70.95</v>
      </c>
      <c r="H2203" s="5">
        <v>3</v>
      </c>
      <c r="I2203" s="6">
        <v>20.58</v>
      </c>
    </row>
    <row r="2204" spans="1:9" x14ac:dyDescent="0.3">
      <c r="A2204" s="1">
        <v>42499</v>
      </c>
      <c r="B2204" s="2" t="s">
        <v>901</v>
      </c>
      <c r="C2204" s="2" t="s">
        <v>160</v>
      </c>
      <c r="D2204" s="2" t="s">
        <v>2</v>
      </c>
      <c r="E2204" s="2" t="s">
        <v>3</v>
      </c>
      <c r="F2204" s="2" t="s">
        <v>1016</v>
      </c>
      <c r="G2204" s="2">
        <v>91.36</v>
      </c>
      <c r="H2204" s="2">
        <v>4</v>
      </c>
      <c r="I2204" s="3">
        <v>42.03</v>
      </c>
    </row>
    <row r="2205" spans="1:9" x14ac:dyDescent="0.3">
      <c r="A2205" s="4">
        <v>42499</v>
      </c>
      <c r="B2205" s="5" t="s">
        <v>901</v>
      </c>
      <c r="C2205" s="5" t="s">
        <v>160</v>
      </c>
      <c r="D2205" s="5" t="s">
        <v>25</v>
      </c>
      <c r="E2205" s="5" t="s">
        <v>26</v>
      </c>
      <c r="F2205" s="5" t="s">
        <v>1353</v>
      </c>
      <c r="G2205" s="5">
        <v>242.94</v>
      </c>
      <c r="H2205" s="5">
        <v>3</v>
      </c>
      <c r="I2205" s="6">
        <v>29.15</v>
      </c>
    </row>
    <row r="2206" spans="1:9" x14ac:dyDescent="0.3">
      <c r="A2206" s="1">
        <v>42499</v>
      </c>
      <c r="B2206" s="2" t="s">
        <v>901</v>
      </c>
      <c r="C2206" s="2" t="s">
        <v>160</v>
      </c>
      <c r="D2206" s="2" t="s">
        <v>2</v>
      </c>
      <c r="E2206" s="2" t="s">
        <v>7</v>
      </c>
      <c r="F2206" s="2" t="s">
        <v>1409</v>
      </c>
      <c r="G2206" s="2">
        <v>22.05</v>
      </c>
      <c r="H2206" s="2">
        <v>7</v>
      </c>
      <c r="I2206" s="3">
        <v>10.58</v>
      </c>
    </row>
    <row r="2207" spans="1:9" x14ac:dyDescent="0.3">
      <c r="A2207" s="4">
        <v>42499</v>
      </c>
      <c r="B2207" s="5" t="s">
        <v>938</v>
      </c>
      <c r="C2207" s="5" t="s">
        <v>1516</v>
      </c>
      <c r="D2207" s="5" t="s">
        <v>30</v>
      </c>
      <c r="E2207" s="5" t="s">
        <v>31</v>
      </c>
      <c r="F2207" s="5" t="s">
        <v>912</v>
      </c>
      <c r="G2207" s="5">
        <v>278.39999999999998</v>
      </c>
      <c r="H2207" s="5">
        <v>3</v>
      </c>
      <c r="I2207" s="6">
        <v>80.739999999999995</v>
      </c>
    </row>
    <row r="2208" spans="1:9" x14ac:dyDescent="0.3">
      <c r="A2208" s="1">
        <v>42499</v>
      </c>
      <c r="B2208" s="2" t="s">
        <v>1299</v>
      </c>
      <c r="C2208" s="2" t="s">
        <v>729</v>
      </c>
      <c r="D2208" s="2" t="s">
        <v>2</v>
      </c>
      <c r="E2208" s="2" t="s">
        <v>15</v>
      </c>
      <c r="F2208" s="2" t="s">
        <v>1168</v>
      </c>
      <c r="G2208" s="2">
        <v>107.94</v>
      </c>
      <c r="H2208" s="2">
        <v>3</v>
      </c>
      <c r="I2208" s="3">
        <v>26.99</v>
      </c>
    </row>
    <row r="2209" spans="1:9" x14ac:dyDescent="0.3">
      <c r="A2209" s="4">
        <v>42499</v>
      </c>
      <c r="B2209" s="5" t="s">
        <v>1114</v>
      </c>
      <c r="C2209" s="5" t="s">
        <v>1</v>
      </c>
      <c r="D2209" s="5" t="s">
        <v>25</v>
      </c>
      <c r="E2209" s="5" t="s">
        <v>26</v>
      </c>
      <c r="F2209" s="5" t="s">
        <v>412</v>
      </c>
      <c r="G2209" s="5">
        <v>347.8</v>
      </c>
      <c r="H2209" s="5">
        <v>7</v>
      </c>
      <c r="I2209" s="6">
        <v>-24.84</v>
      </c>
    </row>
    <row r="2210" spans="1:9" x14ac:dyDescent="0.3">
      <c r="A2210" s="1">
        <v>42499</v>
      </c>
      <c r="B2210" s="2" t="s">
        <v>537</v>
      </c>
      <c r="C2210" s="2" t="s">
        <v>18</v>
      </c>
      <c r="D2210" s="2" t="s">
        <v>30</v>
      </c>
      <c r="E2210" s="2" t="s">
        <v>43</v>
      </c>
      <c r="F2210" s="2" t="s">
        <v>1264</v>
      </c>
      <c r="G2210" s="2">
        <v>116</v>
      </c>
      <c r="H2210" s="2">
        <v>8</v>
      </c>
      <c r="I2210" s="3">
        <v>29</v>
      </c>
    </row>
    <row r="2211" spans="1:9" x14ac:dyDescent="0.3">
      <c r="A2211" s="4">
        <v>42499</v>
      </c>
      <c r="B2211" s="5" t="s">
        <v>1905</v>
      </c>
      <c r="C2211" s="5" t="s">
        <v>14</v>
      </c>
      <c r="D2211" s="5" t="s">
        <v>2</v>
      </c>
      <c r="E2211" s="5" t="s">
        <v>11</v>
      </c>
      <c r="F2211" s="5" t="s">
        <v>1906</v>
      </c>
      <c r="G2211" s="5">
        <v>9.56</v>
      </c>
      <c r="H2211" s="5">
        <v>5</v>
      </c>
      <c r="I2211" s="6">
        <v>-7.33</v>
      </c>
    </row>
    <row r="2212" spans="1:9" x14ac:dyDescent="0.3">
      <c r="A2212" s="1">
        <v>42499</v>
      </c>
      <c r="B2212" s="2" t="s">
        <v>1271</v>
      </c>
      <c r="C2212" s="2" t="s">
        <v>411</v>
      </c>
      <c r="D2212" s="2" t="s">
        <v>2</v>
      </c>
      <c r="E2212" s="2" t="s">
        <v>114</v>
      </c>
      <c r="F2212" s="2" t="s">
        <v>115</v>
      </c>
      <c r="G2212" s="2">
        <v>23.47</v>
      </c>
      <c r="H2212" s="2">
        <v>3</v>
      </c>
      <c r="I2212" s="3">
        <v>7.63</v>
      </c>
    </row>
    <row r="2213" spans="1:9" x14ac:dyDescent="0.3">
      <c r="A2213" s="4">
        <v>42499</v>
      </c>
      <c r="B2213" s="5" t="s">
        <v>1271</v>
      </c>
      <c r="C2213" s="5" t="s">
        <v>411</v>
      </c>
      <c r="D2213" s="5" t="s">
        <v>2</v>
      </c>
      <c r="E2213" s="5" t="s">
        <v>11</v>
      </c>
      <c r="F2213" s="5" t="s">
        <v>472</v>
      </c>
      <c r="G2213" s="5">
        <v>86.06</v>
      </c>
      <c r="H2213" s="5">
        <v>7</v>
      </c>
      <c r="I2213" s="6">
        <v>-63.11</v>
      </c>
    </row>
    <row r="2214" spans="1:9" x14ac:dyDescent="0.3">
      <c r="A2214" s="1">
        <v>42499</v>
      </c>
      <c r="B2214" s="2" t="s">
        <v>1271</v>
      </c>
      <c r="C2214" s="2" t="s">
        <v>411</v>
      </c>
      <c r="D2214" s="2" t="s">
        <v>30</v>
      </c>
      <c r="E2214" s="2" t="s">
        <v>31</v>
      </c>
      <c r="F2214" s="2" t="s">
        <v>1907</v>
      </c>
      <c r="G2214" s="2">
        <v>108.78</v>
      </c>
      <c r="H2214" s="2">
        <v>2</v>
      </c>
      <c r="I2214" s="3">
        <v>6.8</v>
      </c>
    </row>
    <row r="2215" spans="1:9" x14ac:dyDescent="0.3">
      <c r="A2215" s="4">
        <v>42499</v>
      </c>
      <c r="B2215" s="5" t="s">
        <v>1271</v>
      </c>
      <c r="C2215" s="5" t="s">
        <v>411</v>
      </c>
      <c r="D2215" s="5" t="s">
        <v>2</v>
      </c>
      <c r="E2215" s="5" t="s">
        <v>3</v>
      </c>
      <c r="F2215" s="5" t="s">
        <v>118</v>
      </c>
      <c r="G2215" s="5">
        <v>10.27</v>
      </c>
      <c r="H2215" s="5">
        <v>3</v>
      </c>
      <c r="I2215" s="6">
        <v>3.21</v>
      </c>
    </row>
    <row r="2216" spans="1:9" x14ac:dyDescent="0.3">
      <c r="A2216" s="1">
        <v>42499</v>
      </c>
      <c r="B2216" s="2" t="s">
        <v>476</v>
      </c>
      <c r="C2216" s="2" t="s">
        <v>1</v>
      </c>
      <c r="D2216" s="2" t="s">
        <v>2</v>
      </c>
      <c r="E2216" s="2" t="s">
        <v>133</v>
      </c>
      <c r="F2216" s="2" t="s">
        <v>1888</v>
      </c>
      <c r="G2216" s="2">
        <v>62.79</v>
      </c>
      <c r="H2216" s="2">
        <v>3</v>
      </c>
      <c r="I2216" s="3">
        <v>-166.39</v>
      </c>
    </row>
    <row r="2217" spans="1:9" x14ac:dyDescent="0.3">
      <c r="A2217" s="4">
        <v>42499</v>
      </c>
      <c r="B2217" s="5" t="s">
        <v>476</v>
      </c>
      <c r="C2217" s="5" t="s">
        <v>1</v>
      </c>
      <c r="D2217" s="5" t="s">
        <v>2</v>
      </c>
      <c r="E2217" s="5" t="s">
        <v>34</v>
      </c>
      <c r="F2217" s="5" t="s">
        <v>1275</v>
      </c>
      <c r="G2217" s="5">
        <v>28.44</v>
      </c>
      <c r="H2217" s="5">
        <v>9</v>
      </c>
      <c r="I2217" s="6">
        <v>4.2699999999999996</v>
      </c>
    </row>
    <row r="2218" spans="1:9" x14ac:dyDescent="0.3">
      <c r="A2218" s="1">
        <v>42499</v>
      </c>
      <c r="B2218" s="2" t="s">
        <v>585</v>
      </c>
      <c r="C2218" s="2" t="s">
        <v>18</v>
      </c>
      <c r="D2218" s="2" t="s">
        <v>2</v>
      </c>
      <c r="E2218" s="2" t="s">
        <v>3</v>
      </c>
      <c r="F2218" s="2" t="s">
        <v>1908</v>
      </c>
      <c r="G2218" s="2">
        <v>96.08</v>
      </c>
      <c r="H2218" s="2">
        <v>2</v>
      </c>
      <c r="I2218" s="3">
        <v>46.12</v>
      </c>
    </row>
    <row r="2219" spans="1:9" x14ac:dyDescent="0.3">
      <c r="A2219" s="4">
        <v>42499</v>
      </c>
      <c r="B2219" s="5" t="s">
        <v>585</v>
      </c>
      <c r="C2219" s="5" t="s">
        <v>18</v>
      </c>
      <c r="D2219" s="5" t="s">
        <v>2</v>
      </c>
      <c r="E2219" s="5" t="s">
        <v>11</v>
      </c>
      <c r="F2219" s="5" t="s">
        <v>650</v>
      </c>
      <c r="G2219" s="5">
        <v>11.68</v>
      </c>
      <c r="H2219" s="5">
        <v>2</v>
      </c>
      <c r="I2219" s="6">
        <v>3.94</v>
      </c>
    </row>
    <row r="2220" spans="1:9" x14ac:dyDescent="0.3">
      <c r="A2220" s="1">
        <v>42499</v>
      </c>
      <c r="B2220" s="2" t="s">
        <v>585</v>
      </c>
      <c r="C2220" s="2" t="s">
        <v>18</v>
      </c>
      <c r="D2220" s="2" t="s">
        <v>2</v>
      </c>
      <c r="E2220" s="2" t="s">
        <v>34</v>
      </c>
      <c r="F2220" s="2" t="s">
        <v>1909</v>
      </c>
      <c r="G2220" s="2">
        <v>4.3600000000000003</v>
      </c>
      <c r="H2220" s="2">
        <v>2</v>
      </c>
      <c r="I2220" s="3">
        <v>1.79</v>
      </c>
    </row>
    <row r="2221" spans="1:9" x14ac:dyDescent="0.3">
      <c r="A2221" s="4">
        <v>42499</v>
      </c>
      <c r="B2221" s="5" t="s">
        <v>460</v>
      </c>
      <c r="C2221" s="5" t="s">
        <v>1</v>
      </c>
      <c r="D2221" s="5" t="s">
        <v>2</v>
      </c>
      <c r="E2221" s="5" t="s">
        <v>3</v>
      </c>
      <c r="F2221" s="5" t="s">
        <v>1426</v>
      </c>
      <c r="G2221" s="5">
        <v>25.92</v>
      </c>
      <c r="H2221" s="5">
        <v>5</v>
      </c>
      <c r="I2221" s="6">
        <v>9.07</v>
      </c>
    </row>
    <row r="2222" spans="1:9" x14ac:dyDescent="0.3">
      <c r="A2222" s="1">
        <v>42499</v>
      </c>
      <c r="B2222" s="2" t="s">
        <v>460</v>
      </c>
      <c r="C2222" s="2" t="s">
        <v>1</v>
      </c>
      <c r="D2222" s="2" t="s">
        <v>2</v>
      </c>
      <c r="E2222" s="2" t="s">
        <v>34</v>
      </c>
      <c r="F2222" s="2" t="s">
        <v>56</v>
      </c>
      <c r="G2222" s="2">
        <v>15.81</v>
      </c>
      <c r="H2222" s="2">
        <v>8</v>
      </c>
      <c r="I2222" s="3">
        <v>5.34</v>
      </c>
    </row>
    <row r="2223" spans="1:9" x14ac:dyDescent="0.3">
      <c r="A2223" s="4">
        <v>42499</v>
      </c>
      <c r="B2223" s="5" t="s">
        <v>460</v>
      </c>
      <c r="C2223" s="5" t="s">
        <v>1</v>
      </c>
      <c r="D2223" s="5" t="s">
        <v>2</v>
      </c>
      <c r="E2223" s="5" t="s">
        <v>3</v>
      </c>
      <c r="F2223" s="5" t="s">
        <v>1624</v>
      </c>
      <c r="G2223" s="5">
        <v>10.37</v>
      </c>
      <c r="H2223" s="5">
        <v>2</v>
      </c>
      <c r="I2223" s="6">
        <v>3.76</v>
      </c>
    </row>
    <row r="2224" spans="1:9" x14ac:dyDescent="0.3">
      <c r="A2224" s="1">
        <v>42499</v>
      </c>
      <c r="B2224" s="2" t="s">
        <v>1910</v>
      </c>
      <c r="C2224" s="2" t="s">
        <v>80</v>
      </c>
      <c r="D2224" s="2" t="s">
        <v>2</v>
      </c>
      <c r="E2224" s="2" t="s">
        <v>3</v>
      </c>
      <c r="F2224" s="2" t="s">
        <v>1334</v>
      </c>
      <c r="G2224" s="2">
        <v>192.16</v>
      </c>
      <c r="H2224" s="2">
        <v>4</v>
      </c>
      <c r="I2224" s="3">
        <v>92.24</v>
      </c>
    </row>
    <row r="2225" spans="1:9" x14ac:dyDescent="0.3">
      <c r="A2225" s="4">
        <v>42499</v>
      </c>
      <c r="B2225" s="5" t="s">
        <v>725</v>
      </c>
      <c r="C2225" s="5" t="s">
        <v>1</v>
      </c>
      <c r="D2225" s="5" t="s">
        <v>2</v>
      </c>
      <c r="E2225" s="5" t="s">
        <v>9</v>
      </c>
      <c r="F2225" s="5" t="s">
        <v>1796</v>
      </c>
      <c r="G2225" s="5">
        <v>93.46</v>
      </c>
      <c r="H2225" s="5">
        <v>3</v>
      </c>
      <c r="I2225" s="6">
        <v>-17.52</v>
      </c>
    </row>
    <row r="2226" spans="1:9" x14ac:dyDescent="0.3">
      <c r="A2226" s="1">
        <v>42499</v>
      </c>
      <c r="B2226" s="2" t="s">
        <v>1048</v>
      </c>
      <c r="C2226" s="2" t="s">
        <v>46</v>
      </c>
      <c r="D2226" s="2" t="s">
        <v>2</v>
      </c>
      <c r="E2226" s="2" t="s">
        <v>7</v>
      </c>
      <c r="F2226" s="2" t="s">
        <v>1317</v>
      </c>
      <c r="G2226" s="2">
        <v>25.06</v>
      </c>
      <c r="H2226" s="2">
        <v>2</v>
      </c>
      <c r="I2226" s="3">
        <v>11.78</v>
      </c>
    </row>
    <row r="2227" spans="1:9" x14ac:dyDescent="0.3">
      <c r="A2227" s="4">
        <v>42499</v>
      </c>
      <c r="B2227" s="5" t="s">
        <v>1048</v>
      </c>
      <c r="C2227" s="5" t="s">
        <v>46</v>
      </c>
      <c r="D2227" s="5" t="s">
        <v>25</v>
      </c>
      <c r="E2227" s="5" t="s">
        <v>86</v>
      </c>
      <c r="F2227" s="5" t="s">
        <v>399</v>
      </c>
      <c r="G2227" s="5">
        <v>1652.94</v>
      </c>
      <c r="H2227" s="5">
        <v>3</v>
      </c>
      <c r="I2227" s="6">
        <v>314.06</v>
      </c>
    </row>
    <row r="2228" spans="1:9" x14ac:dyDescent="0.3">
      <c r="A2228" s="1">
        <v>42499</v>
      </c>
      <c r="B2228" s="2" t="s">
        <v>1570</v>
      </c>
      <c r="C2228" s="2" t="s">
        <v>6</v>
      </c>
      <c r="D2228" s="2" t="s">
        <v>2</v>
      </c>
      <c r="E2228" s="2" t="s">
        <v>3</v>
      </c>
      <c r="F2228" s="2" t="s">
        <v>1911</v>
      </c>
      <c r="G2228" s="2">
        <v>9.25</v>
      </c>
      <c r="H2228" s="2">
        <v>2</v>
      </c>
      <c r="I2228" s="3">
        <v>3.35</v>
      </c>
    </row>
    <row r="2229" spans="1:9" x14ac:dyDescent="0.3">
      <c r="A2229" s="4">
        <v>42499</v>
      </c>
      <c r="B2229" s="5" t="s">
        <v>865</v>
      </c>
      <c r="C2229" s="5" t="s">
        <v>127</v>
      </c>
      <c r="D2229" s="5" t="s">
        <v>2</v>
      </c>
      <c r="E2229" s="5" t="s">
        <v>11</v>
      </c>
      <c r="F2229" s="5" t="s">
        <v>1912</v>
      </c>
      <c r="G2229" s="5">
        <v>8.9499999999999993</v>
      </c>
      <c r="H2229" s="5">
        <v>2</v>
      </c>
      <c r="I2229" s="6">
        <v>-7.46</v>
      </c>
    </row>
    <row r="2230" spans="1:9" x14ac:dyDescent="0.3">
      <c r="A2230" s="1">
        <v>42499</v>
      </c>
      <c r="B2230" s="2" t="s">
        <v>865</v>
      </c>
      <c r="C2230" s="2" t="s">
        <v>127</v>
      </c>
      <c r="D2230" s="2" t="s">
        <v>2</v>
      </c>
      <c r="E2230" s="2" t="s">
        <v>11</v>
      </c>
      <c r="F2230" s="2" t="s">
        <v>1421</v>
      </c>
      <c r="G2230" s="2">
        <v>8.86</v>
      </c>
      <c r="H2230" s="2">
        <v>6</v>
      </c>
      <c r="I2230" s="3">
        <v>-6.49</v>
      </c>
    </row>
    <row r="2231" spans="1:9" x14ac:dyDescent="0.3">
      <c r="A2231" s="4">
        <v>42499</v>
      </c>
      <c r="B2231" s="5" t="s">
        <v>865</v>
      </c>
      <c r="C2231" s="5" t="s">
        <v>127</v>
      </c>
      <c r="D2231" s="5" t="s">
        <v>25</v>
      </c>
      <c r="E2231" s="5" t="s">
        <v>26</v>
      </c>
      <c r="F2231" s="5" t="s">
        <v>149</v>
      </c>
      <c r="G2231" s="5">
        <v>85.25</v>
      </c>
      <c r="H2231" s="5">
        <v>2</v>
      </c>
      <c r="I2231" s="6">
        <v>-1.22</v>
      </c>
    </row>
    <row r="2232" spans="1:9" x14ac:dyDescent="0.3">
      <c r="A2232" s="1">
        <v>42499</v>
      </c>
      <c r="B2232" s="2" t="s">
        <v>962</v>
      </c>
      <c r="C2232" s="2" t="s">
        <v>1</v>
      </c>
      <c r="D2232" s="2" t="s">
        <v>25</v>
      </c>
      <c r="E2232" s="2" t="s">
        <v>38</v>
      </c>
      <c r="F2232" s="2" t="s">
        <v>853</v>
      </c>
      <c r="G2232" s="2">
        <v>21.2</v>
      </c>
      <c r="H2232" s="2">
        <v>3</v>
      </c>
      <c r="I2232" s="3">
        <v>-11.66</v>
      </c>
    </row>
    <row r="2233" spans="1:9" x14ac:dyDescent="0.3">
      <c r="A2233" s="4">
        <v>42499</v>
      </c>
      <c r="B2233" s="5" t="s">
        <v>1813</v>
      </c>
      <c r="C2233" s="5" t="s">
        <v>14</v>
      </c>
      <c r="D2233" s="5" t="s">
        <v>25</v>
      </c>
      <c r="E2233" s="5" t="s">
        <v>38</v>
      </c>
      <c r="F2233" s="5" t="s">
        <v>1903</v>
      </c>
      <c r="G2233" s="5">
        <v>58.25</v>
      </c>
      <c r="H2233" s="5">
        <v>9</v>
      </c>
      <c r="I2233" s="6">
        <v>11.65</v>
      </c>
    </row>
    <row r="2234" spans="1:9" x14ac:dyDescent="0.3">
      <c r="A2234" s="1">
        <v>42499</v>
      </c>
      <c r="B2234" s="2" t="s">
        <v>1813</v>
      </c>
      <c r="C2234" s="2" t="s">
        <v>14</v>
      </c>
      <c r="D2234" s="2" t="s">
        <v>25</v>
      </c>
      <c r="E2234" s="2" t="s">
        <v>26</v>
      </c>
      <c r="F2234" s="2" t="s">
        <v>1913</v>
      </c>
      <c r="G2234" s="2">
        <v>71.25</v>
      </c>
      <c r="H2234" s="2">
        <v>2</v>
      </c>
      <c r="I2234" s="3">
        <v>-19.34</v>
      </c>
    </row>
    <row r="2235" spans="1:9" x14ac:dyDescent="0.3">
      <c r="A2235" s="4">
        <v>42499</v>
      </c>
      <c r="B2235" s="5" t="s">
        <v>1813</v>
      </c>
      <c r="C2235" s="5" t="s">
        <v>14</v>
      </c>
      <c r="D2235" s="5" t="s">
        <v>2</v>
      </c>
      <c r="E2235" s="5" t="s">
        <v>15</v>
      </c>
      <c r="F2235" s="5" t="s">
        <v>534</v>
      </c>
      <c r="G2235" s="5">
        <v>7.87</v>
      </c>
      <c r="H2235" s="5">
        <v>3</v>
      </c>
      <c r="I2235" s="6">
        <v>0.59</v>
      </c>
    </row>
    <row r="2236" spans="1:9" x14ac:dyDescent="0.3">
      <c r="A2236" s="1">
        <v>42499</v>
      </c>
      <c r="B2236" s="2" t="s">
        <v>1813</v>
      </c>
      <c r="C2236" s="2" t="s">
        <v>14</v>
      </c>
      <c r="D2236" s="2" t="s">
        <v>25</v>
      </c>
      <c r="E2236" s="2" t="s">
        <v>26</v>
      </c>
      <c r="F2236" s="2" t="s">
        <v>1914</v>
      </c>
      <c r="G2236" s="2">
        <v>887.27</v>
      </c>
      <c r="H2236" s="2">
        <v>3</v>
      </c>
      <c r="I2236" s="3">
        <v>-63.38</v>
      </c>
    </row>
    <row r="2237" spans="1:9" x14ac:dyDescent="0.3">
      <c r="A2237" s="4">
        <v>42499</v>
      </c>
      <c r="B2237" s="5" t="s">
        <v>1915</v>
      </c>
      <c r="C2237" s="5" t="s">
        <v>80</v>
      </c>
      <c r="D2237" s="5" t="s">
        <v>30</v>
      </c>
      <c r="E2237" s="5" t="s">
        <v>31</v>
      </c>
      <c r="F2237" s="5" t="s">
        <v>335</v>
      </c>
      <c r="G2237" s="5">
        <v>43.6</v>
      </c>
      <c r="H2237" s="5">
        <v>4</v>
      </c>
      <c r="I2237" s="6">
        <v>12.21</v>
      </c>
    </row>
    <row r="2238" spans="1:9" x14ac:dyDescent="0.3">
      <c r="A2238" s="1">
        <v>42530</v>
      </c>
      <c r="B2238" s="2" t="s">
        <v>1916</v>
      </c>
      <c r="C2238" s="2" t="s">
        <v>359</v>
      </c>
      <c r="D2238" s="2" t="s">
        <v>2</v>
      </c>
      <c r="E2238" s="2" t="s">
        <v>133</v>
      </c>
      <c r="F2238" s="2" t="s">
        <v>1917</v>
      </c>
      <c r="G2238" s="2">
        <v>77.88</v>
      </c>
      <c r="H2238" s="2">
        <v>6</v>
      </c>
      <c r="I2238" s="3">
        <v>22.59</v>
      </c>
    </row>
    <row r="2239" spans="1:9" x14ac:dyDescent="0.3">
      <c r="A2239" s="4">
        <v>42530</v>
      </c>
      <c r="B2239" s="5" t="s">
        <v>1918</v>
      </c>
      <c r="C2239" s="5" t="s">
        <v>80</v>
      </c>
      <c r="D2239" s="5" t="s">
        <v>30</v>
      </c>
      <c r="E2239" s="5" t="s">
        <v>43</v>
      </c>
      <c r="F2239" s="5" t="s">
        <v>1618</v>
      </c>
      <c r="G2239" s="5">
        <v>31.86</v>
      </c>
      <c r="H2239" s="5">
        <v>2</v>
      </c>
      <c r="I2239" s="6">
        <v>11.15</v>
      </c>
    </row>
    <row r="2240" spans="1:9" x14ac:dyDescent="0.3">
      <c r="A2240" s="1">
        <v>42530</v>
      </c>
      <c r="B2240" s="2" t="s">
        <v>1918</v>
      </c>
      <c r="C2240" s="2" t="s">
        <v>80</v>
      </c>
      <c r="D2240" s="2" t="s">
        <v>25</v>
      </c>
      <c r="E2240" s="2" t="s">
        <v>129</v>
      </c>
      <c r="F2240" s="2" t="s">
        <v>1086</v>
      </c>
      <c r="G2240" s="2">
        <v>722.35</v>
      </c>
      <c r="H2240" s="2">
        <v>3</v>
      </c>
      <c r="I2240" s="3">
        <v>90.29</v>
      </c>
    </row>
    <row r="2241" spans="1:9" x14ac:dyDescent="0.3">
      <c r="A2241" s="4">
        <v>42530</v>
      </c>
      <c r="B2241" s="5" t="s">
        <v>1247</v>
      </c>
      <c r="C2241" s="5" t="s">
        <v>121</v>
      </c>
      <c r="D2241" s="5" t="s">
        <v>2</v>
      </c>
      <c r="E2241" s="5" t="s">
        <v>114</v>
      </c>
      <c r="F2241" s="5" t="s">
        <v>1540</v>
      </c>
      <c r="G2241" s="5">
        <v>95.95</v>
      </c>
      <c r="H2241" s="5">
        <v>3</v>
      </c>
      <c r="I2241" s="6">
        <v>29.99</v>
      </c>
    </row>
    <row r="2242" spans="1:9" x14ac:dyDescent="0.3">
      <c r="A2242" s="1">
        <v>42530</v>
      </c>
      <c r="B2242" s="2" t="s">
        <v>1247</v>
      </c>
      <c r="C2242" s="2" t="s">
        <v>121</v>
      </c>
      <c r="D2242" s="2" t="s">
        <v>2</v>
      </c>
      <c r="E2242" s="2" t="s">
        <v>11</v>
      </c>
      <c r="F2242" s="2" t="s">
        <v>1588</v>
      </c>
      <c r="G2242" s="2">
        <v>3.2</v>
      </c>
      <c r="H2242" s="2">
        <v>2</v>
      </c>
      <c r="I2242" s="3">
        <v>-2.46</v>
      </c>
    </row>
    <row r="2243" spans="1:9" x14ac:dyDescent="0.3">
      <c r="A2243" s="4">
        <v>42530</v>
      </c>
      <c r="B2243" s="5" t="s">
        <v>1919</v>
      </c>
      <c r="C2243" s="5" t="s">
        <v>1</v>
      </c>
      <c r="D2243" s="5" t="s">
        <v>2</v>
      </c>
      <c r="E2243" s="5" t="s">
        <v>9</v>
      </c>
      <c r="F2243" s="5" t="s">
        <v>1434</v>
      </c>
      <c r="G2243" s="5">
        <v>10.78</v>
      </c>
      <c r="H2243" s="5">
        <v>1</v>
      </c>
      <c r="I2243" s="6">
        <v>0.81</v>
      </c>
    </row>
    <row r="2244" spans="1:9" x14ac:dyDescent="0.3">
      <c r="A2244" s="1">
        <v>42530</v>
      </c>
      <c r="B2244" s="2" t="s">
        <v>1539</v>
      </c>
      <c r="C2244" s="2" t="s">
        <v>1</v>
      </c>
      <c r="D2244" s="2" t="s">
        <v>2</v>
      </c>
      <c r="E2244" s="2" t="s">
        <v>3</v>
      </c>
      <c r="F2244" s="2" t="s">
        <v>699</v>
      </c>
      <c r="G2244" s="2">
        <v>41.92</v>
      </c>
      <c r="H2244" s="2">
        <v>4</v>
      </c>
      <c r="I2244" s="3">
        <v>15.2</v>
      </c>
    </row>
    <row r="2245" spans="1:9" x14ac:dyDescent="0.3">
      <c r="A2245" s="4">
        <v>42530</v>
      </c>
      <c r="B2245" s="5" t="s">
        <v>1539</v>
      </c>
      <c r="C2245" s="5" t="s">
        <v>1</v>
      </c>
      <c r="D2245" s="5" t="s">
        <v>30</v>
      </c>
      <c r="E2245" s="5" t="s">
        <v>31</v>
      </c>
      <c r="F2245" s="5" t="s">
        <v>1920</v>
      </c>
      <c r="G2245" s="5">
        <v>329.58</v>
      </c>
      <c r="H2245" s="5">
        <v>2</v>
      </c>
      <c r="I2245" s="6">
        <v>37.08</v>
      </c>
    </row>
    <row r="2246" spans="1:9" x14ac:dyDescent="0.3">
      <c r="A2246" s="1">
        <v>42591</v>
      </c>
      <c r="B2246" s="2" t="s">
        <v>1185</v>
      </c>
      <c r="C2246" s="2" t="s">
        <v>1</v>
      </c>
      <c r="D2246" s="2" t="s">
        <v>2</v>
      </c>
      <c r="E2246" s="2" t="s">
        <v>9</v>
      </c>
      <c r="F2246" s="2" t="s">
        <v>1749</v>
      </c>
      <c r="G2246" s="2">
        <v>35.950000000000003</v>
      </c>
      <c r="H2246" s="2">
        <v>3</v>
      </c>
      <c r="I2246" s="3">
        <v>3.6</v>
      </c>
    </row>
    <row r="2247" spans="1:9" x14ac:dyDescent="0.3">
      <c r="A2247" s="4">
        <v>42591</v>
      </c>
      <c r="B2247" s="5" t="s">
        <v>1185</v>
      </c>
      <c r="C2247" s="5" t="s">
        <v>1</v>
      </c>
      <c r="D2247" s="5" t="s">
        <v>25</v>
      </c>
      <c r="E2247" s="5" t="s">
        <v>129</v>
      </c>
      <c r="F2247" s="5" t="s">
        <v>1523</v>
      </c>
      <c r="G2247" s="5">
        <v>2396.27</v>
      </c>
      <c r="H2247" s="5">
        <v>4</v>
      </c>
      <c r="I2247" s="6">
        <v>-317.14999999999998</v>
      </c>
    </row>
    <row r="2248" spans="1:9" x14ac:dyDescent="0.3">
      <c r="A2248" s="1">
        <v>42591</v>
      </c>
      <c r="B2248" s="2" t="s">
        <v>1185</v>
      </c>
      <c r="C2248" s="2" t="s">
        <v>1</v>
      </c>
      <c r="D2248" s="2" t="s">
        <v>2</v>
      </c>
      <c r="E2248" s="2" t="s">
        <v>9</v>
      </c>
      <c r="F2248" s="2" t="s">
        <v>156</v>
      </c>
      <c r="G2248" s="2">
        <v>131.13999999999999</v>
      </c>
      <c r="H2248" s="2">
        <v>4</v>
      </c>
      <c r="I2248" s="3">
        <v>-32.78</v>
      </c>
    </row>
    <row r="2249" spans="1:9" x14ac:dyDescent="0.3">
      <c r="A2249" s="4">
        <v>42591</v>
      </c>
      <c r="B2249" s="5" t="s">
        <v>1185</v>
      </c>
      <c r="C2249" s="5" t="s">
        <v>1</v>
      </c>
      <c r="D2249" s="5" t="s">
        <v>30</v>
      </c>
      <c r="E2249" s="5" t="s">
        <v>43</v>
      </c>
      <c r="F2249" s="5" t="s">
        <v>1921</v>
      </c>
      <c r="G2249" s="5">
        <v>57.58</v>
      </c>
      <c r="H2249" s="5">
        <v>2</v>
      </c>
      <c r="I2249" s="6">
        <v>0.72</v>
      </c>
    </row>
    <row r="2250" spans="1:9" x14ac:dyDescent="0.3">
      <c r="A2250" s="1">
        <v>42591</v>
      </c>
      <c r="B2250" s="2" t="s">
        <v>249</v>
      </c>
      <c r="C2250" s="2" t="s">
        <v>18</v>
      </c>
      <c r="D2250" s="2" t="s">
        <v>2</v>
      </c>
      <c r="E2250" s="2" t="s">
        <v>11</v>
      </c>
      <c r="F2250" s="2" t="s">
        <v>1922</v>
      </c>
      <c r="G2250" s="2">
        <v>33.020000000000003</v>
      </c>
      <c r="H2250" s="2">
        <v>2</v>
      </c>
      <c r="I2250" s="3">
        <v>11.56</v>
      </c>
    </row>
    <row r="2251" spans="1:9" x14ac:dyDescent="0.3">
      <c r="A2251" s="4">
        <v>42591</v>
      </c>
      <c r="B2251" s="5" t="s">
        <v>249</v>
      </c>
      <c r="C2251" s="5" t="s">
        <v>18</v>
      </c>
      <c r="D2251" s="5" t="s">
        <v>2</v>
      </c>
      <c r="E2251" s="5" t="s">
        <v>11</v>
      </c>
      <c r="F2251" s="5" t="s">
        <v>1923</v>
      </c>
      <c r="G2251" s="5">
        <v>67.14</v>
      </c>
      <c r="H2251" s="5">
        <v>4</v>
      </c>
      <c r="I2251" s="6">
        <v>23.5</v>
      </c>
    </row>
    <row r="2252" spans="1:9" x14ac:dyDescent="0.3">
      <c r="A2252" s="1">
        <v>42591</v>
      </c>
      <c r="B2252" s="2" t="s">
        <v>123</v>
      </c>
      <c r="C2252" s="2" t="s">
        <v>181</v>
      </c>
      <c r="D2252" s="2" t="s">
        <v>25</v>
      </c>
      <c r="E2252" s="2" t="s">
        <v>129</v>
      </c>
      <c r="F2252" s="2" t="s">
        <v>1610</v>
      </c>
      <c r="G2252" s="2">
        <v>173.94</v>
      </c>
      <c r="H2252" s="2">
        <v>3</v>
      </c>
      <c r="I2252" s="3">
        <v>13.92</v>
      </c>
    </row>
    <row r="2253" spans="1:9" x14ac:dyDescent="0.3">
      <c r="A2253" s="4">
        <v>42591</v>
      </c>
      <c r="B2253" s="5" t="s">
        <v>123</v>
      </c>
      <c r="C2253" s="5" t="s">
        <v>181</v>
      </c>
      <c r="D2253" s="5" t="s">
        <v>2</v>
      </c>
      <c r="E2253" s="5" t="s">
        <v>7</v>
      </c>
      <c r="F2253" s="5" t="s">
        <v>1924</v>
      </c>
      <c r="G2253" s="5">
        <v>14.76</v>
      </c>
      <c r="H2253" s="5">
        <v>4</v>
      </c>
      <c r="I2253" s="6">
        <v>6.94</v>
      </c>
    </row>
    <row r="2254" spans="1:9" x14ac:dyDescent="0.3">
      <c r="A2254" s="1">
        <v>42591</v>
      </c>
      <c r="B2254" s="2" t="s">
        <v>267</v>
      </c>
      <c r="C2254" s="2" t="s">
        <v>6</v>
      </c>
      <c r="D2254" s="2" t="s">
        <v>25</v>
      </c>
      <c r="E2254" s="2" t="s">
        <v>38</v>
      </c>
      <c r="F2254" s="2" t="s">
        <v>853</v>
      </c>
      <c r="G2254" s="2">
        <v>14.14</v>
      </c>
      <c r="H2254" s="2">
        <v>2</v>
      </c>
      <c r="I2254" s="3">
        <v>-7.77</v>
      </c>
    </row>
    <row r="2255" spans="1:9" x14ac:dyDescent="0.3">
      <c r="A2255" s="4">
        <v>42591</v>
      </c>
      <c r="B2255" s="5" t="s">
        <v>267</v>
      </c>
      <c r="C2255" s="5" t="s">
        <v>6</v>
      </c>
      <c r="D2255" s="5" t="s">
        <v>25</v>
      </c>
      <c r="E2255" s="5" t="s">
        <v>86</v>
      </c>
      <c r="F2255" s="5" t="s">
        <v>1387</v>
      </c>
      <c r="G2255" s="5">
        <v>601.47</v>
      </c>
      <c r="H2255" s="5">
        <v>3</v>
      </c>
      <c r="I2255" s="6">
        <v>-300.74</v>
      </c>
    </row>
    <row r="2256" spans="1:9" x14ac:dyDescent="0.3">
      <c r="A2256" s="1">
        <v>42591</v>
      </c>
      <c r="B2256" s="2" t="s">
        <v>1925</v>
      </c>
      <c r="C2256" s="2" t="s">
        <v>80</v>
      </c>
      <c r="D2256" s="2" t="s">
        <v>2</v>
      </c>
      <c r="E2256" s="2" t="s">
        <v>133</v>
      </c>
      <c r="F2256" s="2" t="s">
        <v>1926</v>
      </c>
      <c r="G2256" s="2">
        <v>207.48</v>
      </c>
      <c r="H2256" s="2">
        <v>1</v>
      </c>
      <c r="I2256" s="3">
        <v>62.24</v>
      </c>
    </row>
    <row r="2257" spans="1:9" x14ac:dyDescent="0.3">
      <c r="A2257" s="4">
        <v>42591</v>
      </c>
      <c r="B2257" s="5" t="s">
        <v>202</v>
      </c>
      <c r="C2257" s="5" t="s">
        <v>1</v>
      </c>
      <c r="D2257" s="5" t="s">
        <v>2</v>
      </c>
      <c r="E2257" s="5" t="s">
        <v>15</v>
      </c>
      <c r="F2257" s="5" t="s">
        <v>427</v>
      </c>
      <c r="G2257" s="5">
        <v>70.37</v>
      </c>
      <c r="H2257" s="5">
        <v>2</v>
      </c>
      <c r="I2257" s="6">
        <v>6.16</v>
      </c>
    </row>
    <row r="2258" spans="1:9" x14ac:dyDescent="0.3">
      <c r="A2258" s="1">
        <v>42591</v>
      </c>
      <c r="B2258" s="2" t="s">
        <v>202</v>
      </c>
      <c r="C2258" s="2" t="s">
        <v>1</v>
      </c>
      <c r="D2258" s="2" t="s">
        <v>30</v>
      </c>
      <c r="E2258" s="2" t="s">
        <v>31</v>
      </c>
      <c r="F2258" s="2" t="s">
        <v>1927</v>
      </c>
      <c r="G2258" s="2">
        <v>59.96</v>
      </c>
      <c r="H2258" s="2">
        <v>5</v>
      </c>
      <c r="I2258" s="3">
        <v>21.74</v>
      </c>
    </row>
    <row r="2259" spans="1:9" x14ac:dyDescent="0.3">
      <c r="A2259" s="4">
        <v>42591</v>
      </c>
      <c r="B2259" s="5" t="s">
        <v>1786</v>
      </c>
      <c r="C2259" s="5" t="s">
        <v>121</v>
      </c>
      <c r="D2259" s="5" t="s">
        <v>30</v>
      </c>
      <c r="E2259" s="5" t="s">
        <v>43</v>
      </c>
      <c r="F2259" s="5" t="s">
        <v>674</v>
      </c>
      <c r="G2259" s="5">
        <v>35.17</v>
      </c>
      <c r="H2259" s="5">
        <v>4</v>
      </c>
      <c r="I2259" s="6">
        <v>8.35</v>
      </c>
    </row>
    <row r="2260" spans="1:9" x14ac:dyDescent="0.3">
      <c r="A2260" s="1">
        <v>42591</v>
      </c>
      <c r="B2260" s="2" t="s">
        <v>1786</v>
      </c>
      <c r="C2260" s="2" t="s">
        <v>121</v>
      </c>
      <c r="D2260" s="2" t="s">
        <v>2</v>
      </c>
      <c r="E2260" s="2" t="s">
        <v>3</v>
      </c>
      <c r="F2260" s="2" t="s">
        <v>1928</v>
      </c>
      <c r="G2260" s="2">
        <v>64.7</v>
      </c>
      <c r="H2260" s="2">
        <v>3</v>
      </c>
      <c r="I2260" s="3">
        <v>23.46</v>
      </c>
    </row>
    <row r="2261" spans="1:9" x14ac:dyDescent="0.3">
      <c r="A2261" s="4">
        <v>42591</v>
      </c>
      <c r="B2261" s="5" t="s">
        <v>243</v>
      </c>
      <c r="C2261" s="5" t="s">
        <v>18</v>
      </c>
      <c r="D2261" s="5" t="s">
        <v>25</v>
      </c>
      <c r="E2261" s="5" t="s">
        <v>86</v>
      </c>
      <c r="F2261" s="5" t="s">
        <v>1929</v>
      </c>
      <c r="G2261" s="5">
        <v>146.04</v>
      </c>
      <c r="H2261" s="5">
        <v>1</v>
      </c>
      <c r="I2261" s="6">
        <v>-12.78</v>
      </c>
    </row>
    <row r="2262" spans="1:9" x14ac:dyDescent="0.3">
      <c r="A2262" s="1">
        <v>42591</v>
      </c>
      <c r="B2262" s="2" t="s">
        <v>938</v>
      </c>
      <c r="C2262" s="2" t="s">
        <v>62</v>
      </c>
      <c r="D2262" s="2" t="s">
        <v>25</v>
      </c>
      <c r="E2262" s="2" t="s">
        <v>38</v>
      </c>
      <c r="F2262" s="2" t="s">
        <v>469</v>
      </c>
      <c r="G2262" s="2">
        <v>43.13</v>
      </c>
      <c r="H2262" s="2">
        <v>1</v>
      </c>
      <c r="I2262" s="3">
        <v>14.66</v>
      </c>
    </row>
    <row r="2263" spans="1:9" x14ac:dyDescent="0.3">
      <c r="A2263" s="4">
        <v>42591</v>
      </c>
      <c r="B2263" s="5" t="s">
        <v>938</v>
      </c>
      <c r="C2263" s="5" t="s">
        <v>62</v>
      </c>
      <c r="D2263" s="5" t="s">
        <v>2</v>
      </c>
      <c r="E2263" s="5" t="s">
        <v>3</v>
      </c>
      <c r="F2263" s="5" t="s">
        <v>1930</v>
      </c>
      <c r="G2263" s="5">
        <v>30.87</v>
      </c>
      <c r="H2263" s="5">
        <v>7</v>
      </c>
      <c r="I2263" s="6">
        <v>14.2</v>
      </c>
    </row>
    <row r="2264" spans="1:9" x14ac:dyDescent="0.3">
      <c r="A2264" s="1">
        <v>42591</v>
      </c>
      <c r="B2264" s="2" t="s">
        <v>1806</v>
      </c>
      <c r="C2264" s="2" t="s">
        <v>18</v>
      </c>
      <c r="D2264" s="2" t="s">
        <v>2</v>
      </c>
      <c r="E2264" s="2" t="s">
        <v>15</v>
      </c>
      <c r="F2264" s="2" t="s">
        <v>1931</v>
      </c>
      <c r="G2264" s="2">
        <v>14.88</v>
      </c>
      <c r="H2264" s="2">
        <v>2</v>
      </c>
      <c r="I2264" s="3">
        <v>3.72</v>
      </c>
    </row>
    <row r="2265" spans="1:9" x14ac:dyDescent="0.3">
      <c r="A2265" s="4">
        <v>42591</v>
      </c>
      <c r="B2265" s="5" t="s">
        <v>1806</v>
      </c>
      <c r="C2265" s="5" t="s">
        <v>18</v>
      </c>
      <c r="D2265" s="5" t="s">
        <v>2</v>
      </c>
      <c r="E2265" s="5" t="s">
        <v>3</v>
      </c>
      <c r="F2265" s="5" t="s">
        <v>1932</v>
      </c>
      <c r="G2265" s="5">
        <v>34.24</v>
      </c>
      <c r="H2265" s="5">
        <v>8</v>
      </c>
      <c r="I2265" s="6">
        <v>15.41</v>
      </c>
    </row>
    <row r="2266" spans="1:9" x14ac:dyDescent="0.3">
      <c r="A2266" s="1">
        <v>42591</v>
      </c>
      <c r="B2266" s="2" t="s">
        <v>1806</v>
      </c>
      <c r="C2266" s="2" t="s">
        <v>18</v>
      </c>
      <c r="D2266" s="2" t="s">
        <v>2</v>
      </c>
      <c r="E2266" s="2" t="s">
        <v>9</v>
      </c>
      <c r="F2266" s="2" t="s">
        <v>1700</v>
      </c>
      <c r="G2266" s="2">
        <v>261.74</v>
      </c>
      <c r="H2266" s="2">
        <v>2</v>
      </c>
      <c r="I2266" s="3">
        <v>65.44</v>
      </c>
    </row>
    <row r="2267" spans="1:9" x14ac:dyDescent="0.3">
      <c r="A2267" s="4">
        <v>42622</v>
      </c>
      <c r="B2267" s="5" t="s">
        <v>1933</v>
      </c>
      <c r="C2267" s="5" t="s">
        <v>80</v>
      </c>
      <c r="D2267" s="5" t="s">
        <v>2</v>
      </c>
      <c r="E2267" s="5" t="s">
        <v>11</v>
      </c>
      <c r="F2267" s="5" t="s">
        <v>856</v>
      </c>
      <c r="G2267" s="5">
        <v>14.62</v>
      </c>
      <c r="H2267" s="5">
        <v>2</v>
      </c>
      <c r="I2267" s="6">
        <v>5.48</v>
      </c>
    </row>
    <row r="2268" spans="1:9" x14ac:dyDescent="0.3">
      <c r="A2268" s="1">
        <v>42622</v>
      </c>
      <c r="B2268" s="2" t="s">
        <v>836</v>
      </c>
      <c r="C2268" s="2" t="s">
        <v>18</v>
      </c>
      <c r="D2268" s="2" t="s">
        <v>2</v>
      </c>
      <c r="E2268" s="2" t="s">
        <v>11</v>
      </c>
      <c r="F2268" s="2" t="s">
        <v>95</v>
      </c>
      <c r="G2268" s="2">
        <v>55.36</v>
      </c>
      <c r="H2268" s="2">
        <v>4</v>
      </c>
      <c r="I2268" s="3">
        <v>18.68</v>
      </c>
    </row>
    <row r="2269" spans="1:9" x14ac:dyDescent="0.3">
      <c r="A2269" s="4">
        <v>42622</v>
      </c>
      <c r="B2269" s="5" t="s">
        <v>1710</v>
      </c>
      <c r="C2269" s="5" t="s">
        <v>1</v>
      </c>
      <c r="D2269" s="5" t="s">
        <v>25</v>
      </c>
      <c r="E2269" s="5" t="s">
        <v>38</v>
      </c>
      <c r="F2269" s="5" t="s">
        <v>1934</v>
      </c>
      <c r="G2269" s="5">
        <v>15.01</v>
      </c>
      <c r="H2269" s="5">
        <v>4</v>
      </c>
      <c r="I2269" s="6">
        <v>-12.01</v>
      </c>
    </row>
    <row r="2270" spans="1:9" x14ac:dyDescent="0.3">
      <c r="A2270" s="1">
        <v>42652</v>
      </c>
      <c r="B2270" s="2" t="s">
        <v>1309</v>
      </c>
      <c r="C2270" s="2" t="s">
        <v>80</v>
      </c>
      <c r="D2270" s="2" t="s">
        <v>2</v>
      </c>
      <c r="E2270" s="2" t="s">
        <v>9</v>
      </c>
      <c r="F2270" s="2" t="s">
        <v>1935</v>
      </c>
      <c r="G2270" s="2">
        <v>59.48</v>
      </c>
      <c r="H2270" s="2">
        <v>2</v>
      </c>
      <c r="I2270" s="3">
        <v>8.92</v>
      </c>
    </row>
    <row r="2271" spans="1:9" x14ac:dyDescent="0.3">
      <c r="A2271" s="4">
        <v>42652</v>
      </c>
      <c r="B2271" s="5" t="s">
        <v>1309</v>
      </c>
      <c r="C2271" s="5" t="s">
        <v>80</v>
      </c>
      <c r="D2271" s="5" t="s">
        <v>2</v>
      </c>
      <c r="E2271" s="5" t="s">
        <v>3</v>
      </c>
      <c r="F2271" s="5" t="s">
        <v>1936</v>
      </c>
      <c r="G2271" s="5">
        <v>6.69</v>
      </c>
      <c r="H2271" s="5">
        <v>1</v>
      </c>
      <c r="I2271" s="6">
        <v>3.08</v>
      </c>
    </row>
    <row r="2272" spans="1:9" x14ac:dyDescent="0.3">
      <c r="A2272" s="1">
        <v>42652</v>
      </c>
      <c r="B2272" s="2" t="s">
        <v>1207</v>
      </c>
      <c r="C2272" s="2" t="s">
        <v>411</v>
      </c>
      <c r="D2272" s="2" t="s">
        <v>2</v>
      </c>
      <c r="E2272" s="2" t="s">
        <v>15</v>
      </c>
      <c r="F2272" s="2" t="s">
        <v>1870</v>
      </c>
      <c r="G2272" s="2">
        <v>67.56</v>
      </c>
      <c r="H2272" s="2">
        <v>3</v>
      </c>
      <c r="I2272" s="3">
        <v>8.4499999999999993</v>
      </c>
    </row>
    <row r="2273" spans="1:9" x14ac:dyDescent="0.3">
      <c r="A2273" s="4">
        <v>42652</v>
      </c>
      <c r="B2273" s="5" t="s">
        <v>162</v>
      </c>
      <c r="C2273" s="5" t="s">
        <v>1</v>
      </c>
      <c r="D2273" s="5" t="s">
        <v>25</v>
      </c>
      <c r="E2273" s="5" t="s">
        <v>86</v>
      </c>
      <c r="F2273" s="5" t="s">
        <v>229</v>
      </c>
      <c r="G2273" s="5">
        <v>300.93</v>
      </c>
      <c r="H2273" s="5">
        <v>5</v>
      </c>
      <c r="I2273" s="6">
        <v>-34.39</v>
      </c>
    </row>
    <row r="2274" spans="1:9" x14ac:dyDescent="0.3">
      <c r="A2274" s="1">
        <v>42652</v>
      </c>
      <c r="B2274" s="2" t="s">
        <v>162</v>
      </c>
      <c r="C2274" s="2" t="s">
        <v>1</v>
      </c>
      <c r="D2274" s="2" t="s">
        <v>30</v>
      </c>
      <c r="E2274" s="2" t="s">
        <v>31</v>
      </c>
      <c r="F2274" s="2" t="s">
        <v>490</v>
      </c>
      <c r="G2274" s="2">
        <v>719.96</v>
      </c>
      <c r="H2274" s="2">
        <v>5</v>
      </c>
      <c r="I2274" s="3">
        <v>54</v>
      </c>
    </row>
    <row r="2275" spans="1:9" x14ac:dyDescent="0.3">
      <c r="A2275" s="4">
        <v>42652</v>
      </c>
      <c r="B2275" s="5" t="s">
        <v>1536</v>
      </c>
      <c r="C2275" s="5" t="s">
        <v>58</v>
      </c>
      <c r="D2275" s="5" t="s">
        <v>30</v>
      </c>
      <c r="E2275" s="5" t="s">
        <v>31</v>
      </c>
      <c r="F2275" s="5" t="s">
        <v>912</v>
      </c>
      <c r="G2275" s="5">
        <v>519.67999999999995</v>
      </c>
      <c r="H2275" s="5">
        <v>7</v>
      </c>
      <c r="I2275" s="6">
        <v>58.46</v>
      </c>
    </row>
    <row r="2276" spans="1:9" x14ac:dyDescent="0.3">
      <c r="A2276" s="1">
        <v>42652</v>
      </c>
      <c r="B2276" s="2" t="s">
        <v>1693</v>
      </c>
      <c r="C2276" s="2" t="s">
        <v>62</v>
      </c>
      <c r="D2276" s="2" t="s">
        <v>2</v>
      </c>
      <c r="E2276" s="2" t="s">
        <v>7</v>
      </c>
      <c r="F2276" s="2" t="s">
        <v>1817</v>
      </c>
      <c r="G2276" s="2">
        <v>7.38</v>
      </c>
      <c r="H2276" s="2">
        <v>2</v>
      </c>
      <c r="I2276" s="3">
        <v>3.47</v>
      </c>
    </row>
    <row r="2277" spans="1:9" x14ac:dyDescent="0.3">
      <c r="A2277" s="4">
        <v>42652</v>
      </c>
      <c r="B2277" s="5" t="s">
        <v>1693</v>
      </c>
      <c r="C2277" s="5" t="s">
        <v>62</v>
      </c>
      <c r="D2277" s="5" t="s">
        <v>2</v>
      </c>
      <c r="E2277" s="5" t="s">
        <v>11</v>
      </c>
      <c r="F2277" s="5" t="s">
        <v>314</v>
      </c>
      <c r="G2277" s="5">
        <v>14.26</v>
      </c>
      <c r="H2277" s="5">
        <v>3</v>
      </c>
      <c r="I2277" s="6">
        <v>4.46</v>
      </c>
    </row>
    <row r="2278" spans="1:9" x14ac:dyDescent="0.3">
      <c r="A2278" s="1">
        <v>42652</v>
      </c>
      <c r="B2278" s="2" t="s">
        <v>1693</v>
      </c>
      <c r="C2278" s="2" t="s">
        <v>62</v>
      </c>
      <c r="D2278" s="2" t="s">
        <v>2</v>
      </c>
      <c r="E2278" s="2" t="s">
        <v>3</v>
      </c>
      <c r="F2278" s="2" t="s">
        <v>248</v>
      </c>
      <c r="G2278" s="2">
        <v>81.98</v>
      </c>
      <c r="H2278" s="2">
        <v>2</v>
      </c>
      <c r="I2278" s="3">
        <v>40.17</v>
      </c>
    </row>
    <row r="2279" spans="1:9" x14ac:dyDescent="0.3">
      <c r="A2279" s="4">
        <v>42652</v>
      </c>
      <c r="B2279" s="5" t="s">
        <v>1693</v>
      </c>
      <c r="C2279" s="5" t="s">
        <v>62</v>
      </c>
      <c r="D2279" s="5" t="s">
        <v>2</v>
      </c>
      <c r="E2279" s="5" t="s">
        <v>11</v>
      </c>
      <c r="F2279" s="5" t="s">
        <v>1740</v>
      </c>
      <c r="G2279" s="5">
        <v>39.619999999999997</v>
      </c>
      <c r="H2279" s="5">
        <v>3</v>
      </c>
      <c r="I2279" s="6">
        <v>13.87</v>
      </c>
    </row>
    <row r="2280" spans="1:9" x14ac:dyDescent="0.3">
      <c r="A2280" s="1">
        <v>42652</v>
      </c>
      <c r="B2280" s="2" t="s">
        <v>1530</v>
      </c>
      <c r="C2280" s="2" t="s">
        <v>18</v>
      </c>
      <c r="D2280" s="2" t="s">
        <v>2</v>
      </c>
      <c r="E2280" s="2" t="s">
        <v>11</v>
      </c>
      <c r="F2280" s="2" t="s">
        <v>1937</v>
      </c>
      <c r="G2280" s="2">
        <v>276.77999999999997</v>
      </c>
      <c r="H2280" s="2">
        <v>2</v>
      </c>
      <c r="I2280" s="3">
        <v>89.95</v>
      </c>
    </row>
    <row r="2281" spans="1:9" x14ac:dyDescent="0.3">
      <c r="A2281" s="4">
        <v>42683</v>
      </c>
      <c r="B2281" s="5" t="s">
        <v>1466</v>
      </c>
      <c r="C2281" s="5" t="s">
        <v>18</v>
      </c>
      <c r="D2281" s="5" t="s">
        <v>2</v>
      </c>
      <c r="E2281" s="5" t="s">
        <v>3</v>
      </c>
      <c r="F2281" s="5" t="s">
        <v>1208</v>
      </c>
      <c r="G2281" s="5">
        <v>7.61</v>
      </c>
      <c r="H2281" s="5">
        <v>1</v>
      </c>
      <c r="I2281" s="6">
        <v>3.58</v>
      </c>
    </row>
    <row r="2282" spans="1:9" x14ac:dyDescent="0.3">
      <c r="A2282" s="1">
        <v>42683</v>
      </c>
      <c r="B2282" s="2" t="s">
        <v>1466</v>
      </c>
      <c r="C2282" s="2" t="s">
        <v>18</v>
      </c>
      <c r="D2282" s="2" t="s">
        <v>30</v>
      </c>
      <c r="E2282" s="2" t="s">
        <v>43</v>
      </c>
      <c r="F2282" s="2" t="s">
        <v>1938</v>
      </c>
      <c r="G2282" s="2">
        <v>3347.37</v>
      </c>
      <c r="H2282" s="2">
        <v>13</v>
      </c>
      <c r="I2282" s="3">
        <v>636</v>
      </c>
    </row>
    <row r="2283" spans="1:9" x14ac:dyDescent="0.3">
      <c r="A2283" s="4">
        <v>42683</v>
      </c>
      <c r="B2283" s="5" t="s">
        <v>313</v>
      </c>
      <c r="C2283" s="5" t="s">
        <v>14</v>
      </c>
      <c r="D2283" s="5" t="s">
        <v>2</v>
      </c>
      <c r="E2283" s="5" t="s">
        <v>3</v>
      </c>
      <c r="F2283" s="5" t="s">
        <v>1939</v>
      </c>
      <c r="G2283" s="5">
        <v>8.4499999999999993</v>
      </c>
      <c r="H2283" s="5">
        <v>2</v>
      </c>
      <c r="I2283" s="6">
        <v>2.64</v>
      </c>
    </row>
    <row r="2284" spans="1:9" x14ac:dyDescent="0.3">
      <c r="A2284" s="1">
        <v>42683</v>
      </c>
      <c r="B2284" s="2" t="s">
        <v>313</v>
      </c>
      <c r="C2284" s="2" t="s">
        <v>14</v>
      </c>
      <c r="D2284" s="2" t="s">
        <v>30</v>
      </c>
      <c r="E2284" s="2" t="s">
        <v>31</v>
      </c>
      <c r="F2284" s="2" t="s">
        <v>781</v>
      </c>
      <c r="G2284" s="2">
        <v>728.95</v>
      </c>
      <c r="H2284" s="2">
        <v>9</v>
      </c>
      <c r="I2284" s="3">
        <v>-157.94</v>
      </c>
    </row>
    <row r="2285" spans="1:9" x14ac:dyDescent="0.3">
      <c r="A2285" s="4">
        <v>42683</v>
      </c>
      <c r="B2285" s="5" t="s">
        <v>519</v>
      </c>
      <c r="C2285" s="5" t="s">
        <v>127</v>
      </c>
      <c r="D2285" s="5" t="s">
        <v>2</v>
      </c>
      <c r="E2285" s="5" t="s">
        <v>11</v>
      </c>
      <c r="F2285" s="5" t="s">
        <v>376</v>
      </c>
      <c r="G2285" s="5">
        <v>22.43</v>
      </c>
      <c r="H2285" s="5">
        <v>3</v>
      </c>
      <c r="I2285" s="6">
        <v>-17.940000000000001</v>
      </c>
    </row>
    <row r="2286" spans="1:9" x14ac:dyDescent="0.3">
      <c r="A2286" s="1">
        <v>42683</v>
      </c>
      <c r="B2286" s="2" t="s">
        <v>519</v>
      </c>
      <c r="C2286" s="2" t="s">
        <v>127</v>
      </c>
      <c r="D2286" s="2" t="s">
        <v>2</v>
      </c>
      <c r="E2286" s="2" t="s">
        <v>9</v>
      </c>
      <c r="F2286" s="2" t="s">
        <v>529</v>
      </c>
      <c r="G2286" s="2">
        <v>37.520000000000003</v>
      </c>
      <c r="H2286" s="2">
        <v>5</v>
      </c>
      <c r="I2286" s="3">
        <v>3.75</v>
      </c>
    </row>
    <row r="2287" spans="1:9" x14ac:dyDescent="0.3">
      <c r="A2287" s="4">
        <v>42683</v>
      </c>
      <c r="B2287" s="5" t="s">
        <v>786</v>
      </c>
      <c r="C2287" s="5" t="s">
        <v>46</v>
      </c>
      <c r="D2287" s="5" t="s">
        <v>30</v>
      </c>
      <c r="E2287" s="5" t="s">
        <v>290</v>
      </c>
      <c r="F2287" s="5" t="s">
        <v>1161</v>
      </c>
      <c r="G2287" s="5">
        <v>1599.92</v>
      </c>
      <c r="H2287" s="5">
        <v>8</v>
      </c>
      <c r="I2287" s="6">
        <v>751.96</v>
      </c>
    </row>
    <row r="2288" spans="1:9" x14ac:dyDescent="0.3">
      <c r="A2288" s="1">
        <v>42683</v>
      </c>
      <c r="B2288" s="2" t="s">
        <v>786</v>
      </c>
      <c r="C2288" s="2" t="s">
        <v>46</v>
      </c>
      <c r="D2288" s="2" t="s">
        <v>2</v>
      </c>
      <c r="E2288" s="2" t="s">
        <v>114</v>
      </c>
      <c r="F2288" s="2" t="s">
        <v>1728</v>
      </c>
      <c r="G2288" s="2">
        <v>11.09</v>
      </c>
      <c r="H2288" s="2">
        <v>1</v>
      </c>
      <c r="I2288" s="3">
        <v>5.43</v>
      </c>
    </row>
    <row r="2289" spans="1:9" x14ac:dyDescent="0.3">
      <c r="A2289" s="4">
        <v>42683</v>
      </c>
      <c r="B2289" s="5" t="s">
        <v>1541</v>
      </c>
      <c r="C2289" s="5" t="s">
        <v>18</v>
      </c>
      <c r="D2289" s="5" t="s">
        <v>2</v>
      </c>
      <c r="E2289" s="5" t="s">
        <v>9</v>
      </c>
      <c r="F2289" s="5" t="s">
        <v>902</v>
      </c>
      <c r="G2289" s="5">
        <v>332.94</v>
      </c>
      <c r="H2289" s="5">
        <v>3</v>
      </c>
      <c r="I2289" s="6">
        <v>6.66</v>
      </c>
    </row>
    <row r="2290" spans="1:9" x14ac:dyDescent="0.3">
      <c r="A2290" s="1">
        <v>42683</v>
      </c>
      <c r="B2290" s="2" t="s">
        <v>1541</v>
      </c>
      <c r="C2290" s="2" t="s">
        <v>18</v>
      </c>
      <c r="D2290" s="2" t="s">
        <v>2</v>
      </c>
      <c r="E2290" s="2" t="s">
        <v>11</v>
      </c>
      <c r="F2290" s="2" t="s">
        <v>376</v>
      </c>
      <c r="G2290" s="2">
        <v>39.869999999999997</v>
      </c>
      <c r="H2290" s="2">
        <v>2</v>
      </c>
      <c r="I2290" s="3">
        <v>12.96</v>
      </c>
    </row>
    <row r="2291" spans="1:9" x14ac:dyDescent="0.3">
      <c r="A2291" s="4">
        <v>42683</v>
      </c>
      <c r="B2291" s="5" t="s">
        <v>559</v>
      </c>
      <c r="C2291" s="5" t="s">
        <v>729</v>
      </c>
      <c r="D2291" s="5" t="s">
        <v>30</v>
      </c>
      <c r="E2291" s="5" t="s">
        <v>31</v>
      </c>
      <c r="F2291" s="5" t="s">
        <v>1669</v>
      </c>
      <c r="G2291" s="5">
        <v>224.75</v>
      </c>
      <c r="H2291" s="5">
        <v>5</v>
      </c>
      <c r="I2291" s="6">
        <v>62.93</v>
      </c>
    </row>
    <row r="2292" spans="1:9" x14ac:dyDescent="0.3">
      <c r="A2292" s="1">
        <v>42683</v>
      </c>
      <c r="B2292" s="2" t="s">
        <v>1526</v>
      </c>
      <c r="C2292" s="2" t="s">
        <v>6</v>
      </c>
      <c r="D2292" s="2" t="s">
        <v>2</v>
      </c>
      <c r="E2292" s="2" t="s">
        <v>7</v>
      </c>
      <c r="F2292" s="2" t="s">
        <v>1222</v>
      </c>
      <c r="G2292" s="2">
        <v>6</v>
      </c>
      <c r="H2292" s="2">
        <v>2</v>
      </c>
      <c r="I2292" s="3">
        <v>2.1</v>
      </c>
    </row>
    <row r="2293" spans="1:9" x14ac:dyDescent="0.3">
      <c r="A2293" s="4">
        <v>42683</v>
      </c>
      <c r="B2293" s="5" t="s">
        <v>1526</v>
      </c>
      <c r="C2293" s="5" t="s">
        <v>6</v>
      </c>
      <c r="D2293" s="5" t="s">
        <v>2</v>
      </c>
      <c r="E2293" s="5" t="s">
        <v>11</v>
      </c>
      <c r="F2293" s="5" t="s">
        <v>1940</v>
      </c>
      <c r="G2293" s="5">
        <v>1.91</v>
      </c>
      <c r="H2293" s="5">
        <v>3</v>
      </c>
      <c r="I2293" s="6">
        <v>-3.24</v>
      </c>
    </row>
    <row r="2294" spans="1:9" x14ac:dyDescent="0.3">
      <c r="A2294" s="1">
        <v>42683</v>
      </c>
      <c r="B2294" s="2" t="s">
        <v>1868</v>
      </c>
      <c r="C2294" s="2" t="s">
        <v>253</v>
      </c>
      <c r="D2294" s="2" t="s">
        <v>2</v>
      </c>
      <c r="E2294" s="2" t="s">
        <v>15</v>
      </c>
      <c r="F2294" s="2" t="s">
        <v>1941</v>
      </c>
      <c r="G2294" s="2">
        <v>2.91</v>
      </c>
      <c r="H2294" s="2">
        <v>2</v>
      </c>
      <c r="I2294" s="3">
        <v>0.91</v>
      </c>
    </row>
    <row r="2295" spans="1:9" x14ac:dyDescent="0.3">
      <c r="A2295" s="4">
        <v>42683</v>
      </c>
      <c r="B2295" s="5" t="s">
        <v>1868</v>
      </c>
      <c r="C2295" s="5" t="s">
        <v>253</v>
      </c>
      <c r="D2295" s="5" t="s">
        <v>2</v>
      </c>
      <c r="E2295" s="5" t="s">
        <v>3</v>
      </c>
      <c r="F2295" s="5" t="s">
        <v>1942</v>
      </c>
      <c r="G2295" s="5">
        <v>20.74</v>
      </c>
      <c r="H2295" s="5">
        <v>4</v>
      </c>
      <c r="I2295" s="6">
        <v>7.26</v>
      </c>
    </row>
    <row r="2296" spans="1:9" x14ac:dyDescent="0.3">
      <c r="A2296" s="1">
        <v>42683</v>
      </c>
      <c r="B2296" s="2" t="s">
        <v>1868</v>
      </c>
      <c r="C2296" s="2" t="s">
        <v>253</v>
      </c>
      <c r="D2296" s="2" t="s">
        <v>2</v>
      </c>
      <c r="E2296" s="2" t="s">
        <v>3</v>
      </c>
      <c r="F2296" s="2" t="s">
        <v>588</v>
      </c>
      <c r="G2296" s="2">
        <v>9.57</v>
      </c>
      <c r="H2296" s="2">
        <v>2</v>
      </c>
      <c r="I2296" s="3">
        <v>2.99</v>
      </c>
    </row>
    <row r="2297" spans="1:9" x14ac:dyDescent="0.3">
      <c r="A2297" s="4">
        <v>42683</v>
      </c>
      <c r="B2297" s="5" t="s">
        <v>982</v>
      </c>
      <c r="C2297" s="5" t="s">
        <v>1</v>
      </c>
      <c r="D2297" s="5" t="s">
        <v>2</v>
      </c>
      <c r="E2297" s="5" t="s">
        <v>114</v>
      </c>
      <c r="F2297" s="5" t="s">
        <v>976</v>
      </c>
      <c r="G2297" s="5">
        <v>99.57</v>
      </c>
      <c r="H2297" s="5">
        <v>2</v>
      </c>
      <c r="I2297" s="6">
        <v>33.6</v>
      </c>
    </row>
    <row r="2298" spans="1:9" x14ac:dyDescent="0.3">
      <c r="A2298" s="1">
        <v>42713</v>
      </c>
      <c r="B2298" s="2" t="s">
        <v>1633</v>
      </c>
      <c r="C2298" s="2" t="s">
        <v>163</v>
      </c>
      <c r="D2298" s="2" t="s">
        <v>25</v>
      </c>
      <c r="E2298" s="2" t="s">
        <v>38</v>
      </c>
      <c r="F2298" s="2" t="s">
        <v>236</v>
      </c>
      <c r="G2298" s="2">
        <v>15.14</v>
      </c>
      <c r="H2298" s="2">
        <v>4</v>
      </c>
      <c r="I2298" s="3">
        <v>3.59</v>
      </c>
    </row>
    <row r="2299" spans="1:9" x14ac:dyDescent="0.3">
      <c r="A2299" s="4">
        <v>42713</v>
      </c>
      <c r="B2299" s="5" t="s">
        <v>1633</v>
      </c>
      <c r="C2299" s="5" t="s">
        <v>163</v>
      </c>
      <c r="D2299" s="5" t="s">
        <v>25</v>
      </c>
      <c r="E2299" s="5" t="s">
        <v>26</v>
      </c>
      <c r="F2299" s="5" t="s">
        <v>1244</v>
      </c>
      <c r="G2299" s="5">
        <v>466.77</v>
      </c>
      <c r="H2299" s="5">
        <v>2</v>
      </c>
      <c r="I2299" s="6">
        <v>52.51</v>
      </c>
    </row>
    <row r="2300" spans="1:9" x14ac:dyDescent="0.3">
      <c r="A2300" s="1">
        <v>42713</v>
      </c>
      <c r="B2300" s="2" t="s">
        <v>1633</v>
      </c>
      <c r="C2300" s="2" t="s">
        <v>163</v>
      </c>
      <c r="D2300" s="2" t="s">
        <v>25</v>
      </c>
      <c r="E2300" s="2" t="s">
        <v>38</v>
      </c>
      <c r="F2300" s="2" t="s">
        <v>1943</v>
      </c>
      <c r="G2300" s="2">
        <v>15.23</v>
      </c>
      <c r="H2300" s="2">
        <v>1</v>
      </c>
      <c r="I2300" s="3">
        <v>1.71</v>
      </c>
    </row>
    <row r="2301" spans="1:9" x14ac:dyDescent="0.3">
      <c r="A2301" s="4">
        <v>42713</v>
      </c>
      <c r="B2301" s="5" t="s">
        <v>1633</v>
      </c>
      <c r="C2301" s="5" t="s">
        <v>163</v>
      </c>
      <c r="D2301" s="5" t="s">
        <v>2</v>
      </c>
      <c r="E2301" s="5" t="s">
        <v>7</v>
      </c>
      <c r="F2301" s="5" t="s">
        <v>961</v>
      </c>
      <c r="G2301" s="5">
        <v>6.26</v>
      </c>
      <c r="H2301" s="5">
        <v>3</v>
      </c>
      <c r="I2301" s="6">
        <v>2.04</v>
      </c>
    </row>
    <row r="2302" spans="1:9" x14ac:dyDescent="0.3">
      <c r="A2302" s="1">
        <v>42713</v>
      </c>
      <c r="B2302" s="2" t="s">
        <v>1093</v>
      </c>
      <c r="C2302" s="2" t="s">
        <v>62</v>
      </c>
      <c r="D2302" s="2" t="s">
        <v>2</v>
      </c>
      <c r="E2302" s="2" t="s">
        <v>34</v>
      </c>
      <c r="F2302" s="2" t="s">
        <v>851</v>
      </c>
      <c r="G2302" s="2">
        <v>10.47</v>
      </c>
      <c r="H2302" s="2">
        <v>3</v>
      </c>
      <c r="I2302" s="3">
        <v>4.82</v>
      </c>
    </row>
    <row r="2303" spans="1:9" x14ac:dyDescent="0.3">
      <c r="A2303" s="4">
        <v>42713</v>
      </c>
      <c r="B2303" s="5" t="s">
        <v>1093</v>
      </c>
      <c r="C2303" s="5" t="s">
        <v>62</v>
      </c>
      <c r="D2303" s="5" t="s">
        <v>2</v>
      </c>
      <c r="E2303" s="5" t="s">
        <v>7</v>
      </c>
      <c r="F2303" s="5" t="s">
        <v>1817</v>
      </c>
      <c r="G2303" s="5">
        <v>11.07</v>
      </c>
      <c r="H2303" s="5">
        <v>3</v>
      </c>
      <c r="I2303" s="6">
        <v>5.2</v>
      </c>
    </row>
    <row r="2304" spans="1:9" x14ac:dyDescent="0.3">
      <c r="A2304" s="1">
        <v>42713</v>
      </c>
      <c r="B2304" s="2" t="s">
        <v>1093</v>
      </c>
      <c r="C2304" s="2" t="s">
        <v>62</v>
      </c>
      <c r="D2304" s="2" t="s">
        <v>2</v>
      </c>
      <c r="E2304" s="2" t="s">
        <v>11</v>
      </c>
      <c r="F2304" s="2" t="s">
        <v>1944</v>
      </c>
      <c r="G2304" s="2">
        <v>20.7</v>
      </c>
      <c r="H2304" s="2">
        <v>4</v>
      </c>
      <c r="I2304" s="3">
        <v>7.76</v>
      </c>
    </row>
    <row r="2305" spans="1:9" x14ac:dyDescent="0.3">
      <c r="A2305" s="4">
        <v>42713</v>
      </c>
      <c r="B2305" s="5" t="s">
        <v>1634</v>
      </c>
      <c r="C2305" s="5" t="s">
        <v>46</v>
      </c>
      <c r="D2305" s="5" t="s">
        <v>30</v>
      </c>
      <c r="E2305" s="5" t="s">
        <v>43</v>
      </c>
      <c r="F2305" s="5" t="s">
        <v>1945</v>
      </c>
      <c r="G2305" s="5">
        <v>20.7</v>
      </c>
      <c r="H2305" s="5">
        <v>3</v>
      </c>
      <c r="I2305" s="6">
        <v>1.66</v>
      </c>
    </row>
    <row r="2306" spans="1:9" x14ac:dyDescent="0.3">
      <c r="A2306" s="1">
        <v>42713</v>
      </c>
      <c r="B2306" s="2" t="s">
        <v>1634</v>
      </c>
      <c r="C2306" s="2" t="s">
        <v>46</v>
      </c>
      <c r="D2306" s="2" t="s">
        <v>2</v>
      </c>
      <c r="E2306" s="2" t="s">
        <v>34</v>
      </c>
      <c r="F2306" s="2" t="s">
        <v>56</v>
      </c>
      <c r="G2306" s="2">
        <v>11.34</v>
      </c>
      <c r="H2306" s="2">
        <v>3</v>
      </c>
      <c r="I2306" s="3">
        <v>5.22</v>
      </c>
    </row>
    <row r="2307" spans="1:9" x14ac:dyDescent="0.3">
      <c r="A2307" s="4">
        <v>42713</v>
      </c>
      <c r="B2307" s="5" t="s">
        <v>1634</v>
      </c>
      <c r="C2307" s="5" t="s">
        <v>46</v>
      </c>
      <c r="D2307" s="5" t="s">
        <v>2</v>
      </c>
      <c r="E2307" s="5" t="s">
        <v>9</v>
      </c>
      <c r="F2307" s="5" t="s">
        <v>1163</v>
      </c>
      <c r="G2307" s="5">
        <v>67.900000000000006</v>
      </c>
      <c r="H2307" s="5">
        <v>5</v>
      </c>
      <c r="I2307" s="6">
        <v>0.68</v>
      </c>
    </row>
    <row r="2308" spans="1:9" x14ac:dyDescent="0.3">
      <c r="A2308" s="1">
        <v>42713</v>
      </c>
      <c r="B2308" s="2" t="s">
        <v>1634</v>
      </c>
      <c r="C2308" s="2" t="s">
        <v>46</v>
      </c>
      <c r="D2308" s="2" t="s">
        <v>25</v>
      </c>
      <c r="E2308" s="2" t="s">
        <v>26</v>
      </c>
      <c r="F2308" s="2" t="s">
        <v>1473</v>
      </c>
      <c r="G2308" s="2">
        <v>1059.1199999999999</v>
      </c>
      <c r="H2308" s="2">
        <v>4</v>
      </c>
      <c r="I2308" s="3">
        <v>307.14</v>
      </c>
    </row>
    <row r="2309" spans="1:9" x14ac:dyDescent="0.3">
      <c r="A2309" s="4">
        <v>42713</v>
      </c>
      <c r="B2309" s="5" t="s">
        <v>1536</v>
      </c>
      <c r="C2309" s="5" t="s">
        <v>160</v>
      </c>
      <c r="D2309" s="5" t="s">
        <v>2</v>
      </c>
      <c r="E2309" s="5" t="s">
        <v>3</v>
      </c>
      <c r="F2309" s="5" t="s">
        <v>1946</v>
      </c>
      <c r="G2309" s="5">
        <v>68.52</v>
      </c>
      <c r="H2309" s="5">
        <v>3</v>
      </c>
      <c r="I2309" s="6">
        <v>31.52</v>
      </c>
    </row>
    <row r="2310" spans="1:9" x14ac:dyDescent="0.3">
      <c r="A2310" s="1">
        <v>42713</v>
      </c>
      <c r="B2310" s="2" t="s">
        <v>1340</v>
      </c>
      <c r="C2310" s="2" t="s">
        <v>163</v>
      </c>
      <c r="D2310" s="2" t="s">
        <v>30</v>
      </c>
      <c r="E2310" s="2" t="s">
        <v>31</v>
      </c>
      <c r="F2310" s="2" t="s">
        <v>977</v>
      </c>
      <c r="G2310" s="2">
        <v>146.94999999999999</v>
      </c>
      <c r="H2310" s="2">
        <v>3</v>
      </c>
      <c r="I2310" s="3">
        <v>9.18</v>
      </c>
    </row>
    <row r="2311" spans="1:9" x14ac:dyDescent="0.3">
      <c r="A2311" s="4">
        <v>42713</v>
      </c>
      <c r="B2311" s="5" t="s">
        <v>1340</v>
      </c>
      <c r="C2311" s="5" t="s">
        <v>163</v>
      </c>
      <c r="D2311" s="5" t="s">
        <v>25</v>
      </c>
      <c r="E2311" s="5" t="s">
        <v>26</v>
      </c>
      <c r="F2311" s="5" t="s">
        <v>1751</v>
      </c>
      <c r="G2311" s="5">
        <v>83.14</v>
      </c>
      <c r="H2311" s="5">
        <v>4</v>
      </c>
      <c r="I2311" s="6">
        <v>5.2</v>
      </c>
    </row>
    <row r="2312" spans="1:9" x14ac:dyDescent="0.3">
      <c r="A2312" s="1">
        <v>42713</v>
      </c>
      <c r="B2312" s="2" t="s">
        <v>1947</v>
      </c>
      <c r="C2312" s="2" t="s">
        <v>80</v>
      </c>
      <c r="D2312" s="2" t="s">
        <v>25</v>
      </c>
      <c r="E2312" s="2" t="s">
        <v>38</v>
      </c>
      <c r="F2312" s="2" t="s">
        <v>1948</v>
      </c>
      <c r="G2312" s="2">
        <v>40.479999999999997</v>
      </c>
      <c r="H2312" s="2">
        <v>2</v>
      </c>
      <c r="I2312" s="3">
        <v>14.57</v>
      </c>
    </row>
    <row r="2313" spans="1:9" x14ac:dyDescent="0.3">
      <c r="A2313" s="4">
        <v>42379</v>
      </c>
      <c r="B2313" s="5" t="s">
        <v>1683</v>
      </c>
      <c r="C2313" s="5" t="s">
        <v>18</v>
      </c>
      <c r="D2313" s="5" t="s">
        <v>25</v>
      </c>
      <c r="E2313" s="5" t="s">
        <v>26</v>
      </c>
      <c r="F2313" s="5" t="s">
        <v>91</v>
      </c>
      <c r="G2313" s="5">
        <v>194.85</v>
      </c>
      <c r="H2313" s="5">
        <v>4</v>
      </c>
      <c r="I2313" s="6">
        <v>12.18</v>
      </c>
    </row>
    <row r="2314" spans="1:9" x14ac:dyDescent="0.3">
      <c r="A2314" s="1">
        <v>42379</v>
      </c>
      <c r="B2314" s="2" t="s">
        <v>710</v>
      </c>
      <c r="C2314" s="2" t="s">
        <v>283</v>
      </c>
      <c r="D2314" s="2" t="s">
        <v>30</v>
      </c>
      <c r="E2314" s="2" t="s">
        <v>31</v>
      </c>
      <c r="F2314" s="2" t="s">
        <v>645</v>
      </c>
      <c r="G2314" s="2">
        <v>69.900000000000006</v>
      </c>
      <c r="H2314" s="2">
        <v>2</v>
      </c>
      <c r="I2314" s="3">
        <v>18.87</v>
      </c>
    </row>
    <row r="2315" spans="1:9" x14ac:dyDescent="0.3">
      <c r="A2315" s="4">
        <v>42379</v>
      </c>
      <c r="B2315" s="5" t="s">
        <v>710</v>
      </c>
      <c r="C2315" s="5" t="s">
        <v>283</v>
      </c>
      <c r="D2315" s="5" t="s">
        <v>25</v>
      </c>
      <c r="E2315" s="5" t="s">
        <v>38</v>
      </c>
      <c r="F2315" s="5" t="s">
        <v>780</v>
      </c>
      <c r="G2315" s="5">
        <v>41.85</v>
      </c>
      <c r="H2315" s="5">
        <v>5</v>
      </c>
      <c r="I2315" s="6">
        <v>10.88</v>
      </c>
    </row>
    <row r="2316" spans="1:9" x14ac:dyDescent="0.3">
      <c r="A2316" s="1">
        <v>42379</v>
      </c>
      <c r="B2316" s="2" t="s">
        <v>339</v>
      </c>
      <c r="C2316" s="2" t="s">
        <v>80</v>
      </c>
      <c r="D2316" s="2" t="s">
        <v>25</v>
      </c>
      <c r="E2316" s="2" t="s">
        <v>86</v>
      </c>
      <c r="F2316" s="2" t="s">
        <v>399</v>
      </c>
      <c r="G2316" s="2">
        <v>330.59</v>
      </c>
      <c r="H2316" s="2">
        <v>1</v>
      </c>
      <c r="I2316" s="3">
        <v>-115.71</v>
      </c>
    </row>
    <row r="2317" spans="1:9" x14ac:dyDescent="0.3">
      <c r="A2317" s="4">
        <v>42379</v>
      </c>
      <c r="B2317" s="5" t="s">
        <v>1949</v>
      </c>
      <c r="C2317" s="5" t="s">
        <v>1</v>
      </c>
      <c r="D2317" s="5" t="s">
        <v>30</v>
      </c>
      <c r="E2317" s="5" t="s">
        <v>43</v>
      </c>
      <c r="F2317" s="5" t="s">
        <v>933</v>
      </c>
      <c r="G2317" s="5">
        <v>79.510000000000005</v>
      </c>
      <c r="H2317" s="5">
        <v>3</v>
      </c>
      <c r="I2317" s="6">
        <v>20.87</v>
      </c>
    </row>
    <row r="2318" spans="1:9" x14ac:dyDescent="0.3">
      <c r="A2318" s="1">
        <v>42379</v>
      </c>
      <c r="B2318" s="2" t="s">
        <v>1949</v>
      </c>
      <c r="C2318" s="2" t="s">
        <v>1</v>
      </c>
      <c r="D2318" s="2" t="s">
        <v>2</v>
      </c>
      <c r="E2318" s="2" t="s">
        <v>3</v>
      </c>
      <c r="F2318" s="2" t="s">
        <v>315</v>
      </c>
      <c r="G2318" s="2">
        <v>28.35</v>
      </c>
      <c r="H2318" s="2">
        <v>1</v>
      </c>
      <c r="I2318" s="3">
        <v>9.57</v>
      </c>
    </row>
    <row r="2319" spans="1:9" x14ac:dyDescent="0.3">
      <c r="A2319" s="4">
        <v>42379</v>
      </c>
      <c r="B2319" s="5" t="s">
        <v>495</v>
      </c>
      <c r="C2319" s="5" t="s">
        <v>58</v>
      </c>
      <c r="D2319" s="5" t="s">
        <v>2</v>
      </c>
      <c r="E2319" s="5" t="s">
        <v>11</v>
      </c>
      <c r="F2319" s="5" t="s">
        <v>201</v>
      </c>
      <c r="G2319" s="5">
        <v>5.39</v>
      </c>
      <c r="H2319" s="5">
        <v>4</v>
      </c>
      <c r="I2319" s="6">
        <v>-4.49</v>
      </c>
    </row>
    <row r="2320" spans="1:9" x14ac:dyDescent="0.3">
      <c r="A2320" s="1">
        <v>42379</v>
      </c>
      <c r="B2320" s="2" t="s">
        <v>495</v>
      </c>
      <c r="C2320" s="2" t="s">
        <v>58</v>
      </c>
      <c r="D2320" s="2" t="s">
        <v>2</v>
      </c>
      <c r="E2320" s="2" t="s">
        <v>15</v>
      </c>
      <c r="F2320" s="2" t="s">
        <v>1599</v>
      </c>
      <c r="G2320" s="2">
        <v>30.98</v>
      </c>
      <c r="H2320" s="2">
        <v>8</v>
      </c>
      <c r="I2320" s="3">
        <v>5.03</v>
      </c>
    </row>
    <row r="2321" spans="1:9" x14ac:dyDescent="0.3">
      <c r="A2321" s="4">
        <v>42410</v>
      </c>
      <c r="B2321" s="5" t="s">
        <v>1950</v>
      </c>
      <c r="C2321" s="5" t="s">
        <v>80</v>
      </c>
      <c r="D2321" s="5" t="s">
        <v>2</v>
      </c>
      <c r="E2321" s="5" t="s">
        <v>133</v>
      </c>
      <c r="F2321" s="5" t="s">
        <v>717</v>
      </c>
      <c r="G2321" s="5">
        <v>61.44</v>
      </c>
      <c r="H2321" s="5">
        <v>3</v>
      </c>
      <c r="I2321" s="6">
        <v>16.59</v>
      </c>
    </row>
    <row r="2322" spans="1:9" x14ac:dyDescent="0.3">
      <c r="A2322" s="1">
        <v>42410</v>
      </c>
      <c r="B2322" s="2" t="s">
        <v>1806</v>
      </c>
      <c r="C2322" s="2" t="s">
        <v>253</v>
      </c>
      <c r="D2322" s="2" t="s">
        <v>2</v>
      </c>
      <c r="E2322" s="2" t="s">
        <v>11</v>
      </c>
      <c r="F2322" s="2" t="s">
        <v>727</v>
      </c>
      <c r="G2322" s="2">
        <v>54.79</v>
      </c>
      <c r="H2322" s="2">
        <v>6</v>
      </c>
      <c r="I2322" s="3">
        <v>-40.18</v>
      </c>
    </row>
    <row r="2323" spans="1:9" x14ac:dyDescent="0.3">
      <c r="A2323" s="4">
        <v>42410</v>
      </c>
      <c r="B2323" s="5" t="s">
        <v>872</v>
      </c>
      <c r="C2323" s="5" t="s">
        <v>283</v>
      </c>
      <c r="D2323" s="5" t="s">
        <v>2</v>
      </c>
      <c r="E2323" s="5" t="s">
        <v>9</v>
      </c>
      <c r="F2323" s="5" t="s">
        <v>81</v>
      </c>
      <c r="G2323" s="5">
        <v>32.479999999999997</v>
      </c>
      <c r="H2323" s="5">
        <v>2</v>
      </c>
      <c r="I2323" s="6">
        <v>4.87</v>
      </c>
    </row>
    <row r="2324" spans="1:9" x14ac:dyDescent="0.3">
      <c r="A2324" s="1">
        <v>42410</v>
      </c>
      <c r="B2324" s="2" t="s">
        <v>872</v>
      </c>
      <c r="C2324" s="2" t="s">
        <v>283</v>
      </c>
      <c r="D2324" s="2" t="s">
        <v>30</v>
      </c>
      <c r="E2324" s="2" t="s">
        <v>290</v>
      </c>
      <c r="F2324" s="2" t="s">
        <v>1951</v>
      </c>
      <c r="G2324" s="2">
        <v>17499.95</v>
      </c>
      <c r="H2324" s="2">
        <v>5</v>
      </c>
      <c r="I2324" s="3">
        <v>8399.98</v>
      </c>
    </row>
    <row r="2325" spans="1:9" x14ac:dyDescent="0.3">
      <c r="A2325" s="4">
        <v>42410</v>
      </c>
      <c r="B2325" s="5" t="s">
        <v>872</v>
      </c>
      <c r="C2325" s="5" t="s">
        <v>283</v>
      </c>
      <c r="D2325" s="5" t="s">
        <v>2</v>
      </c>
      <c r="E2325" s="5" t="s">
        <v>11</v>
      </c>
      <c r="F2325" s="5" t="s">
        <v>586</v>
      </c>
      <c r="G2325" s="5">
        <v>735.98</v>
      </c>
      <c r="H2325" s="5">
        <v>2</v>
      </c>
      <c r="I2325" s="6">
        <v>331.19</v>
      </c>
    </row>
    <row r="2326" spans="1:9" x14ac:dyDescent="0.3">
      <c r="A2326" s="1">
        <v>42410</v>
      </c>
      <c r="B2326" s="2" t="s">
        <v>872</v>
      </c>
      <c r="C2326" s="2" t="s">
        <v>283</v>
      </c>
      <c r="D2326" s="2" t="s">
        <v>2</v>
      </c>
      <c r="E2326" s="2" t="s">
        <v>11</v>
      </c>
      <c r="F2326" s="2" t="s">
        <v>833</v>
      </c>
      <c r="G2326" s="2">
        <v>34.369999999999997</v>
      </c>
      <c r="H2326" s="2">
        <v>7</v>
      </c>
      <c r="I2326" s="3">
        <v>16.84</v>
      </c>
    </row>
    <row r="2327" spans="1:9" x14ac:dyDescent="0.3">
      <c r="A2327" s="4">
        <v>42410</v>
      </c>
      <c r="B2327" s="5" t="s">
        <v>872</v>
      </c>
      <c r="C2327" s="5" t="s">
        <v>283</v>
      </c>
      <c r="D2327" s="5" t="s">
        <v>2</v>
      </c>
      <c r="E2327" s="5" t="s">
        <v>15</v>
      </c>
      <c r="F2327" s="5" t="s">
        <v>1952</v>
      </c>
      <c r="G2327" s="5">
        <v>33.96</v>
      </c>
      <c r="H2327" s="5">
        <v>2</v>
      </c>
      <c r="I2327" s="6">
        <v>9.51</v>
      </c>
    </row>
    <row r="2328" spans="1:9" x14ac:dyDescent="0.3">
      <c r="A2328" s="1">
        <v>42439</v>
      </c>
      <c r="B2328" s="2" t="s">
        <v>356</v>
      </c>
      <c r="C2328" s="2" t="s">
        <v>1</v>
      </c>
      <c r="D2328" s="2" t="s">
        <v>2</v>
      </c>
      <c r="E2328" s="2" t="s">
        <v>114</v>
      </c>
      <c r="F2328" s="2" t="s">
        <v>115</v>
      </c>
      <c r="G2328" s="2">
        <v>15.65</v>
      </c>
      <c r="H2328" s="2">
        <v>2</v>
      </c>
      <c r="I2328" s="3">
        <v>5.09</v>
      </c>
    </row>
    <row r="2329" spans="1:9" x14ac:dyDescent="0.3">
      <c r="A2329" s="4">
        <v>42439</v>
      </c>
      <c r="B2329" s="5" t="s">
        <v>311</v>
      </c>
      <c r="C2329" s="5" t="s">
        <v>80</v>
      </c>
      <c r="D2329" s="5" t="s">
        <v>25</v>
      </c>
      <c r="E2329" s="5" t="s">
        <v>26</v>
      </c>
      <c r="F2329" s="5" t="s">
        <v>1953</v>
      </c>
      <c r="G2329" s="5">
        <v>599.29</v>
      </c>
      <c r="H2329" s="5">
        <v>6</v>
      </c>
      <c r="I2329" s="6">
        <v>93.22</v>
      </c>
    </row>
    <row r="2330" spans="1:9" x14ac:dyDescent="0.3">
      <c r="A2330" s="1">
        <v>42439</v>
      </c>
      <c r="B2330" s="2" t="s">
        <v>1087</v>
      </c>
      <c r="C2330" s="2" t="s">
        <v>1</v>
      </c>
      <c r="D2330" s="2" t="s">
        <v>25</v>
      </c>
      <c r="E2330" s="2" t="s">
        <v>38</v>
      </c>
      <c r="F2330" s="2" t="s">
        <v>1943</v>
      </c>
      <c r="G2330" s="2">
        <v>38.08</v>
      </c>
      <c r="H2330" s="2">
        <v>5</v>
      </c>
      <c r="I2330" s="3">
        <v>-29.51</v>
      </c>
    </row>
    <row r="2331" spans="1:9" x14ac:dyDescent="0.3">
      <c r="A2331" s="4">
        <v>42439</v>
      </c>
      <c r="B2331" s="5" t="s">
        <v>1710</v>
      </c>
      <c r="C2331" s="5" t="s">
        <v>18</v>
      </c>
      <c r="D2331" s="5" t="s">
        <v>2</v>
      </c>
      <c r="E2331" s="5" t="s">
        <v>7</v>
      </c>
      <c r="F2331" s="5" t="s">
        <v>754</v>
      </c>
      <c r="G2331" s="5">
        <v>6.16</v>
      </c>
      <c r="H2331" s="5">
        <v>2</v>
      </c>
      <c r="I2331" s="6">
        <v>2.96</v>
      </c>
    </row>
    <row r="2332" spans="1:9" x14ac:dyDescent="0.3">
      <c r="A2332" s="1">
        <v>42439</v>
      </c>
      <c r="B2332" s="2" t="s">
        <v>1710</v>
      </c>
      <c r="C2332" s="2" t="s">
        <v>18</v>
      </c>
      <c r="D2332" s="2" t="s">
        <v>25</v>
      </c>
      <c r="E2332" s="2" t="s">
        <v>26</v>
      </c>
      <c r="F2332" s="2" t="s">
        <v>27</v>
      </c>
      <c r="G2332" s="2">
        <v>915.14</v>
      </c>
      <c r="H2332" s="2">
        <v>4</v>
      </c>
      <c r="I2332" s="3">
        <v>102.95</v>
      </c>
    </row>
    <row r="2333" spans="1:9" x14ac:dyDescent="0.3">
      <c r="A2333" s="4">
        <v>42439</v>
      </c>
      <c r="B2333" s="5" t="s">
        <v>1710</v>
      </c>
      <c r="C2333" s="5" t="s">
        <v>18</v>
      </c>
      <c r="D2333" s="5" t="s">
        <v>2</v>
      </c>
      <c r="E2333" s="5" t="s">
        <v>3</v>
      </c>
      <c r="F2333" s="5" t="s">
        <v>1932</v>
      </c>
      <c r="G2333" s="5">
        <v>8.56</v>
      </c>
      <c r="H2333" s="5">
        <v>2</v>
      </c>
      <c r="I2333" s="6">
        <v>3.85</v>
      </c>
    </row>
    <row r="2334" spans="1:9" x14ac:dyDescent="0.3">
      <c r="A2334" s="1">
        <v>42439</v>
      </c>
      <c r="B2334" s="2" t="s">
        <v>1710</v>
      </c>
      <c r="C2334" s="2" t="s">
        <v>18</v>
      </c>
      <c r="D2334" s="2" t="s">
        <v>2</v>
      </c>
      <c r="E2334" s="2" t="s">
        <v>3</v>
      </c>
      <c r="F2334" s="2" t="s">
        <v>147</v>
      </c>
      <c r="G2334" s="2">
        <v>97.82</v>
      </c>
      <c r="H2334" s="2">
        <v>2</v>
      </c>
      <c r="I2334" s="3">
        <v>45.98</v>
      </c>
    </row>
    <row r="2335" spans="1:9" x14ac:dyDescent="0.3">
      <c r="A2335" s="4">
        <v>42470</v>
      </c>
      <c r="B2335" s="5" t="s">
        <v>1918</v>
      </c>
      <c r="C2335" s="5" t="s">
        <v>1</v>
      </c>
      <c r="D2335" s="5" t="s">
        <v>2</v>
      </c>
      <c r="E2335" s="5" t="s">
        <v>114</v>
      </c>
      <c r="F2335" s="5" t="s">
        <v>1954</v>
      </c>
      <c r="G2335" s="5">
        <v>59.75</v>
      </c>
      <c r="H2335" s="5">
        <v>7</v>
      </c>
      <c r="I2335" s="6">
        <v>19.420000000000002</v>
      </c>
    </row>
    <row r="2336" spans="1:9" x14ac:dyDescent="0.3">
      <c r="A2336" s="1">
        <v>42470</v>
      </c>
      <c r="B2336" s="2" t="s">
        <v>1343</v>
      </c>
      <c r="C2336" s="2" t="s">
        <v>1300</v>
      </c>
      <c r="D2336" s="2" t="s">
        <v>2</v>
      </c>
      <c r="E2336" s="2" t="s">
        <v>11</v>
      </c>
      <c r="F2336" s="2" t="s">
        <v>1955</v>
      </c>
      <c r="G2336" s="2">
        <v>30.4</v>
      </c>
      <c r="H2336" s="2">
        <v>1</v>
      </c>
      <c r="I2336" s="3">
        <v>13.98</v>
      </c>
    </row>
    <row r="2337" spans="1:9" x14ac:dyDescent="0.3">
      <c r="A2337" s="4">
        <v>42470</v>
      </c>
      <c r="B2337" s="5" t="s">
        <v>1343</v>
      </c>
      <c r="C2337" s="5" t="s">
        <v>1300</v>
      </c>
      <c r="D2337" s="5" t="s">
        <v>30</v>
      </c>
      <c r="E2337" s="5" t="s">
        <v>290</v>
      </c>
      <c r="F2337" s="5" t="s">
        <v>326</v>
      </c>
      <c r="G2337" s="5">
        <v>5399.91</v>
      </c>
      <c r="H2337" s="5">
        <v>9</v>
      </c>
      <c r="I2337" s="6">
        <v>2591.96</v>
      </c>
    </row>
    <row r="2338" spans="1:9" x14ac:dyDescent="0.3">
      <c r="A2338" s="1">
        <v>42470</v>
      </c>
      <c r="B2338" s="2" t="s">
        <v>1343</v>
      </c>
      <c r="C2338" s="2" t="s">
        <v>1300</v>
      </c>
      <c r="D2338" s="2" t="s">
        <v>2</v>
      </c>
      <c r="E2338" s="2" t="s">
        <v>9</v>
      </c>
      <c r="F2338" s="2" t="s">
        <v>1956</v>
      </c>
      <c r="G2338" s="2">
        <v>119.1</v>
      </c>
      <c r="H2338" s="2">
        <v>3</v>
      </c>
      <c r="I2338" s="3">
        <v>34.54</v>
      </c>
    </row>
    <row r="2339" spans="1:9" x14ac:dyDescent="0.3">
      <c r="A2339" s="4">
        <v>42470</v>
      </c>
      <c r="B2339" s="5" t="s">
        <v>41</v>
      </c>
      <c r="C2339" s="5" t="s">
        <v>958</v>
      </c>
      <c r="D2339" s="5" t="s">
        <v>25</v>
      </c>
      <c r="E2339" s="5" t="s">
        <v>86</v>
      </c>
      <c r="F2339" s="5" t="s">
        <v>1957</v>
      </c>
      <c r="G2339" s="5">
        <v>239.37</v>
      </c>
      <c r="H2339" s="5">
        <v>2</v>
      </c>
      <c r="I2339" s="6">
        <v>-23.94</v>
      </c>
    </row>
    <row r="2340" spans="1:9" x14ac:dyDescent="0.3">
      <c r="A2340" s="1">
        <v>42470</v>
      </c>
      <c r="B2340" s="2" t="s">
        <v>190</v>
      </c>
      <c r="C2340" s="2" t="s">
        <v>58</v>
      </c>
      <c r="D2340" s="2" t="s">
        <v>30</v>
      </c>
      <c r="E2340" s="2" t="s">
        <v>31</v>
      </c>
      <c r="F2340" s="2" t="s">
        <v>997</v>
      </c>
      <c r="G2340" s="2">
        <v>52.68</v>
      </c>
      <c r="H2340" s="2">
        <v>3</v>
      </c>
      <c r="I2340" s="3">
        <v>19.760000000000002</v>
      </c>
    </row>
    <row r="2341" spans="1:9" x14ac:dyDescent="0.3">
      <c r="A2341" s="4">
        <v>42470</v>
      </c>
      <c r="B2341" s="5" t="s">
        <v>190</v>
      </c>
      <c r="C2341" s="5" t="s">
        <v>58</v>
      </c>
      <c r="D2341" s="5" t="s">
        <v>25</v>
      </c>
      <c r="E2341" s="5" t="s">
        <v>38</v>
      </c>
      <c r="F2341" s="5" t="s">
        <v>1958</v>
      </c>
      <c r="G2341" s="5">
        <v>11.57</v>
      </c>
      <c r="H2341" s="5">
        <v>3</v>
      </c>
      <c r="I2341" s="6">
        <v>2.6</v>
      </c>
    </row>
    <row r="2342" spans="1:9" x14ac:dyDescent="0.3">
      <c r="A2342" s="1">
        <v>42531</v>
      </c>
      <c r="B2342" s="2" t="s">
        <v>1242</v>
      </c>
      <c r="C2342" s="2" t="s">
        <v>640</v>
      </c>
      <c r="D2342" s="2" t="s">
        <v>2</v>
      </c>
      <c r="E2342" s="2" t="s">
        <v>11</v>
      </c>
      <c r="F2342" s="2" t="s">
        <v>1179</v>
      </c>
      <c r="G2342" s="2">
        <v>28.85</v>
      </c>
      <c r="H2342" s="2">
        <v>5</v>
      </c>
      <c r="I2342" s="3">
        <v>14.43</v>
      </c>
    </row>
    <row r="2343" spans="1:9" x14ac:dyDescent="0.3">
      <c r="A2343" s="4">
        <v>42531</v>
      </c>
      <c r="B2343" s="5" t="s">
        <v>1890</v>
      </c>
      <c r="C2343" s="5" t="s">
        <v>163</v>
      </c>
      <c r="D2343" s="5" t="s">
        <v>30</v>
      </c>
      <c r="E2343" s="5" t="s">
        <v>625</v>
      </c>
      <c r="F2343" s="5" t="s">
        <v>1959</v>
      </c>
      <c r="G2343" s="5">
        <v>703.71</v>
      </c>
      <c r="H2343" s="5">
        <v>6</v>
      </c>
      <c r="I2343" s="6">
        <v>-938.28</v>
      </c>
    </row>
    <row r="2344" spans="1:9" x14ac:dyDescent="0.3">
      <c r="A2344" s="1">
        <v>42531</v>
      </c>
      <c r="B2344" s="2" t="s">
        <v>1890</v>
      </c>
      <c r="C2344" s="2" t="s">
        <v>163</v>
      </c>
      <c r="D2344" s="2" t="s">
        <v>2</v>
      </c>
      <c r="E2344" s="2" t="s">
        <v>11</v>
      </c>
      <c r="F2344" s="2" t="s">
        <v>1912</v>
      </c>
      <c r="G2344" s="2">
        <v>17.899999999999999</v>
      </c>
      <c r="H2344" s="2">
        <v>4</v>
      </c>
      <c r="I2344" s="3">
        <v>-14.92</v>
      </c>
    </row>
    <row r="2345" spans="1:9" x14ac:dyDescent="0.3">
      <c r="A2345" s="4">
        <v>42531</v>
      </c>
      <c r="B2345" s="5" t="s">
        <v>1890</v>
      </c>
      <c r="C2345" s="5" t="s">
        <v>163</v>
      </c>
      <c r="D2345" s="5" t="s">
        <v>2</v>
      </c>
      <c r="E2345" s="5" t="s">
        <v>11</v>
      </c>
      <c r="F2345" s="5" t="s">
        <v>1960</v>
      </c>
      <c r="G2345" s="5">
        <v>11.98</v>
      </c>
      <c r="H2345" s="5">
        <v>4</v>
      </c>
      <c r="I2345" s="6">
        <v>-9.18</v>
      </c>
    </row>
    <row r="2346" spans="1:9" x14ac:dyDescent="0.3">
      <c r="A2346" s="1">
        <v>42531</v>
      </c>
      <c r="B2346" s="2" t="s">
        <v>1890</v>
      </c>
      <c r="C2346" s="2" t="s">
        <v>163</v>
      </c>
      <c r="D2346" s="2" t="s">
        <v>30</v>
      </c>
      <c r="E2346" s="2" t="s">
        <v>43</v>
      </c>
      <c r="F2346" s="2" t="s">
        <v>1601</v>
      </c>
      <c r="G2346" s="2">
        <v>67.959999999999994</v>
      </c>
      <c r="H2346" s="2">
        <v>5</v>
      </c>
      <c r="I2346" s="3">
        <v>0.85</v>
      </c>
    </row>
    <row r="2347" spans="1:9" x14ac:dyDescent="0.3">
      <c r="A2347" s="4">
        <v>42561</v>
      </c>
      <c r="B2347" s="5" t="s">
        <v>995</v>
      </c>
      <c r="C2347" s="5" t="s">
        <v>18</v>
      </c>
      <c r="D2347" s="5" t="s">
        <v>2</v>
      </c>
      <c r="E2347" s="5" t="s">
        <v>11</v>
      </c>
      <c r="F2347" s="5" t="s">
        <v>1279</v>
      </c>
      <c r="G2347" s="5">
        <v>27.26</v>
      </c>
      <c r="H2347" s="5">
        <v>2</v>
      </c>
      <c r="I2347" s="6">
        <v>8.86</v>
      </c>
    </row>
    <row r="2348" spans="1:9" x14ac:dyDescent="0.3">
      <c r="A2348" s="1">
        <v>42561</v>
      </c>
      <c r="B2348" s="2" t="s">
        <v>1961</v>
      </c>
      <c r="C2348" s="2" t="s">
        <v>62</v>
      </c>
      <c r="D2348" s="2" t="s">
        <v>30</v>
      </c>
      <c r="E2348" s="2" t="s">
        <v>625</v>
      </c>
      <c r="F2348" s="2" t="s">
        <v>1298</v>
      </c>
      <c r="G2348" s="2">
        <v>837.6</v>
      </c>
      <c r="H2348" s="2">
        <v>3</v>
      </c>
      <c r="I2348" s="3">
        <v>62.82</v>
      </c>
    </row>
    <row r="2349" spans="1:9" x14ac:dyDescent="0.3">
      <c r="A2349" s="4">
        <v>42561</v>
      </c>
      <c r="B2349" s="5" t="s">
        <v>1748</v>
      </c>
      <c r="C2349" s="5" t="s">
        <v>18</v>
      </c>
      <c r="D2349" s="5" t="s">
        <v>2</v>
      </c>
      <c r="E2349" s="5" t="s">
        <v>3</v>
      </c>
      <c r="F2349" s="5" t="s">
        <v>1007</v>
      </c>
      <c r="G2349" s="5">
        <v>10.56</v>
      </c>
      <c r="H2349" s="5">
        <v>2</v>
      </c>
      <c r="I2349" s="6">
        <v>5.07</v>
      </c>
    </row>
    <row r="2350" spans="1:9" x14ac:dyDescent="0.3">
      <c r="A2350" s="1">
        <v>42561</v>
      </c>
      <c r="B2350" s="2" t="s">
        <v>1828</v>
      </c>
      <c r="C2350" s="2" t="s">
        <v>14</v>
      </c>
      <c r="D2350" s="2" t="s">
        <v>2</v>
      </c>
      <c r="E2350" s="2" t="s">
        <v>7</v>
      </c>
      <c r="F2350" s="2" t="s">
        <v>1962</v>
      </c>
      <c r="G2350" s="2">
        <v>4.93</v>
      </c>
      <c r="H2350" s="2">
        <v>2</v>
      </c>
      <c r="I2350" s="3">
        <v>1.72</v>
      </c>
    </row>
    <row r="2351" spans="1:9" x14ac:dyDescent="0.3">
      <c r="A2351" s="4">
        <v>42561</v>
      </c>
      <c r="B2351" s="5" t="s">
        <v>1149</v>
      </c>
      <c r="C2351" s="5" t="s">
        <v>62</v>
      </c>
      <c r="D2351" s="5" t="s">
        <v>2</v>
      </c>
      <c r="E2351" s="5" t="s">
        <v>34</v>
      </c>
      <c r="F2351" s="5" t="s">
        <v>35</v>
      </c>
      <c r="G2351" s="5">
        <v>93.36</v>
      </c>
      <c r="H2351" s="5">
        <v>12</v>
      </c>
      <c r="I2351" s="6">
        <v>0.93</v>
      </c>
    </row>
    <row r="2352" spans="1:9" x14ac:dyDescent="0.3">
      <c r="A2352" s="1">
        <v>42592</v>
      </c>
      <c r="B2352" s="2" t="s">
        <v>1963</v>
      </c>
      <c r="C2352" s="2" t="s">
        <v>1</v>
      </c>
      <c r="D2352" s="2" t="s">
        <v>25</v>
      </c>
      <c r="E2352" s="2" t="s">
        <v>38</v>
      </c>
      <c r="F2352" s="2" t="s">
        <v>1470</v>
      </c>
      <c r="G2352" s="2">
        <v>51.71</v>
      </c>
      <c r="H2352" s="2">
        <v>8</v>
      </c>
      <c r="I2352" s="3">
        <v>-32.32</v>
      </c>
    </row>
    <row r="2353" spans="1:9" x14ac:dyDescent="0.3">
      <c r="A2353" s="4">
        <v>42592</v>
      </c>
      <c r="B2353" s="5" t="s">
        <v>1964</v>
      </c>
      <c r="C2353" s="5" t="s">
        <v>18</v>
      </c>
      <c r="D2353" s="5" t="s">
        <v>2</v>
      </c>
      <c r="E2353" s="5" t="s">
        <v>3</v>
      </c>
      <c r="F2353" s="5" t="s">
        <v>1841</v>
      </c>
      <c r="G2353" s="5">
        <v>61.96</v>
      </c>
      <c r="H2353" s="5">
        <v>2</v>
      </c>
      <c r="I2353" s="6">
        <v>27.88</v>
      </c>
    </row>
    <row r="2354" spans="1:9" x14ac:dyDescent="0.3">
      <c r="A2354" s="1">
        <v>42592</v>
      </c>
      <c r="B2354" s="2" t="s">
        <v>1965</v>
      </c>
      <c r="C2354" s="2" t="s">
        <v>1</v>
      </c>
      <c r="D2354" s="2" t="s">
        <v>2</v>
      </c>
      <c r="E2354" s="2" t="s">
        <v>7</v>
      </c>
      <c r="F2354" s="2" t="s">
        <v>1317</v>
      </c>
      <c r="G2354" s="2">
        <v>60.14</v>
      </c>
      <c r="H2354" s="2">
        <v>6</v>
      </c>
      <c r="I2354" s="3">
        <v>20.3</v>
      </c>
    </row>
    <row r="2355" spans="1:9" x14ac:dyDescent="0.3">
      <c r="A2355" s="4">
        <v>42592</v>
      </c>
      <c r="B2355" s="5" t="s">
        <v>1342</v>
      </c>
      <c r="C2355" s="5" t="s">
        <v>121</v>
      </c>
      <c r="D2355" s="5" t="s">
        <v>2</v>
      </c>
      <c r="E2355" s="5" t="s">
        <v>9</v>
      </c>
      <c r="F2355" s="5" t="s">
        <v>1966</v>
      </c>
      <c r="G2355" s="5">
        <v>387.72</v>
      </c>
      <c r="H2355" s="5">
        <v>5</v>
      </c>
      <c r="I2355" s="6">
        <v>-67.849999999999994</v>
      </c>
    </row>
    <row r="2356" spans="1:9" x14ac:dyDescent="0.3">
      <c r="A2356" s="1">
        <v>42623</v>
      </c>
      <c r="B2356" s="2" t="s">
        <v>1424</v>
      </c>
      <c r="C2356" s="2" t="s">
        <v>127</v>
      </c>
      <c r="D2356" s="2" t="s">
        <v>30</v>
      </c>
      <c r="E2356" s="2" t="s">
        <v>31</v>
      </c>
      <c r="F2356" s="2" t="s">
        <v>1664</v>
      </c>
      <c r="G2356" s="2">
        <v>23.98</v>
      </c>
      <c r="H2356" s="2">
        <v>4</v>
      </c>
      <c r="I2356" s="3">
        <v>-15.58</v>
      </c>
    </row>
    <row r="2357" spans="1:9" x14ac:dyDescent="0.3">
      <c r="A2357" s="4">
        <v>42623</v>
      </c>
      <c r="B2357" s="5" t="s">
        <v>1967</v>
      </c>
      <c r="C2357" s="5" t="s">
        <v>14</v>
      </c>
      <c r="D2357" s="5" t="s">
        <v>2</v>
      </c>
      <c r="E2357" s="5" t="s">
        <v>3</v>
      </c>
      <c r="F2357" s="5" t="s">
        <v>189</v>
      </c>
      <c r="G2357" s="5">
        <v>19.14</v>
      </c>
      <c r="H2357" s="5">
        <v>4</v>
      </c>
      <c r="I2357" s="6">
        <v>5.98</v>
      </c>
    </row>
    <row r="2358" spans="1:9" x14ac:dyDescent="0.3">
      <c r="A2358" s="1">
        <v>42623</v>
      </c>
      <c r="B2358" s="2" t="s">
        <v>1967</v>
      </c>
      <c r="C2358" s="2" t="s">
        <v>14</v>
      </c>
      <c r="D2358" s="2" t="s">
        <v>25</v>
      </c>
      <c r="E2358" s="2" t="s">
        <v>38</v>
      </c>
      <c r="F2358" s="2" t="s">
        <v>1968</v>
      </c>
      <c r="G2358" s="2">
        <v>332.83</v>
      </c>
      <c r="H2358" s="2">
        <v>4</v>
      </c>
      <c r="I2358" s="3">
        <v>-24.96</v>
      </c>
    </row>
    <row r="2359" spans="1:9" x14ac:dyDescent="0.3">
      <c r="A2359" s="4">
        <v>42623</v>
      </c>
      <c r="B2359" s="5" t="s">
        <v>1508</v>
      </c>
      <c r="C2359" s="5" t="s">
        <v>253</v>
      </c>
      <c r="D2359" s="5" t="s">
        <v>2</v>
      </c>
      <c r="E2359" s="5" t="s">
        <v>15</v>
      </c>
      <c r="F2359" s="5" t="s">
        <v>1064</v>
      </c>
      <c r="G2359" s="5">
        <v>1.41</v>
      </c>
      <c r="H2359" s="5">
        <v>1</v>
      </c>
      <c r="I2359" s="6">
        <v>0.16</v>
      </c>
    </row>
    <row r="2360" spans="1:9" x14ac:dyDescent="0.3">
      <c r="A2360" s="1">
        <v>42623</v>
      </c>
      <c r="B2360" s="2" t="s">
        <v>1508</v>
      </c>
      <c r="C2360" s="2" t="s">
        <v>253</v>
      </c>
      <c r="D2360" s="2" t="s">
        <v>25</v>
      </c>
      <c r="E2360" s="2" t="s">
        <v>38</v>
      </c>
      <c r="F2360" s="2" t="s">
        <v>1775</v>
      </c>
      <c r="G2360" s="2">
        <v>169.57</v>
      </c>
      <c r="H2360" s="2">
        <v>2</v>
      </c>
      <c r="I2360" s="3">
        <v>0</v>
      </c>
    </row>
    <row r="2361" spans="1:9" x14ac:dyDescent="0.3">
      <c r="A2361" s="4">
        <v>42653</v>
      </c>
      <c r="B2361" s="5" t="s">
        <v>1632</v>
      </c>
      <c r="C2361" s="5" t="s">
        <v>121</v>
      </c>
      <c r="D2361" s="5" t="s">
        <v>2</v>
      </c>
      <c r="E2361" s="5" t="s">
        <v>144</v>
      </c>
      <c r="F2361" s="5" t="s">
        <v>228</v>
      </c>
      <c r="G2361" s="5">
        <v>20.61</v>
      </c>
      <c r="H2361" s="5">
        <v>2</v>
      </c>
      <c r="I2361" s="6">
        <v>-4.38</v>
      </c>
    </row>
    <row r="2362" spans="1:9" x14ac:dyDescent="0.3">
      <c r="A2362" s="1">
        <v>42653</v>
      </c>
      <c r="B2362" s="2" t="s">
        <v>1632</v>
      </c>
      <c r="C2362" s="2" t="s">
        <v>121</v>
      </c>
      <c r="D2362" s="2" t="s">
        <v>2</v>
      </c>
      <c r="E2362" s="2" t="s">
        <v>11</v>
      </c>
      <c r="F2362" s="2" t="s">
        <v>404</v>
      </c>
      <c r="G2362" s="2">
        <v>4.0999999999999996</v>
      </c>
      <c r="H2362" s="2">
        <v>3</v>
      </c>
      <c r="I2362" s="3">
        <v>-2.73</v>
      </c>
    </row>
    <row r="2363" spans="1:9" x14ac:dyDescent="0.3">
      <c r="A2363" s="4">
        <v>42653</v>
      </c>
      <c r="B2363" s="5" t="s">
        <v>1383</v>
      </c>
      <c r="C2363" s="5" t="s">
        <v>163</v>
      </c>
      <c r="D2363" s="5" t="s">
        <v>25</v>
      </c>
      <c r="E2363" s="5" t="s">
        <v>129</v>
      </c>
      <c r="F2363" s="5" t="s">
        <v>1969</v>
      </c>
      <c r="G2363" s="5">
        <v>90.88</v>
      </c>
      <c r="H2363" s="5">
        <v>3</v>
      </c>
      <c r="I2363" s="6">
        <v>-190.85</v>
      </c>
    </row>
    <row r="2364" spans="1:9" x14ac:dyDescent="0.3">
      <c r="A2364" s="1">
        <v>42653</v>
      </c>
      <c r="B2364" s="2" t="s">
        <v>1383</v>
      </c>
      <c r="C2364" s="2" t="s">
        <v>163</v>
      </c>
      <c r="D2364" s="2" t="s">
        <v>30</v>
      </c>
      <c r="E2364" s="2" t="s">
        <v>31</v>
      </c>
      <c r="F2364" s="2" t="s">
        <v>777</v>
      </c>
      <c r="G2364" s="2">
        <v>15.99</v>
      </c>
      <c r="H2364" s="2">
        <v>1</v>
      </c>
      <c r="I2364" s="3">
        <v>-3</v>
      </c>
    </row>
    <row r="2365" spans="1:9" x14ac:dyDescent="0.3">
      <c r="A2365" s="4">
        <v>42653</v>
      </c>
      <c r="B2365" s="5" t="s">
        <v>1383</v>
      </c>
      <c r="C2365" s="5" t="s">
        <v>163</v>
      </c>
      <c r="D2365" s="5" t="s">
        <v>25</v>
      </c>
      <c r="E2365" s="5" t="s">
        <v>26</v>
      </c>
      <c r="F2365" s="5" t="s">
        <v>1970</v>
      </c>
      <c r="G2365" s="5">
        <v>120.78</v>
      </c>
      <c r="H2365" s="5">
        <v>1</v>
      </c>
      <c r="I2365" s="6">
        <v>13.59</v>
      </c>
    </row>
    <row r="2366" spans="1:9" x14ac:dyDescent="0.3">
      <c r="A2366" s="1">
        <v>42653</v>
      </c>
      <c r="B2366" s="2" t="s">
        <v>854</v>
      </c>
      <c r="C2366" s="2" t="s">
        <v>1</v>
      </c>
      <c r="D2366" s="2" t="s">
        <v>25</v>
      </c>
      <c r="E2366" s="2" t="s">
        <v>38</v>
      </c>
      <c r="F2366" s="2" t="s">
        <v>1971</v>
      </c>
      <c r="G2366" s="2">
        <v>14</v>
      </c>
      <c r="H2366" s="2">
        <v>4</v>
      </c>
      <c r="I2366" s="3">
        <v>-6.3</v>
      </c>
    </row>
    <row r="2367" spans="1:9" x14ac:dyDescent="0.3">
      <c r="A2367" s="4">
        <v>42653</v>
      </c>
      <c r="B2367" s="5" t="s">
        <v>854</v>
      </c>
      <c r="C2367" s="5" t="s">
        <v>1</v>
      </c>
      <c r="D2367" s="5" t="s">
        <v>2</v>
      </c>
      <c r="E2367" s="5" t="s">
        <v>11</v>
      </c>
      <c r="F2367" s="5" t="s">
        <v>472</v>
      </c>
      <c r="G2367" s="5">
        <v>16.39</v>
      </c>
      <c r="H2367" s="5">
        <v>2</v>
      </c>
      <c r="I2367" s="6">
        <v>-26.23</v>
      </c>
    </row>
    <row r="2368" spans="1:9" x14ac:dyDescent="0.3">
      <c r="A2368" s="1">
        <v>42684</v>
      </c>
      <c r="B2368" s="2" t="s">
        <v>463</v>
      </c>
      <c r="C2368" s="2" t="s">
        <v>6</v>
      </c>
      <c r="D2368" s="2" t="s">
        <v>2</v>
      </c>
      <c r="E2368" s="2" t="s">
        <v>15</v>
      </c>
      <c r="F2368" s="2" t="s">
        <v>932</v>
      </c>
      <c r="G2368" s="2">
        <v>5.34</v>
      </c>
      <c r="H2368" s="2">
        <v>2</v>
      </c>
      <c r="I2368" s="3">
        <v>0.67</v>
      </c>
    </row>
    <row r="2369" spans="1:9" x14ac:dyDescent="0.3">
      <c r="A2369" s="4">
        <v>42684</v>
      </c>
      <c r="B2369" s="5" t="s">
        <v>463</v>
      </c>
      <c r="C2369" s="5" t="s">
        <v>6</v>
      </c>
      <c r="D2369" s="5" t="s">
        <v>2</v>
      </c>
      <c r="E2369" s="5" t="s">
        <v>15</v>
      </c>
      <c r="F2369" s="5" t="s">
        <v>1972</v>
      </c>
      <c r="G2369" s="5">
        <v>27.72</v>
      </c>
      <c r="H2369" s="5">
        <v>3</v>
      </c>
      <c r="I2369" s="6">
        <v>3.47</v>
      </c>
    </row>
    <row r="2370" spans="1:9" x14ac:dyDescent="0.3">
      <c r="A2370" s="1">
        <v>42380</v>
      </c>
      <c r="B2370" s="2" t="s">
        <v>1579</v>
      </c>
      <c r="C2370" s="2" t="s">
        <v>46</v>
      </c>
      <c r="D2370" s="2" t="s">
        <v>30</v>
      </c>
      <c r="E2370" s="2" t="s">
        <v>31</v>
      </c>
      <c r="F2370" s="2" t="s">
        <v>335</v>
      </c>
      <c r="G2370" s="2">
        <v>21.8</v>
      </c>
      <c r="H2370" s="2">
        <v>2</v>
      </c>
      <c r="I2370" s="3">
        <v>6.1</v>
      </c>
    </row>
    <row r="2371" spans="1:9" x14ac:dyDescent="0.3">
      <c r="A2371" s="4">
        <v>42380</v>
      </c>
      <c r="B2371" s="5" t="s">
        <v>1579</v>
      </c>
      <c r="C2371" s="5" t="s">
        <v>46</v>
      </c>
      <c r="D2371" s="5" t="s">
        <v>2</v>
      </c>
      <c r="E2371" s="5" t="s">
        <v>114</v>
      </c>
      <c r="F2371" s="5" t="s">
        <v>788</v>
      </c>
      <c r="G2371" s="5">
        <v>251.79</v>
      </c>
      <c r="H2371" s="5">
        <v>3</v>
      </c>
      <c r="I2371" s="6">
        <v>118.34</v>
      </c>
    </row>
    <row r="2372" spans="1:9" x14ac:dyDescent="0.3">
      <c r="A2372" s="1">
        <v>42380</v>
      </c>
      <c r="B2372" s="2" t="s">
        <v>1052</v>
      </c>
      <c r="C2372" s="2" t="s">
        <v>1</v>
      </c>
      <c r="D2372" s="2" t="s">
        <v>2</v>
      </c>
      <c r="E2372" s="2" t="s">
        <v>9</v>
      </c>
      <c r="F2372" s="2" t="s">
        <v>1973</v>
      </c>
      <c r="G2372" s="2">
        <v>111.67</v>
      </c>
      <c r="H2372" s="2">
        <v>9</v>
      </c>
      <c r="I2372" s="3">
        <v>6.98</v>
      </c>
    </row>
    <row r="2373" spans="1:9" x14ac:dyDescent="0.3">
      <c r="A2373" s="4">
        <v>42380</v>
      </c>
      <c r="B2373" s="5" t="s">
        <v>764</v>
      </c>
      <c r="C2373" s="5" t="s">
        <v>6</v>
      </c>
      <c r="D2373" s="5" t="s">
        <v>30</v>
      </c>
      <c r="E2373" s="5" t="s">
        <v>43</v>
      </c>
      <c r="F2373" s="5" t="s">
        <v>540</v>
      </c>
      <c r="G2373" s="5">
        <v>68.11</v>
      </c>
      <c r="H2373" s="5">
        <v>3</v>
      </c>
      <c r="I2373" s="6">
        <v>17.88</v>
      </c>
    </row>
    <row r="2374" spans="1:9" x14ac:dyDescent="0.3">
      <c r="A2374" s="1">
        <v>42440</v>
      </c>
      <c r="B2374" s="2" t="s">
        <v>137</v>
      </c>
      <c r="C2374" s="2" t="s">
        <v>1516</v>
      </c>
      <c r="D2374" s="2" t="s">
        <v>2</v>
      </c>
      <c r="E2374" s="2" t="s">
        <v>15</v>
      </c>
      <c r="F2374" s="2" t="s">
        <v>686</v>
      </c>
      <c r="G2374" s="2">
        <v>75.959999999999994</v>
      </c>
      <c r="H2374" s="2">
        <v>2</v>
      </c>
      <c r="I2374" s="3">
        <v>22.79</v>
      </c>
    </row>
    <row r="2375" spans="1:9" x14ac:dyDescent="0.3">
      <c r="A2375" s="4">
        <v>42440</v>
      </c>
      <c r="B2375" s="5" t="s">
        <v>137</v>
      </c>
      <c r="C2375" s="5" t="s">
        <v>1516</v>
      </c>
      <c r="D2375" s="5" t="s">
        <v>2</v>
      </c>
      <c r="E2375" s="5" t="s">
        <v>11</v>
      </c>
      <c r="F2375" s="5" t="s">
        <v>296</v>
      </c>
      <c r="G2375" s="5">
        <v>27.24</v>
      </c>
      <c r="H2375" s="5">
        <v>6</v>
      </c>
      <c r="I2375" s="6">
        <v>13.35</v>
      </c>
    </row>
    <row r="2376" spans="1:9" x14ac:dyDescent="0.3">
      <c r="A2376" s="1">
        <v>42440</v>
      </c>
      <c r="B2376" s="2" t="s">
        <v>1093</v>
      </c>
      <c r="C2376" s="2" t="s">
        <v>62</v>
      </c>
      <c r="D2376" s="2" t="s">
        <v>2</v>
      </c>
      <c r="E2376" s="2" t="s">
        <v>15</v>
      </c>
      <c r="F2376" s="2" t="s">
        <v>1974</v>
      </c>
      <c r="G2376" s="2">
        <v>8.82</v>
      </c>
      <c r="H2376" s="2">
        <v>3</v>
      </c>
      <c r="I2376" s="3">
        <v>2.38</v>
      </c>
    </row>
    <row r="2377" spans="1:9" x14ac:dyDescent="0.3">
      <c r="A2377" s="4">
        <v>42440</v>
      </c>
      <c r="B2377" s="5" t="s">
        <v>1975</v>
      </c>
      <c r="C2377" s="5" t="s">
        <v>18</v>
      </c>
      <c r="D2377" s="5" t="s">
        <v>25</v>
      </c>
      <c r="E2377" s="5" t="s">
        <v>26</v>
      </c>
      <c r="F2377" s="5" t="s">
        <v>1976</v>
      </c>
      <c r="G2377" s="5">
        <v>217.58</v>
      </c>
      <c r="H2377" s="5">
        <v>2</v>
      </c>
      <c r="I2377" s="6">
        <v>-29.92</v>
      </c>
    </row>
    <row r="2378" spans="1:9" x14ac:dyDescent="0.3">
      <c r="A2378" s="1">
        <v>42440</v>
      </c>
      <c r="B2378" s="2" t="s">
        <v>1975</v>
      </c>
      <c r="C2378" s="2" t="s">
        <v>18</v>
      </c>
      <c r="D2378" s="2" t="s">
        <v>30</v>
      </c>
      <c r="E2378" s="2" t="s">
        <v>43</v>
      </c>
      <c r="F2378" s="2" t="s">
        <v>1977</v>
      </c>
      <c r="G2378" s="2">
        <v>82.95</v>
      </c>
      <c r="H2378" s="2">
        <v>5</v>
      </c>
      <c r="I2378" s="3">
        <v>29.03</v>
      </c>
    </row>
    <row r="2379" spans="1:9" x14ac:dyDescent="0.3">
      <c r="A2379" s="4">
        <v>42440</v>
      </c>
      <c r="B2379" s="5" t="s">
        <v>1975</v>
      </c>
      <c r="C2379" s="5" t="s">
        <v>18</v>
      </c>
      <c r="D2379" s="5" t="s">
        <v>2</v>
      </c>
      <c r="E2379" s="5" t="s">
        <v>7</v>
      </c>
      <c r="F2379" s="5" t="s">
        <v>1317</v>
      </c>
      <c r="G2379" s="5">
        <v>87.71</v>
      </c>
      <c r="H2379" s="5">
        <v>7</v>
      </c>
      <c r="I2379" s="6">
        <v>41.22</v>
      </c>
    </row>
    <row r="2380" spans="1:9" x14ac:dyDescent="0.3">
      <c r="A2380" s="1">
        <v>42440</v>
      </c>
      <c r="B2380" s="2" t="s">
        <v>1975</v>
      </c>
      <c r="C2380" s="2" t="s">
        <v>18</v>
      </c>
      <c r="D2380" s="2" t="s">
        <v>2</v>
      </c>
      <c r="E2380" s="2" t="s">
        <v>133</v>
      </c>
      <c r="F2380" s="2" t="s">
        <v>1978</v>
      </c>
      <c r="G2380" s="2">
        <v>1101.48</v>
      </c>
      <c r="H2380" s="2">
        <v>4</v>
      </c>
      <c r="I2380" s="3">
        <v>429.58</v>
      </c>
    </row>
    <row r="2381" spans="1:9" x14ac:dyDescent="0.3">
      <c r="A2381" s="4">
        <v>42440</v>
      </c>
      <c r="B2381" s="5" t="s">
        <v>914</v>
      </c>
      <c r="C2381" s="5" t="s">
        <v>24</v>
      </c>
      <c r="D2381" s="5" t="s">
        <v>2</v>
      </c>
      <c r="E2381" s="5" t="s">
        <v>34</v>
      </c>
      <c r="F2381" s="5" t="s">
        <v>679</v>
      </c>
      <c r="G2381" s="5">
        <v>20</v>
      </c>
      <c r="H2381" s="5">
        <v>4</v>
      </c>
      <c r="I2381" s="6">
        <v>9.6</v>
      </c>
    </row>
    <row r="2382" spans="1:9" x14ac:dyDescent="0.3">
      <c r="A2382" s="1">
        <v>42440</v>
      </c>
      <c r="B2382" s="2" t="s">
        <v>914</v>
      </c>
      <c r="C2382" s="2" t="s">
        <v>24</v>
      </c>
      <c r="D2382" s="2" t="s">
        <v>2</v>
      </c>
      <c r="E2382" s="2" t="s">
        <v>15</v>
      </c>
      <c r="F2382" s="2" t="s">
        <v>176</v>
      </c>
      <c r="G2382" s="2">
        <v>7.98</v>
      </c>
      <c r="H2382" s="2">
        <v>3</v>
      </c>
      <c r="I2382" s="3">
        <v>2.0699999999999998</v>
      </c>
    </row>
    <row r="2383" spans="1:9" x14ac:dyDescent="0.3">
      <c r="A2383" s="4">
        <v>42440</v>
      </c>
      <c r="B2383" s="5" t="s">
        <v>914</v>
      </c>
      <c r="C2383" s="5" t="s">
        <v>24</v>
      </c>
      <c r="D2383" s="5" t="s">
        <v>25</v>
      </c>
      <c r="E2383" s="5" t="s">
        <v>38</v>
      </c>
      <c r="F2383" s="5" t="s">
        <v>1958</v>
      </c>
      <c r="G2383" s="5">
        <v>24.1</v>
      </c>
      <c r="H2383" s="5">
        <v>5</v>
      </c>
      <c r="I2383" s="6">
        <v>9.16</v>
      </c>
    </row>
    <row r="2384" spans="1:9" x14ac:dyDescent="0.3">
      <c r="A2384" s="1">
        <v>42440</v>
      </c>
      <c r="B2384" s="2" t="s">
        <v>914</v>
      </c>
      <c r="C2384" s="2" t="s">
        <v>24</v>
      </c>
      <c r="D2384" s="2" t="s">
        <v>2</v>
      </c>
      <c r="E2384" s="2" t="s">
        <v>15</v>
      </c>
      <c r="F2384" s="2" t="s">
        <v>1979</v>
      </c>
      <c r="G2384" s="2">
        <v>8.75</v>
      </c>
      <c r="H2384" s="2">
        <v>1</v>
      </c>
      <c r="I2384" s="3">
        <v>2.63</v>
      </c>
    </row>
    <row r="2385" spans="1:9" x14ac:dyDescent="0.3">
      <c r="A2385" s="4">
        <v>42440</v>
      </c>
      <c r="B2385" s="5" t="s">
        <v>914</v>
      </c>
      <c r="C2385" s="5" t="s">
        <v>24</v>
      </c>
      <c r="D2385" s="5" t="s">
        <v>25</v>
      </c>
      <c r="E2385" s="5" t="s">
        <v>86</v>
      </c>
      <c r="F2385" s="5" t="s">
        <v>1768</v>
      </c>
      <c r="G2385" s="5">
        <v>842.94</v>
      </c>
      <c r="H2385" s="5">
        <v>3</v>
      </c>
      <c r="I2385" s="6">
        <v>160.16</v>
      </c>
    </row>
    <row r="2386" spans="1:9" x14ac:dyDescent="0.3">
      <c r="A2386" s="1">
        <v>42440</v>
      </c>
      <c r="B2386" s="2" t="s">
        <v>764</v>
      </c>
      <c r="C2386" s="2" t="s">
        <v>18</v>
      </c>
      <c r="D2386" s="2" t="s">
        <v>2</v>
      </c>
      <c r="E2386" s="2" t="s">
        <v>34</v>
      </c>
      <c r="F2386" s="2" t="s">
        <v>168</v>
      </c>
      <c r="G2386" s="2">
        <v>15.26</v>
      </c>
      <c r="H2386" s="2">
        <v>7</v>
      </c>
      <c r="I2386" s="3">
        <v>5.04</v>
      </c>
    </row>
    <row r="2387" spans="1:9" x14ac:dyDescent="0.3">
      <c r="A2387" s="4">
        <v>42440</v>
      </c>
      <c r="B2387" s="5" t="s">
        <v>764</v>
      </c>
      <c r="C2387" s="5" t="s">
        <v>18</v>
      </c>
      <c r="D2387" s="5" t="s">
        <v>2</v>
      </c>
      <c r="E2387" s="5" t="s">
        <v>133</v>
      </c>
      <c r="F2387" s="5" t="s">
        <v>1980</v>
      </c>
      <c r="G2387" s="5">
        <v>43.32</v>
      </c>
      <c r="H2387" s="5">
        <v>2</v>
      </c>
      <c r="I2387" s="6">
        <v>14.3</v>
      </c>
    </row>
    <row r="2388" spans="1:9" x14ac:dyDescent="0.3">
      <c r="A2388" s="1">
        <v>42440</v>
      </c>
      <c r="B2388" s="2" t="s">
        <v>764</v>
      </c>
      <c r="C2388" s="2" t="s">
        <v>18</v>
      </c>
      <c r="D2388" s="2" t="s">
        <v>2</v>
      </c>
      <c r="E2388" s="2" t="s">
        <v>11</v>
      </c>
      <c r="F2388" s="2" t="s">
        <v>296</v>
      </c>
      <c r="G2388" s="2">
        <v>43.58</v>
      </c>
      <c r="H2388" s="2">
        <v>12</v>
      </c>
      <c r="I2388" s="3">
        <v>15.8</v>
      </c>
    </row>
    <row r="2389" spans="1:9" x14ac:dyDescent="0.3">
      <c r="A2389" s="4">
        <v>42440</v>
      </c>
      <c r="B2389" s="5" t="s">
        <v>764</v>
      </c>
      <c r="C2389" s="5" t="s">
        <v>18</v>
      </c>
      <c r="D2389" s="5" t="s">
        <v>2</v>
      </c>
      <c r="E2389" s="5" t="s">
        <v>3</v>
      </c>
      <c r="F2389" s="5" t="s">
        <v>1981</v>
      </c>
      <c r="G2389" s="5">
        <v>116.28</v>
      </c>
      <c r="H2389" s="5">
        <v>3</v>
      </c>
      <c r="I2389" s="6">
        <v>56.98</v>
      </c>
    </row>
    <row r="2390" spans="1:9" x14ac:dyDescent="0.3">
      <c r="A2390" s="1">
        <v>42440</v>
      </c>
      <c r="B2390" s="2" t="s">
        <v>764</v>
      </c>
      <c r="C2390" s="2" t="s">
        <v>18</v>
      </c>
      <c r="D2390" s="2" t="s">
        <v>2</v>
      </c>
      <c r="E2390" s="2" t="s">
        <v>11</v>
      </c>
      <c r="F2390" s="2" t="s">
        <v>1982</v>
      </c>
      <c r="G2390" s="2">
        <v>9.3000000000000007</v>
      </c>
      <c r="H2390" s="2">
        <v>2</v>
      </c>
      <c r="I2390" s="3">
        <v>3.02</v>
      </c>
    </row>
    <row r="2391" spans="1:9" x14ac:dyDescent="0.3">
      <c r="A2391" s="4">
        <v>42440</v>
      </c>
      <c r="B2391" s="5" t="s">
        <v>764</v>
      </c>
      <c r="C2391" s="5" t="s">
        <v>18</v>
      </c>
      <c r="D2391" s="5" t="s">
        <v>2</v>
      </c>
      <c r="E2391" s="5" t="s">
        <v>3</v>
      </c>
      <c r="F2391" s="5" t="s">
        <v>1983</v>
      </c>
      <c r="G2391" s="5">
        <v>19.440000000000001</v>
      </c>
      <c r="H2391" s="5">
        <v>3</v>
      </c>
      <c r="I2391" s="6">
        <v>9.33</v>
      </c>
    </row>
    <row r="2392" spans="1:9" x14ac:dyDescent="0.3">
      <c r="A2392" s="1">
        <v>42440</v>
      </c>
      <c r="B2392" s="2" t="s">
        <v>764</v>
      </c>
      <c r="C2392" s="2" t="s">
        <v>18</v>
      </c>
      <c r="D2392" s="2" t="s">
        <v>2</v>
      </c>
      <c r="E2392" s="2" t="s">
        <v>3</v>
      </c>
      <c r="F2392" s="2" t="s">
        <v>1984</v>
      </c>
      <c r="G2392" s="2">
        <v>314.55</v>
      </c>
      <c r="H2392" s="2">
        <v>3</v>
      </c>
      <c r="I2392" s="3">
        <v>150.97999999999999</v>
      </c>
    </row>
    <row r="2393" spans="1:9" x14ac:dyDescent="0.3">
      <c r="A2393" s="4">
        <v>42440</v>
      </c>
      <c r="B2393" s="5" t="s">
        <v>1761</v>
      </c>
      <c r="C2393" s="5" t="s">
        <v>1</v>
      </c>
      <c r="D2393" s="5" t="s">
        <v>2</v>
      </c>
      <c r="E2393" s="5" t="s">
        <v>3</v>
      </c>
      <c r="F2393" s="5" t="s">
        <v>1529</v>
      </c>
      <c r="G2393" s="5">
        <v>9.25</v>
      </c>
      <c r="H2393" s="5">
        <v>2</v>
      </c>
      <c r="I2393" s="6">
        <v>3.35</v>
      </c>
    </row>
    <row r="2394" spans="1:9" x14ac:dyDescent="0.3">
      <c r="A2394" s="1">
        <v>42440</v>
      </c>
      <c r="B2394" s="2" t="s">
        <v>1190</v>
      </c>
      <c r="C2394" s="2" t="s">
        <v>713</v>
      </c>
      <c r="D2394" s="2" t="s">
        <v>2</v>
      </c>
      <c r="E2394" s="2" t="s">
        <v>11</v>
      </c>
      <c r="F2394" s="2" t="s">
        <v>1573</v>
      </c>
      <c r="G2394" s="2">
        <v>4.16</v>
      </c>
      <c r="H2394" s="2">
        <v>7</v>
      </c>
      <c r="I2394" s="3">
        <v>-3.47</v>
      </c>
    </row>
    <row r="2395" spans="1:9" x14ac:dyDescent="0.3">
      <c r="A2395" s="4">
        <v>42440</v>
      </c>
      <c r="B2395" s="5" t="s">
        <v>1190</v>
      </c>
      <c r="C2395" s="5" t="s">
        <v>713</v>
      </c>
      <c r="D2395" s="5" t="s">
        <v>30</v>
      </c>
      <c r="E2395" s="5" t="s">
        <v>625</v>
      </c>
      <c r="F2395" s="5" t="s">
        <v>1985</v>
      </c>
      <c r="G2395" s="5">
        <v>179.99</v>
      </c>
      <c r="H2395" s="5">
        <v>3</v>
      </c>
      <c r="I2395" s="6">
        <v>-251.99</v>
      </c>
    </row>
    <row r="2396" spans="1:9" x14ac:dyDescent="0.3">
      <c r="A2396" s="1">
        <v>42440</v>
      </c>
      <c r="B2396" s="2" t="s">
        <v>1259</v>
      </c>
      <c r="C2396" s="2" t="s">
        <v>14</v>
      </c>
      <c r="D2396" s="2" t="s">
        <v>30</v>
      </c>
      <c r="E2396" s="2" t="s">
        <v>43</v>
      </c>
      <c r="F2396" s="2" t="s">
        <v>848</v>
      </c>
      <c r="G2396" s="2">
        <v>72</v>
      </c>
      <c r="H2396" s="2">
        <v>1</v>
      </c>
      <c r="I2396" s="3">
        <v>14.4</v>
      </c>
    </row>
    <row r="2397" spans="1:9" x14ac:dyDescent="0.3">
      <c r="A2397" s="4">
        <v>42440</v>
      </c>
      <c r="B2397" s="5" t="s">
        <v>1259</v>
      </c>
      <c r="C2397" s="5" t="s">
        <v>14</v>
      </c>
      <c r="D2397" s="5" t="s">
        <v>25</v>
      </c>
      <c r="E2397" s="5" t="s">
        <v>26</v>
      </c>
      <c r="F2397" s="5" t="s">
        <v>1986</v>
      </c>
      <c r="G2397" s="5">
        <v>470.16</v>
      </c>
      <c r="H2397" s="5">
        <v>7</v>
      </c>
      <c r="I2397" s="6">
        <v>-13.43</v>
      </c>
    </row>
    <row r="2398" spans="1:9" x14ac:dyDescent="0.3">
      <c r="A2398" s="1">
        <v>42471</v>
      </c>
      <c r="B2398" s="2" t="s">
        <v>973</v>
      </c>
      <c r="C2398" s="2" t="s">
        <v>24</v>
      </c>
      <c r="D2398" s="2" t="s">
        <v>2</v>
      </c>
      <c r="E2398" s="2" t="s">
        <v>34</v>
      </c>
      <c r="F2398" s="2" t="s">
        <v>1987</v>
      </c>
      <c r="G2398" s="2">
        <v>10.74</v>
      </c>
      <c r="H2398" s="2">
        <v>3</v>
      </c>
      <c r="I2398" s="3">
        <v>5.26</v>
      </c>
    </row>
    <row r="2399" spans="1:9" x14ac:dyDescent="0.3">
      <c r="A2399" s="4">
        <v>42471</v>
      </c>
      <c r="B2399" s="5" t="s">
        <v>1988</v>
      </c>
      <c r="C2399" s="5" t="s">
        <v>62</v>
      </c>
      <c r="D2399" s="5" t="s">
        <v>25</v>
      </c>
      <c r="E2399" s="5" t="s">
        <v>38</v>
      </c>
      <c r="F2399" s="5" t="s">
        <v>1896</v>
      </c>
      <c r="G2399" s="5">
        <v>209.88</v>
      </c>
      <c r="H2399" s="5">
        <v>3</v>
      </c>
      <c r="I2399" s="6">
        <v>35.68</v>
      </c>
    </row>
    <row r="2400" spans="1:9" x14ac:dyDescent="0.3">
      <c r="A2400" s="1">
        <v>42471</v>
      </c>
      <c r="B2400" s="2" t="s">
        <v>671</v>
      </c>
      <c r="C2400" s="2" t="s">
        <v>18</v>
      </c>
      <c r="D2400" s="2" t="s">
        <v>25</v>
      </c>
      <c r="E2400" s="2" t="s">
        <v>38</v>
      </c>
      <c r="F2400" s="2" t="s">
        <v>198</v>
      </c>
      <c r="G2400" s="2">
        <v>38.29</v>
      </c>
      <c r="H2400" s="2">
        <v>7</v>
      </c>
      <c r="I2400" s="3">
        <v>16.46</v>
      </c>
    </row>
    <row r="2401" spans="1:9" x14ac:dyDescent="0.3">
      <c r="A2401" s="4">
        <v>42471</v>
      </c>
      <c r="B2401" s="5" t="s">
        <v>1142</v>
      </c>
      <c r="C2401" s="5" t="s">
        <v>18</v>
      </c>
      <c r="D2401" s="5" t="s">
        <v>2</v>
      </c>
      <c r="E2401" s="5" t="s">
        <v>15</v>
      </c>
      <c r="F2401" s="5" t="s">
        <v>366</v>
      </c>
      <c r="G2401" s="5">
        <v>192.8</v>
      </c>
      <c r="H2401" s="5">
        <v>4</v>
      </c>
      <c r="I2401" s="6">
        <v>55.91</v>
      </c>
    </row>
    <row r="2402" spans="1:9" x14ac:dyDescent="0.3">
      <c r="A2402" s="1">
        <v>42471</v>
      </c>
      <c r="B2402" s="2" t="s">
        <v>1087</v>
      </c>
      <c r="C2402" s="2" t="s">
        <v>713</v>
      </c>
      <c r="D2402" s="2" t="s">
        <v>2</v>
      </c>
      <c r="E2402" s="2" t="s">
        <v>144</v>
      </c>
      <c r="F2402" s="2" t="s">
        <v>1989</v>
      </c>
      <c r="G2402" s="2">
        <v>17.579999999999998</v>
      </c>
      <c r="H2402" s="2">
        <v>7</v>
      </c>
      <c r="I2402" s="3">
        <v>-4.18</v>
      </c>
    </row>
    <row r="2403" spans="1:9" x14ac:dyDescent="0.3">
      <c r="A2403" s="4">
        <v>42471</v>
      </c>
      <c r="B2403" s="5" t="s">
        <v>1087</v>
      </c>
      <c r="C2403" s="5" t="s">
        <v>713</v>
      </c>
      <c r="D2403" s="5" t="s">
        <v>25</v>
      </c>
      <c r="E2403" s="5" t="s">
        <v>26</v>
      </c>
      <c r="F2403" s="5" t="s">
        <v>760</v>
      </c>
      <c r="G2403" s="5">
        <v>104.78</v>
      </c>
      <c r="H2403" s="5">
        <v>1</v>
      </c>
      <c r="I2403" s="6">
        <v>-14.41</v>
      </c>
    </row>
    <row r="2404" spans="1:9" x14ac:dyDescent="0.3">
      <c r="A2404" s="1">
        <v>42471</v>
      </c>
      <c r="B2404" s="2" t="s">
        <v>1087</v>
      </c>
      <c r="C2404" s="2" t="s">
        <v>713</v>
      </c>
      <c r="D2404" s="2" t="s">
        <v>2</v>
      </c>
      <c r="E2404" s="2" t="s">
        <v>3</v>
      </c>
      <c r="F2404" s="2" t="s">
        <v>340</v>
      </c>
      <c r="G2404" s="2">
        <v>47.95</v>
      </c>
      <c r="H2404" s="2">
        <v>3</v>
      </c>
      <c r="I2404" s="3">
        <v>16.78</v>
      </c>
    </row>
    <row r="2405" spans="1:9" x14ac:dyDescent="0.3">
      <c r="A2405" s="4">
        <v>42471</v>
      </c>
      <c r="B2405" s="5" t="s">
        <v>1087</v>
      </c>
      <c r="C2405" s="5" t="s">
        <v>713</v>
      </c>
      <c r="D2405" s="5" t="s">
        <v>25</v>
      </c>
      <c r="E2405" s="5" t="s">
        <v>26</v>
      </c>
      <c r="F2405" s="5" t="s">
        <v>794</v>
      </c>
      <c r="G2405" s="5">
        <v>650.35</v>
      </c>
      <c r="H2405" s="5">
        <v>3</v>
      </c>
      <c r="I2405" s="6">
        <v>-97.55</v>
      </c>
    </row>
    <row r="2406" spans="1:9" x14ac:dyDescent="0.3">
      <c r="A2406" s="1">
        <v>42471</v>
      </c>
      <c r="B2406" s="2" t="s">
        <v>1087</v>
      </c>
      <c r="C2406" s="2" t="s">
        <v>713</v>
      </c>
      <c r="D2406" s="2" t="s">
        <v>2</v>
      </c>
      <c r="E2406" s="2" t="s">
        <v>7</v>
      </c>
      <c r="F2406" s="2" t="s">
        <v>438</v>
      </c>
      <c r="G2406" s="2">
        <v>629.17999999999995</v>
      </c>
      <c r="H2406" s="2">
        <v>8</v>
      </c>
      <c r="I2406" s="3">
        <v>228.08</v>
      </c>
    </row>
    <row r="2407" spans="1:9" x14ac:dyDescent="0.3">
      <c r="A2407" s="4">
        <v>42471</v>
      </c>
      <c r="B2407" s="5" t="s">
        <v>1087</v>
      </c>
      <c r="C2407" s="5" t="s">
        <v>713</v>
      </c>
      <c r="D2407" s="5" t="s">
        <v>2</v>
      </c>
      <c r="E2407" s="5" t="s">
        <v>3</v>
      </c>
      <c r="F2407" s="5" t="s">
        <v>1990</v>
      </c>
      <c r="G2407" s="5">
        <v>15.18</v>
      </c>
      <c r="H2407" s="5">
        <v>1</v>
      </c>
      <c r="I2407" s="6">
        <v>5.31</v>
      </c>
    </row>
    <row r="2408" spans="1:9" x14ac:dyDescent="0.3">
      <c r="A2408" s="1">
        <v>42471</v>
      </c>
      <c r="B2408" s="2" t="s">
        <v>1641</v>
      </c>
      <c r="C2408" s="2" t="s">
        <v>58</v>
      </c>
      <c r="D2408" s="2" t="s">
        <v>25</v>
      </c>
      <c r="E2408" s="2" t="s">
        <v>38</v>
      </c>
      <c r="F2408" s="2" t="s">
        <v>1894</v>
      </c>
      <c r="G2408" s="2">
        <v>50.5</v>
      </c>
      <c r="H2408" s="2">
        <v>6</v>
      </c>
      <c r="I2408" s="3">
        <v>8.2100000000000009</v>
      </c>
    </row>
    <row r="2409" spans="1:9" x14ac:dyDescent="0.3">
      <c r="A2409" s="4">
        <v>42471</v>
      </c>
      <c r="B2409" s="5" t="s">
        <v>424</v>
      </c>
      <c r="C2409" s="5" t="s">
        <v>18</v>
      </c>
      <c r="D2409" s="5" t="s">
        <v>2</v>
      </c>
      <c r="E2409" s="5" t="s">
        <v>11</v>
      </c>
      <c r="F2409" s="5" t="s">
        <v>498</v>
      </c>
      <c r="G2409" s="5">
        <v>7.71</v>
      </c>
      <c r="H2409" s="5">
        <v>2</v>
      </c>
      <c r="I2409" s="6">
        <v>2.8</v>
      </c>
    </row>
    <row r="2410" spans="1:9" x14ac:dyDescent="0.3">
      <c r="A2410" s="1">
        <v>42471</v>
      </c>
      <c r="B2410" s="2" t="s">
        <v>424</v>
      </c>
      <c r="C2410" s="2" t="s">
        <v>18</v>
      </c>
      <c r="D2410" s="2" t="s">
        <v>2</v>
      </c>
      <c r="E2410" s="2" t="s">
        <v>11</v>
      </c>
      <c r="F2410" s="2" t="s">
        <v>819</v>
      </c>
      <c r="G2410" s="2">
        <v>4.18</v>
      </c>
      <c r="H2410" s="2">
        <v>1</v>
      </c>
      <c r="I2410" s="3">
        <v>1.31</v>
      </c>
    </row>
    <row r="2411" spans="1:9" x14ac:dyDescent="0.3">
      <c r="A2411" s="4">
        <v>42471</v>
      </c>
      <c r="B2411" s="5" t="s">
        <v>424</v>
      </c>
      <c r="C2411" s="5" t="s">
        <v>18</v>
      </c>
      <c r="D2411" s="5" t="s">
        <v>2</v>
      </c>
      <c r="E2411" s="5" t="s">
        <v>3</v>
      </c>
      <c r="F2411" s="5" t="s">
        <v>602</v>
      </c>
      <c r="G2411" s="5">
        <v>38.880000000000003</v>
      </c>
      <c r="H2411" s="5">
        <v>6</v>
      </c>
      <c r="I2411" s="6">
        <v>18.66</v>
      </c>
    </row>
    <row r="2412" spans="1:9" x14ac:dyDescent="0.3">
      <c r="A2412" s="1">
        <v>42471</v>
      </c>
      <c r="B2412" s="2" t="s">
        <v>1916</v>
      </c>
      <c r="C2412" s="2" t="s">
        <v>121</v>
      </c>
      <c r="D2412" s="2" t="s">
        <v>2</v>
      </c>
      <c r="E2412" s="2" t="s">
        <v>9</v>
      </c>
      <c r="F2412" s="2" t="s">
        <v>312</v>
      </c>
      <c r="G2412" s="2">
        <v>45.25</v>
      </c>
      <c r="H2412" s="2">
        <v>2</v>
      </c>
      <c r="I2412" s="3">
        <v>3.96</v>
      </c>
    </row>
    <row r="2413" spans="1:9" x14ac:dyDescent="0.3">
      <c r="A2413" s="4">
        <v>42471</v>
      </c>
      <c r="B2413" s="5" t="s">
        <v>1916</v>
      </c>
      <c r="C2413" s="5" t="s">
        <v>121</v>
      </c>
      <c r="D2413" s="5" t="s">
        <v>25</v>
      </c>
      <c r="E2413" s="5" t="s">
        <v>86</v>
      </c>
      <c r="F2413" s="5" t="s">
        <v>1882</v>
      </c>
      <c r="G2413" s="5">
        <v>876.3</v>
      </c>
      <c r="H2413" s="5">
        <v>10</v>
      </c>
      <c r="I2413" s="6">
        <v>-292.10000000000002</v>
      </c>
    </row>
    <row r="2414" spans="1:9" x14ac:dyDescent="0.3">
      <c r="A2414" s="1">
        <v>42471</v>
      </c>
      <c r="B2414" s="2" t="s">
        <v>1916</v>
      </c>
      <c r="C2414" s="2" t="s">
        <v>121</v>
      </c>
      <c r="D2414" s="2" t="s">
        <v>2</v>
      </c>
      <c r="E2414" s="2" t="s">
        <v>144</v>
      </c>
      <c r="F2414" s="2" t="s">
        <v>1991</v>
      </c>
      <c r="G2414" s="2">
        <v>185.38</v>
      </c>
      <c r="H2414" s="2">
        <v>2</v>
      </c>
      <c r="I2414" s="3">
        <v>-34.76</v>
      </c>
    </row>
    <row r="2415" spans="1:9" x14ac:dyDescent="0.3">
      <c r="A2415" s="4">
        <v>42471</v>
      </c>
      <c r="B2415" s="5" t="s">
        <v>1748</v>
      </c>
      <c r="C2415" s="5" t="s">
        <v>18</v>
      </c>
      <c r="D2415" s="5" t="s">
        <v>30</v>
      </c>
      <c r="E2415" s="5" t="s">
        <v>625</v>
      </c>
      <c r="F2415" s="5" t="s">
        <v>1992</v>
      </c>
      <c r="G2415" s="5">
        <v>686.4</v>
      </c>
      <c r="H2415" s="5">
        <v>2</v>
      </c>
      <c r="I2415" s="6">
        <v>77.22</v>
      </c>
    </row>
    <row r="2416" spans="1:9" x14ac:dyDescent="0.3">
      <c r="A2416" s="1">
        <v>42471</v>
      </c>
      <c r="B2416" s="2" t="s">
        <v>1010</v>
      </c>
      <c r="C2416" s="2" t="s">
        <v>1</v>
      </c>
      <c r="D2416" s="2" t="s">
        <v>25</v>
      </c>
      <c r="E2416" s="2" t="s">
        <v>38</v>
      </c>
      <c r="F2416" s="2" t="s">
        <v>1562</v>
      </c>
      <c r="G2416" s="2">
        <v>11.38</v>
      </c>
      <c r="H2416" s="2">
        <v>3</v>
      </c>
      <c r="I2416" s="3">
        <v>-5.69</v>
      </c>
    </row>
    <row r="2417" spans="1:9" x14ac:dyDescent="0.3">
      <c r="A2417" s="4">
        <v>42471</v>
      </c>
      <c r="B2417" s="5" t="s">
        <v>1010</v>
      </c>
      <c r="C2417" s="5" t="s">
        <v>1</v>
      </c>
      <c r="D2417" s="5" t="s">
        <v>25</v>
      </c>
      <c r="E2417" s="5" t="s">
        <v>38</v>
      </c>
      <c r="F2417" s="5" t="s">
        <v>347</v>
      </c>
      <c r="G2417" s="5">
        <v>66.11</v>
      </c>
      <c r="H2417" s="5">
        <v>4</v>
      </c>
      <c r="I2417" s="6">
        <v>-84.29</v>
      </c>
    </row>
    <row r="2418" spans="1:9" x14ac:dyDescent="0.3">
      <c r="A2418" s="1">
        <v>42501</v>
      </c>
      <c r="B2418" s="2" t="s">
        <v>1420</v>
      </c>
      <c r="C2418" s="2" t="s">
        <v>18</v>
      </c>
      <c r="D2418" s="2" t="s">
        <v>2</v>
      </c>
      <c r="E2418" s="2" t="s">
        <v>11</v>
      </c>
      <c r="F2418" s="2" t="s">
        <v>1993</v>
      </c>
      <c r="G2418" s="2">
        <v>29.12</v>
      </c>
      <c r="H2418" s="2">
        <v>5</v>
      </c>
      <c r="I2418" s="3">
        <v>9.83</v>
      </c>
    </row>
    <row r="2419" spans="1:9" x14ac:dyDescent="0.3">
      <c r="A2419" s="4">
        <v>42501</v>
      </c>
      <c r="B2419" s="5" t="s">
        <v>1988</v>
      </c>
      <c r="C2419" s="5" t="s">
        <v>14</v>
      </c>
      <c r="D2419" s="5" t="s">
        <v>30</v>
      </c>
      <c r="E2419" s="5" t="s">
        <v>31</v>
      </c>
      <c r="F2419" s="5" t="s">
        <v>1994</v>
      </c>
      <c r="G2419" s="5">
        <v>23.99</v>
      </c>
      <c r="H2419" s="5">
        <v>2</v>
      </c>
      <c r="I2419" s="6">
        <v>-15.99</v>
      </c>
    </row>
    <row r="2420" spans="1:9" x14ac:dyDescent="0.3">
      <c r="A2420" s="1">
        <v>42501</v>
      </c>
      <c r="B2420" s="2" t="s">
        <v>463</v>
      </c>
      <c r="C2420" s="2" t="s">
        <v>1</v>
      </c>
      <c r="D2420" s="2" t="s">
        <v>25</v>
      </c>
      <c r="E2420" s="2" t="s">
        <v>86</v>
      </c>
      <c r="F2420" s="2" t="s">
        <v>1148</v>
      </c>
      <c r="G2420" s="2">
        <v>863.13</v>
      </c>
      <c r="H2420" s="2">
        <v>8</v>
      </c>
      <c r="I2420" s="3">
        <v>-160.30000000000001</v>
      </c>
    </row>
    <row r="2421" spans="1:9" x14ac:dyDescent="0.3">
      <c r="A2421" s="4">
        <v>42501</v>
      </c>
      <c r="B2421" s="5" t="s">
        <v>463</v>
      </c>
      <c r="C2421" s="5" t="s">
        <v>1</v>
      </c>
      <c r="D2421" s="5" t="s">
        <v>2</v>
      </c>
      <c r="E2421" s="5" t="s">
        <v>11</v>
      </c>
      <c r="F2421" s="5" t="s">
        <v>314</v>
      </c>
      <c r="G2421" s="5">
        <v>3.56</v>
      </c>
      <c r="H2421" s="5">
        <v>3</v>
      </c>
      <c r="I2421" s="6">
        <v>-6.24</v>
      </c>
    </row>
    <row r="2422" spans="1:9" x14ac:dyDescent="0.3">
      <c r="A2422" s="1">
        <v>42501</v>
      </c>
      <c r="B2422" s="2" t="s">
        <v>463</v>
      </c>
      <c r="C2422" s="2" t="s">
        <v>1</v>
      </c>
      <c r="D2422" s="2" t="s">
        <v>25</v>
      </c>
      <c r="E2422" s="2" t="s">
        <v>129</v>
      </c>
      <c r="F2422" s="2" t="s">
        <v>1995</v>
      </c>
      <c r="G2422" s="2">
        <v>956.66</v>
      </c>
      <c r="H2422" s="2">
        <v>7</v>
      </c>
      <c r="I2422" s="3">
        <v>-225.1</v>
      </c>
    </row>
    <row r="2423" spans="1:9" x14ac:dyDescent="0.3">
      <c r="A2423" s="4">
        <v>42501</v>
      </c>
      <c r="B2423" s="5" t="s">
        <v>463</v>
      </c>
      <c r="C2423" s="5" t="s">
        <v>1</v>
      </c>
      <c r="D2423" s="5" t="s">
        <v>2</v>
      </c>
      <c r="E2423" s="5" t="s">
        <v>11</v>
      </c>
      <c r="F2423" s="5" t="s">
        <v>1923</v>
      </c>
      <c r="G2423" s="5">
        <v>12.59</v>
      </c>
      <c r="H2423" s="5">
        <v>3</v>
      </c>
      <c r="I2423" s="6">
        <v>-20.14</v>
      </c>
    </row>
    <row r="2424" spans="1:9" x14ac:dyDescent="0.3">
      <c r="A2424" s="1">
        <v>42501</v>
      </c>
      <c r="B2424" s="2" t="s">
        <v>463</v>
      </c>
      <c r="C2424" s="2" t="s">
        <v>1</v>
      </c>
      <c r="D2424" s="2" t="s">
        <v>30</v>
      </c>
      <c r="E2424" s="2" t="s">
        <v>43</v>
      </c>
      <c r="F2424" s="2" t="s">
        <v>1996</v>
      </c>
      <c r="G2424" s="2">
        <v>171.96</v>
      </c>
      <c r="H2424" s="2">
        <v>5</v>
      </c>
      <c r="I2424" s="3">
        <v>45.14</v>
      </c>
    </row>
    <row r="2425" spans="1:9" x14ac:dyDescent="0.3">
      <c r="A2425" s="4">
        <v>42501</v>
      </c>
      <c r="B2425" s="5" t="s">
        <v>1997</v>
      </c>
      <c r="C2425" s="5" t="s">
        <v>283</v>
      </c>
      <c r="D2425" s="5" t="s">
        <v>2</v>
      </c>
      <c r="E2425" s="5" t="s">
        <v>11</v>
      </c>
      <c r="F2425" s="5" t="s">
        <v>1923</v>
      </c>
      <c r="G2425" s="5">
        <v>104.9</v>
      </c>
      <c r="H2425" s="5">
        <v>5</v>
      </c>
      <c r="I2425" s="6">
        <v>50.35</v>
      </c>
    </row>
    <row r="2426" spans="1:9" x14ac:dyDescent="0.3">
      <c r="A2426" s="1">
        <v>42501</v>
      </c>
      <c r="B2426" s="2" t="s">
        <v>1997</v>
      </c>
      <c r="C2426" s="2" t="s">
        <v>283</v>
      </c>
      <c r="D2426" s="2" t="s">
        <v>2</v>
      </c>
      <c r="E2426" s="2" t="s">
        <v>15</v>
      </c>
      <c r="F2426" s="2" t="s">
        <v>286</v>
      </c>
      <c r="G2426" s="2">
        <v>39.68</v>
      </c>
      <c r="H2426" s="2">
        <v>2</v>
      </c>
      <c r="I2426" s="3">
        <v>16.27</v>
      </c>
    </row>
    <row r="2427" spans="1:9" x14ac:dyDescent="0.3">
      <c r="A2427" s="4">
        <v>42501</v>
      </c>
      <c r="B2427" s="5" t="s">
        <v>1997</v>
      </c>
      <c r="C2427" s="5" t="s">
        <v>283</v>
      </c>
      <c r="D2427" s="5" t="s">
        <v>2</v>
      </c>
      <c r="E2427" s="5" t="s">
        <v>7</v>
      </c>
      <c r="F2427" s="5" t="s">
        <v>1405</v>
      </c>
      <c r="G2427" s="5">
        <v>51.75</v>
      </c>
      <c r="H2427" s="5">
        <v>5</v>
      </c>
      <c r="I2427" s="6">
        <v>24.84</v>
      </c>
    </row>
    <row r="2428" spans="1:9" x14ac:dyDescent="0.3">
      <c r="A2428" s="1">
        <v>42501</v>
      </c>
      <c r="B2428" s="2" t="s">
        <v>585</v>
      </c>
      <c r="C2428" s="2" t="s">
        <v>18</v>
      </c>
      <c r="D2428" s="2" t="s">
        <v>2</v>
      </c>
      <c r="E2428" s="2" t="s">
        <v>11</v>
      </c>
      <c r="F2428" s="2" t="s">
        <v>1852</v>
      </c>
      <c r="G2428" s="2">
        <v>53.25</v>
      </c>
      <c r="H2428" s="2">
        <v>2</v>
      </c>
      <c r="I2428" s="3">
        <v>19.97</v>
      </c>
    </row>
    <row r="2429" spans="1:9" x14ac:dyDescent="0.3">
      <c r="A2429" s="4">
        <v>42501</v>
      </c>
      <c r="B2429" s="5" t="s">
        <v>1123</v>
      </c>
      <c r="C2429" s="5" t="s">
        <v>1</v>
      </c>
      <c r="D2429" s="5" t="s">
        <v>2</v>
      </c>
      <c r="E2429" s="5" t="s">
        <v>7</v>
      </c>
      <c r="F2429" s="5" t="s">
        <v>178</v>
      </c>
      <c r="G2429" s="5">
        <v>11.84</v>
      </c>
      <c r="H2429" s="5">
        <v>1</v>
      </c>
      <c r="I2429" s="6">
        <v>4.4400000000000004</v>
      </c>
    </row>
    <row r="2430" spans="1:9" x14ac:dyDescent="0.3">
      <c r="A2430" s="1">
        <v>42501</v>
      </c>
      <c r="B2430" s="2" t="s">
        <v>632</v>
      </c>
      <c r="C2430" s="2" t="s">
        <v>62</v>
      </c>
      <c r="D2430" s="2" t="s">
        <v>30</v>
      </c>
      <c r="E2430" s="2" t="s">
        <v>43</v>
      </c>
      <c r="F2430" s="2" t="s">
        <v>1998</v>
      </c>
      <c r="G2430" s="2">
        <v>479.72</v>
      </c>
      <c r="H2430" s="2">
        <v>4</v>
      </c>
      <c r="I2430" s="3">
        <v>52.77</v>
      </c>
    </row>
    <row r="2431" spans="1:9" x14ac:dyDescent="0.3">
      <c r="A2431" s="4">
        <v>42501</v>
      </c>
      <c r="B2431" s="5" t="s">
        <v>1022</v>
      </c>
      <c r="C2431" s="5" t="s">
        <v>18</v>
      </c>
      <c r="D2431" s="5" t="s">
        <v>30</v>
      </c>
      <c r="E2431" s="5" t="s">
        <v>43</v>
      </c>
      <c r="F2431" s="5" t="s">
        <v>1385</v>
      </c>
      <c r="G2431" s="5">
        <v>72</v>
      </c>
      <c r="H2431" s="5">
        <v>4</v>
      </c>
      <c r="I2431" s="6">
        <v>12.96</v>
      </c>
    </row>
    <row r="2432" spans="1:9" x14ac:dyDescent="0.3">
      <c r="A2432" s="1">
        <v>42501</v>
      </c>
      <c r="B2432" s="2" t="s">
        <v>1022</v>
      </c>
      <c r="C2432" s="2" t="s">
        <v>18</v>
      </c>
      <c r="D2432" s="2" t="s">
        <v>25</v>
      </c>
      <c r="E2432" s="2" t="s">
        <v>26</v>
      </c>
      <c r="F2432" s="2" t="s">
        <v>1999</v>
      </c>
      <c r="G2432" s="2">
        <v>113.89</v>
      </c>
      <c r="H2432" s="2">
        <v>2</v>
      </c>
      <c r="I2432" s="3">
        <v>9.9700000000000006</v>
      </c>
    </row>
    <row r="2433" spans="1:9" x14ac:dyDescent="0.3">
      <c r="A2433" s="4">
        <v>42501</v>
      </c>
      <c r="B2433" s="5" t="s">
        <v>1022</v>
      </c>
      <c r="C2433" s="5" t="s">
        <v>18</v>
      </c>
      <c r="D2433" s="5" t="s">
        <v>2</v>
      </c>
      <c r="E2433" s="5" t="s">
        <v>114</v>
      </c>
      <c r="F2433" s="5" t="s">
        <v>334</v>
      </c>
      <c r="G2433" s="5">
        <v>158.13</v>
      </c>
      <c r="H2433" s="5">
        <v>3</v>
      </c>
      <c r="I2433" s="6">
        <v>77.48</v>
      </c>
    </row>
    <row r="2434" spans="1:9" x14ac:dyDescent="0.3">
      <c r="A2434" s="1">
        <v>42501</v>
      </c>
      <c r="B2434" s="2" t="s">
        <v>719</v>
      </c>
      <c r="C2434" s="2" t="s">
        <v>46</v>
      </c>
      <c r="D2434" s="2" t="s">
        <v>25</v>
      </c>
      <c r="E2434" s="2" t="s">
        <v>38</v>
      </c>
      <c r="F2434" s="2" t="s">
        <v>644</v>
      </c>
      <c r="G2434" s="2">
        <v>273.95999999999998</v>
      </c>
      <c r="H2434" s="2">
        <v>2</v>
      </c>
      <c r="I2434" s="3">
        <v>71.23</v>
      </c>
    </row>
    <row r="2435" spans="1:9" x14ac:dyDescent="0.3">
      <c r="A2435" s="4">
        <v>42501</v>
      </c>
      <c r="B2435" s="5" t="s">
        <v>719</v>
      </c>
      <c r="C2435" s="5" t="s">
        <v>46</v>
      </c>
      <c r="D2435" s="5" t="s">
        <v>30</v>
      </c>
      <c r="E2435" s="5" t="s">
        <v>43</v>
      </c>
      <c r="F2435" s="5" t="s">
        <v>1431</v>
      </c>
      <c r="G2435" s="5">
        <v>89.97</v>
      </c>
      <c r="H2435" s="5">
        <v>3</v>
      </c>
      <c r="I2435" s="6">
        <v>18.89</v>
      </c>
    </row>
    <row r="2436" spans="1:9" x14ac:dyDescent="0.3">
      <c r="A2436" s="1">
        <v>42501</v>
      </c>
      <c r="B2436" s="2" t="s">
        <v>719</v>
      </c>
      <c r="C2436" s="2" t="s">
        <v>46</v>
      </c>
      <c r="D2436" s="2" t="s">
        <v>25</v>
      </c>
      <c r="E2436" s="2" t="s">
        <v>38</v>
      </c>
      <c r="F2436" s="2" t="s">
        <v>2000</v>
      </c>
      <c r="G2436" s="2">
        <v>756.8</v>
      </c>
      <c r="H2436" s="2">
        <v>5</v>
      </c>
      <c r="I2436" s="3">
        <v>75.680000000000007</v>
      </c>
    </row>
    <row r="2437" spans="1:9" x14ac:dyDescent="0.3">
      <c r="A2437" s="4">
        <v>42532</v>
      </c>
      <c r="B2437" s="5" t="s">
        <v>2001</v>
      </c>
      <c r="C2437" s="5" t="s">
        <v>18</v>
      </c>
      <c r="D2437" s="5" t="s">
        <v>25</v>
      </c>
      <c r="E2437" s="5" t="s">
        <v>26</v>
      </c>
      <c r="F2437" s="5" t="s">
        <v>1913</v>
      </c>
      <c r="G2437" s="5">
        <v>81.42</v>
      </c>
      <c r="H2437" s="5">
        <v>2</v>
      </c>
      <c r="I2437" s="6">
        <v>-9.16</v>
      </c>
    </row>
    <row r="2438" spans="1:9" x14ac:dyDescent="0.3">
      <c r="A2438" s="1">
        <v>42532</v>
      </c>
      <c r="B2438" s="2" t="s">
        <v>2001</v>
      </c>
      <c r="C2438" s="2" t="s">
        <v>18</v>
      </c>
      <c r="D2438" s="2" t="s">
        <v>25</v>
      </c>
      <c r="E2438" s="2" t="s">
        <v>38</v>
      </c>
      <c r="F2438" s="2" t="s">
        <v>1680</v>
      </c>
      <c r="G2438" s="2">
        <v>238.56</v>
      </c>
      <c r="H2438" s="2">
        <v>3</v>
      </c>
      <c r="I2438" s="3">
        <v>26.24</v>
      </c>
    </row>
    <row r="2439" spans="1:9" x14ac:dyDescent="0.3">
      <c r="A2439" s="4">
        <v>42532</v>
      </c>
      <c r="B2439" s="5" t="s">
        <v>2002</v>
      </c>
      <c r="C2439" s="5" t="s">
        <v>58</v>
      </c>
      <c r="D2439" s="5" t="s">
        <v>25</v>
      </c>
      <c r="E2439" s="5" t="s">
        <v>26</v>
      </c>
      <c r="F2439" s="5" t="s">
        <v>1446</v>
      </c>
      <c r="G2439" s="5">
        <v>207.98</v>
      </c>
      <c r="H2439" s="5">
        <v>2</v>
      </c>
      <c r="I2439" s="6">
        <v>-28.6</v>
      </c>
    </row>
    <row r="2440" spans="1:9" x14ac:dyDescent="0.3">
      <c r="A2440" s="1">
        <v>42532</v>
      </c>
      <c r="B2440" s="2" t="s">
        <v>2002</v>
      </c>
      <c r="C2440" s="2" t="s">
        <v>58</v>
      </c>
      <c r="D2440" s="2" t="s">
        <v>2</v>
      </c>
      <c r="E2440" s="2" t="s">
        <v>3</v>
      </c>
      <c r="F2440" s="2" t="s">
        <v>2003</v>
      </c>
      <c r="G2440" s="2">
        <v>36.11</v>
      </c>
      <c r="H2440" s="2">
        <v>2</v>
      </c>
      <c r="I2440" s="3">
        <v>12.64</v>
      </c>
    </row>
    <row r="2441" spans="1:9" x14ac:dyDescent="0.3">
      <c r="A2441" s="4">
        <v>42532</v>
      </c>
      <c r="B2441" s="5" t="s">
        <v>2002</v>
      </c>
      <c r="C2441" s="5" t="s">
        <v>58</v>
      </c>
      <c r="D2441" s="5" t="s">
        <v>25</v>
      </c>
      <c r="E2441" s="5" t="s">
        <v>38</v>
      </c>
      <c r="F2441" s="5" t="s">
        <v>1511</v>
      </c>
      <c r="G2441" s="5">
        <v>35.57</v>
      </c>
      <c r="H2441" s="5">
        <v>2</v>
      </c>
      <c r="I2441" s="6">
        <v>5.78</v>
      </c>
    </row>
    <row r="2442" spans="1:9" x14ac:dyDescent="0.3">
      <c r="A2442" s="1">
        <v>42532</v>
      </c>
      <c r="B2442" s="2" t="s">
        <v>2002</v>
      </c>
      <c r="C2442" s="2" t="s">
        <v>58</v>
      </c>
      <c r="D2442" s="2" t="s">
        <v>2</v>
      </c>
      <c r="E2442" s="2" t="s">
        <v>3</v>
      </c>
      <c r="F2442" s="2" t="s">
        <v>209</v>
      </c>
      <c r="G2442" s="2">
        <v>88.77</v>
      </c>
      <c r="H2442" s="2">
        <v>2</v>
      </c>
      <c r="I2442" s="3">
        <v>31.07</v>
      </c>
    </row>
    <row r="2443" spans="1:9" x14ac:dyDescent="0.3">
      <c r="A2443" s="4">
        <v>42532</v>
      </c>
      <c r="B2443" s="5" t="s">
        <v>1255</v>
      </c>
      <c r="C2443" s="5" t="s">
        <v>18</v>
      </c>
      <c r="D2443" s="5" t="s">
        <v>2</v>
      </c>
      <c r="E2443" s="5" t="s">
        <v>9</v>
      </c>
      <c r="F2443" s="5" t="s">
        <v>312</v>
      </c>
      <c r="G2443" s="5">
        <v>84.84</v>
      </c>
      <c r="H2443" s="5">
        <v>3</v>
      </c>
      <c r="I2443" s="6">
        <v>22.91</v>
      </c>
    </row>
    <row r="2444" spans="1:9" x14ac:dyDescent="0.3">
      <c r="A2444" s="1">
        <v>42562</v>
      </c>
      <c r="B2444" s="2" t="s">
        <v>1227</v>
      </c>
      <c r="C2444" s="2" t="s">
        <v>62</v>
      </c>
      <c r="D2444" s="2" t="s">
        <v>2</v>
      </c>
      <c r="E2444" s="2" t="s">
        <v>11</v>
      </c>
      <c r="F2444" s="2" t="s">
        <v>2004</v>
      </c>
      <c r="G2444" s="2">
        <v>27.68</v>
      </c>
      <c r="H2444" s="2">
        <v>2</v>
      </c>
      <c r="I2444" s="3">
        <v>9.69</v>
      </c>
    </row>
    <row r="2445" spans="1:9" x14ac:dyDescent="0.3">
      <c r="A2445" s="4">
        <v>42562</v>
      </c>
      <c r="B2445" s="5" t="s">
        <v>1315</v>
      </c>
      <c r="C2445" s="5" t="s">
        <v>18</v>
      </c>
      <c r="D2445" s="5" t="s">
        <v>2</v>
      </c>
      <c r="E2445" s="5" t="s">
        <v>11</v>
      </c>
      <c r="F2445" s="5" t="s">
        <v>298</v>
      </c>
      <c r="G2445" s="5">
        <v>37.44</v>
      </c>
      <c r="H2445" s="5">
        <v>4</v>
      </c>
      <c r="I2445" s="6">
        <v>11.7</v>
      </c>
    </row>
    <row r="2446" spans="1:9" x14ac:dyDescent="0.3">
      <c r="A2446" s="1">
        <v>42562</v>
      </c>
      <c r="B2446" s="2" t="s">
        <v>1315</v>
      </c>
      <c r="C2446" s="2" t="s">
        <v>18</v>
      </c>
      <c r="D2446" s="2" t="s">
        <v>2</v>
      </c>
      <c r="E2446" s="2" t="s">
        <v>11</v>
      </c>
      <c r="F2446" s="2" t="s">
        <v>2005</v>
      </c>
      <c r="G2446" s="2">
        <v>26.98</v>
      </c>
      <c r="H2446" s="2">
        <v>4</v>
      </c>
      <c r="I2446" s="3">
        <v>8.77</v>
      </c>
    </row>
    <row r="2447" spans="1:9" x14ac:dyDescent="0.3">
      <c r="A2447" s="4">
        <v>42562</v>
      </c>
      <c r="B2447" s="5" t="s">
        <v>1315</v>
      </c>
      <c r="C2447" s="5" t="s">
        <v>18</v>
      </c>
      <c r="D2447" s="5" t="s">
        <v>2</v>
      </c>
      <c r="E2447" s="5" t="s">
        <v>144</v>
      </c>
      <c r="F2447" s="5" t="s">
        <v>1901</v>
      </c>
      <c r="G2447" s="5">
        <v>11.36</v>
      </c>
      <c r="H2447" s="5">
        <v>2</v>
      </c>
      <c r="I2447" s="6">
        <v>3.29</v>
      </c>
    </row>
    <row r="2448" spans="1:9" x14ac:dyDescent="0.3">
      <c r="A2448" s="1">
        <v>42562</v>
      </c>
      <c r="B2448" s="2" t="s">
        <v>1315</v>
      </c>
      <c r="C2448" s="2" t="s">
        <v>18</v>
      </c>
      <c r="D2448" s="2" t="s">
        <v>2</v>
      </c>
      <c r="E2448" s="2" t="s">
        <v>7</v>
      </c>
      <c r="F2448" s="2" t="s">
        <v>1602</v>
      </c>
      <c r="G2448" s="2">
        <v>14.62</v>
      </c>
      <c r="H2448" s="2">
        <v>2</v>
      </c>
      <c r="I2448" s="3">
        <v>6.87</v>
      </c>
    </row>
    <row r="2449" spans="1:9" x14ac:dyDescent="0.3">
      <c r="A2449" s="4">
        <v>42562</v>
      </c>
      <c r="B2449" s="5" t="s">
        <v>1031</v>
      </c>
      <c r="C2449" s="5" t="s">
        <v>18</v>
      </c>
      <c r="D2449" s="5" t="s">
        <v>25</v>
      </c>
      <c r="E2449" s="5" t="s">
        <v>38</v>
      </c>
      <c r="F2449" s="5" t="s">
        <v>1729</v>
      </c>
      <c r="G2449" s="5">
        <v>14.82</v>
      </c>
      <c r="H2449" s="5">
        <v>3</v>
      </c>
      <c r="I2449" s="6">
        <v>6.22</v>
      </c>
    </row>
    <row r="2450" spans="1:9" x14ac:dyDescent="0.3">
      <c r="A2450" s="1">
        <v>42562</v>
      </c>
      <c r="B2450" s="2" t="s">
        <v>841</v>
      </c>
      <c r="C2450" s="2" t="s">
        <v>127</v>
      </c>
      <c r="D2450" s="2" t="s">
        <v>30</v>
      </c>
      <c r="E2450" s="2" t="s">
        <v>43</v>
      </c>
      <c r="F2450" s="2" t="s">
        <v>763</v>
      </c>
      <c r="G2450" s="2">
        <v>119.98</v>
      </c>
      <c r="H2450" s="2">
        <v>3</v>
      </c>
      <c r="I2450" s="3">
        <v>22.5</v>
      </c>
    </row>
    <row r="2451" spans="1:9" x14ac:dyDescent="0.3">
      <c r="A2451" s="4">
        <v>42562</v>
      </c>
      <c r="B2451" s="5" t="s">
        <v>1748</v>
      </c>
      <c r="C2451" s="5" t="s">
        <v>77</v>
      </c>
      <c r="D2451" s="5" t="s">
        <v>2</v>
      </c>
      <c r="E2451" s="5" t="s">
        <v>34</v>
      </c>
      <c r="F2451" s="5" t="s">
        <v>1495</v>
      </c>
      <c r="G2451" s="5">
        <v>14.96</v>
      </c>
      <c r="H2451" s="5">
        <v>4</v>
      </c>
      <c r="I2451" s="6">
        <v>0.3</v>
      </c>
    </row>
    <row r="2452" spans="1:9" x14ac:dyDescent="0.3">
      <c r="A2452" s="1">
        <v>42562</v>
      </c>
      <c r="B2452" s="2" t="s">
        <v>2006</v>
      </c>
      <c r="C2452" s="2" t="s">
        <v>18</v>
      </c>
      <c r="D2452" s="2" t="s">
        <v>2</v>
      </c>
      <c r="E2452" s="2" t="s">
        <v>3</v>
      </c>
      <c r="F2452" s="2" t="s">
        <v>1900</v>
      </c>
      <c r="G2452" s="2">
        <v>12.9</v>
      </c>
      <c r="H2452" s="2">
        <v>2</v>
      </c>
      <c r="I2452" s="3">
        <v>6.32</v>
      </c>
    </row>
    <row r="2453" spans="1:9" x14ac:dyDescent="0.3">
      <c r="A2453" s="4">
        <v>42562</v>
      </c>
      <c r="B2453" s="5" t="s">
        <v>1997</v>
      </c>
      <c r="C2453" s="5" t="s">
        <v>2007</v>
      </c>
      <c r="D2453" s="5" t="s">
        <v>25</v>
      </c>
      <c r="E2453" s="5" t="s">
        <v>26</v>
      </c>
      <c r="F2453" s="5" t="s">
        <v>1543</v>
      </c>
      <c r="G2453" s="5">
        <v>1603.14</v>
      </c>
      <c r="H2453" s="5">
        <v>4</v>
      </c>
      <c r="I2453" s="6">
        <v>100.2</v>
      </c>
    </row>
    <row r="2454" spans="1:9" x14ac:dyDescent="0.3">
      <c r="A2454" s="1">
        <v>42562</v>
      </c>
      <c r="B2454" s="2" t="s">
        <v>734</v>
      </c>
      <c r="C2454" s="2" t="s">
        <v>80</v>
      </c>
      <c r="D2454" s="2" t="s">
        <v>30</v>
      </c>
      <c r="E2454" s="2" t="s">
        <v>31</v>
      </c>
      <c r="F2454" s="2" t="s">
        <v>275</v>
      </c>
      <c r="G2454" s="2">
        <v>263.95999999999998</v>
      </c>
      <c r="H2454" s="2">
        <v>4</v>
      </c>
      <c r="I2454" s="3">
        <v>71.27</v>
      </c>
    </row>
    <row r="2455" spans="1:9" x14ac:dyDescent="0.3">
      <c r="A2455" s="4">
        <v>42562</v>
      </c>
      <c r="B2455" s="5" t="s">
        <v>734</v>
      </c>
      <c r="C2455" s="5" t="s">
        <v>80</v>
      </c>
      <c r="D2455" s="5" t="s">
        <v>30</v>
      </c>
      <c r="E2455" s="5" t="s">
        <v>31</v>
      </c>
      <c r="F2455" s="5" t="s">
        <v>966</v>
      </c>
      <c r="G2455" s="5">
        <v>359.97</v>
      </c>
      <c r="H2455" s="5">
        <v>3</v>
      </c>
      <c r="I2455" s="6">
        <v>100.79</v>
      </c>
    </row>
    <row r="2456" spans="1:9" x14ac:dyDescent="0.3">
      <c r="A2456" s="1">
        <v>42562</v>
      </c>
      <c r="B2456" s="2" t="s">
        <v>734</v>
      </c>
      <c r="C2456" s="2" t="s">
        <v>80</v>
      </c>
      <c r="D2456" s="2" t="s">
        <v>2</v>
      </c>
      <c r="E2456" s="2" t="s">
        <v>3</v>
      </c>
      <c r="F2456" s="2" t="s">
        <v>2008</v>
      </c>
      <c r="G2456" s="2">
        <v>12.96</v>
      </c>
      <c r="H2456" s="2">
        <v>2</v>
      </c>
      <c r="I2456" s="3">
        <v>6.22</v>
      </c>
    </row>
    <row r="2457" spans="1:9" x14ac:dyDescent="0.3">
      <c r="A2457" s="4">
        <v>42562</v>
      </c>
      <c r="B2457" s="5" t="s">
        <v>734</v>
      </c>
      <c r="C2457" s="5" t="s">
        <v>80</v>
      </c>
      <c r="D2457" s="5" t="s">
        <v>2</v>
      </c>
      <c r="E2457" s="5" t="s">
        <v>9</v>
      </c>
      <c r="F2457" s="5" t="s">
        <v>1796</v>
      </c>
      <c r="G2457" s="5">
        <v>116.82</v>
      </c>
      <c r="H2457" s="5">
        <v>3</v>
      </c>
      <c r="I2457" s="6">
        <v>5.84</v>
      </c>
    </row>
    <row r="2458" spans="1:9" x14ac:dyDescent="0.3">
      <c r="A2458" s="1">
        <v>42562</v>
      </c>
      <c r="B2458" s="2" t="s">
        <v>734</v>
      </c>
      <c r="C2458" s="2" t="s">
        <v>80</v>
      </c>
      <c r="D2458" s="2" t="s">
        <v>2</v>
      </c>
      <c r="E2458" s="2" t="s">
        <v>11</v>
      </c>
      <c r="F2458" s="2" t="s">
        <v>1937</v>
      </c>
      <c r="G2458" s="2">
        <v>276.77999999999997</v>
      </c>
      <c r="H2458" s="2">
        <v>2</v>
      </c>
      <c r="I2458" s="3">
        <v>89.95</v>
      </c>
    </row>
    <row r="2459" spans="1:9" x14ac:dyDescent="0.3">
      <c r="A2459" s="4">
        <v>42562</v>
      </c>
      <c r="B2459" s="5" t="s">
        <v>449</v>
      </c>
      <c r="C2459" s="5" t="s">
        <v>1</v>
      </c>
      <c r="D2459" s="5" t="s">
        <v>25</v>
      </c>
      <c r="E2459" s="5" t="s">
        <v>38</v>
      </c>
      <c r="F2459" s="5" t="s">
        <v>2009</v>
      </c>
      <c r="G2459" s="5">
        <v>44.46</v>
      </c>
      <c r="H2459" s="5">
        <v>5</v>
      </c>
      <c r="I2459" s="6">
        <v>-17.78</v>
      </c>
    </row>
    <row r="2460" spans="1:9" x14ac:dyDescent="0.3">
      <c r="A2460" s="1">
        <v>42562</v>
      </c>
      <c r="B2460" s="2" t="s">
        <v>449</v>
      </c>
      <c r="C2460" s="2" t="s">
        <v>1</v>
      </c>
      <c r="D2460" s="2" t="s">
        <v>2</v>
      </c>
      <c r="E2460" s="2" t="s">
        <v>9</v>
      </c>
      <c r="F2460" s="2" t="s">
        <v>1700</v>
      </c>
      <c r="G2460" s="2">
        <v>314.08999999999997</v>
      </c>
      <c r="H2460" s="2">
        <v>3</v>
      </c>
      <c r="I2460" s="3">
        <v>19.63</v>
      </c>
    </row>
    <row r="2461" spans="1:9" x14ac:dyDescent="0.3">
      <c r="A2461" s="4">
        <v>42562</v>
      </c>
      <c r="B2461" s="5" t="s">
        <v>537</v>
      </c>
      <c r="C2461" s="5" t="s">
        <v>18</v>
      </c>
      <c r="D2461" s="5" t="s">
        <v>30</v>
      </c>
      <c r="E2461" s="5" t="s">
        <v>43</v>
      </c>
      <c r="F2461" s="5" t="s">
        <v>451</v>
      </c>
      <c r="G2461" s="5">
        <v>479.97</v>
      </c>
      <c r="H2461" s="5">
        <v>3</v>
      </c>
      <c r="I2461" s="6">
        <v>163.19</v>
      </c>
    </row>
    <row r="2462" spans="1:9" x14ac:dyDescent="0.3">
      <c r="A2462" s="1">
        <v>42562</v>
      </c>
      <c r="B2462" s="2" t="s">
        <v>2010</v>
      </c>
      <c r="C2462" s="2" t="s">
        <v>18</v>
      </c>
      <c r="D2462" s="2" t="s">
        <v>2</v>
      </c>
      <c r="E2462" s="2" t="s">
        <v>11</v>
      </c>
      <c r="F2462" s="2" t="s">
        <v>2011</v>
      </c>
      <c r="G2462" s="2">
        <v>57.58</v>
      </c>
      <c r="H2462" s="2">
        <v>2</v>
      </c>
      <c r="I2462" s="3">
        <v>20.149999999999999</v>
      </c>
    </row>
    <row r="2463" spans="1:9" x14ac:dyDescent="0.3">
      <c r="A2463" s="4">
        <v>42593</v>
      </c>
      <c r="B2463" s="5" t="s">
        <v>2012</v>
      </c>
      <c r="C2463" s="5" t="s">
        <v>24</v>
      </c>
      <c r="D2463" s="5" t="s">
        <v>25</v>
      </c>
      <c r="E2463" s="5" t="s">
        <v>129</v>
      </c>
      <c r="F2463" s="5" t="s">
        <v>1736</v>
      </c>
      <c r="G2463" s="5">
        <v>261.95999999999998</v>
      </c>
      <c r="H2463" s="5">
        <v>2</v>
      </c>
      <c r="I2463" s="6">
        <v>41.91</v>
      </c>
    </row>
    <row r="2464" spans="1:9" x14ac:dyDescent="0.3">
      <c r="A2464" s="1">
        <v>42593</v>
      </c>
      <c r="B2464" s="2" t="s">
        <v>2012</v>
      </c>
      <c r="C2464" s="2" t="s">
        <v>24</v>
      </c>
      <c r="D2464" s="2" t="s">
        <v>25</v>
      </c>
      <c r="E2464" s="2" t="s">
        <v>26</v>
      </c>
      <c r="F2464" s="2" t="s">
        <v>685</v>
      </c>
      <c r="G2464" s="2">
        <v>731.94</v>
      </c>
      <c r="H2464" s="2">
        <v>3</v>
      </c>
      <c r="I2464" s="3">
        <v>219.58</v>
      </c>
    </row>
    <row r="2465" spans="1:9" x14ac:dyDescent="0.3">
      <c r="A2465" s="4">
        <v>42624</v>
      </c>
      <c r="B2465" s="5" t="s">
        <v>2013</v>
      </c>
      <c r="C2465" s="5" t="s">
        <v>18</v>
      </c>
      <c r="D2465" s="5" t="s">
        <v>30</v>
      </c>
      <c r="E2465" s="5" t="s">
        <v>43</v>
      </c>
      <c r="F2465" s="5" t="s">
        <v>143</v>
      </c>
      <c r="G2465" s="5">
        <v>479.97</v>
      </c>
      <c r="H2465" s="5">
        <v>3</v>
      </c>
      <c r="I2465" s="6">
        <v>177.59</v>
      </c>
    </row>
    <row r="2466" spans="1:9" x14ac:dyDescent="0.3">
      <c r="A2466" s="1">
        <v>42654</v>
      </c>
      <c r="B2466" s="2" t="s">
        <v>2014</v>
      </c>
      <c r="C2466" s="2" t="s">
        <v>18</v>
      </c>
      <c r="D2466" s="2" t="s">
        <v>2</v>
      </c>
      <c r="E2466" s="2" t="s">
        <v>9</v>
      </c>
      <c r="F2466" s="2" t="s">
        <v>983</v>
      </c>
      <c r="G2466" s="2">
        <v>155.82</v>
      </c>
      <c r="H2466" s="2">
        <v>7</v>
      </c>
      <c r="I2466" s="3">
        <v>42.07</v>
      </c>
    </row>
    <row r="2467" spans="1:9" x14ac:dyDescent="0.3">
      <c r="A2467" s="4">
        <v>42654</v>
      </c>
      <c r="B2467" s="5" t="s">
        <v>2014</v>
      </c>
      <c r="C2467" s="5" t="s">
        <v>18</v>
      </c>
      <c r="D2467" s="5" t="s">
        <v>2</v>
      </c>
      <c r="E2467" s="5" t="s">
        <v>11</v>
      </c>
      <c r="F2467" s="5" t="s">
        <v>1833</v>
      </c>
      <c r="G2467" s="5">
        <v>70.010000000000005</v>
      </c>
      <c r="H2467" s="5">
        <v>3</v>
      </c>
      <c r="I2467" s="6">
        <v>24.5</v>
      </c>
    </row>
    <row r="2468" spans="1:9" x14ac:dyDescent="0.3">
      <c r="A2468" s="1">
        <v>42654</v>
      </c>
      <c r="B2468" s="2" t="s">
        <v>1372</v>
      </c>
      <c r="C2468" s="2" t="s">
        <v>18</v>
      </c>
      <c r="D2468" s="2" t="s">
        <v>2</v>
      </c>
      <c r="E2468" s="2" t="s">
        <v>11</v>
      </c>
      <c r="F2468" s="2" t="s">
        <v>879</v>
      </c>
      <c r="G2468" s="2">
        <v>13.22</v>
      </c>
      <c r="H2468" s="2">
        <v>4</v>
      </c>
      <c r="I2468" s="3">
        <v>4.46</v>
      </c>
    </row>
    <row r="2469" spans="1:9" x14ac:dyDescent="0.3">
      <c r="A2469" s="4">
        <v>42654</v>
      </c>
      <c r="B2469" s="5" t="s">
        <v>1372</v>
      </c>
      <c r="C2469" s="5" t="s">
        <v>18</v>
      </c>
      <c r="D2469" s="5" t="s">
        <v>2</v>
      </c>
      <c r="E2469" s="5" t="s">
        <v>3</v>
      </c>
      <c r="F2469" s="5" t="s">
        <v>2015</v>
      </c>
      <c r="G2469" s="5">
        <v>32.4</v>
      </c>
      <c r="H2469" s="5">
        <v>5</v>
      </c>
      <c r="I2469" s="6">
        <v>15.55</v>
      </c>
    </row>
    <row r="2470" spans="1:9" x14ac:dyDescent="0.3">
      <c r="A2470" s="1">
        <v>42654</v>
      </c>
      <c r="B2470" s="2" t="s">
        <v>2016</v>
      </c>
      <c r="C2470" s="2" t="s">
        <v>21</v>
      </c>
      <c r="D2470" s="2" t="s">
        <v>2</v>
      </c>
      <c r="E2470" s="2" t="s">
        <v>15</v>
      </c>
      <c r="F2470" s="2" t="s">
        <v>1889</v>
      </c>
      <c r="G2470" s="2">
        <v>41.86</v>
      </c>
      <c r="H2470" s="2">
        <v>7</v>
      </c>
      <c r="I2470" s="3">
        <v>10.47</v>
      </c>
    </row>
    <row r="2471" spans="1:9" x14ac:dyDescent="0.3">
      <c r="A2471" s="4">
        <v>42654</v>
      </c>
      <c r="B2471" s="5" t="s">
        <v>336</v>
      </c>
      <c r="C2471" s="5" t="s">
        <v>127</v>
      </c>
      <c r="D2471" s="5" t="s">
        <v>2</v>
      </c>
      <c r="E2471" s="5" t="s">
        <v>144</v>
      </c>
      <c r="F2471" s="5" t="s">
        <v>429</v>
      </c>
      <c r="G2471" s="5">
        <v>14.72</v>
      </c>
      <c r="H2471" s="5">
        <v>5</v>
      </c>
      <c r="I2471" s="6">
        <v>-3.31</v>
      </c>
    </row>
    <row r="2472" spans="1:9" x14ac:dyDescent="0.3">
      <c r="A2472" s="1">
        <v>42654</v>
      </c>
      <c r="B2472" s="2" t="s">
        <v>336</v>
      </c>
      <c r="C2472" s="2" t="s">
        <v>127</v>
      </c>
      <c r="D2472" s="2" t="s">
        <v>2</v>
      </c>
      <c r="E2472" s="2" t="s">
        <v>9</v>
      </c>
      <c r="F2472" s="2" t="s">
        <v>81</v>
      </c>
      <c r="G2472" s="2">
        <v>38.979999999999997</v>
      </c>
      <c r="H2472" s="2">
        <v>3</v>
      </c>
      <c r="I2472" s="3">
        <v>-2.44</v>
      </c>
    </row>
    <row r="2473" spans="1:9" x14ac:dyDescent="0.3">
      <c r="A2473" s="4">
        <v>42654</v>
      </c>
      <c r="B2473" s="5" t="s">
        <v>690</v>
      </c>
      <c r="C2473" s="5" t="s">
        <v>127</v>
      </c>
      <c r="D2473" s="5" t="s">
        <v>2</v>
      </c>
      <c r="E2473" s="5" t="s">
        <v>7</v>
      </c>
      <c r="F2473" s="5" t="s">
        <v>1331</v>
      </c>
      <c r="G2473" s="5">
        <v>9.2200000000000006</v>
      </c>
      <c r="H2473" s="5">
        <v>4</v>
      </c>
      <c r="I2473" s="6">
        <v>3.34</v>
      </c>
    </row>
    <row r="2474" spans="1:9" x14ac:dyDescent="0.3">
      <c r="A2474" s="1">
        <v>42654</v>
      </c>
      <c r="B2474" s="2" t="s">
        <v>690</v>
      </c>
      <c r="C2474" s="2" t="s">
        <v>127</v>
      </c>
      <c r="D2474" s="2" t="s">
        <v>30</v>
      </c>
      <c r="E2474" s="2" t="s">
        <v>31</v>
      </c>
      <c r="F2474" s="2" t="s">
        <v>425</v>
      </c>
      <c r="G2474" s="2">
        <v>41.96</v>
      </c>
      <c r="H2474" s="2">
        <v>7</v>
      </c>
      <c r="I2474" s="3">
        <v>-9.7899999999999991</v>
      </c>
    </row>
    <row r="2475" spans="1:9" x14ac:dyDescent="0.3">
      <c r="A2475" s="4">
        <v>42654</v>
      </c>
      <c r="B2475" s="5" t="s">
        <v>690</v>
      </c>
      <c r="C2475" s="5" t="s">
        <v>127</v>
      </c>
      <c r="D2475" s="5" t="s">
        <v>2</v>
      </c>
      <c r="E2475" s="5" t="s">
        <v>3</v>
      </c>
      <c r="F2475" s="5" t="s">
        <v>924</v>
      </c>
      <c r="G2475" s="5">
        <v>89.57</v>
      </c>
      <c r="H2475" s="5">
        <v>2</v>
      </c>
      <c r="I2475" s="6">
        <v>32.47</v>
      </c>
    </row>
    <row r="2476" spans="1:9" x14ac:dyDescent="0.3">
      <c r="A2476" s="1">
        <v>42654</v>
      </c>
      <c r="B2476" s="2" t="s">
        <v>690</v>
      </c>
      <c r="C2476" s="2" t="s">
        <v>127</v>
      </c>
      <c r="D2476" s="2" t="s">
        <v>2</v>
      </c>
      <c r="E2476" s="2" t="s">
        <v>3</v>
      </c>
      <c r="F2476" s="2" t="s">
        <v>923</v>
      </c>
      <c r="G2476" s="2">
        <v>22.25</v>
      </c>
      <c r="H2476" s="2">
        <v>3</v>
      </c>
      <c r="I2476" s="3">
        <v>7.51</v>
      </c>
    </row>
    <row r="2477" spans="1:9" x14ac:dyDescent="0.3">
      <c r="A2477" s="4">
        <v>42654</v>
      </c>
      <c r="B2477" s="5" t="s">
        <v>690</v>
      </c>
      <c r="C2477" s="5" t="s">
        <v>127</v>
      </c>
      <c r="D2477" s="5" t="s">
        <v>2</v>
      </c>
      <c r="E2477" s="5" t="s">
        <v>133</v>
      </c>
      <c r="F2477" s="5" t="s">
        <v>1888</v>
      </c>
      <c r="G2477" s="5">
        <v>334.88</v>
      </c>
      <c r="H2477" s="5">
        <v>4</v>
      </c>
      <c r="I2477" s="6">
        <v>29.3</v>
      </c>
    </row>
    <row r="2478" spans="1:9" x14ac:dyDescent="0.3">
      <c r="A2478" s="1">
        <v>42654</v>
      </c>
      <c r="B2478" s="2" t="s">
        <v>690</v>
      </c>
      <c r="C2478" s="2" t="s">
        <v>127</v>
      </c>
      <c r="D2478" s="2" t="s">
        <v>25</v>
      </c>
      <c r="E2478" s="2" t="s">
        <v>38</v>
      </c>
      <c r="F2478" s="2" t="s">
        <v>638</v>
      </c>
      <c r="G2478" s="2">
        <v>148.29</v>
      </c>
      <c r="H2478" s="2">
        <v>7</v>
      </c>
      <c r="I2478" s="3">
        <v>29.66</v>
      </c>
    </row>
    <row r="2479" spans="1:9" x14ac:dyDescent="0.3">
      <c r="A2479" s="4">
        <v>42654</v>
      </c>
      <c r="B2479" s="5" t="s">
        <v>690</v>
      </c>
      <c r="C2479" s="5" t="s">
        <v>127</v>
      </c>
      <c r="D2479" s="5" t="s">
        <v>2</v>
      </c>
      <c r="E2479" s="5" t="s">
        <v>3</v>
      </c>
      <c r="F2479" s="5" t="s">
        <v>2017</v>
      </c>
      <c r="G2479" s="5">
        <v>4.62</v>
      </c>
      <c r="H2479" s="5">
        <v>1</v>
      </c>
      <c r="I2479" s="6">
        <v>1.68</v>
      </c>
    </row>
    <row r="2480" spans="1:9" x14ac:dyDescent="0.3">
      <c r="A2480" s="1">
        <v>42654</v>
      </c>
      <c r="B2480" s="2" t="s">
        <v>690</v>
      </c>
      <c r="C2480" s="2" t="s">
        <v>127</v>
      </c>
      <c r="D2480" s="2" t="s">
        <v>30</v>
      </c>
      <c r="E2480" s="2" t="s">
        <v>43</v>
      </c>
      <c r="F2480" s="2" t="s">
        <v>1453</v>
      </c>
      <c r="G2480" s="2">
        <v>178.92</v>
      </c>
      <c r="H2480" s="2">
        <v>7</v>
      </c>
      <c r="I2480" s="3">
        <v>-29.07</v>
      </c>
    </row>
    <row r="2481" spans="1:9" x14ac:dyDescent="0.3">
      <c r="A2481" s="4">
        <v>42654</v>
      </c>
      <c r="B2481" s="5" t="s">
        <v>690</v>
      </c>
      <c r="C2481" s="5" t="s">
        <v>127</v>
      </c>
      <c r="D2481" s="5" t="s">
        <v>2</v>
      </c>
      <c r="E2481" s="5" t="s">
        <v>11</v>
      </c>
      <c r="F2481" s="5" t="s">
        <v>1852</v>
      </c>
      <c r="G2481" s="5">
        <v>69.89</v>
      </c>
      <c r="H2481" s="5">
        <v>7</v>
      </c>
      <c r="I2481" s="6">
        <v>-46.59</v>
      </c>
    </row>
    <row r="2482" spans="1:9" x14ac:dyDescent="0.3">
      <c r="A2482" s="1">
        <v>42654</v>
      </c>
      <c r="B2482" s="2" t="s">
        <v>447</v>
      </c>
      <c r="C2482" s="2" t="s">
        <v>1</v>
      </c>
      <c r="D2482" s="2" t="s">
        <v>30</v>
      </c>
      <c r="E2482" s="2" t="s">
        <v>43</v>
      </c>
      <c r="F2482" s="2" t="s">
        <v>1058</v>
      </c>
      <c r="G2482" s="2">
        <v>279.94</v>
      </c>
      <c r="H2482" s="2">
        <v>7</v>
      </c>
      <c r="I2482" s="3">
        <v>48.99</v>
      </c>
    </row>
    <row r="2483" spans="1:9" x14ac:dyDescent="0.3">
      <c r="A2483" s="4">
        <v>42654</v>
      </c>
      <c r="B2483" s="5" t="s">
        <v>1265</v>
      </c>
      <c r="C2483" s="5" t="s">
        <v>90</v>
      </c>
      <c r="D2483" s="5" t="s">
        <v>25</v>
      </c>
      <c r="E2483" s="5" t="s">
        <v>38</v>
      </c>
      <c r="F2483" s="5" t="s">
        <v>2018</v>
      </c>
      <c r="G2483" s="5">
        <v>37.299999999999997</v>
      </c>
      <c r="H2483" s="5">
        <v>2</v>
      </c>
      <c r="I2483" s="6">
        <v>17.16</v>
      </c>
    </row>
    <row r="2484" spans="1:9" x14ac:dyDescent="0.3">
      <c r="A2484" s="1">
        <v>42654</v>
      </c>
      <c r="B2484" s="2" t="s">
        <v>1265</v>
      </c>
      <c r="C2484" s="2" t="s">
        <v>90</v>
      </c>
      <c r="D2484" s="2" t="s">
        <v>2</v>
      </c>
      <c r="E2484" s="2" t="s">
        <v>11</v>
      </c>
      <c r="F2484" s="2" t="s">
        <v>472</v>
      </c>
      <c r="G2484" s="2">
        <v>81.96</v>
      </c>
      <c r="H2484" s="2">
        <v>2</v>
      </c>
      <c r="I2484" s="3">
        <v>39.340000000000003</v>
      </c>
    </row>
    <row r="2485" spans="1:9" x14ac:dyDescent="0.3">
      <c r="A2485" s="4">
        <v>42654</v>
      </c>
      <c r="B2485" s="5" t="s">
        <v>1013</v>
      </c>
      <c r="C2485" s="5" t="s">
        <v>80</v>
      </c>
      <c r="D2485" s="5" t="s">
        <v>2</v>
      </c>
      <c r="E2485" s="5" t="s">
        <v>11</v>
      </c>
      <c r="F2485" s="5" t="s">
        <v>2019</v>
      </c>
      <c r="G2485" s="5">
        <v>20.37</v>
      </c>
      <c r="H2485" s="5">
        <v>1</v>
      </c>
      <c r="I2485" s="6">
        <v>7.38</v>
      </c>
    </row>
    <row r="2486" spans="1:9" x14ac:dyDescent="0.3">
      <c r="A2486" s="1">
        <v>42654</v>
      </c>
      <c r="B2486" s="2" t="s">
        <v>1013</v>
      </c>
      <c r="C2486" s="2" t="s">
        <v>80</v>
      </c>
      <c r="D2486" s="2" t="s">
        <v>2</v>
      </c>
      <c r="E2486" s="2" t="s">
        <v>11</v>
      </c>
      <c r="F2486" s="2" t="s">
        <v>397</v>
      </c>
      <c r="G2486" s="2">
        <v>49.85</v>
      </c>
      <c r="H2486" s="2">
        <v>3</v>
      </c>
      <c r="I2486" s="3">
        <v>16.82</v>
      </c>
    </row>
    <row r="2487" spans="1:9" x14ac:dyDescent="0.3">
      <c r="A2487" s="4">
        <v>42654</v>
      </c>
      <c r="B2487" s="5" t="s">
        <v>333</v>
      </c>
      <c r="C2487" s="5" t="s">
        <v>18</v>
      </c>
      <c r="D2487" s="5" t="s">
        <v>2</v>
      </c>
      <c r="E2487" s="5" t="s">
        <v>3</v>
      </c>
      <c r="F2487" s="5" t="s">
        <v>2003</v>
      </c>
      <c r="G2487" s="5">
        <v>67.709999999999994</v>
      </c>
      <c r="H2487" s="5">
        <v>3</v>
      </c>
      <c r="I2487" s="6">
        <v>32.5</v>
      </c>
    </row>
    <row r="2488" spans="1:9" x14ac:dyDescent="0.3">
      <c r="A2488" s="1">
        <v>42654</v>
      </c>
      <c r="B2488" s="2" t="s">
        <v>333</v>
      </c>
      <c r="C2488" s="2" t="s">
        <v>18</v>
      </c>
      <c r="D2488" s="2" t="s">
        <v>2</v>
      </c>
      <c r="E2488" s="2" t="s">
        <v>133</v>
      </c>
      <c r="F2488" s="2" t="s">
        <v>2020</v>
      </c>
      <c r="G2488" s="2">
        <v>129.91999999999999</v>
      </c>
      <c r="H2488" s="2">
        <v>4</v>
      </c>
      <c r="I2488" s="3">
        <v>38.979999999999997</v>
      </c>
    </row>
    <row r="2489" spans="1:9" x14ac:dyDescent="0.3">
      <c r="A2489" s="4">
        <v>42654</v>
      </c>
      <c r="B2489" s="5" t="s">
        <v>333</v>
      </c>
      <c r="C2489" s="5" t="s">
        <v>18</v>
      </c>
      <c r="D2489" s="5" t="s">
        <v>25</v>
      </c>
      <c r="E2489" s="5" t="s">
        <v>38</v>
      </c>
      <c r="F2489" s="5" t="s">
        <v>48</v>
      </c>
      <c r="G2489" s="5">
        <v>467.46</v>
      </c>
      <c r="H2489" s="5">
        <v>9</v>
      </c>
      <c r="I2489" s="6">
        <v>191.66</v>
      </c>
    </row>
    <row r="2490" spans="1:9" x14ac:dyDescent="0.3">
      <c r="A2490" s="1">
        <v>42654</v>
      </c>
      <c r="B2490" s="2" t="s">
        <v>333</v>
      </c>
      <c r="C2490" s="2" t="s">
        <v>18</v>
      </c>
      <c r="D2490" s="2" t="s">
        <v>2</v>
      </c>
      <c r="E2490" s="2" t="s">
        <v>3</v>
      </c>
      <c r="F2490" s="2" t="s">
        <v>310</v>
      </c>
      <c r="G2490" s="2">
        <v>61.4</v>
      </c>
      <c r="H2490" s="2">
        <v>5</v>
      </c>
      <c r="I2490" s="3">
        <v>28.86</v>
      </c>
    </row>
    <row r="2491" spans="1:9" x14ac:dyDescent="0.3">
      <c r="A2491" s="4">
        <v>42654</v>
      </c>
      <c r="B2491" s="5" t="s">
        <v>333</v>
      </c>
      <c r="C2491" s="5" t="s">
        <v>18</v>
      </c>
      <c r="D2491" s="5" t="s">
        <v>2</v>
      </c>
      <c r="E2491" s="5" t="s">
        <v>9</v>
      </c>
      <c r="F2491" s="5" t="s">
        <v>988</v>
      </c>
      <c r="G2491" s="5">
        <v>720.76</v>
      </c>
      <c r="H2491" s="5">
        <v>4</v>
      </c>
      <c r="I2491" s="6">
        <v>187.4</v>
      </c>
    </row>
    <row r="2492" spans="1:9" x14ac:dyDescent="0.3">
      <c r="A2492" s="1">
        <v>42654</v>
      </c>
      <c r="B2492" s="2" t="s">
        <v>333</v>
      </c>
      <c r="C2492" s="2" t="s">
        <v>18</v>
      </c>
      <c r="D2492" s="2" t="s">
        <v>2</v>
      </c>
      <c r="E2492" s="2" t="s">
        <v>11</v>
      </c>
      <c r="F2492" s="2" t="s">
        <v>1679</v>
      </c>
      <c r="G2492" s="2">
        <v>5.18</v>
      </c>
      <c r="H2492" s="2">
        <v>3</v>
      </c>
      <c r="I2492" s="3">
        <v>1.81</v>
      </c>
    </row>
    <row r="2493" spans="1:9" x14ac:dyDescent="0.3">
      <c r="A2493" s="4">
        <v>42654</v>
      </c>
      <c r="B2493" s="5" t="s">
        <v>333</v>
      </c>
      <c r="C2493" s="5" t="s">
        <v>18</v>
      </c>
      <c r="D2493" s="5" t="s">
        <v>2</v>
      </c>
      <c r="E2493" s="5" t="s">
        <v>15</v>
      </c>
      <c r="F2493" s="5" t="s">
        <v>2021</v>
      </c>
      <c r="G2493" s="5">
        <v>14.7</v>
      </c>
      <c r="H2493" s="5">
        <v>5</v>
      </c>
      <c r="I2493" s="6">
        <v>3.97</v>
      </c>
    </row>
    <row r="2494" spans="1:9" x14ac:dyDescent="0.3">
      <c r="A2494" s="1">
        <v>42654</v>
      </c>
      <c r="B2494" s="2" t="s">
        <v>500</v>
      </c>
      <c r="C2494" s="2" t="s">
        <v>18</v>
      </c>
      <c r="D2494" s="2" t="s">
        <v>25</v>
      </c>
      <c r="E2494" s="2" t="s">
        <v>38</v>
      </c>
      <c r="F2494" s="2" t="s">
        <v>2022</v>
      </c>
      <c r="G2494" s="2">
        <v>9.98</v>
      </c>
      <c r="H2494" s="2">
        <v>1</v>
      </c>
      <c r="I2494" s="3">
        <v>2.79</v>
      </c>
    </row>
    <row r="2495" spans="1:9" x14ac:dyDescent="0.3">
      <c r="A2495" s="4">
        <v>42654</v>
      </c>
      <c r="B2495" s="5" t="s">
        <v>1200</v>
      </c>
      <c r="C2495" s="5" t="s">
        <v>18</v>
      </c>
      <c r="D2495" s="5" t="s">
        <v>2</v>
      </c>
      <c r="E2495" s="5" t="s">
        <v>9</v>
      </c>
      <c r="F2495" s="5" t="s">
        <v>1935</v>
      </c>
      <c r="G2495" s="5">
        <v>29.74</v>
      </c>
      <c r="H2495" s="5">
        <v>1</v>
      </c>
      <c r="I2495" s="6">
        <v>4.46</v>
      </c>
    </row>
    <row r="2496" spans="1:9" x14ac:dyDescent="0.3">
      <c r="A2496" s="1">
        <v>42654</v>
      </c>
      <c r="B2496" s="2" t="s">
        <v>49</v>
      </c>
      <c r="C2496" s="2" t="s">
        <v>127</v>
      </c>
      <c r="D2496" s="2" t="s">
        <v>2</v>
      </c>
      <c r="E2496" s="2" t="s">
        <v>3</v>
      </c>
      <c r="F2496" s="2" t="s">
        <v>1737</v>
      </c>
      <c r="G2496" s="2">
        <v>31.1</v>
      </c>
      <c r="H2496" s="2">
        <v>6</v>
      </c>
      <c r="I2496" s="3">
        <v>10.89</v>
      </c>
    </row>
    <row r="2497" spans="1:9" x14ac:dyDescent="0.3">
      <c r="A2497" s="4">
        <v>42654</v>
      </c>
      <c r="B2497" s="5" t="s">
        <v>148</v>
      </c>
      <c r="C2497" s="5" t="s">
        <v>640</v>
      </c>
      <c r="D2497" s="5" t="s">
        <v>30</v>
      </c>
      <c r="E2497" s="5" t="s">
        <v>31</v>
      </c>
      <c r="F2497" s="5" t="s">
        <v>1094</v>
      </c>
      <c r="G2497" s="5">
        <v>221.98</v>
      </c>
      <c r="H2497" s="5">
        <v>2</v>
      </c>
      <c r="I2497" s="6">
        <v>62.15</v>
      </c>
    </row>
    <row r="2498" spans="1:9" x14ac:dyDescent="0.3">
      <c r="A2498" s="1">
        <v>42654</v>
      </c>
      <c r="B2498" s="2" t="s">
        <v>148</v>
      </c>
      <c r="C2498" s="2" t="s">
        <v>640</v>
      </c>
      <c r="D2498" s="2" t="s">
        <v>25</v>
      </c>
      <c r="E2498" s="2" t="s">
        <v>129</v>
      </c>
      <c r="F2498" s="2" t="s">
        <v>2023</v>
      </c>
      <c r="G2498" s="2">
        <v>341.96</v>
      </c>
      <c r="H2498" s="2">
        <v>2</v>
      </c>
      <c r="I2498" s="3">
        <v>54.71</v>
      </c>
    </row>
    <row r="2499" spans="1:9" x14ac:dyDescent="0.3">
      <c r="A2499" s="4">
        <v>42654</v>
      </c>
      <c r="B2499" s="5" t="s">
        <v>159</v>
      </c>
      <c r="C2499" s="5" t="s">
        <v>80</v>
      </c>
      <c r="D2499" s="5" t="s">
        <v>2</v>
      </c>
      <c r="E2499" s="5" t="s">
        <v>11</v>
      </c>
      <c r="F2499" s="5" t="s">
        <v>404</v>
      </c>
      <c r="G2499" s="5">
        <v>3.64</v>
      </c>
      <c r="H2499" s="5">
        <v>1</v>
      </c>
      <c r="I2499" s="6">
        <v>1.37</v>
      </c>
    </row>
    <row r="2500" spans="1:9" x14ac:dyDescent="0.3">
      <c r="A2500" s="1">
        <v>42654</v>
      </c>
      <c r="B2500" s="2" t="s">
        <v>159</v>
      </c>
      <c r="C2500" s="2" t="s">
        <v>80</v>
      </c>
      <c r="D2500" s="2" t="s">
        <v>30</v>
      </c>
      <c r="E2500" s="2" t="s">
        <v>31</v>
      </c>
      <c r="F2500" s="2" t="s">
        <v>600</v>
      </c>
      <c r="G2500" s="2">
        <v>881.93</v>
      </c>
      <c r="H2500" s="2">
        <v>7</v>
      </c>
      <c r="I2500" s="3">
        <v>220.48</v>
      </c>
    </row>
    <row r="2501" spans="1:9" x14ac:dyDescent="0.3">
      <c r="A2501" s="4">
        <v>42685</v>
      </c>
      <c r="B2501" s="5" t="s">
        <v>1693</v>
      </c>
      <c r="C2501" s="5" t="s">
        <v>80</v>
      </c>
      <c r="D2501" s="5" t="s">
        <v>30</v>
      </c>
      <c r="E2501" s="5" t="s">
        <v>43</v>
      </c>
      <c r="F2501" s="5" t="s">
        <v>2024</v>
      </c>
      <c r="G2501" s="5">
        <v>59.97</v>
      </c>
      <c r="H2501" s="5">
        <v>3</v>
      </c>
      <c r="I2501" s="6">
        <v>14.99</v>
      </c>
    </row>
    <row r="2502" spans="1:9" x14ac:dyDescent="0.3">
      <c r="A2502" s="1">
        <v>42685</v>
      </c>
      <c r="B2502" s="2" t="s">
        <v>1693</v>
      </c>
      <c r="C2502" s="2" t="s">
        <v>80</v>
      </c>
      <c r="D2502" s="2" t="s">
        <v>2</v>
      </c>
      <c r="E2502" s="2" t="s">
        <v>9</v>
      </c>
      <c r="F2502" s="2" t="s">
        <v>360</v>
      </c>
      <c r="G2502" s="2">
        <v>83.36</v>
      </c>
      <c r="H2502" s="2">
        <v>1</v>
      </c>
      <c r="I2502" s="3">
        <v>20.84</v>
      </c>
    </row>
    <row r="2503" spans="1:9" x14ac:dyDescent="0.3">
      <c r="A2503" s="4">
        <v>42685</v>
      </c>
      <c r="B2503" s="5" t="s">
        <v>1212</v>
      </c>
      <c r="C2503" s="5" t="s">
        <v>6</v>
      </c>
      <c r="D2503" s="5" t="s">
        <v>30</v>
      </c>
      <c r="E2503" s="5" t="s">
        <v>43</v>
      </c>
      <c r="F2503" s="5" t="s">
        <v>842</v>
      </c>
      <c r="G2503" s="5">
        <v>95.97</v>
      </c>
      <c r="H2503" s="5">
        <v>4</v>
      </c>
      <c r="I2503" s="6">
        <v>1.2</v>
      </c>
    </row>
    <row r="2504" spans="1:9" x14ac:dyDescent="0.3">
      <c r="A2504" s="1">
        <v>42685</v>
      </c>
      <c r="B2504" s="2" t="s">
        <v>1212</v>
      </c>
      <c r="C2504" s="2" t="s">
        <v>6</v>
      </c>
      <c r="D2504" s="2" t="s">
        <v>25</v>
      </c>
      <c r="E2504" s="2" t="s">
        <v>26</v>
      </c>
      <c r="F2504" s="2" t="s">
        <v>1195</v>
      </c>
      <c r="G2504" s="2">
        <v>47.99</v>
      </c>
      <c r="H2504" s="2">
        <v>2</v>
      </c>
      <c r="I2504" s="3">
        <v>-2.06</v>
      </c>
    </row>
    <row r="2505" spans="1:9" x14ac:dyDescent="0.3">
      <c r="A2505" s="4">
        <v>42685</v>
      </c>
      <c r="B2505" s="5" t="s">
        <v>2010</v>
      </c>
      <c r="C2505" s="5" t="s">
        <v>160</v>
      </c>
      <c r="D2505" s="5" t="s">
        <v>30</v>
      </c>
      <c r="E2505" s="5" t="s">
        <v>31</v>
      </c>
      <c r="F2505" s="5" t="s">
        <v>1202</v>
      </c>
      <c r="G2505" s="5">
        <v>257.98</v>
      </c>
      <c r="H2505" s="5">
        <v>2</v>
      </c>
      <c r="I2505" s="6">
        <v>74.81</v>
      </c>
    </row>
    <row r="2506" spans="1:9" x14ac:dyDescent="0.3">
      <c r="A2506" s="1">
        <v>42685</v>
      </c>
      <c r="B2506" s="2" t="s">
        <v>526</v>
      </c>
      <c r="C2506" s="2" t="s">
        <v>18</v>
      </c>
      <c r="D2506" s="2" t="s">
        <v>25</v>
      </c>
      <c r="E2506" s="2" t="s">
        <v>38</v>
      </c>
      <c r="F2506" s="2" t="s">
        <v>305</v>
      </c>
      <c r="G2506" s="2">
        <v>6.96</v>
      </c>
      <c r="H2506" s="2">
        <v>4</v>
      </c>
      <c r="I2506" s="3">
        <v>2.23</v>
      </c>
    </row>
    <row r="2507" spans="1:9" x14ac:dyDescent="0.3">
      <c r="A2507" s="4">
        <v>42685</v>
      </c>
      <c r="B2507" s="5" t="s">
        <v>1890</v>
      </c>
      <c r="C2507" s="5" t="s">
        <v>58</v>
      </c>
      <c r="D2507" s="5" t="s">
        <v>2</v>
      </c>
      <c r="E2507" s="5" t="s">
        <v>11</v>
      </c>
      <c r="F2507" s="5" t="s">
        <v>224</v>
      </c>
      <c r="G2507" s="5">
        <v>9.89</v>
      </c>
      <c r="H2507" s="5">
        <v>2</v>
      </c>
      <c r="I2507" s="6">
        <v>-6.92</v>
      </c>
    </row>
    <row r="2508" spans="1:9" x14ac:dyDescent="0.3">
      <c r="A2508" s="1">
        <v>42685</v>
      </c>
      <c r="B2508" s="2" t="s">
        <v>1890</v>
      </c>
      <c r="C2508" s="2" t="s">
        <v>58</v>
      </c>
      <c r="D2508" s="2" t="s">
        <v>2</v>
      </c>
      <c r="E2508" s="2" t="s">
        <v>133</v>
      </c>
      <c r="F2508" s="2" t="s">
        <v>2025</v>
      </c>
      <c r="G2508" s="2">
        <v>671.54</v>
      </c>
      <c r="H2508" s="2">
        <v>3</v>
      </c>
      <c r="I2508" s="3">
        <v>50.37</v>
      </c>
    </row>
    <row r="2509" spans="1:9" x14ac:dyDescent="0.3">
      <c r="A2509" s="4">
        <v>42685</v>
      </c>
      <c r="B2509" s="5" t="s">
        <v>1120</v>
      </c>
      <c r="C2509" s="5" t="s">
        <v>80</v>
      </c>
      <c r="D2509" s="5" t="s">
        <v>2</v>
      </c>
      <c r="E2509" s="5" t="s">
        <v>9</v>
      </c>
      <c r="F2509" s="5" t="s">
        <v>529</v>
      </c>
      <c r="G2509" s="5">
        <v>28.14</v>
      </c>
      <c r="H2509" s="5">
        <v>3</v>
      </c>
      <c r="I2509" s="6">
        <v>7.88</v>
      </c>
    </row>
    <row r="2510" spans="1:9" x14ac:dyDescent="0.3">
      <c r="A2510" s="1">
        <v>42685</v>
      </c>
      <c r="B2510" s="2" t="s">
        <v>1120</v>
      </c>
      <c r="C2510" s="2" t="s">
        <v>80</v>
      </c>
      <c r="D2510" s="2" t="s">
        <v>30</v>
      </c>
      <c r="E2510" s="2" t="s">
        <v>43</v>
      </c>
      <c r="F2510" s="2" t="s">
        <v>1385</v>
      </c>
      <c r="G2510" s="2">
        <v>36</v>
      </c>
      <c r="H2510" s="2">
        <v>2</v>
      </c>
      <c r="I2510" s="3">
        <v>6.48</v>
      </c>
    </row>
    <row r="2511" spans="1:9" x14ac:dyDescent="0.3">
      <c r="A2511" s="4">
        <v>42685</v>
      </c>
      <c r="B2511" s="5" t="s">
        <v>1120</v>
      </c>
      <c r="C2511" s="5" t="s">
        <v>80</v>
      </c>
      <c r="D2511" s="5" t="s">
        <v>2</v>
      </c>
      <c r="E2511" s="5" t="s">
        <v>15</v>
      </c>
      <c r="F2511" s="5" t="s">
        <v>2026</v>
      </c>
      <c r="G2511" s="5">
        <v>92.94</v>
      </c>
      <c r="H2511" s="5">
        <v>3</v>
      </c>
      <c r="I2511" s="6">
        <v>25.09</v>
      </c>
    </row>
    <row r="2512" spans="1:9" x14ac:dyDescent="0.3">
      <c r="A2512" s="1">
        <v>42685</v>
      </c>
      <c r="B2512" s="2" t="s">
        <v>1120</v>
      </c>
      <c r="C2512" s="2" t="s">
        <v>80</v>
      </c>
      <c r="D2512" s="2" t="s">
        <v>25</v>
      </c>
      <c r="E2512" s="2" t="s">
        <v>26</v>
      </c>
      <c r="F2512" s="2" t="s">
        <v>1245</v>
      </c>
      <c r="G2512" s="2">
        <v>245.65</v>
      </c>
      <c r="H2512" s="2">
        <v>3</v>
      </c>
      <c r="I2512" s="3">
        <v>8.19</v>
      </c>
    </row>
    <row r="2513" spans="1:9" x14ac:dyDescent="0.3">
      <c r="A2513" s="4">
        <v>42685</v>
      </c>
      <c r="B2513" s="5" t="s">
        <v>1120</v>
      </c>
      <c r="C2513" s="5" t="s">
        <v>80</v>
      </c>
      <c r="D2513" s="5" t="s">
        <v>2</v>
      </c>
      <c r="E2513" s="5" t="s">
        <v>11</v>
      </c>
      <c r="F2513" s="5" t="s">
        <v>1344</v>
      </c>
      <c r="G2513" s="5">
        <v>55.01</v>
      </c>
      <c r="H2513" s="5">
        <v>3</v>
      </c>
      <c r="I2513" s="6">
        <v>17.190000000000001</v>
      </c>
    </row>
    <row r="2514" spans="1:9" x14ac:dyDescent="0.3">
      <c r="A2514" s="1">
        <v>42685</v>
      </c>
      <c r="B2514" s="2" t="s">
        <v>1120</v>
      </c>
      <c r="C2514" s="2" t="s">
        <v>80</v>
      </c>
      <c r="D2514" s="2" t="s">
        <v>2</v>
      </c>
      <c r="E2514" s="2" t="s">
        <v>11</v>
      </c>
      <c r="F2514" s="2" t="s">
        <v>1082</v>
      </c>
      <c r="G2514" s="2">
        <v>35.229999999999997</v>
      </c>
      <c r="H2514" s="2">
        <v>3</v>
      </c>
      <c r="I2514" s="3">
        <v>11.45</v>
      </c>
    </row>
    <row r="2515" spans="1:9" x14ac:dyDescent="0.3">
      <c r="A2515" s="4">
        <v>42685</v>
      </c>
      <c r="B2515" s="5" t="s">
        <v>2027</v>
      </c>
      <c r="C2515" s="5" t="s">
        <v>18</v>
      </c>
      <c r="D2515" s="5" t="s">
        <v>25</v>
      </c>
      <c r="E2515" s="5" t="s">
        <v>38</v>
      </c>
      <c r="F2515" s="5" t="s">
        <v>2028</v>
      </c>
      <c r="G2515" s="5">
        <v>41.96</v>
      </c>
      <c r="H2515" s="5">
        <v>2</v>
      </c>
      <c r="I2515" s="6">
        <v>10.91</v>
      </c>
    </row>
    <row r="2516" spans="1:9" x14ac:dyDescent="0.3">
      <c r="A2516" s="1">
        <v>42685</v>
      </c>
      <c r="B2516" s="2" t="s">
        <v>2027</v>
      </c>
      <c r="C2516" s="2" t="s">
        <v>18</v>
      </c>
      <c r="D2516" s="2" t="s">
        <v>25</v>
      </c>
      <c r="E2516" s="2" t="s">
        <v>26</v>
      </c>
      <c r="F2516" s="2" t="s">
        <v>899</v>
      </c>
      <c r="G2516" s="2">
        <v>451.15</v>
      </c>
      <c r="H2516" s="2">
        <v>3</v>
      </c>
      <c r="I2516" s="3">
        <v>0</v>
      </c>
    </row>
    <row r="2517" spans="1:9" x14ac:dyDescent="0.3">
      <c r="A2517" s="4">
        <v>42685</v>
      </c>
      <c r="B2517" s="5" t="s">
        <v>2027</v>
      </c>
      <c r="C2517" s="5" t="s">
        <v>18</v>
      </c>
      <c r="D2517" s="5" t="s">
        <v>2</v>
      </c>
      <c r="E2517" s="5" t="s">
        <v>11</v>
      </c>
      <c r="F2517" s="5" t="s">
        <v>1203</v>
      </c>
      <c r="G2517" s="5">
        <v>31.5</v>
      </c>
      <c r="H2517" s="5">
        <v>11</v>
      </c>
      <c r="I2517" s="6">
        <v>11.03</v>
      </c>
    </row>
    <row r="2518" spans="1:9" x14ac:dyDescent="0.3">
      <c r="A2518" s="1">
        <v>42685</v>
      </c>
      <c r="B2518" s="2" t="s">
        <v>1988</v>
      </c>
      <c r="C2518" s="2" t="s">
        <v>283</v>
      </c>
      <c r="D2518" s="2" t="s">
        <v>25</v>
      </c>
      <c r="E2518" s="2" t="s">
        <v>86</v>
      </c>
      <c r="F2518" s="2" t="s">
        <v>2029</v>
      </c>
      <c r="G2518" s="2">
        <v>2678.94</v>
      </c>
      <c r="H2518" s="2">
        <v>6</v>
      </c>
      <c r="I2518" s="3">
        <v>241.1</v>
      </c>
    </row>
    <row r="2519" spans="1:9" x14ac:dyDescent="0.3">
      <c r="A2519" s="4">
        <v>42685</v>
      </c>
      <c r="B2519" s="5" t="s">
        <v>2030</v>
      </c>
      <c r="C2519" s="5" t="s">
        <v>6</v>
      </c>
      <c r="D2519" s="5" t="s">
        <v>2</v>
      </c>
      <c r="E2519" s="5" t="s">
        <v>15</v>
      </c>
      <c r="F2519" s="5" t="s">
        <v>1974</v>
      </c>
      <c r="G2519" s="5">
        <v>14.11</v>
      </c>
      <c r="H2519" s="5">
        <v>6</v>
      </c>
      <c r="I2519" s="6">
        <v>1.23</v>
      </c>
    </row>
    <row r="2520" spans="1:9" x14ac:dyDescent="0.3">
      <c r="A2520" s="1">
        <v>42715</v>
      </c>
      <c r="B2520" s="2" t="s">
        <v>197</v>
      </c>
      <c r="C2520" s="2" t="s">
        <v>253</v>
      </c>
      <c r="D2520" s="2" t="s">
        <v>2</v>
      </c>
      <c r="E2520" s="2" t="s">
        <v>11</v>
      </c>
      <c r="F2520" s="2" t="s">
        <v>1589</v>
      </c>
      <c r="G2520" s="2">
        <v>6.27</v>
      </c>
      <c r="H2520" s="2">
        <v>5</v>
      </c>
      <c r="I2520" s="3">
        <v>-4.5999999999999996</v>
      </c>
    </row>
    <row r="2521" spans="1:9" x14ac:dyDescent="0.3">
      <c r="A2521" s="4">
        <v>42715</v>
      </c>
      <c r="B2521" s="5" t="s">
        <v>197</v>
      </c>
      <c r="C2521" s="5" t="s">
        <v>253</v>
      </c>
      <c r="D2521" s="5" t="s">
        <v>2</v>
      </c>
      <c r="E2521" s="5" t="s">
        <v>11</v>
      </c>
      <c r="F2521" s="5" t="s">
        <v>2031</v>
      </c>
      <c r="G2521" s="5">
        <v>4.37</v>
      </c>
      <c r="H2521" s="5">
        <v>7</v>
      </c>
      <c r="I2521" s="6">
        <v>-3.35</v>
      </c>
    </row>
    <row r="2522" spans="1:9" x14ac:dyDescent="0.3">
      <c r="A2522" s="1">
        <v>42715</v>
      </c>
      <c r="B2522" s="2" t="s">
        <v>197</v>
      </c>
      <c r="C2522" s="2" t="s">
        <v>253</v>
      </c>
      <c r="D2522" s="2" t="s">
        <v>30</v>
      </c>
      <c r="E2522" s="2" t="s">
        <v>43</v>
      </c>
      <c r="F2522" s="2" t="s">
        <v>2024</v>
      </c>
      <c r="G2522" s="2">
        <v>31.98</v>
      </c>
      <c r="H2522" s="2">
        <v>2</v>
      </c>
      <c r="I2522" s="3">
        <v>2</v>
      </c>
    </row>
    <row r="2523" spans="1:9" x14ac:dyDescent="0.3">
      <c r="A2523" s="4">
        <v>42715</v>
      </c>
      <c r="B2523" s="5" t="s">
        <v>239</v>
      </c>
      <c r="C2523" s="5" t="s">
        <v>283</v>
      </c>
      <c r="D2523" s="5" t="s">
        <v>2</v>
      </c>
      <c r="E2523" s="5" t="s">
        <v>114</v>
      </c>
      <c r="F2523" s="5" t="s">
        <v>2032</v>
      </c>
      <c r="G2523" s="5">
        <v>287.52</v>
      </c>
      <c r="H2523" s="5">
        <v>8</v>
      </c>
      <c r="I2523" s="6">
        <v>129.38</v>
      </c>
    </row>
    <row r="2524" spans="1:9" x14ac:dyDescent="0.3">
      <c r="A2524" s="1">
        <v>42715</v>
      </c>
      <c r="B2524" s="2" t="s">
        <v>239</v>
      </c>
      <c r="C2524" s="2" t="s">
        <v>283</v>
      </c>
      <c r="D2524" s="2" t="s">
        <v>2</v>
      </c>
      <c r="E2524" s="2" t="s">
        <v>133</v>
      </c>
      <c r="F2524" s="2" t="s">
        <v>1706</v>
      </c>
      <c r="G2524" s="2">
        <v>37.68</v>
      </c>
      <c r="H2524" s="2">
        <v>2</v>
      </c>
      <c r="I2524" s="3">
        <v>10.55</v>
      </c>
    </row>
    <row r="2525" spans="1:9" x14ac:dyDescent="0.3">
      <c r="A2525" s="4">
        <v>42715</v>
      </c>
      <c r="B2525" s="5" t="s">
        <v>239</v>
      </c>
      <c r="C2525" s="5" t="s">
        <v>283</v>
      </c>
      <c r="D2525" s="5" t="s">
        <v>2</v>
      </c>
      <c r="E2525" s="5" t="s">
        <v>3</v>
      </c>
      <c r="F2525" s="5" t="s">
        <v>1289</v>
      </c>
      <c r="G2525" s="5">
        <v>19.98</v>
      </c>
      <c r="H2525" s="5">
        <v>2</v>
      </c>
      <c r="I2525" s="6">
        <v>8.99</v>
      </c>
    </row>
    <row r="2526" spans="1:9" x14ac:dyDescent="0.3">
      <c r="A2526" s="1">
        <v>42715</v>
      </c>
      <c r="B2526" s="2" t="s">
        <v>239</v>
      </c>
      <c r="C2526" s="2" t="s">
        <v>283</v>
      </c>
      <c r="D2526" s="2" t="s">
        <v>2</v>
      </c>
      <c r="E2526" s="2" t="s">
        <v>15</v>
      </c>
      <c r="F2526" s="2" t="s">
        <v>1974</v>
      </c>
      <c r="G2526" s="2">
        <v>20.58</v>
      </c>
      <c r="H2526" s="2">
        <v>7</v>
      </c>
      <c r="I2526" s="3">
        <v>5.56</v>
      </c>
    </row>
    <row r="2527" spans="1:9" x14ac:dyDescent="0.3">
      <c r="A2527" s="4">
        <v>42715</v>
      </c>
      <c r="B2527" s="5" t="s">
        <v>239</v>
      </c>
      <c r="C2527" s="5" t="s">
        <v>283</v>
      </c>
      <c r="D2527" s="5" t="s">
        <v>2</v>
      </c>
      <c r="E2527" s="5" t="s">
        <v>11</v>
      </c>
      <c r="F2527" s="5" t="s">
        <v>1136</v>
      </c>
      <c r="G2527" s="5">
        <v>17.38</v>
      </c>
      <c r="H2527" s="5">
        <v>2</v>
      </c>
      <c r="I2527" s="6">
        <v>8.69</v>
      </c>
    </row>
    <row r="2528" spans="1:9" x14ac:dyDescent="0.3">
      <c r="A2528" s="1">
        <v>42715</v>
      </c>
      <c r="B2528" s="2" t="s">
        <v>2033</v>
      </c>
      <c r="C2528" s="2" t="s">
        <v>127</v>
      </c>
      <c r="D2528" s="2" t="s">
        <v>25</v>
      </c>
      <c r="E2528" s="2" t="s">
        <v>26</v>
      </c>
      <c r="F2528" s="2" t="s">
        <v>158</v>
      </c>
      <c r="G2528" s="2">
        <v>1474.8</v>
      </c>
      <c r="H2528" s="2">
        <v>7</v>
      </c>
      <c r="I2528" s="3">
        <v>-21.07</v>
      </c>
    </row>
    <row r="2529" spans="1:9" x14ac:dyDescent="0.3">
      <c r="A2529" s="4">
        <v>42715</v>
      </c>
      <c r="B2529" s="5" t="s">
        <v>2033</v>
      </c>
      <c r="C2529" s="5" t="s">
        <v>127</v>
      </c>
      <c r="D2529" s="5" t="s">
        <v>2</v>
      </c>
      <c r="E2529" s="5" t="s">
        <v>133</v>
      </c>
      <c r="F2529" s="5" t="s">
        <v>1352</v>
      </c>
      <c r="G2529" s="5">
        <v>110.1</v>
      </c>
      <c r="H2529" s="5">
        <v>2</v>
      </c>
      <c r="I2529" s="6">
        <v>33.03</v>
      </c>
    </row>
    <row r="2530" spans="1:9" x14ac:dyDescent="0.3">
      <c r="A2530" s="1">
        <v>42715</v>
      </c>
      <c r="B2530" s="2" t="s">
        <v>2033</v>
      </c>
      <c r="C2530" s="2" t="s">
        <v>127</v>
      </c>
      <c r="D2530" s="2" t="s">
        <v>2</v>
      </c>
      <c r="E2530" s="2" t="s">
        <v>34</v>
      </c>
      <c r="F2530" s="2" t="s">
        <v>851</v>
      </c>
      <c r="G2530" s="2">
        <v>16.75</v>
      </c>
      <c r="H2530" s="2">
        <v>6</v>
      </c>
      <c r="I2530" s="3">
        <v>5.44</v>
      </c>
    </row>
    <row r="2531" spans="1:9" x14ac:dyDescent="0.3">
      <c r="A2531" s="4">
        <v>42715</v>
      </c>
      <c r="B2531" s="5" t="s">
        <v>2033</v>
      </c>
      <c r="C2531" s="5" t="s">
        <v>127</v>
      </c>
      <c r="D2531" s="5" t="s">
        <v>25</v>
      </c>
      <c r="E2531" s="5" t="s">
        <v>26</v>
      </c>
      <c r="F2531" s="5" t="s">
        <v>685</v>
      </c>
      <c r="G2531" s="5">
        <v>1537.07</v>
      </c>
      <c r="H2531" s="5">
        <v>9</v>
      </c>
      <c r="I2531" s="6">
        <v>0</v>
      </c>
    </row>
    <row r="2532" spans="1:9" x14ac:dyDescent="0.3">
      <c r="A2532" s="1">
        <v>42715</v>
      </c>
      <c r="B2532" s="2" t="s">
        <v>2033</v>
      </c>
      <c r="C2532" s="2" t="s">
        <v>127</v>
      </c>
      <c r="D2532" s="2" t="s">
        <v>25</v>
      </c>
      <c r="E2532" s="2" t="s">
        <v>26</v>
      </c>
      <c r="F2532" s="2" t="s">
        <v>946</v>
      </c>
      <c r="G2532" s="2">
        <v>449.37</v>
      </c>
      <c r="H2532" s="2">
        <v>2</v>
      </c>
      <c r="I2532" s="3">
        <v>-12.84</v>
      </c>
    </row>
    <row r="2533" spans="1:9" x14ac:dyDescent="0.3">
      <c r="A2533" s="4">
        <v>42715</v>
      </c>
      <c r="B2533" s="5" t="s">
        <v>358</v>
      </c>
      <c r="C2533" s="5" t="s">
        <v>18</v>
      </c>
      <c r="D2533" s="5" t="s">
        <v>30</v>
      </c>
      <c r="E2533" s="5" t="s">
        <v>31</v>
      </c>
      <c r="F2533" s="5" t="s">
        <v>2034</v>
      </c>
      <c r="G2533" s="5">
        <v>203.98</v>
      </c>
      <c r="H2533" s="5">
        <v>3</v>
      </c>
      <c r="I2533" s="6">
        <v>25.5</v>
      </c>
    </row>
    <row r="2534" spans="1:9" x14ac:dyDescent="0.3">
      <c r="A2534" s="1">
        <v>42715</v>
      </c>
      <c r="B2534" s="2" t="s">
        <v>358</v>
      </c>
      <c r="C2534" s="2" t="s">
        <v>18</v>
      </c>
      <c r="D2534" s="2" t="s">
        <v>25</v>
      </c>
      <c r="E2534" s="2" t="s">
        <v>86</v>
      </c>
      <c r="F2534" s="2" t="s">
        <v>1768</v>
      </c>
      <c r="G2534" s="2">
        <v>674.35</v>
      </c>
      <c r="H2534" s="2">
        <v>3</v>
      </c>
      <c r="I2534" s="3">
        <v>-8.43</v>
      </c>
    </row>
    <row r="2535" spans="1:9" x14ac:dyDescent="0.3">
      <c r="A2535" s="4">
        <v>42715</v>
      </c>
      <c r="B2535" s="5" t="s">
        <v>553</v>
      </c>
      <c r="C2535" s="5" t="s">
        <v>6</v>
      </c>
      <c r="D2535" s="5" t="s">
        <v>25</v>
      </c>
      <c r="E2535" s="5" t="s">
        <v>38</v>
      </c>
      <c r="F2535" s="5" t="s">
        <v>1138</v>
      </c>
      <c r="G2535" s="5">
        <v>22.75</v>
      </c>
      <c r="H2535" s="5">
        <v>6</v>
      </c>
      <c r="I2535" s="6">
        <v>-8.5299999999999994</v>
      </c>
    </row>
    <row r="2536" spans="1:9" x14ac:dyDescent="0.3">
      <c r="A2536" s="1">
        <v>42381</v>
      </c>
      <c r="B2536" s="2" t="s">
        <v>555</v>
      </c>
      <c r="C2536" s="2" t="s">
        <v>359</v>
      </c>
      <c r="D2536" s="2" t="s">
        <v>2</v>
      </c>
      <c r="E2536" s="2" t="s">
        <v>3</v>
      </c>
      <c r="F2536" s="2" t="s">
        <v>2035</v>
      </c>
      <c r="G2536" s="2">
        <v>23.92</v>
      </c>
      <c r="H2536" s="2">
        <v>4</v>
      </c>
      <c r="I2536" s="3">
        <v>11.72</v>
      </c>
    </row>
    <row r="2537" spans="1:9" x14ac:dyDescent="0.3">
      <c r="A2537" s="4">
        <v>42381</v>
      </c>
      <c r="B2537" s="5" t="s">
        <v>1964</v>
      </c>
      <c r="C2537" s="5" t="s">
        <v>958</v>
      </c>
      <c r="D2537" s="5" t="s">
        <v>25</v>
      </c>
      <c r="E2537" s="5" t="s">
        <v>26</v>
      </c>
      <c r="F2537" s="5" t="s">
        <v>107</v>
      </c>
      <c r="G2537" s="5">
        <v>172.5</v>
      </c>
      <c r="H2537" s="5">
        <v>2</v>
      </c>
      <c r="I2537" s="6">
        <v>51.75</v>
      </c>
    </row>
    <row r="2538" spans="1:9" x14ac:dyDescent="0.3">
      <c r="A2538" s="1">
        <v>42381</v>
      </c>
      <c r="B2538" s="2" t="s">
        <v>1964</v>
      </c>
      <c r="C2538" s="2" t="s">
        <v>958</v>
      </c>
      <c r="D2538" s="2" t="s">
        <v>30</v>
      </c>
      <c r="E2538" s="2" t="s">
        <v>31</v>
      </c>
      <c r="F2538" s="2" t="s">
        <v>669</v>
      </c>
      <c r="G2538" s="2">
        <v>179.97</v>
      </c>
      <c r="H2538" s="2">
        <v>3</v>
      </c>
      <c r="I2538" s="3">
        <v>44.99</v>
      </c>
    </row>
    <row r="2539" spans="1:9" x14ac:dyDescent="0.3">
      <c r="A2539" s="4">
        <v>42381</v>
      </c>
      <c r="B2539" s="5" t="s">
        <v>413</v>
      </c>
      <c r="C2539" s="5" t="s">
        <v>283</v>
      </c>
      <c r="D2539" s="5" t="s">
        <v>25</v>
      </c>
      <c r="E2539" s="5" t="s">
        <v>38</v>
      </c>
      <c r="F2539" s="5" t="s">
        <v>790</v>
      </c>
      <c r="G2539" s="5">
        <v>17.309999999999999</v>
      </c>
      <c r="H2539" s="5">
        <v>3</v>
      </c>
      <c r="I2539" s="6">
        <v>5.19</v>
      </c>
    </row>
    <row r="2540" spans="1:9" x14ac:dyDescent="0.3">
      <c r="A2540" s="1">
        <v>42381</v>
      </c>
      <c r="B2540" s="2" t="s">
        <v>629</v>
      </c>
      <c r="C2540" s="2" t="s">
        <v>411</v>
      </c>
      <c r="D2540" s="2" t="s">
        <v>2</v>
      </c>
      <c r="E2540" s="2" t="s">
        <v>15</v>
      </c>
      <c r="F2540" s="2" t="s">
        <v>860</v>
      </c>
      <c r="G2540" s="2">
        <v>4.7</v>
      </c>
      <c r="H2540" s="2">
        <v>2</v>
      </c>
      <c r="I2540" s="3">
        <v>0.41</v>
      </c>
    </row>
    <row r="2541" spans="1:9" x14ac:dyDescent="0.3">
      <c r="A2541" s="4">
        <v>42381</v>
      </c>
      <c r="B2541" s="5" t="s">
        <v>2036</v>
      </c>
      <c r="C2541" s="5" t="s">
        <v>18</v>
      </c>
      <c r="D2541" s="5" t="s">
        <v>25</v>
      </c>
      <c r="E2541" s="5" t="s">
        <v>38</v>
      </c>
      <c r="F2541" s="5" t="s">
        <v>780</v>
      </c>
      <c r="G2541" s="5">
        <v>16.739999999999998</v>
      </c>
      <c r="H2541" s="5">
        <v>2</v>
      </c>
      <c r="I2541" s="6">
        <v>4.3499999999999996</v>
      </c>
    </row>
    <row r="2542" spans="1:9" x14ac:dyDescent="0.3">
      <c r="A2542" s="1">
        <v>42381</v>
      </c>
      <c r="B2542" s="2" t="s">
        <v>776</v>
      </c>
      <c r="C2542" s="2" t="s">
        <v>300</v>
      </c>
      <c r="D2542" s="2" t="s">
        <v>2</v>
      </c>
      <c r="E2542" s="2" t="s">
        <v>11</v>
      </c>
      <c r="F2542" s="2" t="s">
        <v>1082</v>
      </c>
      <c r="G2542" s="2">
        <v>88.08</v>
      </c>
      <c r="H2542" s="2">
        <v>6</v>
      </c>
      <c r="I2542" s="3">
        <v>40.520000000000003</v>
      </c>
    </row>
    <row r="2543" spans="1:9" x14ac:dyDescent="0.3">
      <c r="A2543" s="4">
        <v>42381</v>
      </c>
      <c r="B2543" s="5" t="s">
        <v>776</v>
      </c>
      <c r="C2543" s="5" t="s">
        <v>300</v>
      </c>
      <c r="D2543" s="5" t="s">
        <v>25</v>
      </c>
      <c r="E2543" s="5" t="s">
        <v>26</v>
      </c>
      <c r="F2543" s="5" t="s">
        <v>899</v>
      </c>
      <c r="G2543" s="5">
        <v>751.92</v>
      </c>
      <c r="H2543" s="5">
        <v>4</v>
      </c>
      <c r="I2543" s="6">
        <v>150.38</v>
      </c>
    </row>
    <row r="2544" spans="1:9" x14ac:dyDescent="0.3">
      <c r="A2544" s="1">
        <v>42381</v>
      </c>
      <c r="B2544" s="2" t="s">
        <v>1098</v>
      </c>
      <c r="C2544" s="2" t="s">
        <v>121</v>
      </c>
      <c r="D2544" s="2" t="s">
        <v>30</v>
      </c>
      <c r="E2544" s="2" t="s">
        <v>31</v>
      </c>
      <c r="F2544" s="2" t="s">
        <v>966</v>
      </c>
      <c r="G2544" s="2">
        <v>863.93</v>
      </c>
      <c r="H2544" s="2">
        <v>9</v>
      </c>
      <c r="I2544" s="3">
        <v>86.39</v>
      </c>
    </row>
    <row r="2545" spans="1:9" x14ac:dyDescent="0.3">
      <c r="A2545" s="4">
        <v>42381</v>
      </c>
      <c r="B2545" s="5" t="s">
        <v>2037</v>
      </c>
      <c r="C2545" s="5" t="s">
        <v>1</v>
      </c>
      <c r="D2545" s="5" t="s">
        <v>25</v>
      </c>
      <c r="E2545" s="5" t="s">
        <v>26</v>
      </c>
      <c r="F2545" s="5" t="s">
        <v>412</v>
      </c>
      <c r="G2545" s="5">
        <v>248.43</v>
      </c>
      <c r="H2545" s="5">
        <v>5</v>
      </c>
      <c r="I2545" s="6">
        <v>-17.75</v>
      </c>
    </row>
    <row r="2546" spans="1:9" x14ac:dyDescent="0.3">
      <c r="A2546" s="1">
        <v>42381</v>
      </c>
      <c r="B2546" s="2" t="s">
        <v>2037</v>
      </c>
      <c r="C2546" s="2" t="s">
        <v>1</v>
      </c>
      <c r="D2546" s="2" t="s">
        <v>2</v>
      </c>
      <c r="E2546" s="2" t="s">
        <v>133</v>
      </c>
      <c r="F2546" s="2" t="s">
        <v>373</v>
      </c>
      <c r="G2546" s="2">
        <v>11.65</v>
      </c>
      <c r="H2546" s="2">
        <v>4</v>
      </c>
      <c r="I2546" s="3">
        <v>-30.87</v>
      </c>
    </row>
    <row r="2547" spans="1:9" x14ac:dyDescent="0.3">
      <c r="A2547" s="4">
        <v>42381</v>
      </c>
      <c r="B2547" s="5" t="s">
        <v>2037</v>
      </c>
      <c r="C2547" s="5" t="s">
        <v>1</v>
      </c>
      <c r="D2547" s="5" t="s">
        <v>25</v>
      </c>
      <c r="E2547" s="5" t="s">
        <v>26</v>
      </c>
      <c r="F2547" s="5" t="s">
        <v>149</v>
      </c>
      <c r="G2547" s="5">
        <v>85.25</v>
      </c>
      <c r="H2547" s="5">
        <v>2</v>
      </c>
      <c r="I2547" s="6">
        <v>-1.22</v>
      </c>
    </row>
    <row r="2548" spans="1:9" x14ac:dyDescent="0.3">
      <c r="A2548" s="1">
        <v>42381</v>
      </c>
      <c r="B2548" s="2" t="s">
        <v>135</v>
      </c>
      <c r="C2548" s="2" t="s">
        <v>181</v>
      </c>
      <c r="D2548" s="2" t="s">
        <v>30</v>
      </c>
      <c r="E2548" s="2" t="s">
        <v>31</v>
      </c>
      <c r="F2548" s="2" t="s">
        <v>1566</v>
      </c>
      <c r="G2548" s="2">
        <v>137.94</v>
      </c>
      <c r="H2548" s="2">
        <v>3</v>
      </c>
      <c r="I2548" s="3">
        <v>35.86</v>
      </c>
    </row>
    <row r="2549" spans="1:9" x14ac:dyDescent="0.3">
      <c r="A2549" s="4">
        <v>42381</v>
      </c>
      <c r="B2549" s="5" t="s">
        <v>135</v>
      </c>
      <c r="C2549" s="5" t="s">
        <v>181</v>
      </c>
      <c r="D2549" s="5" t="s">
        <v>25</v>
      </c>
      <c r="E2549" s="5" t="s">
        <v>38</v>
      </c>
      <c r="F2549" s="5" t="s">
        <v>2038</v>
      </c>
      <c r="G2549" s="5">
        <v>111.15</v>
      </c>
      <c r="H2549" s="5">
        <v>5</v>
      </c>
      <c r="I2549" s="6">
        <v>48.91</v>
      </c>
    </row>
    <row r="2550" spans="1:9" x14ac:dyDescent="0.3">
      <c r="A2550" s="1">
        <v>42381</v>
      </c>
      <c r="B2550" s="2" t="s">
        <v>135</v>
      </c>
      <c r="C2550" s="2" t="s">
        <v>181</v>
      </c>
      <c r="D2550" s="2" t="s">
        <v>2</v>
      </c>
      <c r="E2550" s="2" t="s">
        <v>133</v>
      </c>
      <c r="F2550" s="2" t="s">
        <v>362</v>
      </c>
      <c r="G2550" s="2">
        <v>901.95</v>
      </c>
      <c r="H2550" s="2">
        <v>3</v>
      </c>
      <c r="I2550" s="3">
        <v>297.64</v>
      </c>
    </row>
    <row r="2551" spans="1:9" x14ac:dyDescent="0.3">
      <c r="A2551" s="4">
        <v>42381</v>
      </c>
      <c r="B2551" s="5" t="s">
        <v>135</v>
      </c>
      <c r="C2551" s="5" t="s">
        <v>181</v>
      </c>
      <c r="D2551" s="5" t="s">
        <v>25</v>
      </c>
      <c r="E2551" s="5" t="s">
        <v>86</v>
      </c>
      <c r="F2551" s="5" t="s">
        <v>1186</v>
      </c>
      <c r="G2551" s="5">
        <v>366.01</v>
      </c>
      <c r="H2551" s="5">
        <v>3</v>
      </c>
      <c r="I2551" s="6">
        <v>-47.06</v>
      </c>
    </row>
    <row r="2552" spans="1:9" x14ac:dyDescent="0.3">
      <c r="A2552" s="1">
        <v>42381</v>
      </c>
      <c r="B2552" s="2" t="s">
        <v>1623</v>
      </c>
      <c r="C2552" s="2" t="s">
        <v>46</v>
      </c>
      <c r="D2552" s="2" t="s">
        <v>2</v>
      </c>
      <c r="E2552" s="2" t="s">
        <v>133</v>
      </c>
      <c r="F2552" s="2" t="s">
        <v>362</v>
      </c>
      <c r="G2552" s="2">
        <v>2104.5500000000002</v>
      </c>
      <c r="H2552" s="2">
        <v>7</v>
      </c>
      <c r="I2552" s="3">
        <v>694.5</v>
      </c>
    </row>
    <row r="2553" spans="1:9" x14ac:dyDescent="0.3">
      <c r="A2553" s="4">
        <v>42381</v>
      </c>
      <c r="B2553" s="5" t="s">
        <v>1623</v>
      </c>
      <c r="C2553" s="5" t="s">
        <v>46</v>
      </c>
      <c r="D2553" s="5" t="s">
        <v>2</v>
      </c>
      <c r="E2553" s="5" t="s">
        <v>144</v>
      </c>
      <c r="F2553" s="5" t="s">
        <v>1844</v>
      </c>
      <c r="G2553" s="5">
        <v>40.700000000000003</v>
      </c>
      <c r="H2553" s="5">
        <v>5</v>
      </c>
      <c r="I2553" s="6">
        <v>11.8</v>
      </c>
    </row>
    <row r="2554" spans="1:9" x14ac:dyDescent="0.3">
      <c r="A2554" s="1">
        <v>42381</v>
      </c>
      <c r="B2554" s="2" t="s">
        <v>1890</v>
      </c>
      <c r="C2554" s="2" t="s">
        <v>18</v>
      </c>
      <c r="D2554" s="2" t="s">
        <v>25</v>
      </c>
      <c r="E2554" s="2" t="s">
        <v>38</v>
      </c>
      <c r="F2554" s="2" t="s">
        <v>2039</v>
      </c>
      <c r="G2554" s="2">
        <v>31.96</v>
      </c>
      <c r="H2554" s="2">
        <v>2</v>
      </c>
      <c r="I2554" s="3">
        <v>1.6</v>
      </c>
    </row>
    <row r="2555" spans="1:9" x14ac:dyDescent="0.3">
      <c r="A2555" s="4">
        <v>42381</v>
      </c>
      <c r="B2555" s="5" t="s">
        <v>1890</v>
      </c>
      <c r="C2555" s="5" t="s">
        <v>18</v>
      </c>
      <c r="D2555" s="5" t="s">
        <v>2</v>
      </c>
      <c r="E2555" s="5" t="s">
        <v>3</v>
      </c>
      <c r="F2555" s="5" t="s">
        <v>1329</v>
      </c>
      <c r="G2555" s="5">
        <v>47.9</v>
      </c>
      <c r="H2555" s="5">
        <v>1</v>
      </c>
      <c r="I2555" s="6">
        <v>22.99</v>
      </c>
    </row>
    <row r="2556" spans="1:9" x14ac:dyDescent="0.3">
      <c r="A2556" s="1">
        <v>42381</v>
      </c>
      <c r="B2556" s="2" t="s">
        <v>1890</v>
      </c>
      <c r="C2556" s="2" t="s">
        <v>18</v>
      </c>
      <c r="D2556" s="2" t="s">
        <v>2</v>
      </c>
      <c r="E2556" s="2" t="s">
        <v>9</v>
      </c>
      <c r="F2556" s="2" t="s">
        <v>2040</v>
      </c>
      <c r="G2556" s="2">
        <v>1112.94</v>
      </c>
      <c r="H2556" s="2">
        <v>3</v>
      </c>
      <c r="I2556" s="3">
        <v>222.59</v>
      </c>
    </row>
    <row r="2557" spans="1:9" x14ac:dyDescent="0.3">
      <c r="A2557" s="4">
        <v>42381</v>
      </c>
      <c r="B2557" s="5" t="s">
        <v>1890</v>
      </c>
      <c r="C2557" s="5" t="s">
        <v>18</v>
      </c>
      <c r="D2557" s="5" t="s">
        <v>2</v>
      </c>
      <c r="E2557" s="5" t="s">
        <v>114</v>
      </c>
      <c r="F2557" s="5" t="s">
        <v>779</v>
      </c>
      <c r="G2557" s="5">
        <v>22.92</v>
      </c>
      <c r="H2557" s="5">
        <v>3</v>
      </c>
      <c r="I2557" s="6">
        <v>11.23</v>
      </c>
    </row>
    <row r="2558" spans="1:9" x14ac:dyDescent="0.3">
      <c r="A2558" s="1">
        <v>42381</v>
      </c>
      <c r="B2558" s="2" t="s">
        <v>1482</v>
      </c>
      <c r="C2558" s="2" t="s">
        <v>18</v>
      </c>
      <c r="D2558" s="2" t="s">
        <v>2</v>
      </c>
      <c r="E2558" s="2" t="s">
        <v>15</v>
      </c>
      <c r="F2558" s="2" t="s">
        <v>1076</v>
      </c>
      <c r="G2558" s="2">
        <v>23.04</v>
      </c>
      <c r="H2558" s="2">
        <v>8</v>
      </c>
      <c r="I2558" s="3">
        <v>6.91</v>
      </c>
    </row>
    <row r="2559" spans="1:9" x14ac:dyDescent="0.3">
      <c r="A2559" s="4">
        <v>42412</v>
      </c>
      <c r="B2559" s="5" t="s">
        <v>2041</v>
      </c>
      <c r="C2559" s="5" t="s">
        <v>18</v>
      </c>
      <c r="D2559" s="5" t="s">
        <v>2</v>
      </c>
      <c r="E2559" s="5" t="s">
        <v>3</v>
      </c>
      <c r="F2559" s="5" t="s">
        <v>1147</v>
      </c>
      <c r="G2559" s="5">
        <v>25.92</v>
      </c>
      <c r="H2559" s="5">
        <v>4</v>
      </c>
      <c r="I2559" s="6">
        <v>12.44</v>
      </c>
    </row>
    <row r="2560" spans="1:9" x14ac:dyDescent="0.3">
      <c r="A2560" s="1">
        <v>42412</v>
      </c>
      <c r="B2560" s="2" t="s">
        <v>2041</v>
      </c>
      <c r="C2560" s="2" t="s">
        <v>18</v>
      </c>
      <c r="D2560" s="2" t="s">
        <v>2</v>
      </c>
      <c r="E2560" s="2" t="s">
        <v>3</v>
      </c>
      <c r="F2560" s="2" t="s">
        <v>1412</v>
      </c>
      <c r="G2560" s="2">
        <v>40.46</v>
      </c>
      <c r="H2560" s="2">
        <v>7</v>
      </c>
      <c r="I2560" s="3">
        <v>19.829999999999998</v>
      </c>
    </row>
    <row r="2561" spans="1:9" x14ac:dyDescent="0.3">
      <c r="A2561" s="4">
        <v>42412</v>
      </c>
      <c r="B2561" s="5" t="s">
        <v>2041</v>
      </c>
      <c r="C2561" s="5" t="s">
        <v>18</v>
      </c>
      <c r="D2561" s="5" t="s">
        <v>2</v>
      </c>
      <c r="E2561" s="5" t="s">
        <v>9</v>
      </c>
      <c r="F2561" s="5" t="s">
        <v>878</v>
      </c>
      <c r="G2561" s="5">
        <v>33.869999999999997</v>
      </c>
      <c r="H2561" s="5">
        <v>3</v>
      </c>
      <c r="I2561" s="6">
        <v>8.81</v>
      </c>
    </row>
    <row r="2562" spans="1:9" x14ac:dyDescent="0.3">
      <c r="A2562" s="1">
        <v>42412</v>
      </c>
      <c r="B2562" s="2" t="s">
        <v>1517</v>
      </c>
      <c r="C2562" s="2" t="s">
        <v>18</v>
      </c>
      <c r="D2562" s="2" t="s">
        <v>2</v>
      </c>
      <c r="E2562" s="2" t="s">
        <v>11</v>
      </c>
      <c r="F2562" s="2" t="s">
        <v>1783</v>
      </c>
      <c r="G2562" s="2">
        <v>24.7</v>
      </c>
      <c r="H2562" s="2">
        <v>2</v>
      </c>
      <c r="I2562" s="3">
        <v>9.26</v>
      </c>
    </row>
    <row r="2563" spans="1:9" x14ac:dyDescent="0.3">
      <c r="A2563" s="4">
        <v>42412</v>
      </c>
      <c r="B2563" s="5" t="s">
        <v>1517</v>
      </c>
      <c r="C2563" s="5" t="s">
        <v>18</v>
      </c>
      <c r="D2563" s="5" t="s">
        <v>2</v>
      </c>
      <c r="E2563" s="5" t="s">
        <v>133</v>
      </c>
      <c r="F2563" s="5" t="s">
        <v>618</v>
      </c>
      <c r="G2563" s="5">
        <v>59.7</v>
      </c>
      <c r="H2563" s="5">
        <v>3</v>
      </c>
      <c r="I2563" s="6">
        <v>26.87</v>
      </c>
    </row>
    <row r="2564" spans="1:9" x14ac:dyDescent="0.3">
      <c r="A2564" s="1">
        <v>42412</v>
      </c>
      <c r="B2564" s="2" t="s">
        <v>1517</v>
      </c>
      <c r="C2564" s="2" t="s">
        <v>18</v>
      </c>
      <c r="D2564" s="2" t="s">
        <v>25</v>
      </c>
      <c r="E2564" s="2" t="s">
        <v>38</v>
      </c>
      <c r="F2564" s="2" t="s">
        <v>2042</v>
      </c>
      <c r="G2564" s="2">
        <v>14.52</v>
      </c>
      <c r="H2564" s="2">
        <v>3</v>
      </c>
      <c r="I2564" s="3">
        <v>5.66</v>
      </c>
    </row>
    <row r="2565" spans="1:9" x14ac:dyDescent="0.3">
      <c r="A2565" s="4">
        <v>42412</v>
      </c>
      <c r="B2565" s="5" t="s">
        <v>1517</v>
      </c>
      <c r="C2565" s="5" t="s">
        <v>18</v>
      </c>
      <c r="D2565" s="5" t="s">
        <v>2</v>
      </c>
      <c r="E2565" s="5" t="s">
        <v>11</v>
      </c>
      <c r="F2565" s="5" t="s">
        <v>873</v>
      </c>
      <c r="G2565" s="5">
        <v>104.18</v>
      </c>
      <c r="H2565" s="5">
        <v>3</v>
      </c>
      <c r="I2565" s="6">
        <v>33.86</v>
      </c>
    </row>
    <row r="2566" spans="1:9" x14ac:dyDescent="0.3">
      <c r="A2566" s="1">
        <v>42412</v>
      </c>
      <c r="B2566" s="2" t="s">
        <v>65</v>
      </c>
      <c r="C2566" s="2" t="s">
        <v>1300</v>
      </c>
      <c r="D2566" s="2" t="s">
        <v>2</v>
      </c>
      <c r="E2566" s="2" t="s">
        <v>9</v>
      </c>
      <c r="F2566" s="2" t="s">
        <v>2043</v>
      </c>
      <c r="G2566" s="2">
        <v>2079.4</v>
      </c>
      <c r="H2566" s="2">
        <v>5</v>
      </c>
      <c r="I2566" s="3">
        <v>582.23</v>
      </c>
    </row>
    <row r="2567" spans="1:9" x14ac:dyDescent="0.3">
      <c r="A2567" s="4">
        <v>42412</v>
      </c>
      <c r="B2567" s="5" t="s">
        <v>65</v>
      </c>
      <c r="C2567" s="5" t="s">
        <v>1300</v>
      </c>
      <c r="D2567" s="5" t="s">
        <v>30</v>
      </c>
      <c r="E2567" s="5" t="s">
        <v>31</v>
      </c>
      <c r="F2567" s="5" t="s">
        <v>1188</v>
      </c>
      <c r="G2567" s="5">
        <v>629.95000000000005</v>
      </c>
      <c r="H2567" s="5">
        <v>5</v>
      </c>
      <c r="I2567" s="6">
        <v>176.39</v>
      </c>
    </row>
    <row r="2568" spans="1:9" x14ac:dyDescent="0.3">
      <c r="A2568" s="1">
        <v>42412</v>
      </c>
      <c r="B2568" s="2" t="s">
        <v>65</v>
      </c>
      <c r="C2568" s="2" t="s">
        <v>1300</v>
      </c>
      <c r="D2568" s="2" t="s">
        <v>25</v>
      </c>
      <c r="E2568" s="2" t="s">
        <v>38</v>
      </c>
      <c r="F2568" s="2" t="s">
        <v>1859</v>
      </c>
      <c r="G2568" s="2">
        <v>72.42</v>
      </c>
      <c r="H2568" s="2">
        <v>6</v>
      </c>
      <c r="I2568" s="3">
        <v>23.9</v>
      </c>
    </row>
    <row r="2569" spans="1:9" x14ac:dyDescent="0.3">
      <c r="A2569" s="4">
        <v>42412</v>
      </c>
      <c r="B2569" s="5" t="s">
        <v>2044</v>
      </c>
      <c r="C2569" s="5" t="s">
        <v>80</v>
      </c>
      <c r="D2569" s="5" t="s">
        <v>2</v>
      </c>
      <c r="E2569" s="5" t="s">
        <v>11</v>
      </c>
      <c r="F2569" s="5" t="s">
        <v>1937</v>
      </c>
      <c r="G2569" s="5">
        <v>415.18</v>
      </c>
      <c r="H2569" s="5">
        <v>3</v>
      </c>
      <c r="I2569" s="6">
        <v>134.93</v>
      </c>
    </row>
    <row r="2570" spans="1:9" x14ac:dyDescent="0.3">
      <c r="A2570" s="1">
        <v>42412</v>
      </c>
      <c r="B2570" s="2" t="s">
        <v>2044</v>
      </c>
      <c r="C2570" s="2" t="s">
        <v>80</v>
      </c>
      <c r="D2570" s="2" t="s">
        <v>2</v>
      </c>
      <c r="E2570" s="2" t="s">
        <v>11</v>
      </c>
      <c r="F2570" s="2" t="s">
        <v>1082</v>
      </c>
      <c r="G2570" s="2">
        <v>35.229999999999997</v>
      </c>
      <c r="H2570" s="2">
        <v>3</v>
      </c>
      <c r="I2570" s="3">
        <v>11.45</v>
      </c>
    </row>
    <row r="2571" spans="1:9" x14ac:dyDescent="0.3">
      <c r="A2571" s="4">
        <v>42412</v>
      </c>
      <c r="B2571" s="5" t="s">
        <v>2044</v>
      </c>
      <c r="C2571" s="5" t="s">
        <v>80</v>
      </c>
      <c r="D2571" s="5" t="s">
        <v>2</v>
      </c>
      <c r="E2571" s="5" t="s">
        <v>3</v>
      </c>
      <c r="F2571" s="5" t="s">
        <v>992</v>
      </c>
      <c r="G2571" s="5">
        <v>54.96</v>
      </c>
      <c r="H2571" s="5">
        <v>1</v>
      </c>
      <c r="I2571" s="6">
        <v>26.93</v>
      </c>
    </row>
    <row r="2572" spans="1:9" x14ac:dyDescent="0.3">
      <c r="A2572" s="1">
        <v>42412</v>
      </c>
      <c r="B2572" s="2" t="s">
        <v>1180</v>
      </c>
      <c r="C2572" s="2" t="s">
        <v>163</v>
      </c>
      <c r="D2572" s="2" t="s">
        <v>30</v>
      </c>
      <c r="E2572" s="2" t="s">
        <v>43</v>
      </c>
      <c r="F2572" s="2" t="s">
        <v>791</v>
      </c>
      <c r="G2572" s="2">
        <v>165.6</v>
      </c>
      <c r="H2572" s="2">
        <v>3</v>
      </c>
      <c r="I2572" s="3">
        <v>-6.21</v>
      </c>
    </row>
    <row r="2573" spans="1:9" x14ac:dyDescent="0.3">
      <c r="A2573" s="4">
        <v>42412</v>
      </c>
      <c r="B2573" s="5" t="s">
        <v>1062</v>
      </c>
      <c r="C2573" s="5" t="s">
        <v>1516</v>
      </c>
      <c r="D2573" s="5" t="s">
        <v>2</v>
      </c>
      <c r="E2573" s="5" t="s">
        <v>11</v>
      </c>
      <c r="F2573" s="5" t="s">
        <v>1569</v>
      </c>
      <c r="G2573" s="5">
        <v>115.84</v>
      </c>
      <c r="H2573" s="5">
        <v>8</v>
      </c>
      <c r="I2573" s="6">
        <v>54.44</v>
      </c>
    </row>
    <row r="2574" spans="1:9" x14ac:dyDescent="0.3">
      <c r="A2574" s="1">
        <v>42412</v>
      </c>
      <c r="B2574" s="2" t="s">
        <v>1712</v>
      </c>
      <c r="C2574" s="2" t="s">
        <v>1</v>
      </c>
      <c r="D2574" s="2" t="s">
        <v>25</v>
      </c>
      <c r="E2574" s="2" t="s">
        <v>129</v>
      </c>
      <c r="F2574" s="2" t="s">
        <v>2045</v>
      </c>
      <c r="G2574" s="2">
        <v>781.86</v>
      </c>
      <c r="H2574" s="2">
        <v>10</v>
      </c>
      <c r="I2574" s="3">
        <v>-137.97999999999999</v>
      </c>
    </row>
    <row r="2575" spans="1:9" x14ac:dyDescent="0.3">
      <c r="A2575" s="4">
        <v>42412</v>
      </c>
      <c r="B2575" s="5" t="s">
        <v>1712</v>
      </c>
      <c r="C2575" s="5" t="s">
        <v>1</v>
      </c>
      <c r="D2575" s="5" t="s">
        <v>2</v>
      </c>
      <c r="E2575" s="5" t="s">
        <v>3</v>
      </c>
      <c r="F2575" s="5" t="s">
        <v>1197</v>
      </c>
      <c r="G2575" s="5">
        <v>30.82</v>
      </c>
      <c r="H2575" s="5">
        <v>9</v>
      </c>
      <c r="I2575" s="6">
        <v>9.6300000000000008</v>
      </c>
    </row>
    <row r="2576" spans="1:9" x14ac:dyDescent="0.3">
      <c r="A2576" s="1">
        <v>42441</v>
      </c>
      <c r="B2576" s="2" t="s">
        <v>1476</v>
      </c>
      <c r="C2576" s="2" t="s">
        <v>80</v>
      </c>
      <c r="D2576" s="2" t="s">
        <v>2</v>
      </c>
      <c r="E2576" s="2" t="s">
        <v>3</v>
      </c>
      <c r="F2576" s="2" t="s">
        <v>1002</v>
      </c>
      <c r="G2576" s="2">
        <v>182.72</v>
      </c>
      <c r="H2576" s="2">
        <v>8</v>
      </c>
      <c r="I2576" s="3">
        <v>84.05</v>
      </c>
    </row>
    <row r="2577" spans="1:9" x14ac:dyDescent="0.3">
      <c r="A2577" s="4">
        <v>42441</v>
      </c>
      <c r="B2577" s="5" t="s">
        <v>1476</v>
      </c>
      <c r="C2577" s="5" t="s">
        <v>80</v>
      </c>
      <c r="D2577" s="5" t="s">
        <v>25</v>
      </c>
      <c r="E2577" s="5" t="s">
        <v>86</v>
      </c>
      <c r="F2577" s="5" t="s">
        <v>357</v>
      </c>
      <c r="G2577" s="5">
        <v>400.03</v>
      </c>
      <c r="H2577" s="5">
        <v>2</v>
      </c>
      <c r="I2577" s="6">
        <v>-153.35</v>
      </c>
    </row>
    <row r="2578" spans="1:9" x14ac:dyDescent="0.3">
      <c r="A2578" s="1">
        <v>42441</v>
      </c>
      <c r="B2578" s="2" t="s">
        <v>1476</v>
      </c>
      <c r="C2578" s="2" t="s">
        <v>80</v>
      </c>
      <c r="D2578" s="2" t="s">
        <v>2</v>
      </c>
      <c r="E2578" s="2" t="s">
        <v>9</v>
      </c>
      <c r="F2578" s="2" t="s">
        <v>1690</v>
      </c>
      <c r="G2578" s="2">
        <v>33.630000000000003</v>
      </c>
      <c r="H2578" s="2">
        <v>3</v>
      </c>
      <c r="I2578" s="3">
        <v>10.09</v>
      </c>
    </row>
    <row r="2579" spans="1:9" x14ac:dyDescent="0.3">
      <c r="A2579" s="4">
        <v>42441</v>
      </c>
      <c r="B2579" s="5" t="s">
        <v>1476</v>
      </c>
      <c r="C2579" s="5" t="s">
        <v>80</v>
      </c>
      <c r="D2579" s="5" t="s">
        <v>25</v>
      </c>
      <c r="E2579" s="5" t="s">
        <v>26</v>
      </c>
      <c r="F2579" s="5" t="s">
        <v>1175</v>
      </c>
      <c r="G2579" s="5">
        <v>542.65</v>
      </c>
      <c r="H2579" s="5">
        <v>3</v>
      </c>
      <c r="I2579" s="6">
        <v>102.5</v>
      </c>
    </row>
    <row r="2580" spans="1:9" x14ac:dyDescent="0.3">
      <c r="A2580" s="1">
        <v>42441</v>
      </c>
      <c r="B2580" s="2" t="s">
        <v>1476</v>
      </c>
      <c r="C2580" s="2" t="s">
        <v>80</v>
      </c>
      <c r="D2580" s="2" t="s">
        <v>2</v>
      </c>
      <c r="E2580" s="2" t="s">
        <v>7</v>
      </c>
      <c r="F2580" s="2" t="s">
        <v>1409</v>
      </c>
      <c r="G2580" s="2">
        <v>6.3</v>
      </c>
      <c r="H2580" s="2">
        <v>2</v>
      </c>
      <c r="I2580" s="3">
        <v>3.02</v>
      </c>
    </row>
    <row r="2581" spans="1:9" x14ac:dyDescent="0.3">
      <c r="A2581" s="4">
        <v>42441</v>
      </c>
      <c r="B2581" s="5" t="s">
        <v>1692</v>
      </c>
      <c r="C2581" s="5" t="s">
        <v>14</v>
      </c>
      <c r="D2581" s="5" t="s">
        <v>2</v>
      </c>
      <c r="E2581" s="5" t="s">
        <v>133</v>
      </c>
      <c r="F2581" s="5" t="s">
        <v>1151</v>
      </c>
      <c r="G2581" s="5">
        <v>394.82</v>
      </c>
      <c r="H2581" s="5">
        <v>4</v>
      </c>
      <c r="I2581" s="6">
        <v>93.77</v>
      </c>
    </row>
    <row r="2582" spans="1:9" x14ac:dyDescent="0.3">
      <c r="A2582" s="1">
        <v>42441</v>
      </c>
      <c r="B2582" s="2" t="s">
        <v>1692</v>
      </c>
      <c r="C2582" s="2" t="s">
        <v>14</v>
      </c>
      <c r="D2582" s="2" t="s">
        <v>2</v>
      </c>
      <c r="E2582" s="2" t="s">
        <v>11</v>
      </c>
      <c r="F2582" s="2" t="s">
        <v>365</v>
      </c>
      <c r="G2582" s="2">
        <v>18.190000000000001</v>
      </c>
      <c r="H2582" s="2">
        <v>4</v>
      </c>
      <c r="I2582" s="3">
        <v>-14.55</v>
      </c>
    </row>
    <row r="2583" spans="1:9" x14ac:dyDescent="0.3">
      <c r="A2583" s="4">
        <v>42441</v>
      </c>
      <c r="B2583" s="5" t="s">
        <v>1388</v>
      </c>
      <c r="C2583" s="5" t="s">
        <v>18</v>
      </c>
      <c r="D2583" s="5" t="s">
        <v>30</v>
      </c>
      <c r="E2583" s="5" t="s">
        <v>43</v>
      </c>
      <c r="F2583" s="5" t="s">
        <v>1211</v>
      </c>
      <c r="G2583" s="5">
        <v>1649.95</v>
      </c>
      <c r="H2583" s="5">
        <v>5</v>
      </c>
      <c r="I2583" s="6">
        <v>659.98</v>
      </c>
    </row>
    <row r="2584" spans="1:9" x14ac:dyDescent="0.3">
      <c r="A2584" s="1">
        <v>42441</v>
      </c>
      <c r="B2584" s="2" t="s">
        <v>1388</v>
      </c>
      <c r="C2584" s="2" t="s">
        <v>18</v>
      </c>
      <c r="D2584" s="2" t="s">
        <v>25</v>
      </c>
      <c r="E2584" s="2" t="s">
        <v>38</v>
      </c>
      <c r="F2584" s="2" t="s">
        <v>2018</v>
      </c>
      <c r="G2584" s="2">
        <v>111.9</v>
      </c>
      <c r="H2584" s="2">
        <v>6</v>
      </c>
      <c r="I2584" s="3">
        <v>51.47</v>
      </c>
    </row>
    <row r="2585" spans="1:9" x14ac:dyDescent="0.3">
      <c r="A2585" s="4">
        <v>42441</v>
      </c>
      <c r="B2585" s="5" t="s">
        <v>1048</v>
      </c>
      <c r="C2585" s="5" t="s">
        <v>283</v>
      </c>
      <c r="D2585" s="5" t="s">
        <v>25</v>
      </c>
      <c r="E2585" s="5" t="s">
        <v>86</v>
      </c>
      <c r="F2585" s="5" t="s">
        <v>499</v>
      </c>
      <c r="G2585" s="5">
        <v>581.96</v>
      </c>
      <c r="H2585" s="5">
        <v>2</v>
      </c>
      <c r="I2585" s="6">
        <v>104.75</v>
      </c>
    </row>
    <row r="2586" spans="1:9" x14ac:dyDescent="0.3">
      <c r="A2586" s="1">
        <v>42441</v>
      </c>
      <c r="B2586" s="2" t="s">
        <v>1048</v>
      </c>
      <c r="C2586" s="2" t="s">
        <v>283</v>
      </c>
      <c r="D2586" s="2" t="s">
        <v>25</v>
      </c>
      <c r="E2586" s="2" t="s">
        <v>26</v>
      </c>
      <c r="F2586" s="2" t="s">
        <v>870</v>
      </c>
      <c r="G2586" s="2">
        <v>29.98</v>
      </c>
      <c r="H2586" s="2">
        <v>1</v>
      </c>
      <c r="I2586" s="3">
        <v>8.09</v>
      </c>
    </row>
    <row r="2587" spans="1:9" x14ac:dyDescent="0.3">
      <c r="A2587" s="4">
        <v>42441</v>
      </c>
      <c r="B2587" s="5" t="s">
        <v>2046</v>
      </c>
      <c r="C2587" s="5" t="s">
        <v>18</v>
      </c>
      <c r="D2587" s="5" t="s">
        <v>2</v>
      </c>
      <c r="E2587" s="5" t="s">
        <v>9</v>
      </c>
      <c r="F2587" s="5" t="s">
        <v>769</v>
      </c>
      <c r="G2587" s="5">
        <v>772.68</v>
      </c>
      <c r="H2587" s="5">
        <v>4</v>
      </c>
      <c r="I2587" s="6">
        <v>108.18</v>
      </c>
    </row>
    <row r="2588" spans="1:9" x14ac:dyDescent="0.3">
      <c r="A2588" s="1">
        <v>42441</v>
      </c>
      <c r="B2588" s="2" t="s">
        <v>589</v>
      </c>
      <c r="C2588" s="2" t="s">
        <v>18</v>
      </c>
      <c r="D2588" s="2" t="s">
        <v>25</v>
      </c>
      <c r="E2588" s="2" t="s">
        <v>86</v>
      </c>
      <c r="F2588" s="2" t="s">
        <v>2047</v>
      </c>
      <c r="G2588" s="2">
        <v>268.7</v>
      </c>
      <c r="H2588" s="2">
        <v>3</v>
      </c>
      <c r="I2588" s="3">
        <v>6.72</v>
      </c>
    </row>
    <row r="2589" spans="1:9" x14ac:dyDescent="0.3">
      <c r="A2589" s="4">
        <v>42441</v>
      </c>
      <c r="B2589" s="5" t="s">
        <v>589</v>
      </c>
      <c r="C2589" s="5" t="s">
        <v>18</v>
      </c>
      <c r="D2589" s="5" t="s">
        <v>2</v>
      </c>
      <c r="E2589" s="5" t="s">
        <v>15</v>
      </c>
      <c r="F2589" s="5" t="s">
        <v>29</v>
      </c>
      <c r="G2589" s="5">
        <v>21.92</v>
      </c>
      <c r="H2589" s="5">
        <v>8</v>
      </c>
      <c r="I2589" s="6">
        <v>5.92</v>
      </c>
    </row>
    <row r="2590" spans="1:9" x14ac:dyDescent="0.3">
      <c r="A2590" s="1">
        <v>42441</v>
      </c>
      <c r="B2590" s="2" t="s">
        <v>589</v>
      </c>
      <c r="C2590" s="2" t="s">
        <v>18</v>
      </c>
      <c r="D2590" s="2" t="s">
        <v>2</v>
      </c>
      <c r="E2590" s="2" t="s">
        <v>9</v>
      </c>
      <c r="F2590" s="2" t="s">
        <v>81</v>
      </c>
      <c r="G2590" s="2">
        <v>48.72</v>
      </c>
      <c r="H2590" s="2">
        <v>3</v>
      </c>
      <c r="I2590" s="3">
        <v>7.31</v>
      </c>
    </row>
    <row r="2591" spans="1:9" x14ac:dyDescent="0.3">
      <c r="A2591" s="4">
        <v>42441</v>
      </c>
      <c r="B2591" s="5" t="s">
        <v>589</v>
      </c>
      <c r="C2591" s="5" t="s">
        <v>18</v>
      </c>
      <c r="D2591" s="5" t="s">
        <v>25</v>
      </c>
      <c r="E2591" s="5" t="s">
        <v>129</v>
      </c>
      <c r="F2591" s="5" t="s">
        <v>281</v>
      </c>
      <c r="G2591" s="5">
        <v>205.67</v>
      </c>
      <c r="H2591" s="5">
        <v>2</v>
      </c>
      <c r="I2591" s="6">
        <v>-12.1</v>
      </c>
    </row>
    <row r="2592" spans="1:9" x14ac:dyDescent="0.3">
      <c r="A2592" s="1">
        <v>42472</v>
      </c>
      <c r="B2592" s="2" t="s">
        <v>664</v>
      </c>
      <c r="C2592" s="2" t="s">
        <v>80</v>
      </c>
      <c r="D2592" s="2" t="s">
        <v>25</v>
      </c>
      <c r="E2592" s="2" t="s">
        <v>38</v>
      </c>
      <c r="F2592" s="2" t="s">
        <v>567</v>
      </c>
      <c r="G2592" s="2">
        <v>113.79</v>
      </c>
      <c r="H2592" s="2">
        <v>3</v>
      </c>
      <c r="I2592" s="3">
        <v>20.48</v>
      </c>
    </row>
    <row r="2593" spans="1:9" x14ac:dyDescent="0.3">
      <c r="A2593" s="4">
        <v>42472</v>
      </c>
      <c r="B2593" s="5" t="s">
        <v>664</v>
      </c>
      <c r="C2593" s="5" t="s">
        <v>80</v>
      </c>
      <c r="D2593" s="5" t="s">
        <v>30</v>
      </c>
      <c r="E2593" s="5" t="s">
        <v>43</v>
      </c>
      <c r="F2593" s="5" t="s">
        <v>54</v>
      </c>
      <c r="G2593" s="5">
        <v>78.150000000000006</v>
      </c>
      <c r="H2593" s="5">
        <v>1</v>
      </c>
      <c r="I2593" s="6">
        <v>34.39</v>
      </c>
    </row>
    <row r="2594" spans="1:9" x14ac:dyDescent="0.3">
      <c r="A2594" s="1">
        <v>42472</v>
      </c>
      <c r="B2594" s="2" t="s">
        <v>664</v>
      </c>
      <c r="C2594" s="2" t="s">
        <v>80</v>
      </c>
      <c r="D2594" s="2" t="s">
        <v>2</v>
      </c>
      <c r="E2594" s="2" t="s">
        <v>11</v>
      </c>
      <c r="F2594" s="2" t="s">
        <v>1679</v>
      </c>
      <c r="G2594" s="2">
        <v>1.73</v>
      </c>
      <c r="H2594" s="2">
        <v>1</v>
      </c>
      <c r="I2594" s="3">
        <v>0.6</v>
      </c>
    </row>
    <row r="2595" spans="1:9" x14ac:dyDescent="0.3">
      <c r="A2595" s="4">
        <v>42472</v>
      </c>
      <c r="B2595" s="5" t="s">
        <v>664</v>
      </c>
      <c r="C2595" s="5" t="s">
        <v>80</v>
      </c>
      <c r="D2595" s="5" t="s">
        <v>2</v>
      </c>
      <c r="E2595" s="5" t="s">
        <v>3</v>
      </c>
      <c r="F2595" s="5" t="s">
        <v>315</v>
      </c>
      <c r="G2595" s="5">
        <v>40.56</v>
      </c>
      <c r="H2595" s="5">
        <v>4</v>
      </c>
      <c r="I2595" s="6">
        <v>19.87</v>
      </c>
    </row>
    <row r="2596" spans="1:9" x14ac:dyDescent="0.3">
      <c r="A2596" s="1">
        <v>42472</v>
      </c>
      <c r="B2596" s="2" t="s">
        <v>664</v>
      </c>
      <c r="C2596" s="2" t="s">
        <v>80</v>
      </c>
      <c r="D2596" s="2" t="s">
        <v>2</v>
      </c>
      <c r="E2596" s="2" t="s">
        <v>9</v>
      </c>
      <c r="F2596" s="2" t="s">
        <v>2048</v>
      </c>
      <c r="G2596" s="2">
        <v>182.94</v>
      </c>
      <c r="H2596" s="2">
        <v>3</v>
      </c>
      <c r="I2596" s="3">
        <v>3.66</v>
      </c>
    </row>
    <row r="2597" spans="1:9" x14ac:dyDescent="0.3">
      <c r="A2597" s="4">
        <v>42472</v>
      </c>
      <c r="B2597" s="5" t="s">
        <v>664</v>
      </c>
      <c r="C2597" s="5" t="s">
        <v>80</v>
      </c>
      <c r="D2597" s="5" t="s">
        <v>2</v>
      </c>
      <c r="E2597" s="5" t="s">
        <v>9</v>
      </c>
      <c r="F2597" s="5" t="s">
        <v>1966</v>
      </c>
      <c r="G2597" s="5">
        <v>193.86</v>
      </c>
      <c r="H2597" s="5">
        <v>2</v>
      </c>
      <c r="I2597" s="6">
        <v>11.63</v>
      </c>
    </row>
    <row r="2598" spans="1:9" x14ac:dyDescent="0.3">
      <c r="A2598" s="1">
        <v>42472</v>
      </c>
      <c r="B2598" s="2" t="s">
        <v>2049</v>
      </c>
      <c r="C2598" s="2" t="s">
        <v>80</v>
      </c>
      <c r="D2598" s="2" t="s">
        <v>2</v>
      </c>
      <c r="E2598" s="2" t="s">
        <v>9</v>
      </c>
      <c r="F2598" s="2" t="s">
        <v>2050</v>
      </c>
      <c r="G2598" s="2">
        <v>212.88</v>
      </c>
      <c r="H2598" s="2">
        <v>6</v>
      </c>
      <c r="I2598" s="3">
        <v>0</v>
      </c>
    </row>
    <row r="2599" spans="1:9" x14ac:dyDescent="0.3">
      <c r="A2599" s="4">
        <v>42472</v>
      </c>
      <c r="B2599" s="5" t="s">
        <v>1871</v>
      </c>
      <c r="C2599" s="5" t="s">
        <v>80</v>
      </c>
      <c r="D2599" s="5" t="s">
        <v>2</v>
      </c>
      <c r="E2599" s="5" t="s">
        <v>11</v>
      </c>
      <c r="F2599" s="5" t="s">
        <v>1944</v>
      </c>
      <c r="G2599" s="5">
        <v>15.53</v>
      </c>
      <c r="H2599" s="5">
        <v>3</v>
      </c>
      <c r="I2599" s="6">
        <v>5.82</v>
      </c>
    </row>
    <row r="2600" spans="1:9" x14ac:dyDescent="0.3">
      <c r="A2600" s="1">
        <v>42472</v>
      </c>
      <c r="B2600" s="2" t="s">
        <v>688</v>
      </c>
      <c r="C2600" s="2" t="s">
        <v>18</v>
      </c>
      <c r="D2600" s="2" t="s">
        <v>2</v>
      </c>
      <c r="E2600" s="2" t="s">
        <v>3</v>
      </c>
      <c r="F2600" s="2" t="s">
        <v>2051</v>
      </c>
      <c r="G2600" s="2">
        <v>104.85</v>
      </c>
      <c r="H2600" s="2">
        <v>1</v>
      </c>
      <c r="I2600" s="3">
        <v>50.33</v>
      </c>
    </row>
    <row r="2601" spans="1:9" x14ac:dyDescent="0.3">
      <c r="A2601" s="4">
        <v>42502</v>
      </c>
      <c r="B2601" s="5" t="s">
        <v>1255</v>
      </c>
      <c r="C2601" s="5" t="s">
        <v>62</v>
      </c>
      <c r="D2601" s="5" t="s">
        <v>2</v>
      </c>
      <c r="E2601" s="5" t="s">
        <v>11</v>
      </c>
      <c r="F2601" s="5" t="s">
        <v>2052</v>
      </c>
      <c r="G2601" s="5">
        <v>407.98</v>
      </c>
      <c r="H2601" s="5">
        <v>3</v>
      </c>
      <c r="I2601" s="6">
        <v>132.59</v>
      </c>
    </row>
    <row r="2602" spans="1:9" x14ac:dyDescent="0.3">
      <c r="A2602" s="1">
        <v>42502</v>
      </c>
      <c r="B2602" s="2" t="s">
        <v>2053</v>
      </c>
      <c r="C2602" s="2" t="s">
        <v>53</v>
      </c>
      <c r="D2602" s="2" t="s">
        <v>30</v>
      </c>
      <c r="E2602" s="2" t="s">
        <v>31</v>
      </c>
      <c r="F2602" s="2" t="s">
        <v>645</v>
      </c>
      <c r="G2602" s="2">
        <v>384.45</v>
      </c>
      <c r="H2602" s="2">
        <v>11</v>
      </c>
      <c r="I2602" s="3">
        <v>103.8</v>
      </c>
    </row>
    <row r="2603" spans="1:9" x14ac:dyDescent="0.3">
      <c r="A2603" s="4">
        <v>42502</v>
      </c>
      <c r="B2603" s="5" t="s">
        <v>2053</v>
      </c>
      <c r="C2603" s="5" t="s">
        <v>53</v>
      </c>
      <c r="D2603" s="5" t="s">
        <v>30</v>
      </c>
      <c r="E2603" s="5" t="s">
        <v>31</v>
      </c>
      <c r="F2603" s="5" t="s">
        <v>1655</v>
      </c>
      <c r="G2603" s="5">
        <v>149.97</v>
      </c>
      <c r="H2603" s="5">
        <v>3</v>
      </c>
      <c r="I2603" s="6">
        <v>6</v>
      </c>
    </row>
    <row r="2604" spans="1:9" x14ac:dyDescent="0.3">
      <c r="A2604" s="1">
        <v>42502</v>
      </c>
      <c r="B2604" s="2" t="s">
        <v>2053</v>
      </c>
      <c r="C2604" s="2" t="s">
        <v>53</v>
      </c>
      <c r="D2604" s="2" t="s">
        <v>25</v>
      </c>
      <c r="E2604" s="2" t="s">
        <v>26</v>
      </c>
      <c r="F2604" s="2" t="s">
        <v>685</v>
      </c>
      <c r="G2604" s="2">
        <v>1951.84</v>
      </c>
      <c r="H2604" s="2">
        <v>8</v>
      </c>
      <c r="I2604" s="3">
        <v>585.54999999999995</v>
      </c>
    </row>
    <row r="2605" spans="1:9" x14ac:dyDescent="0.3">
      <c r="A2605" s="4">
        <v>42502</v>
      </c>
      <c r="B2605" s="5" t="s">
        <v>2053</v>
      </c>
      <c r="C2605" s="5" t="s">
        <v>53</v>
      </c>
      <c r="D2605" s="5" t="s">
        <v>2</v>
      </c>
      <c r="E2605" s="5" t="s">
        <v>11</v>
      </c>
      <c r="F2605" s="5" t="s">
        <v>1132</v>
      </c>
      <c r="G2605" s="5">
        <v>171.55</v>
      </c>
      <c r="H2605" s="5">
        <v>5</v>
      </c>
      <c r="I2605" s="6">
        <v>80.63</v>
      </c>
    </row>
    <row r="2606" spans="1:9" x14ac:dyDescent="0.3">
      <c r="A2606" s="1">
        <v>42502</v>
      </c>
      <c r="B2606" s="2" t="s">
        <v>1201</v>
      </c>
      <c r="C2606" s="2" t="s">
        <v>24</v>
      </c>
      <c r="D2606" s="2" t="s">
        <v>25</v>
      </c>
      <c r="E2606" s="2" t="s">
        <v>38</v>
      </c>
      <c r="F2606" s="2" t="s">
        <v>1371</v>
      </c>
      <c r="G2606" s="2">
        <v>191.82</v>
      </c>
      <c r="H2606" s="2">
        <v>3</v>
      </c>
      <c r="I2606" s="3">
        <v>74.81</v>
      </c>
    </row>
    <row r="2607" spans="1:9" x14ac:dyDescent="0.3">
      <c r="A2607" s="4">
        <v>42502</v>
      </c>
      <c r="B2607" s="5" t="s">
        <v>1201</v>
      </c>
      <c r="C2607" s="5" t="s">
        <v>80</v>
      </c>
      <c r="D2607" s="5" t="s">
        <v>2</v>
      </c>
      <c r="E2607" s="5" t="s">
        <v>9</v>
      </c>
      <c r="F2607" s="5" t="s">
        <v>1051</v>
      </c>
      <c r="G2607" s="5">
        <v>465.18</v>
      </c>
      <c r="H2607" s="5">
        <v>3</v>
      </c>
      <c r="I2607" s="6">
        <v>120.95</v>
      </c>
    </row>
    <row r="2608" spans="1:9" x14ac:dyDescent="0.3">
      <c r="A2608" s="1">
        <v>42502</v>
      </c>
      <c r="B2608" s="2" t="s">
        <v>2054</v>
      </c>
      <c r="C2608" s="2" t="s">
        <v>181</v>
      </c>
      <c r="D2608" s="2" t="s">
        <v>25</v>
      </c>
      <c r="E2608" s="2" t="s">
        <v>129</v>
      </c>
      <c r="F2608" s="2" t="s">
        <v>2055</v>
      </c>
      <c r="G2608" s="2">
        <v>81.94</v>
      </c>
      <c r="H2608" s="2">
        <v>1</v>
      </c>
      <c r="I2608" s="3">
        <v>20.49</v>
      </c>
    </row>
    <row r="2609" spans="1:9" x14ac:dyDescent="0.3">
      <c r="A2609" s="4">
        <v>42502</v>
      </c>
      <c r="B2609" s="5" t="s">
        <v>2056</v>
      </c>
      <c r="C2609" s="5" t="s">
        <v>2057</v>
      </c>
      <c r="D2609" s="5" t="s">
        <v>2</v>
      </c>
      <c r="E2609" s="5" t="s">
        <v>15</v>
      </c>
      <c r="F2609" s="5" t="s">
        <v>904</v>
      </c>
      <c r="G2609" s="5">
        <v>33.92</v>
      </c>
      <c r="H2609" s="5">
        <v>8</v>
      </c>
      <c r="I2609" s="6">
        <v>13.23</v>
      </c>
    </row>
    <row r="2610" spans="1:9" x14ac:dyDescent="0.3">
      <c r="A2610" s="1">
        <v>42502</v>
      </c>
      <c r="B2610" s="2" t="s">
        <v>2058</v>
      </c>
      <c r="C2610" s="2" t="s">
        <v>24</v>
      </c>
      <c r="D2610" s="2" t="s">
        <v>30</v>
      </c>
      <c r="E2610" s="2" t="s">
        <v>31</v>
      </c>
      <c r="F2610" s="2" t="s">
        <v>905</v>
      </c>
      <c r="G2610" s="2">
        <v>699.98</v>
      </c>
      <c r="H2610" s="2">
        <v>2</v>
      </c>
      <c r="I2610" s="3">
        <v>195.99</v>
      </c>
    </row>
    <row r="2611" spans="1:9" x14ac:dyDescent="0.3">
      <c r="A2611" s="4">
        <v>42502</v>
      </c>
      <c r="B2611" s="5" t="s">
        <v>2058</v>
      </c>
      <c r="C2611" s="5" t="s">
        <v>24</v>
      </c>
      <c r="D2611" s="5" t="s">
        <v>2</v>
      </c>
      <c r="E2611" s="5" t="s">
        <v>9</v>
      </c>
      <c r="F2611" s="5" t="s">
        <v>1743</v>
      </c>
      <c r="G2611" s="5">
        <v>584.82000000000005</v>
      </c>
      <c r="H2611" s="5">
        <v>9</v>
      </c>
      <c r="I2611" s="6">
        <v>70.180000000000007</v>
      </c>
    </row>
    <row r="2612" spans="1:9" x14ac:dyDescent="0.3">
      <c r="A2612" s="1">
        <v>42502</v>
      </c>
      <c r="B2612" s="2" t="s">
        <v>1676</v>
      </c>
      <c r="C2612" s="2" t="s">
        <v>6</v>
      </c>
      <c r="D2612" s="2" t="s">
        <v>2</v>
      </c>
      <c r="E2612" s="2" t="s">
        <v>7</v>
      </c>
      <c r="F2612" s="2" t="s">
        <v>92</v>
      </c>
      <c r="G2612" s="2">
        <v>11.95</v>
      </c>
      <c r="H2612" s="2">
        <v>3</v>
      </c>
      <c r="I2612" s="3">
        <v>3.88</v>
      </c>
    </row>
    <row r="2613" spans="1:9" x14ac:dyDescent="0.3">
      <c r="A2613" s="4">
        <v>42502</v>
      </c>
      <c r="B2613" s="5" t="s">
        <v>1585</v>
      </c>
      <c r="C2613" s="5" t="s">
        <v>6</v>
      </c>
      <c r="D2613" s="5" t="s">
        <v>2</v>
      </c>
      <c r="E2613" s="5" t="s">
        <v>15</v>
      </c>
      <c r="F2613" s="5" t="s">
        <v>1620</v>
      </c>
      <c r="G2613" s="5">
        <v>3.54</v>
      </c>
      <c r="H2613" s="5">
        <v>2</v>
      </c>
      <c r="I2613" s="6">
        <v>0.31</v>
      </c>
    </row>
    <row r="2614" spans="1:9" x14ac:dyDescent="0.3">
      <c r="A2614" s="1">
        <v>42502</v>
      </c>
      <c r="B2614" s="2" t="s">
        <v>2059</v>
      </c>
      <c r="C2614" s="2" t="s">
        <v>50</v>
      </c>
      <c r="D2614" s="2" t="s">
        <v>25</v>
      </c>
      <c r="E2614" s="2" t="s">
        <v>38</v>
      </c>
      <c r="F2614" s="2" t="s">
        <v>1181</v>
      </c>
      <c r="G2614" s="2">
        <v>13.4</v>
      </c>
      <c r="H2614" s="2">
        <v>1</v>
      </c>
      <c r="I2614" s="3">
        <v>6.43</v>
      </c>
    </row>
    <row r="2615" spans="1:9" x14ac:dyDescent="0.3">
      <c r="A2615" s="4">
        <v>42502</v>
      </c>
      <c r="B2615" s="5" t="s">
        <v>2059</v>
      </c>
      <c r="C2615" s="5" t="s">
        <v>50</v>
      </c>
      <c r="D2615" s="5" t="s">
        <v>2</v>
      </c>
      <c r="E2615" s="5" t="s">
        <v>3</v>
      </c>
      <c r="F2615" s="5" t="s">
        <v>315</v>
      </c>
      <c r="G2615" s="5">
        <v>4.9800000000000004</v>
      </c>
      <c r="H2615" s="5">
        <v>1</v>
      </c>
      <c r="I2615" s="6">
        <v>2.34</v>
      </c>
    </row>
    <row r="2616" spans="1:9" x14ac:dyDescent="0.3">
      <c r="A2616" s="1">
        <v>42502</v>
      </c>
      <c r="B2616" s="2" t="s">
        <v>2059</v>
      </c>
      <c r="C2616" s="2" t="s">
        <v>50</v>
      </c>
      <c r="D2616" s="2" t="s">
        <v>2</v>
      </c>
      <c r="E2616" s="2" t="s">
        <v>114</v>
      </c>
      <c r="F2616" s="2" t="s">
        <v>2060</v>
      </c>
      <c r="G2616" s="2">
        <v>109.69</v>
      </c>
      <c r="H2616" s="2">
        <v>7</v>
      </c>
      <c r="I2616" s="3">
        <v>51.55</v>
      </c>
    </row>
    <row r="2617" spans="1:9" x14ac:dyDescent="0.3">
      <c r="A2617" s="4">
        <v>42533</v>
      </c>
      <c r="B2617" s="5" t="s">
        <v>1135</v>
      </c>
      <c r="C2617" s="5" t="s">
        <v>18</v>
      </c>
      <c r="D2617" s="5" t="s">
        <v>2</v>
      </c>
      <c r="E2617" s="5" t="s">
        <v>3</v>
      </c>
      <c r="F2617" s="5" t="s">
        <v>613</v>
      </c>
      <c r="G2617" s="5">
        <v>19.440000000000001</v>
      </c>
      <c r="H2617" s="5">
        <v>3</v>
      </c>
      <c r="I2617" s="6">
        <v>9.33</v>
      </c>
    </row>
    <row r="2618" spans="1:9" x14ac:dyDescent="0.3">
      <c r="A2618" s="1">
        <v>42533</v>
      </c>
      <c r="B2618" s="2" t="s">
        <v>2061</v>
      </c>
      <c r="C2618" s="2" t="s">
        <v>62</v>
      </c>
      <c r="D2618" s="2" t="s">
        <v>30</v>
      </c>
      <c r="E2618" s="2" t="s">
        <v>31</v>
      </c>
      <c r="F2618" s="2" t="s">
        <v>2062</v>
      </c>
      <c r="G2618" s="2">
        <v>156.79</v>
      </c>
      <c r="H2618" s="2">
        <v>1</v>
      </c>
      <c r="I2618" s="3">
        <v>13.72</v>
      </c>
    </row>
    <row r="2619" spans="1:9" x14ac:dyDescent="0.3">
      <c r="A2619" s="4">
        <v>42533</v>
      </c>
      <c r="B2619" s="5" t="s">
        <v>2061</v>
      </c>
      <c r="C2619" s="5" t="s">
        <v>62</v>
      </c>
      <c r="D2619" s="5" t="s">
        <v>30</v>
      </c>
      <c r="E2619" s="5" t="s">
        <v>31</v>
      </c>
      <c r="F2619" s="5" t="s">
        <v>2063</v>
      </c>
      <c r="G2619" s="5">
        <v>431.98</v>
      </c>
      <c r="H2619" s="5">
        <v>3</v>
      </c>
      <c r="I2619" s="6">
        <v>27</v>
      </c>
    </row>
    <row r="2620" spans="1:9" x14ac:dyDescent="0.3">
      <c r="A2620" s="1">
        <v>42533</v>
      </c>
      <c r="B2620" s="2" t="s">
        <v>2061</v>
      </c>
      <c r="C2620" s="2" t="s">
        <v>62</v>
      </c>
      <c r="D2620" s="2" t="s">
        <v>2</v>
      </c>
      <c r="E2620" s="2" t="s">
        <v>114</v>
      </c>
      <c r="F2620" s="2" t="s">
        <v>1346</v>
      </c>
      <c r="G2620" s="2">
        <v>35.89</v>
      </c>
      <c r="H2620" s="2">
        <v>1</v>
      </c>
      <c r="I2620" s="3">
        <v>16.149999999999999</v>
      </c>
    </row>
    <row r="2621" spans="1:9" x14ac:dyDescent="0.3">
      <c r="A2621" s="4">
        <v>42533</v>
      </c>
      <c r="B2621" s="5" t="s">
        <v>2061</v>
      </c>
      <c r="C2621" s="5" t="s">
        <v>62</v>
      </c>
      <c r="D2621" s="5" t="s">
        <v>2</v>
      </c>
      <c r="E2621" s="5" t="s">
        <v>11</v>
      </c>
      <c r="F2621" s="5" t="s">
        <v>2005</v>
      </c>
      <c r="G2621" s="5">
        <v>47.21</v>
      </c>
      <c r="H2621" s="5">
        <v>7</v>
      </c>
      <c r="I2621" s="6">
        <v>15.34</v>
      </c>
    </row>
    <row r="2622" spans="1:9" x14ac:dyDescent="0.3">
      <c r="A2622" s="1">
        <v>42533</v>
      </c>
      <c r="B2622" s="2" t="s">
        <v>2061</v>
      </c>
      <c r="C2622" s="2" t="s">
        <v>62</v>
      </c>
      <c r="D2622" s="2" t="s">
        <v>2</v>
      </c>
      <c r="E2622" s="2" t="s">
        <v>3</v>
      </c>
      <c r="F2622" s="2" t="s">
        <v>2064</v>
      </c>
      <c r="G2622" s="2">
        <v>248.08</v>
      </c>
      <c r="H2622" s="2">
        <v>7</v>
      </c>
      <c r="I2622" s="3">
        <v>116.6</v>
      </c>
    </row>
    <row r="2623" spans="1:9" x14ac:dyDescent="0.3">
      <c r="A2623" s="4">
        <v>42533</v>
      </c>
      <c r="B2623" s="5" t="s">
        <v>2061</v>
      </c>
      <c r="C2623" s="5" t="s">
        <v>62</v>
      </c>
      <c r="D2623" s="5" t="s">
        <v>2</v>
      </c>
      <c r="E2623" s="5" t="s">
        <v>3</v>
      </c>
      <c r="F2623" s="5" t="s">
        <v>689</v>
      </c>
      <c r="G2623" s="5">
        <v>189.7</v>
      </c>
      <c r="H2623" s="5">
        <v>5</v>
      </c>
      <c r="I2623" s="6">
        <v>89.16</v>
      </c>
    </row>
    <row r="2624" spans="1:9" x14ac:dyDescent="0.3">
      <c r="A2624" s="1">
        <v>42533</v>
      </c>
      <c r="B2624" s="2" t="s">
        <v>2061</v>
      </c>
      <c r="C2624" s="2" t="s">
        <v>62</v>
      </c>
      <c r="D2624" s="2" t="s">
        <v>2</v>
      </c>
      <c r="E2624" s="2" t="s">
        <v>11</v>
      </c>
      <c r="F2624" s="2" t="s">
        <v>376</v>
      </c>
      <c r="G2624" s="2">
        <v>59.81</v>
      </c>
      <c r="H2624" s="2">
        <v>3</v>
      </c>
      <c r="I2624" s="3">
        <v>19.440000000000001</v>
      </c>
    </row>
    <row r="2625" spans="1:9" x14ac:dyDescent="0.3">
      <c r="A2625" s="4">
        <v>42533</v>
      </c>
      <c r="B2625" s="5" t="s">
        <v>2065</v>
      </c>
      <c r="C2625" s="5" t="s">
        <v>80</v>
      </c>
      <c r="D2625" s="5" t="s">
        <v>2</v>
      </c>
      <c r="E2625" s="5" t="s">
        <v>11</v>
      </c>
      <c r="F2625" s="5" t="s">
        <v>1937</v>
      </c>
      <c r="G2625" s="5">
        <v>968.74</v>
      </c>
      <c r="H2625" s="5">
        <v>7</v>
      </c>
      <c r="I2625" s="6">
        <v>314.83999999999997</v>
      </c>
    </row>
    <row r="2626" spans="1:9" x14ac:dyDescent="0.3">
      <c r="A2626" s="1">
        <v>42533</v>
      </c>
      <c r="B2626" s="2" t="s">
        <v>2065</v>
      </c>
      <c r="C2626" s="2" t="s">
        <v>80</v>
      </c>
      <c r="D2626" s="2" t="s">
        <v>2</v>
      </c>
      <c r="E2626" s="2" t="s">
        <v>11</v>
      </c>
      <c r="F2626" s="2" t="s">
        <v>1801</v>
      </c>
      <c r="G2626" s="2">
        <v>222.35</v>
      </c>
      <c r="H2626" s="2">
        <v>13</v>
      </c>
      <c r="I2626" s="3">
        <v>77.819999999999993</v>
      </c>
    </row>
    <row r="2627" spans="1:9" x14ac:dyDescent="0.3">
      <c r="A2627" s="4">
        <v>42533</v>
      </c>
      <c r="B2627" s="5" t="s">
        <v>2065</v>
      </c>
      <c r="C2627" s="5" t="s">
        <v>80</v>
      </c>
      <c r="D2627" s="5" t="s">
        <v>30</v>
      </c>
      <c r="E2627" s="5" t="s">
        <v>290</v>
      </c>
      <c r="F2627" s="5" t="s">
        <v>291</v>
      </c>
      <c r="G2627" s="5">
        <v>479.98</v>
      </c>
      <c r="H2627" s="5">
        <v>2</v>
      </c>
      <c r="I2627" s="6">
        <v>90</v>
      </c>
    </row>
    <row r="2628" spans="1:9" x14ac:dyDescent="0.3">
      <c r="A2628" s="1">
        <v>42533</v>
      </c>
      <c r="B2628" s="2" t="s">
        <v>123</v>
      </c>
      <c r="C2628" s="2" t="s">
        <v>18</v>
      </c>
      <c r="D2628" s="2" t="s">
        <v>30</v>
      </c>
      <c r="E2628" s="2" t="s">
        <v>31</v>
      </c>
      <c r="F2628" s="2" t="s">
        <v>1639</v>
      </c>
      <c r="G2628" s="2">
        <v>271.95999999999998</v>
      </c>
      <c r="H2628" s="2">
        <v>5</v>
      </c>
      <c r="I2628" s="3">
        <v>27.2</v>
      </c>
    </row>
    <row r="2629" spans="1:9" x14ac:dyDescent="0.3">
      <c r="A2629" s="4">
        <v>42533</v>
      </c>
      <c r="B2629" s="5" t="s">
        <v>123</v>
      </c>
      <c r="C2629" s="5" t="s">
        <v>18</v>
      </c>
      <c r="D2629" s="5" t="s">
        <v>2</v>
      </c>
      <c r="E2629" s="5" t="s">
        <v>15</v>
      </c>
      <c r="F2629" s="5" t="s">
        <v>1895</v>
      </c>
      <c r="G2629" s="5">
        <v>18.690000000000001</v>
      </c>
      <c r="H2629" s="5">
        <v>7</v>
      </c>
      <c r="I2629" s="6">
        <v>5.23</v>
      </c>
    </row>
    <row r="2630" spans="1:9" x14ac:dyDescent="0.3">
      <c r="A2630" s="1">
        <v>42533</v>
      </c>
      <c r="B2630" s="2" t="s">
        <v>123</v>
      </c>
      <c r="C2630" s="2" t="s">
        <v>18</v>
      </c>
      <c r="D2630" s="2" t="s">
        <v>2</v>
      </c>
      <c r="E2630" s="2" t="s">
        <v>3</v>
      </c>
      <c r="F2630" s="2" t="s">
        <v>2066</v>
      </c>
      <c r="G2630" s="2">
        <v>13.36</v>
      </c>
      <c r="H2630" s="2">
        <v>2</v>
      </c>
      <c r="I2630" s="3">
        <v>6.41</v>
      </c>
    </row>
    <row r="2631" spans="1:9" x14ac:dyDescent="0.3">
      <c r="A2631" s="4">
        <v>42533</v>
      </c>
      <c r="B2631" s="5" t="s">
        <v>123</v>
      </c>
      <c r="C2631" s="5" t="s">
        <v>18</v>
      </c>
      <c r="D2631" s="5" t="s">
        <v>30</v>
      </c>
      <c r="E2631" s="5" t="s">
        <v>31</v>
      </c>
      <c r="F2631" s="5" t="s">
        <v>1236</v>
      </c>
      <c r="G2631" s="5">
        <v>249.58</v>
      </c>
      <c r="H2631" s="5">
        <v>2</v>
      </c>
      <c r="I2631" s="6">
        <v>31.2</v>
      </c>
    </row>
    <row r="2632" spans="1:9" x14ac:dyDescent="0.3">
      <c r="A2632" s="1">
        <v>42533</v>
      </c>
      <c r="B2632" s="2" t="s">
        <v>123</v>
      </c>
      <c r="C2632" s="2" t="s">
        <v>18</v>
      </c>
      <c r="D2632" s="2" t="s">
        <v>2</v>
      </c>
      <c r="E2632" s="2" t="s">
        <v>34</v>
      </c>
      <c r="F2632" s="2" t="s">
        <v>1587</v>
      </c>
      <c r="G2632" s="2">
        <v>13.86</v>
      </c>
      <c r="H2632" s="2">
        <v>7</v>
      </c>
      <c r="I2632" s="3">
        <v>0</v>
      </c>
    </row>
    <row r="2633" spans="1:9" x14ac:dyDescent="0.3">
      <c r="A2633" s="4">
        <v>42533</v>
      </c>
      <c r="B2633" s="5" t="s">
        <v>123</v>
      </c>
      <c r="C2633" s="5" t="s">
        <v>18</v>
      </c>
      <c r="D2633" s="5" t="s">
        <v>2</v>
      </c>
      <c r="E2633" s="5" t="s">
        <v>11</v>
      </c>
      <c r="F2633" s="5" t="s">
        <v>1589</v>
      </c>
      <c r="G2633" s="5">
        <v>13.38</v>
      </c>
      <c r="H2633" s="5">
        <v>4</v>
      </c>
      <c r="I2633" s="6">
        <v>4.68</v>
      </c>
    </row>
    <row r="2634" spans="1:9" x14ac:dyDescent="0.3">
      <c r="A2634" s="1">
        <v>42533</v>
      </c>
      <c r="B2634" s="2" t="s">
        <v>123</v>
      </c>
      <c r="C2634" s="2" t="s">
        <v>18</v>
      </c>
      <c r="D2634" s="2" t="s">
        <v>2</v>
      </c>
      <c r="E2634" s="2" t="s">
        <v>11</v>
      </c>
      <c r="F2634" s="2" t="s">
        <v>1177</v>
      </c>
      <c r="G2634" s="2">
        <v>437.47</v>
      </c>
      <c r="H2634" s="2">
        <v>14</v>
      </c>
      <c r="I2634" s="3">
        <v>153.12</v>
      </c>
    </row>
    <row r="2635" spans="1:9" x14ac:dyDescent="0.3">
      <c r="A2635" s="4">
        <v>42594</v>
      </c>
      <c r="B2635" s="5" t="s">
        <v>1440</v>
      </c>
      <c r="C2635" s="5" t="s">
        <v>1</v>
      </c>
      <c r="D2635" s="5" t="s">
        <v>30</v>
      </c>
      <c r="E2635" s="5" t="s">
        <v>31</v>
      </c>
      <c r="F2635" s="5" t="s">
        <v>32</v>
      </c>
      <c r="G2635" s="5">
        <v>1097.54</v>
      </c>
      <c r="H2635" s="5">
        <v>7</v>
      </c>
      <c r="I2635" s="6">
        <v>123.47</v>
      </c>
    </row>
    <row r="2636" spans="1:9" x14ac:dyDescent="0.3">
      <c r="A2636" s="1">
        <v>42594</v>
      </c>
      <c r="B2636" s="2" t="s">
        <v>1440</v>
      </c>
      <c r="C2636" s="2" t="s">
        <v>1</v>
      </c>
      <c r="D2636" s="2" t="s">
        <v>25</v>
      </c>
      <c r="E2636" s="2" t="s">
        <v>38</v>
      </c>
      <c r="F2636" s="2" t="s">
        <v>2067</v>
      </c>
      <c r="G2636" s="2">
        <v>190.92</v>
      </c>
      <c r="H2636" s="2">
        <v>5</v>
      </c>
      <c r="I2636" s="3">
        <v>-147.96</v>
      </c>
    </row>
    <row r="2637" spans="1:9" x14ac:dyDescent="0.3">
      <c r="A2637" s="4">
        <v>42594</v>
      </c>
      <c r="B2637" s="5" t="s">
        <v>371</v>
      </c>
      <c r="C2637" s="5" t="s">
        <v>359</v>
      </c>
      <c r="D2637" s="5" t="s">
        <v>30</v>
      </c>
      <c r="E2637" s="5" t="s">
        <v>31</v>
      </c>
      <c r="F2637" s="5" t="s">
        <v>2068</v>
      </c>
      <c r="G2637" s="5">
        <v>114.95</v>
      </c>
      <c r="H2637" s="5">
        <v>5</v>
      </c>
      <c r="I2637" s="6">
        <v>2.2999999999999998</v>
      </c>
    </row>
    <row r="2638" spans="1:9" x14ac:dyDescent="0.3">
      <c r="A2638" s="1">
        <v>42594</v>
      </c>
      <c r="B2638" s="2" t="s">
        <v>1259</v>
      </c>
      <c r="C2638" s="2" t="s">
        <v>127</v>
      </c>
      <c r="D2638" s="2" t="s">
        <v>2</v>
      </c>
      <c r="E2638" s="2" t="s">
        <v>11</v>
      </c>
      <c r="F2638" s="2" t="s">
        <v>908</v>
      </c>
      <c r="G2638" s="2">
        <v>12.96</v>
      </c>
      <c r="H2638" s="2">
        <v>7</v>
      </c>
      <c r="I2638" s="3">
        <v>-9.5</v>
      </c>
    </row>
    <row r="2639" spans="1:9" x14ac:dyDescent="0.3">
      <c r="A2639" s="4">
        <v>42594</v>
      </c>
      <c r="B2639" s="5" t="s">
        <v>681</v>
      </c>
      <c r="C2639" s="5" t="s">
        <v>18</v>
      </c>
      <c r="D2639" s="5" t="s">
        <v>2</v>
      </c>
      <c r="E2639" s="5" t="s">
        <v>15</v>
      </c>
      <c r="F2639" s="5" t="s">
        <v>2069</v>
      </c>
      <c r="G2639" s="5">
        <v>8.56</v>
      </c>
      <c r="H2639" s="5">
        <v>2</v>
      </c>
      <c r="I2639" s="6">
        <v>2.48</v>
      </c>
    </row>
    <row r="2640" spans="1:9" x14ac:dyDescent="0.3">
      <c r="A2640" s="1">
        <v>42594</v>
      </c>
      <c r="B2640" s="2" t="s">
        <v>681</v>
      </c>
      <c r="C2640" s="2" t="s">
        <v>18</v>
      </c>
      <c r="D2640" s="2" t="s">
        <v>2</v>
      </c>
      <c r="E2640" s="2" t="s">
        <v>3</v>
      </c>
      <c r="F2640" s="2" t="s">
        <v>1191</v>
      </c>
      <c r="G2640" s="2">
        <v>45.36</v>
      </c>
      <c r="H2640" s="2">
        <v>7</v>
      </c>
      <c r="I2640" s="3">
        <v>21.77</v>
      </c>
    </row>
    <row r="2641" spans="1:9" x14ac:dyDescent="0.3">
      <c r="A2641" s="4">
        <v>42594</v>
      </c>
      <c r="B2641" s="5" t="s">
        <v>681</v>
      </c>
      <c r="C2641" s="5" t="s">
        <v>18</v>
      </c>
      <c r="D2641" s="5" t="s">
        <v>25</v>
      </c>
      <c r="E2641" s="5" t="s">
        <v>86</v>
      </c>
      <c r="F2641" s="5" t="s">
        <v>2070</v>
      </c>
      <c r="G2641" s="5">
        <v>1421.66</v>
      </c>
      <c r="H2641" s="5">
        <v>6</v>
      </c>
      <c r="I2641" s="6">
        <v>-195.48</v>
      </c>
    </row>
    <row r="2642" spans="1:9" x14ac:dyDescent="0.3">
      <c r="A2642" s="1">
        <v>42594</v>
      </c>
      <c r="B2642" s="2" t="s">
        <v>1342</v>
      </c>
      <c r="C2642" s="2" t="s">
        <v>18</v>
      </c>
      <c r="D2642" s="2" t="s">
        <v>2</v>
      </c>
      <c r="E2642" s="2" t="s">
        <v>9</v>
      </c>
      <c r="F2642" s="2" t="s">
        <v>2071</v>
      </c>
      <c r="G2642" s="2">
        <v>34.049999999999997</v>
      </c>
      <c r="H2642" s="2">
        <v>3</v>
      </c>
      <c r="I2642" s="3">
        <v>9.5299999999999994</v>
      </c>
    </row>
    <row r="2643" spans="1:9" x14ac:dyDescent="0.3">
      <c r="A2643" s="4">
        <v>42594</v>
      </c>
      <c r="B2643" s="5" t="s">
        <v>1342</v>
      </c>
      <c r="C2643" s="5" t="s">
        <v>18</v>
      </c>
      <c r="D2643" s="5" t="s">
        <v>2</v>
      </c>
      <c r="E2643" s="5" t="s">
        <v>9</v>
      </c>
      <c r="F2643" s="5" t="s">
        <v>787</v>
      </c>
      <c r="G2643" s="5">
        <v>352.38</v>
      </c>
      <c r="H2643" s="5">
        <v>2</v>
      </c>
      <c r="I2643" s="6">
        <v>81.05</v>
      </c>
    </row>
    <row r="2644" spans="1:9" x14ac:dyDescent="0.3">
      <c r="A2644" s="1">
        <v>42594</v>
      </c>
      <c r="B2644" s="2" t="s">
        <v>614</v>
      </c>
      <c r="C2644" s="2" t="s">
        <v>121</v>
      </c>
      <c r="D2644" s="2" t="s">
        <v>30</v>
      </c>
      <c r="E2644" s="2" t="s">
        <v>31</v>
      </c>
      <c r="F2644" s="2" t="s">
        <v>1236</v>
      </c>
      <c r="G2644" s="2">
        <v>249.58</v>
      </c>
      <c r="H2644" s="2">
        <v>2</v>
      </c>
      <c r="I2644" s="3">
        <v>31.2</v>
      </c>
    </row>
    <row r="2645" spans="1:9" x14ac:dyDescent="0.3">
      <c r="A2645" s="4">
        <v>42594</v>
      </c>
      <c r="B2645" s="5" t="s">
        <v>614</v>
      </c>
      <c r="C2645" s="5" t="s">
        <v>121</v>
      </c>
      <c r="D2645" s="5" t="s">
        <v>30</v>
      </c>
      <c r="E2645" s="5" t="s">
        <v>43</v>
      </c>
      <c r="F2645" s="5" t="s">
        <v>540</v>
      </c>
      <c r="G2645" s="5">
        <v>68.11</v>
      </c>
      <c r="H2645" s="5">
        <v>3</v>
      </c>
      <c r="I2645" s="6">
        <v>17.88</v>
      </c>
    </row>
    <row r="2646" spans="1:9" x14ac:dyDescent="0.3">
      <c r="A2646" s="1">
        <v>42594</v>
      </c>
      <c r="B2646" s="2" t="s">
        <v>614</v>
      </c>
      <c r="C2646" s="2" t="s">
        <v>121</v>
      </c>
      <c r="D2646" s="2" t="s">
        <v>30</v>
      </c>
      <c r="E2646" s="2" t="s">
        <v>43</v>
      </c>
      <c r="F2646" s="2" t="s">
        <v>1945</v>
      </c>
      <c r="G2646" s="2">
        <v>16.559999999999999</v>
      </c>
      <c r="H2646" s="2">
        <v>3</v>
      </c>
      <c r="I2646" s="3">
        <v>-2.48</v>
      </c>
    </row>
    <row r="2647" spans="1:9" x14ac:dyDescent="0.3">
      <c r="A2647" s="4">
        <v>42594</v>
      </c>
      <c r="B2647" s="5" t="s">
        <v>1171</v>
      </c>
      <c r="C2647" s="5" t="s">
        <v>127</v>
      </c>
      <c r="D2647" s="5" t="s">
        <v>2</v>
      </c>
      <c r="E2647" s="5" t="s">
        <v>3</v>
      </c>
      <c r="F2647" s="5" t="s">
        <v>1930</v>
      </c>
      <c r="G2647" s="5">
        <v>10.58</v>
      </c>
      <c r="H2647" s="5">
        <v>3</v>
      </c>
      <c r="I2647" s="6">
        <v>3.44</v>
      </c>
    </row>
    <row r="2648" spans="1:9" x14ac:dyDescent="0.3">
      <c r="A2648" s="1">
        <v>42594</v>
      </c>
      <c r="B2648" s="2" t="s">
        <v>1361</v>
      </c>
      <c r="C2648" s="2" t="s">
        <v>53</v>
      </c>
      <c r="D2648" s="2" t="s">
        <v>25</v>
      </c>
      <c r="E2648" s="2" t="s">
        <v>129</v>
      </c>
      <c r="F2648" s="2" t="s">
        <v>1610</v>
      </c>
      <c r="G2648" s="2">
        <v>405.86</v>
      </c>
      <c r="H2648" s="2">
        <v>7</v>
      </c>
      <c r="I2648" s="3">
        <v>32.47</v>
      </c>
    </row>
    <row r="2649" spans="1:9" x14ac:dyDescent="0.3">
      <c r="A2649" s="4">
        <v>42594</v>
      </c>
      <c r="B2649" s="5" t="s">
        <v>1361</v>
      </c>
      <c r="C2649" s="5" t="s">
        <v>53</v>
      </c>
      <c r="D2649" s="5" t="s">
        <v>25</v>
      </c>
      <c r="E2649" s="5" t="s">
        <v>26</v>
      </c>
      <c r="F2649" s="5" t="s">
        <v>552</v>
      </c>
      <c r="G2649" s="5">
        <v>680.01</v>
      </c>
      <c r="H2649" s="5">
        <v>3</v>
      </c>
      <c r="I2649" s="6">
        <v>176.8</v>
      </c>
    </row>
    <row r="2650" spans="1:9" x14ac:dyDescent="0.3">
      <c r="A2650" s="1">
        <v>42625</v>
      </c>
      <c r="B2650" s="2" t="s">
        <v>202</v>
      </c>
      <c r="C2650" s="2" t="s">
        <v>767</v>
      </c>
      <c r="D2650" s="2" t="s">
        <v>2</v>
      </c>
      <c r="E2650" s="2" t="s">
        <v>15</v>
      </c>
      <c r="F2650" s="2" t="s">
        <v>2072</v>
      </c>
      <c r="G2650" s="2">
        <v>19.46</v>
      </c>
      <c r="H2650" s="2">
        <v>7</v>
      </c>
      <c r="I2650" s="3">
        <v>5.0599999999999996</v>
      </c>
    </row>
    <row r="2651" spans="1:9" x14ac:dyDescent="0.3">
      <c r="A2651" s="4">
        <v>42625</v>
      </c>
      <c r="B2651" s="5" t="s">
        <v>202</v>
      </c>
      <c r="C2651" s="5" t="s">
        <v>767</v>
      </c>
      <c r="D2651" s="5" t="s">
        <v>2</v>
      </c>
      <c r="E2651" s="5" t="s">
        <v>133</v>
      </c>
      <c r="F2651" s="5" t="s">
        <v>1314</v>
      </c>
      <c r="G2651" s="5">
        <v>60.34</v>
      </c>
      <c r="H2651" s="5">
        <v>7</v>
      </c>
      <c r="I2651" s="6">
        <v>15.69</v>
      </c>
    </row>
    <row r="2652" spans="1:9" x14ac:dyDescent="0.3">
      <c r="A2652" s="1">
        <v>42625</v>
      </c>
      <c r="B2652" s="2" t="s">
        <v>1295</v>
      </c>
      <c r="C2652" s="2" t="s">
        <v>181</v>
      </c>
      <c r="D2652" s="2" t="s">
        <v>2</v>
      </c>
      <c r="E2652" s="2" t="s">
        <v>7</v>
      </c>
      <c r="F2652" s="2" t="s">
        <v>2073</v>
      </c>
      <c r="G2652" s="2">
        <v>3.69</v>
      </c>
      <c r="H2652" s="2">
        <v>1</v>
      </c>
      <c r="I2652" s="3">
        <v>1.73</v>
      </c>
    </row>
    <row r="2653" spans="1:9" x14ac:dyDescent="0.3">
      <c r="A2653" s="4">
        <v>42625</v>
      </c>
      <c r="B2653" s="5" t="s">
        <v>1295</v>
      </c>
      <c r="C2653" s="5" t="s">
        <v>181</v>
      </c>
      <c r="D2653" s="5" t="s">
        <v>2</v>
      </c>
      <c r="E2653" s="5" t="s">
        <v>7</v>
      </c>
      <c r="F2653" s="5" t="s">
        <v>1834</v>
      </c>
      <c r="G2653" s="5">
        <v>122.12</v>
      </c>
      <c r="H2653" s="5">
        <v>4</v>
      </c>
      <c r="I2653" s="6">
        <v>56.18</v>
      </c>
    </row>
    <row r="2654" spans="1:9" x14ac:dyDescent="0.3">
      <c r="A2654" s="1">
        <v>42625</v>
      </c>
      <c r="B2654" s="2" t="s">
        <v>1402</v>
      </c>
      <c r="C2654" s="2" t="s">
        <v>1</v>
      </c>
      <c r="D2654" s="2" t="s">
        <v>2</v>
      </c>
      <c r="E2654" s="2" t="s">
        <v>3</v>
      </c>
      <c r="F2654" s="2" t="s">
        <v>1249</v>
      </c>
      <c r="G2654" s="2">
        <v>9.39</v>
      </c>
      <c r="H2654" s="2">
        <v>2</v>
      </c>
      <c r="I2654" s="3">
        <v>3.29</v>
      </c>
    </row>
    <row r="2655" spans="1:9" x14ac:dyDescent="0.3">
      <c r="A2655" s="4">
        <v>42625</v>
      </c>
      <c r="B2655" s="5" t="s">
        <v>1402</v>
      </c>
      <c r="C2655" s="5" t="s">
        <v>1</v>
      </c>
      <c r="D2655" s="5" t="s">
        <v>2</v>
      </c>
      <c r="E2655" s="5" t="s">
        <v>15</v>
      </c>
      <c r="F2655" s="5" t="s">
        <v>937</v>
      </c>
      <c r="G2655" s="5">
        <v>9.33</v>
      </c>
      <c r="H2655" s="5">
        <v>1</v>
      </c>
      <c r="I2655" s="6">
        <v>0.82</v>
      </c>
    </row>
    <row r="2656" spans="1:9" x14ac:dyDescent="0.3">
      <c r="A2656" s="1">
        <v>42625</v>
      </c>
      <c r="B2656" s="2" t="s">
        <v>1073</v>
      </c>
      <c r="C2656" s="2" t="s">
        <v>411</v>
      </c>
      <c r="D2656" s="2" t="s">
        <v>25</v>
      </c>
      <c r="E2656" s="2" t="s">
        <v>86</v>
      </c>
      <c r="F2656" s="2" t="s">
        <v>1766</v>
      </c>
      <c r="G2656" s="2">
        <v>79.97</v>
      </c>
      <c r="H2656" s="2">
        <v>3</v>
      </c>
      <c r="I2656" s="3">
        <v>-29.32</v>
      </c>
    </row>
    <row r="2657" spans="1:9" x14ac:dyDescent="0.3">
      <c r="A2657" s="4">
        <v>42625</v>
      </c>
      <c r="B2657" s="5" t="s">
        <v>1073</v>
      </c>
      <c r="C2657" s="5" t="s">
        <v>411</v>
      </c>
      <c r="D2657" s="5" t="s">
        <v>2</v>
      </c>
      <c r="E2657" s="5" t="s">
        <v>11</v>
      </c>
      <c r="F2657" s="5" t="s">
        <v>833</v>
      </c>
      <c r="G2657" s="5">
        <v>2.95</v>
      </c>
      <c r="H2657" s="5">
        <v>2</v>
      </c>
      <c r="I2657" s="6">
        <v>-2.06</v>
      </c>
    </row>
    <row r="2658" spans="1:9" x14ac:dyDescent="0.3">
      <c r="A2658" s="1">
        <v>42625</v>
      </c>
      <c r="B2658" s="2" t="s">
        <v>1022</v>
      </c>
      <c r="C2658" s="2" t="s">
        <v>160</v>
      </c>
      <c r="D2658" s="2" t="s">
        <v>30</v>
      </c>
      <c r="E2658" s="2" t="s">
        <v>31</v>
      </c>
      <c r="F2658" s="2" t="s">
        <v>335</v>
      </c>
      <c r="G2658" s="2">
        <v>10.9</v>
      </c>
      <c r="H2658" s="2">
        <v>1</v>
      </c>
      <c r="I2658" s="3">
        <v>3.05</v>
      </c>
    </row>
    <row r="2659" spans="1:9" x14ac:dyDescent="0.3">
      <c r="A2659" s="4">
        <v>42625</v>
      </c>
      <c r="B2659" s="5" t="s">
        <v>1022</v>
      </c>
      <c r="C2659" s="5" t="s">
        <v>160</v>
      </c>
      <c r="D2659" s="5" t="s">
        <v>30</v>
      </c>
      <c r="E2659" s="5" t="s">
        <v>43</v>
      </c>
      <c r="F2659" s="5" t="s">
        <v>1480</v>
      </c>
      <c r="G2659" s="5">
        <v>59.98</v>
      </c>
      <c r="H2659" s="5">
        <v>2</v>
      </c>
      <c r="I2659" s="6">
        <v>25.19</v>
      </c>
    </row>
    <row r="2660" spans="1:9" x14ac:dyDescent="0.3">
      <c r="A2660" s="1">
        <v>42625</v>
      </c>
      <c r="B2660" s="2" t="s">
        <v>1022</v>
      </c>
      <c r="C2660" s="2" t="s">
        <v>160</v>
      </c>
      <c r="D2660" s="2" t="s">
        <v>2</v>
      </c>
      <c r="E2660" s="2" t="s">
        <v>133</v>
      </c>
      <c r="F2660" s="2" t="s">
        <v>1352</v>
      </c>
      <c r="G2660" s="2">
        <v>61.93</v>
      </c>
      <c r="H2660" s="2">
        <v>1</v>
      </c>
      <c r="I2660" s="3">
        <v>23.4</v>
      </c>
    </row>
    <row r="2661" spans="1:9" x14ac:dyDescent="0.3">
      <c r="A2661" s="4">
        <v>42625</v>
      </c>
      <c r="B2661" s="5" t="s">
        <v>311</v>
      </c>
      <c r="C2661" s="5" t="s">
        <v>411</v>
      </c>
      <c r="D2661" s="5" t="s">
        <v>30</v>
      </c>
      <c r="E2661" s="5" t="s">
        <v>31</v>
      </c>
      <c r="F2661" s="5" t="s">
        <v>2074</v>
      </c>
      <c r="G2661" s="5">
        <v>40.68</v>
      </c>
      <c r="H2661" s="5">
        <v>3</v>
      </c>
      <c r="I2661" s="6">
        <v>-9.15</v>
      </c>
    </row>
    <row r="2662" spans="1:9" x14ac:dyDescent="0.3">
      <c r="A2662" s="1">
        <v>42625</v>
      </c>
      <c r="B2662" s="2" t="s">
        <v>1677</v>
      </c>
      <c r="C2662" s="2" t="s">
        <v>6</v>
      </c>
      <c r="D2662" s="2" t="s">
        <v>2</v>
      </c>
      <c r="E2662" s="2" t="s">
        <v>144</v>
      </c>
      <c r="F2662" s="2" t="s">
        <v>398</v>
      </c>
      <c r="G2662" s="2">
        <v>20.57</v>
      </c>
      <c r="H2662" s="2">
        <v>3</v>
      </c>
      <c r="I2662" s="3">
        <v>1.54</v>
      </c>
    </row>
    <row r="2663" spans="1:9" x14ac:dyDescent="0.3">
      <c r="A2663" s="4">
        <v>42625</v>
      </c>
      <c r="B2663" s="5" t="s">
        <v>1677</v>
      </c>
      <c r="C2663" s="5" t="s">
        <v>6</v>
      </c>
      <c r="D2663" s="5" t="s">
        <v>2</v>
      </c>
      <c r="E2663" s="5" t="s">
        <v>133</v>
      </c>
      <c r="F2663" s="5" t="s">
        <v>288</v>
      </c>
      <c r="G2663" s="5">
        <v>4.3600000000000003</v>
      </c>
      <c r="H2663" s="5">
        <v>2</v>
      </c>
      <c r="I2663" s="6">
        <v>-11.76</v>
      </c>
    </row>
    <row r="2664" spans="1:9" x14ac:dyDescent="0.3">
      <c r="A2664" s="1">
        <v>42625</v>
      </c>
      <c r="B2664" s="2" t="s">
        <v>1677</v>
      </c>
      <c r="C2664" s="2" t="s">
        <v>6</v>
      </c>
      <c r="D2664" s="2" t="s">
        <v>30</v>
      </c>
      <c r="E2664" s="2" t="s">
        <v>43</v>
      </c>
      <c r="F2664" s="2" t="s">
        <v>963</v>
      </c>
      <c r="G2664" s="2">
        <v>19.04</v>
      </c>
      <c r="H2664" s="2">
        <v>4</v>
      </c>
      <c r="I2664" s="3">
        <v>-1.43</v>
      </c>
    </row>
    <row r="2665" spans="1:9" x14ac:dyDescent="0.3">
      <c r="A2665" s="4">
        <v>42625</v>
      </c>
      <c r="B2665" s="5" t="s">
        <v>553</v>
      </c>
      <c r="C2665" s="5" t="s">
        <v>18</v>
      </c>
      <c r="D2665" s="5" t="s">
        <v>2</v>
      </c>
      <c r="E2665" s="5" t="s">
        <v>11</v>
      </c>
      <c r="F2665" s="5" t="s">
        <v>1228</v>
      </c>
      <c r="G2665" s="5">
        <v>273.92</v>
      </c>
      <c r="H2665" s="5">
        <v>8</v>
      </c>
      <c r="I2665" s="6">
        <v>99.3</v>
      </c>
    </row>
    <row r="2666" spans="1:9" x14ac:dyDescent="0.3">
      <c r="A2666" s="1">
        <v>42625</v>
      </c>
      <c r="B2666" s="2" t="s">
        <v>297</v>
      </c>
      <c r="C2666" s="2" t="s">
        <v>46</v>
      </c>
      <c r="D2666" s="2" t="s">
        <v>25</v>
      </c>
      <c r="E2666" s="2" t="s">
        <v>86</v>
      </c>
      <c r="F2666" s="2" t="s">
        <v>1461</v>
      </c>
      <c r="G2666" s="2">
        <v>1056.8599999999999</v>
      </c>
      <c r="H2666" s="2">
        <v>7</v>
      </c>
      <c r="I2666" s="3">
        <v>158.53</v>
      </c>
    </row>
    <row r="2667" spans="1:9" x14ac:dyDescent="0.3">
      <c r="A2667" s="4">
        <v>42655</v>
      </c>
      <c r="B2667" s="5" t="s">
        <v>1022</v>
      </c>
      <c r="C2667" s="5" t="s">
        <v>18</v>
      </c>
      <c r="D2667" s="5" t="s">
        <v>25</v>
      </c>
      <c r="E2667" s="5" t="s">
        <v>26</v>
      </c>
      <c r="F2667" s="5" t="s">
        <v>1175</v>
      </c>
      <c r="G2667" s="5">
        <v>321.57</v>
      </c>
      <c r="H2667" s="5">
        <v>2</v>
      </c>
      <c r="I2667" s="6">
        <v>28.14</v>
      </c>
    </row>
    <row r="2668" spans="1:9" x14ac:dyDescent="0.3">
      <c r="A2668" s="1">
        <v>42655</v>
      </c>
      <c r="B2668" s="2" t="s">
        <v>74</v>
      </c>
      <c r="C2668" s="2" t="s">
        <v>80</v>
      </c>
      <c r="D2668" s="2" t="s">
        <v>2</v>
      </c>
      <c r="E2668" s="2" t="s">
        <v>9</v>
      </c>
      <c r="F2668" s="2" t="s">
        <v>771</v>
      </c>
      <c r="G2668" s="2">
        <v>80.58</v>
      </c>
      <c r="H2668" s="2">
        <v>6</v>
      </c>
      <c r="I2668" s="3">
        <v>22.56</v>
      </c>
    </row>
    <row r="2669" spans="1:9" x14ac:dyDescent="0.3">
      <c r="A2669" s="4">
        <v>42655</v>
      </c>
      <c r="B2669" s="5" t="s">
        <v>74</v>
      </c>
      <c r="C2669" s="5" t="s">
        <v>80</v>
      </c>
      <c r="D2669" s="5" t="s">
        <v>2</v>
      </c>
      <c r="E2669" s="5" t="s">
        <v>114</v>
      </c>
      <c r="F2669" s="5" t="s">
        <v>1565</v>
      </c>
      <c r="G2669" s="5">
        <v>361.92</v>
      </c>
      <c r="H2669" s="5">
        <v>4</v>
      </c>
      <c r="I2669" s="6">
        <v>162.86000000000001</v>
      </c>
    </row>
    <row r="2670" spans="1:9" x14ac:dyDescent="0.3">
      <c r="A2670" s="1">
        <v>42655</v>
      </c>
      <c r="B2670" s="2" t="s">
        <v>914</v>
      </c>
      <c r="C2670" s="2" t="s">
        <v>62</v>
      </c>
      <c r="D2670" s="2" t="s">
        <v>2</v>
      </c>
      <c r="E2670" s="2" t="s">
        <v>11</v>
      </c>
      <c r="F2670" s="2" t="s">
        <v>1322</v>
      </c>
      <c r="G2670" s="2">
        <v>153.55000000000001</v>
      </c>
      <c r="H2670" s="2">
        <v>3</v>
      </c>
      <c r="I2670" s="3">
        <v>51.82</v>
      </c>
    </row>
    <row r="2671" spans="1:9" x14ac:dyDescent="0.3">
      <c r="A2671" s="4">
        <v>42655</v>
      </c>
      <c r="B2671" s="5" t="s">
        <v>914</v>
      </c>
      <c r="C2671" s="5" t="s">
        <v>62</v>
      </c>
      <c r="D2671" s="5" t="s">
        <v>2</v>
      </c>
      <c r="E2671" s="5" t="s">
        <v>133</v>
      </c>
      <c r="F2671" s="5" t="s">
        <v>2075</v>
      </c>
      <c r="G2671" s="5">
        <v>65.34</v>
      </c>
      <c r="H2671" s="5">
        <v>3</v>
      </c>
      <c r="I2671" s="6">
        <v>22.87</v>
      </c>
    </row>
    <row r="2672" spans="1:9" x14ac:dyDescent="0.3">
      <c r="A2672" s="1">
        <v>42655</v>
      </c>
      <c r="B2672" s="2" t="s">
        <v>914</v>
      </c>
      <c r="C2672" s="2" t="s">
        <v>62</v>
      </c>
      <c r="D2672" s="2" t="s">
        <v>2</v>
      </c>
      <c r="E2672" s="2" t="s">
        <v>3</v>
      </c>
      <c r="F2672" s="2" t="s">
        <v>1510</v>
      </c>
      <c r="G2672" s="2">
        <v>123.92</v>
      </c>
      <c r="H2672" s="2">
        <v>4</v>
      </c>
      <c r="I2672" s="3">
        <v>55.76</v>
      </c>
    </row>
    <row r="2673" spans="1:9" x14ac:dyDescent="0.3">
      <c r="A2673" s="4">
        <v>42655</v>
      </c>
      <c r="B2673" s="5" t="s">
        <v>914</v>
      </c>
      <c r="C2673" s="5" t="s">
        <v>62</v>
      </c>
      <c r="D2673" s="5" t="s">
        <v>2</v>
      </c>
      <c r="E2673" s="5" t="s">
        <v>133</v>
      </c>
      <c r="F2673" s="5" t="s">
        <v>2076</v>
      </c>
      <c r="G2673" s="5">
        <v>35.1</v>
      </c>
      <c r="H2673" s="5">
        <v>3</v>
      </c>
      <c r="I2673" s="6">
        <v>12.29</v>
      </c>
    </row>
    <row r="2674" spans="1:9" x14ac:dyDescent="0.3">
      <c r="A2674" s="1">
        <v>42655</v>
      </c>
      <c r="B2674" s="2" t="s">
        <v>914</v>
      </c>
      <c r="C2674" s="2" t="s">
        <v>62</v>
      </c>
      <c r="D2674" s="2" t="s">
        <v>30</v>
      </c>
      <c r="E2674" s="2" t="s">
        <v>43</v>
      </c>
      <c r="F2674" s="2" t="s">
        <v>743</v>
      </c>
      <c r="G2674" s="2">
        <v>44.75</v>
      </c>
      <c r="H2674" s="2">
        <v>5</v>
      </c>
      <c r="I2674" s="3">
        <v>8.5</v>
      </c>
    </row>
    <row r="2675" spans="1:9" x14ac:dyDescent="0.3">
      <c r="A2675" s="4">
        <v>42655</v>
      </c>
      <c r="B2675" s="5" t="s">
        <v>492</v>
      </c>
      <c r="C2675" s="5" t="s">
        <v>283</v>
      </c>
      <c r="D2675" s="5" t="s">
        <v>25</v>
      </c>
      <c r="E2675" s="5" t="s">
        <v>26</v>
      </c>
      <c r="F2675" s="5" t="s">
        <v>486</v>
      </c>
      <c r="G2675" s="5">
        <v>1424.9</v>
      </c>
      <c r="H2675" s="5">
        <v>5</v>
      </c>
      <c r="I2675" s="6">
        <v>356.23</v>
      </c>
    </row>
    <row r="2676" spans="1:9" x14ac:dyDescent="0.3">
      <c r="A2676" s="1">
        <v>42655</v>
      </c>
      <c r="B2676" s="2" t="s">
        <v>1685</v>
      </c>
      <c r="C2676" s="2" t="s">
        <v>18</v>
      </c>
      <c r="D2676" s="2" t="s">
        <v>2</v>
      </c>
      <c r="E2676" s="2" t="s">
        <v>3</v>
      </c>
      <c r="F2676" s="2" t="s">
        <v>1936</v>
      </c>
      <c r="G2676" s="2">
        <v>80.28</v>
      </c>
      <c r="H2676" s="2">
        <v>12</v>
      </c>
      <c r="I2676" s="3">
        <v>36.93</v>
      </c>
    </row>
    <row r="2677" spans="1:9" x14ac:dyDescent="0.3">
      <c r="A2677" s="4">
        <v>42655</v>
      </c>
      <c r="B2677" s="5" t="s">
        <v>1745</v>
      </c>
      <c r="C2677" s="5" t="s">
        <v>80</v>
      </c>
      <c r="D2677" s="5" t="s">
        <v>2</v>
      </c>
      <c r="E2677" s="5" t="s">
        <v>3</v>
      </c>
      <c r="F2677" s="5" t="s">
        <v>923</v>
      </c>
      <c r="G2677" s="5">
        <v>18.54</v>
      </c>
      <c r="H2677" s="5">
        <v>2</v>
      </c>
      <c r="I2677" s="6">
        <v>8.7100000000000009</v>
      </c>
    </row>
    <row r="2678" spans="1:9" x14ac:dyDescent="0.3">
      <c r="A2678" s="1">
        <v>42655</v>
      </c>
      <c r="B2678" s="2" t="s">
        <v>1745</v>
      </c>
      <c r="C2678" s="2" t="s">
        <v>80</v>
      </c>
      <c r="D2678" s="2" t="s">
        <v>2</v>
      </c>
      <c r="E2678" s="2" t="s">
        <v>11</v>
      </c>
      <c r="F2678" s="2" t="s">
        <v>2052</v>
      </c>
      <c r="G2678" s="2">
        <v>679.96</v>
      </c>
      <c r="H2678" s="2">
        <v>5</v>
      </c>
      <c r="I2678" s="3">
        <v>220.99</v>
      </c>
    </row>
    <row r="2679" spans="1:9" x14ac:dyDescent="0.3">
      <c r="A2679" s="4">
        <v>42655</v>
      </c>
      <c r="B2679" s="5" t="s">
        <v>1963</v>
      </c>
      <c r="C2679" s="5" t="s">
        <v>80</v>
      </c>
      <c r="D2679" s="5" t="s">
        <v>2</v>
      </c>
      <c r="E2679" s="5" t="s">
        <v>3</v>
      </c>
      <c r="F2679" s="5" t="s">
        <v>542</v>
      </c>
      <c r="G2679" s="5">
        <v>62.82</v>
      </c>
      <c r="H2679" s="5">
        <v>9</v>
      </c>
      <c r="I2679" s="6">
        <v>29.53</v>
      </c>
    </row>
    <row r="2680" spans="1:9" x14ac:dyDescent="0.3">
      <c r="A2680" s="1">
        <v>42655</v>
      </c>
      <c r="B2680" s="2" t="s">
        <v>747</v>
      </c>
      <c r="C2680" s="2" t="s">
        <v>80</v>
      </c>
      <c r="D2680" s="2" t="s">
        <v>2</v>
      </c>
      <c r="E2680" s="2" t="s">
        <v>3</v>
      </c>
      <c r="F2680" s="2" t="s">
        <v>2077</v>
      </c>
      <c r="G2680" s="2">
        <v>6.48</v>
      </c>
      <c r="H2680" s="2">
        <v>1</v>
      </c>
      <c r="I2680" s="3">
        <v>3.11</v>
      </c>
    </row>
    <row r="2681" spans="1:9" x14ac:dyDescent="0.3">
      <c r="A2681" s="4">
        <v>42686</v>
      </c>
      <c r="B2681" s="5" t="s">
        <v>2078</v>
      </c>
      <c r="C2681" s="5" t="s">
        <v>80</v>
      </c>
      <c r="D2681" s="5" t="s">
        <v>2</v>
      </c>
      <c r="E2681" s="5" t="s">
        <v>34</v>
      </c>
      <c r="F2681" s="5" t="s">
        <v>1909</v>
      </c>
      <c r="G2681" s="5">
        <v>15.26</v>
      </c>
      <c r="H2681" s="5">
        <v>7</v>
      </c>
      <c r="I2681" s="6">
        <v>6.26</v>
      </c>
    </row>
    <row r="2682" spans="1:9" x14ac:dyDescent="0.3">
      <c r="A2682" s="1">
        <v>42686</v>
      </c>
      <c r="B2682" s="2" t="s">
        <v>2078</v>
      </c>
      <c r="C2682" s="2" t="s">
        <v>80</v>
      </c>
      <c r="D2682" s="2" t="s">
        <v>30</v>
      </c>
      <c r="E2682" s="2" t="s">
        <v>31</v>
      </c>
      <c r="F2682" s="2" t="s">
        <v>1920</v>
      </c>
      <c r="G2682" s="2">
        <v>1029.95</v>
      </c>
      <c r="H2682" s="2">
        <v>5</v>
      </c>
      <c r="I2682" s="3">
        <v>298.69</v>
      </c>
    </row>
    <row r="2683" spans="1:9" x14ac:dyDescent="0.3">
      <c r="A2683" s="4">
        <v>42686</v>
      </c>
      <c r="B2683" s="5" t="s">
        <v>1295</v>
      </c>
      <c r="C2683" s="5" t="s">
        <v>163</v>
      </c>
      <c r="D2683" s="5" t="s">
        <v>2</v>
      </c>
      <c r="E2683" s="5" t="s">
        <v>9</v>
      </c>
      <c r="F2683" s="5" t="s">
        <v>2079</v>
      </c>
      <c r="G2683" s="5">
        <v>243.38</v>
      </c>
      <c r="H2683" s="5">
        <v>3</v>
      </c>
      <c r="I2683" s="6">
        <v>-51.72</v>
      </c>
    </row>
    <row r="2684" spans="1:9" x14ac:dyDescent="0.3">
      <c r="A2684" s="1">
        <v>42686</v>
      </c>
      <c r="B2684" s="2" t="s">
        <v>1295</v>
      </c>
      <c r="C2684" s="2" t="s">
        <v>163</v>
      </c>
      <c r="D2684" s="2" t="s">
        <v>30</v>
      </c>
      <c r="E2684" s="2" t="s">
        <v>43</v>
      </c>
      <c r="F2684" s="2" t="s">
        <v>956</v>
      </c>
      <c r="G2684" s="2">
        <v>119.8</v>
      </c>
      <c r="H2684" s="2">
        <v>5</v>
      </c>
      <c r="I2684" s="3">
        <v>29.95</v>
      </c>
    </row>
    <row r="2685" spans="1:9" x14ac:dyDescent="0.3">
      <c r="A2685" s="4">
        <v>42686</v>
      </c>
      <c r="B2685" s="5" t="s">
        <v>1295</v>
      </c>
      <c r="C2685" s="5" t="s">
        <v>163</v>
      </c>
      <c r="D2685" s="5" t="s">
        <v>30</v>
      </c>
      <c r="E2685" s="5" t="s">
        <v>31</v>
      </c>
      <c r="F2685" s="5" t="s">
        <v>892</v>
      </c>
      <c r="G2685" s="5">
        <v>300.77</v>
      </c>
      <c r="H2685" s="5">
        <v>4</v>
      </c>
      <c r="I2685" s="6">
        <v>30.08</v>
      </c>
    </row>
    <row r="2686" spans="1:9" x14ac:dyDescent="0.3">
      <c r="A2686" s="1">
        <v>42686</v>
      </c>
      <c r="B2686" s="2" t="s">
        <v>1114</v>
      </c>
      <c r="C2686" s="2" t="s">
        <v>62</v>
      </c>
      <c r="D2686" s="2" t="s">
        <v>25</v>
      </c>
      <c r="E2686" s="2" t="s">
        <v>38</v>
      </c>
      <c r="F2686" s="2" t="s">
        <v>369</v>
      </c>
      <c r="G2686" s="2">
        <v>14.8</v>
      </c>
      <c r="H2686" s="2">
        <v>4</v>
      </c>
      <c r="I2686" s="3">
        <v>6.07</v>
      </c>
    </row>
    <row r="2687" spans="1:9" x14ac:dyDescent="0.3">
      <c r="A2687" s="4">
        <v>42686</v>
      </c>
      <c r="B2687" s="5" t="s">
        <v>1114</v>
      </c>
      <c r="C2687" s="5" t="s">
        <v>62</v>
      </c>
      <c r="D2687" s="5" t="s">
        <v>30</v>
      </c>
      <c r="E2687" s="5" t="s">
        <v>31</v>
      </c>
      <c r="F2687" s="5" t="s">
        <v>247</v>
      </c>
      <c r="G2687" s="5">
        <v>302.38</v>
      </c>
      <c r="H2687" s="5">
        <v>3</v>
      </c>
      <c r="I2687" s="6">
        <v>22.68</v>
      </c>
    </row>
    <row r="2688" spans="1:9" x14ac:dyDescent="0.3">
      <c r="A2688" s="1">
        <v>42686</v>
      </c>
      <c r="B2688" s="2" t="s">
        <v>1114</v>
      </c>
      <c r="C2688" s="2" t="s">
        <v>62</v>
      </c>
      <c r="D2688" s="2" t="s">
        <v>30</v>
      </c>
      <c r="E2688" s="2" t="s">
        <v>43</v>
      </c>
      <c r="F2688" s="2" t="s">
        <v>2080</v>
      </c>
      <c r="G2688" s="2">
        <v>316</v>
      </c>
      <c r="H2688" s="2">
        <v>4</v>
      </c>
      <c r="I2688" s="3">
        <v>31.6</v>
      </c>
    </row>
    <row r="2689" spans="1:9" x14ac:dyDescent="0.3">
      <c r="A2689" s="4">
        <v>42686</v>
      </c>
      <c r="B2689" s="5" t="s">
        <v>561</v>
      </c>
      <c r="C2689" s="5" t="s">
        <v>58</v>
      </c>
      <c r="D2689" s="5" t="s">
        <v>2</v>
      </c>
      <c r="E2689" s="5" t="s">
        <v>9</v>
      </c>
      <c r="F2689" s="5" t="s">
        <v>1154</v>
      </c>
      <c r="G2689" s="5">
        <v>85.22</v>
      </c>
      <c r="H2689" s="5">
        <v>3</v>
      </c>
      <c r="I2689" s="6">
        <v>7.46</v>
      </c>
    </row>
    <row r="2690" spans="1:9" x14ac:dyDescent="0.3">
      <c r="A2690" s="1">
        <v>42686</v>
      </c>
      <c r="B2690" s="2" t="s">
        <v>1617</v>
      </c>
      <c r="C2690" s="2" t="s">
        <v>411</v>
      </c>
      <c r="D2690" s="2" t="s">
        <v>2</v>
      </c>
      <c r="E2690" s="2" t="s">
        <v>15</v>
      </c>
      <c r="F2690" s="2" t="s">
        <v>482</v>
      </c>
      <c r="G2690" s="2">
        <v>6.67</v>
      </c>
      <c r="H2690" s="2">
        <v>3</v>
      </c>
      <c r="I2690" s="3">
        <v>1.67</v>
      </c>
    </row>
    <row r="2691" spans="1:9" x14ac:dyDescent="0.3">
      <c r="A2691" s="4">
        <v>42686</v>
      </c>
      <c r="B2691" s="5" t="s">
        <v>1117</v>
      </c>
      <c r="C2691" s="5" t="s">
        <v>127</v>
      </c>
      <c r="D2691" s="5" t="s">
        <v>2</v>
      </c>
      <c r="E2691" s="5" t="s">
        <v>9</v>
      </c>
      <c r="F2691" s="5" t="s">
        <v>81</v>
      </c>
      <c r="G2691" s="5">
        <v>64.959999999999994</v>
      </c>
      <c r="H2691" s="5">
        <v>5</v>
      </c>
      <c r="I2691" s="6">
        <v>-4.0599999999999996</v>
      </c>
    </row>
    <row r="2692" spans="1:9" x14ac:dyDescent="0.3">
      <c r="A2692" s="1">
        <v>42686</v>
      </c>
      <c r="B2692" s="2" t="s">
        <v>1117</v>
      </c>
      <c r="C2692" s="2" t="s">
        <v>127</v>
      </c>
      <c r="D2692" s="2" t="s">
        <v>2</v>
      </c>
      <c r="E2692" s="2" t="s">
        <v>144</v>
      </c>
      <c r="F2692" s="2" t="s">
        <v>1672</v>
      </c>
      <c r="G2692" s="2">
        <v>13.52</v>
      </c>
      <c r="H2692" s="2">
        <v>2</v>
      </c>
      <c r="I2692" s="3">
        <v>1.69</v>
      </c>
    </row>
    <row r="2693" spans="1:9" x14ac:dyDescent="0.3">
      <c r="A2693" s="4">
        <v>42686</v>
      </c>
      <c r="B2693" s="5" t="s">
        <v>1117</v>
      </c>
      <c r="C2693" s="5" t="s">
        <v>127</v>
      </c>
      <c r="D2693" s="5" t="s">
        <v>25</v>
      </c>
      <c r="E2693" s="5" t="s">
        <v>26</v>
      </c>
      <c r="F2693" s="5" t="s">
        <v>760</v>
      </c>
      <c r="G2693" s="5">
        <v>458.43</v>
      </c>
      <c r="H2693" s="5">
        <v>5</v>
      </c>
      <c r="I2693" s="6">
        <v>-137.53</v>
      </c>
    </row>
    <row r="2694" spans="1:9" x14ac:dyDescent="0.3">
      <c r="A2694" s="1">
        <v>42686</v>
      </c>
      <c r="B2694" s="2" t="s">
        <v>1117</v>
      </c>
      <c r="C2694" s="2" t="s">
        <v>127</v>
      </c>
      <c r="D2694" s="2" t="s">
        <v>2</v>
      </c>
      <c r="E2694" s="2" t="s">
        <v>133</v>
      </c>
      <c r="F2694" s="2" t="s">
        <v>1484</v>
      </c>
      <c r="G2694" s="2">
        <v>387.14</v>
      </c>
      <c r="H2694" s="2">
        <v>4</v>
      </c>
      <c r="I2694" s="3">
        <v>24.2</v>
      </c>
    </row>
    <row r="2695" spans="1:9" x14ac:dyDescent="0.3">
      <c r="A2695" s="4">
        <v>42686</v>
      </c>
      <c r="B2695" s="5" t="s">
        <v>1117</v>
      </c>
      <c r="C2695" s="5" t="s">
        <v>127</v>
      </c>
      <c r="D2695" s="5" t="s">
        <v>25</v>
      </c>
      <c r="E2695" s="5" t="s">
        <v>86</v>
      </c>
      <c r="F2695" s="5" t="s">
        <v>1929</v>
      </c>
      <c r="G2695" s="5">
        <v>328.59</v>
      </c>
      <c r="H2695" s="5">
        <v>3</v>
      </c>
      <c r="I2695" s="6">
        <v>-147.87</v>
      </c>
    </row>
    <row r="2696" spans="1:9" x14ac:dyDescent="0.3">
      <c r="A2696" s="1">
        <v>42686</v>
      </c>
      <c r="B2696" s="2" t="s">
        <v>65</v>
      </c>
      <c r="C2696" s="2" t="s">
        <v>713</v>
      </c>
      <c r="D2696" s="2" t="s">
        <v>25</v>
      </c>
      <c r="E2696" s="2" t="s">
        <v>26</v>
      </c>
      <c r="F2696" s="2" t="s">
        <v>1063</v>
      </c>
      <c r="G2696" s="2">
        <v>403.92</v>
      </c>
      <c r="H2696" s="2">
        <v>5</v>
      </c>
      <c r="I2696" s="3">
        <v>25.25</v>
      </c>
    </row>
    <row r="2697" spans="1:9" x14ac:dyDescent="0.3">
      <c r="A2697" s="4">
        <v>42686</v>
      </c>
      <c r="B2697" s="5" t="s">
        <v>854</v>
      </c>
      <c r="C2697" s="5" t="s">
        <v>18</v>
      </c>
      <c r="D2697" s="5" t="s">
        <v>2</v>
      </c>
      <c r="E2697" s="5" t="s">
        <v>11</v>
      </c>
      <c r="F2697" s="5" t="s">
        <v>63</v>
      </c>
      <c r="G2697" s="5">
        <v>209.6</v>
      </c>
      <c r="H2697" s="5">
        <v>5</v>
      </c>
      <c r="I2697" s="6">
        <v>68.12</v>
      </c>
    </row>
    <row r="2698" spans="1:9" x14ac:dyDescent="0.3">
      <c r="A2698" s="1">
        <v>42686</v>
      </c>
      <c r="B2698" s="2" t="s">
        <v>854</v>
      </c>
      <c r="C2698" s="2" t="s">
        <v>18</v>
      </c>
      <c r="D2698" s="2" t="s">
        <v>2</v>
      </c>
      <c r="E2698" s="2" t="s">
        <v>15</v>
      </c>
      <c r="F2698" s="2" t="s">
        <v>1883</v>
      </c>
      <c r="G2698" s="2">
        <v>23.32</v>
      </c>
      <c r="H2698" s="2">
        <v>2</v>
      </c>
      <c r="I2698" s="3">
        <v>6.06</v>
      </c>
    </row>
    <row r="2699" spans="1:9" x14ac:dyDescent="0.3">
      <c r="A2699" s="4">
        <v>42686</v>
      </c>
      <c r="B2699" s="5" t="s">
        <v>854</v>
      </c>
      <c r="C2699" s="5" t="s">
        <v>18</v>
      </c>
      <c r="D2699" s="5" t="s">
        <v>2</v>
      </c>
      <c r="E2699" s="5" t="s">
        <v>3</v>
      </c>
      <c r="F2699" s="5" t="s">
        <v>1826</v>
      </c>
      <c r="G2699" s="5">
        <v>30.98</v>
      </c>
      <c r="H2699" s="5">
        <v>1</v>
      </c>
      <c r="I2699" s="6">
        <v>13.94</v>
      </c>
    </row>
    <row r="2700" spans="1:9" x14ac:dyDescent="0.3">
      <c r="A2700" s="1">
        <v>42686</v>
      </c>
      <c r="B2700" s="2" t="s">
        <v>854</v>
      </c>
      <c r="C2700" s="2" t="s">
        <v>18</v>
      </c>
      <c r="D2700" s="2" t="s">
        <v>30</v>
      </c>
      <c r="E2700" s="2" t="s">
        <v>43</v>
      </c>
      <c r="F2700" s="2" t="s">
        <v>1431</v>
      </c>
      <c r="G2700" s="2">
        <v>119.96</v>
      </c>
      <c r="H2700" s="2">
        <v>4</v>
      </c>
      <c r="I2700" s="3">
        <v>25.19</v>
      </c>
    </row>
    <row r="2701" spans="1:9" x14ac:dyDescent="0.3">
      <c r="A2701" s="4">
        <v>42686</v>
      </c>
      <c r="B2701" s="5" t="s">
        <v>854</v>
      </c>
      <c r="C2701" s="5" t="s">
        <v>18</v>
      </c>
      <c r="D2701" s="5" t="s">
        <v>25</v>
      </c>
      <c r="E2701" s="5" t="s">
        <v>26</v>
      </c>
      <c r="F2701" s="5" t="s">
        <v>1245</v>
      </c>
      <c r="G2701" s="5">
        <v>363.92</v>
      </c>
      <c r="H2701" s="5">
        <v>5</v>
      </c>
      <c r="I2701" s="6">
        <v>-31.84</v>
      </c>
    </row>
    <row r="2702" spans="1:9" x14ac:dyDescent="0.3">
      <c r="A2702" s="1">
        <v>42686</v>
      </c>
      <c r="B2702" s="2" t="s">
        <v>854</v>
      </c>
      <c r="C2702" s="2" t="s">
        <v>18</v>
      </c>
      <c r="D2702" s="2" t="s">
        <v>2</v>
      </c>
      <c r="E2702" s="2" t="s">
        <v>11</v>
      </c>
      <c r="F2702" s="2" t="s">
        <v>1912</v>
      </c>
      <c r="G2702" s="2">
        <v>35.81</v>
      </c>
      <c r="H2702" s="2">
        <v>3</v>
      </c>
      <c r="I2702" s="3">
        <v>11.19</v>
      </c>
    </row>
    <row r="2703" spans="1:9" x14ac:dyDescent="0.3">
      <c r="A2703" s="4">
        <v>42686</v>
      </c>
      <c r="B2703" s="5" t="s">
        <v>854</v>
      </c>
      <c r="C2703" s="5" t="s">
        <v>18</v>
      </c>
      <c r="D2703" s="5" t="s">
        <v>2</v>
      </c>
      <c r="E2703" s="5" t="s">
        <v>11</v>
      </c>
      <c r="F2703" s="5" t="s">
        <v>1279</v>
      </c>
      <c r="G2703" s="5">
        <v>122.69</v>
      </c>
      <c r="H2703" s="5">
        <v>9</v>
      </c>
      <c r="I2703" s="6">
        <v>39.869999999999997</v>
      </c>
    </row>
    <row r="2704" spans="1:9" x14ac:dyDescent="0.3">
      <c r="A2704" s="1">
        <v>42686</v>
      </c>
      <c r="B2704" s="2" t="s">
        <v>854</v>
      </c>
      <c r="C2704" s="2" t="s">
        <v>18</v>
      </c>
      <c r="D2704" s="2" t="s">
        <v>25</v>
      </c>
      <c r="E2704" s="2" t="s">
        <v>86</v>
      </c>
      <c r="F2704" s="2" t="s">
        <v>1017</v>
      </c>
      <c r="G2704" s="2">
        <v>892.14</v>
      </c>
      <c r="H2704" s="2">
        <v>7</v>
      </c>
      <c r="I2704" s="3">
        <v>111.52</v>
      </c>
    </row>
    <row r="2705" spans="1:9" x14ac:dyDescent="0.3">
      <c r="A2705" s="4">
        <v>42686</v>
      </c>
      <c r="B2705" s="5" t="s">
        <v>854</v>
      </c>
      <c r="C2705" s="5" t="s">
        <v>18</v>
      </c>
      <c r="D2705" s="5" t="s">
        <v>2</v>
      </c>
      <c r="E2705" s="5" t="s">
        <v>9</v>
      </c>
      <c r="F2705" s="5" t="s">
        <v>182</v>
      </c>
      <c r="G2705" s="5">
        <v>50.22</v>
      </c>
      <c r="H2705" s="5">
        <v>3</v>
      </c>
      <c r="I2705" s="6">
        <v>2.0099999999999998</v>
      </c>
    </row>
    <row r="2706" spans="1:9" x14ac:dyDescent="0.3">
      <c r="A2706" s="1">
        <v>42686</v>
      </c>
      <c r="B2706" s="2" t="s">
        <v>854</v>
      </c>
      <c r="C2706" s="2" t="s">
        <v>18</v>
      </c>
      <c r="D2706" s="2" t="s">
        <v>2</v>
      </c>
      <c r="E2706" s="2" t="s">
        <v>133</v>
      </c>
      <c r="F2706" s="2" t="s">
        <v>723</v>
      </c>
      <c r="G2706" s="2">
        <v>83.42</v>
      </c>
      <c r="H2706" s="2">
        <v>2</v>
      </c>
      <c r="I2706" s="3">
        <v>24.19</v>
      </c>
    </row>
    <row r="2707" spans="1:9" x14ac:dyDescent="0.3">
      <c r="A2707" s="4">
        <v>42686</v>
      </c>
      <c r="B2707" s="5" t="s">
        <v>854</v>
      </c>
      <c r="C2707" s="5" t="s">
        <v>18</v>
      </c>
      <c r="D2707" s="5" t="s">
        <v>2</v>
      </c>
      <c r="E2707" s="5" t="s">
        <v>11</v>
      </c>
      <c r="F2707" s="5" t="s">
        <v>2081</v>
      </c>
      <c r="G2707" s="5">
        <v>5.87</v>
      </c>
      <c r="H2707" s="5">
        <v>2</v>
      </c>
      <c r="I2707" s="6">
        <v>2.13</v>
      </c>
    </row>
    <row r="2708" spans="1:9" x14ac:dyDescent="0.3">
      <c r="A2708" s="1">
        <v>42686</v>
      </c>
      <c r="B2708" s="2" t="s">
        <v>1536</v>
      </c>
      <c r="C2708" s="2" t="s">
        <v>127</v>
      </c>
      <c r="D2708" s="2" t="s">
        <v>2</v>
      </c>
      <c r="E2708" s="2" t="s">
        <v>133</v>
      </c>
      <c r="F2708" s="2" t="s">
        <v>421</v>
      </c>
      <c r="G2708" s="2">
        <v>73.540000000000006</v>
      </c>
      <c r="H2708" s="2">
        <v>4</v>
      </c>
      <c r="I2708" s="3">
        <v>9.19</v>
      </c>
    </row>
    <row r="2709" spans="1:9" x14ac:dyDescent="0.3">
      <c r="A2709" s="4">
        <v>42716</v>
      </c>
      <c r="B2709" s="5" t="s">
        <v>252</v>
      </c>
      <c r="C2709" s="5" t="s">
        <v>127</v>
      </c>
      <c r="D2709" s="5" t="s">
        <v>2</v>
      </c>
      <c r="E2709" s="5" t="s">
        <v>11</v>
      </c>
      <c r="F2709" s="5" t="s">
        <v>397</v>
      </c>
      <c r="G2709" s="5">
        <v>18.690000000000001</v>
      </c>
      <c r="H2709" s="5">
        <v>3</v>
      </c>
      <c r="I2709" s="6">
        <v>-14.33</v>
      </c>
    </row>
    <row r="2710" spans="1:9" x14ac:dyDescent="0.3">
      <c r="A2710" s="1">
        <v>42716</v>
      </c>
      <c r="B2710" s="2" t="s">
        <v>252</v>
      </c>
      <c r="C2710" s="2" t="s">
        <v>127</v>
      </c>
      <c r="D2710" s="2" t="s">
        <v>30</v>
      </c>
      <c r="E2710" s="2" t="s">
        <v>43</v>
      </c>
      <c r="F2710" s="2" t="s">
        <v>935</v>
      </c>
      <c r="G2710" s="2">
        <v>383.95</v>
      </c>
      <c r="H2710" s="2">
        <v>6</v>
      </c>
      <c r="I2710" s="3">
        <v>76.790000000000006</v>
      </c>
    </row>
    <row r="2711" spans="1:9" x14ac:dyDescent="0.3">
      <c r="A2711" s="4">
        <v>42716</v>
      </c>
      <c r="B2711" s="5" t="s">
        <v>582</v>
      </c>
      <c r="C2711" s="5" t="s">
        <v>160</v>
      </c>
      <c r="D2711" s="5" t="s">
        <v>30</v>
      </c>
      <c r="E2711" s="5" t="s">
        <v>31</v>
      </c>
      <c r="F2711" s="5" t="s">
        <v>892</v>
      </c>
      <c r="G2711" s="5">
        <v>657.93</v>
      </c>
      <c r="H2711" s="5">
        <v>7</v>
      </c>
      <c r="I2711" s="6">
        <v>184.22</v>
      </c>
    </row>
    <row r="2712" spans="1:9" x14ac:dyDescent="0.3">
      <c r="A2712" s="1">
        <v>42716</v>
      </c>
      <c r="B2712" s="2" t="s">
        <v>582</v>
      </c>
      <c r="C2712" s="2" t="s">
        <v>160</v>
      </c>
      <c r="D2712" s="2" t="s">
        <v>25</v>
      </c>
      <c r="E2712" s="2" t="s">
        <v>38</v>
      </c>
      <c r="F2712" s="2" t="s">
        <v>780</v>
      </c>
      <c r="G2712" s="2">
        <v>33.479999999999997</v>
      </c>
      <c r="H2712" s="2">
        <v>4</v>
      </c>
      <c r="I2712" s="3">
        <v>8.6999999999999993</v>
      </c>
    </row>
    <row r="2713" spans="1:9" x14ac:dyDescent="0.3">
      <c r="A2713" s="4">
        <v>42716</v>
      </c>
      <c r="B2713" s="5" t="s">
        <v>582</v>
      </c>
      <c r="C2713" s="5" t="s">
        <v>160</v>
      </c>
      <c r="D2713" s="5" t="s">
        <v>2</v>
      </c>
      <c r="E2713" s="5" t="s">
        <v>15</v>
      </c>
      <c r="F2713" s="5" t="s">
        <v>1270</v>
      </c>
      <c r="G2713" s="5">
        <v>13.9</v>
      </c>
      <c r="H2713" s="5">
        <v>5</v>
      </c>
      <c r="I2713" s="6">
        <v>3.61</v>
      </c>
    </row>
    <row r="2714" spans="1:9" x14ac:dyDescent="0.3">
      <c r="A2714" s="1">
        <v>42716</v>
      </c>
      <c r="B2714" s="2" t="s">
        <v>582</v>
      </c>
      <c r="C2714" s="2" t="s">
        <v>160</v>
      </c>
      <c r="D2714" s="2" t="s">
        <v>2</v>
      </c>
      <c r="E2714" s="2" t="s">
        <v>9</v>
      </c>
      <c r="F2714" s="2" t="s">
        <v>1518</v>
      </c>
      <c r="G2714" s="2">
        <v>26.86</v>
      </c>
      <c r="H2714" s="2">
        <v>2</v>
      </c>
      <c r="I2714" s="3">
        <v>6.72</v>
      </c>
    </row>
    <row r="2715" spans="1:9" x14ac:dyDescent="0.3">
      <c r="A2715" s="4">
        <v>42716</v>
      </c>
      <c r="B2715" s="5" t="s">
        <v>2082</v>
      </c>
      <c r="C2715" s="5" t="s">
        <v>21</v>
      </c>
      <c r="D2715" s="5" t="s">
        <v>30</v>
      </c>
      <c r="E2715" s="5" t="s">
        <v>43</v>
      </c>
      <c r="F2715" s="5" t="s">
        <v>2083</v>
      </c>
      <c r="G2715" s="5">
        <v>249.95</v>
      </c>
      <c r="H2715" s="5">
        <v>5</v>
      </c>
      <c r="I2715" s="6">
        <v>20</v>
      </c>
    </row>
    <row r="2716" spans="1:9" x14ac:dyDescent="0.3">
      <c r="A2716" s="1">
        <v>42716</v>
      </c>
      <c r="B2716" s="2" t="s">
        <v>2082</v>
      </c>
      <c r="C2716" s="2" t="s">
        <v>21</v>
      </c>
      <c r="D2716" s="2" t="s">
        <v>2</v>
      </c>
      <c r="E2716" s="2" t="s">
        <v>3</v>
      </c>
      <c r="F2716" s="2" t="s">
        <v>2084</v>
      </c>
      <c r="G2716" s="2">
        <v>49.12</v>
      </c>
      <c r="H2716" s="2">
        <v>4</v>
      </c>
      <c r="I2716" s="3">
        <v>23.09</v>
      </c>
    </row>
    <row r="2717" spans="1:9" x14ac:dyDescent="0.3">
      <c r="A2717" s="4">
        <v>42716</v>
      </c>
      <c r="B2717" s="5" t="s">
        <v>926</v>
      </c>
      <c r="C2717" s="5" t="s">
        <v>18</v>
      </c>
      <c r="D2717" s="5" t="s">
        <v>25</v>
      </c>
      <c r="E2717" s="5" t="s">
        <v>38</v>
      </c>
      <c r="F2717" s="5" t="s">
        <v>39</v>
      </c>
      <c r="G2717" s="5">
        <v>383.64</v>
      </c>
      <c r="H2717" s="5">
        <v>6</v>
      </c>
      <c r="I2717" s="6">
        <v>122.76</v>
      </c>
    </row>
    <row r="2718" spans="1:9" x14ac:dyDescent="0.3">
      <c r="A2718" s="1">
        <v>42716</v>
      </c>
      <c r="B2718" s="2" t="s">
        <v>926</v>
      </c>
      <c r="C2718" s="2" t="s">
        <v>18</v>
      </c>
      <c r="D2718" s="2" t="s">
        <v>2</v>
      </c>
      <c r="E2718" s="2" t="s">
        <v>133</v>
      </c>
      <c r="F2718" s="2" t="s">
        <v>1706</v>
      </c>
      <c r="G2718" s="2">
        <v>56.52</v>
      </c>
      <c r="H2718" s="2">
        <v>3</v>
      </c>
      <c r="I2718" s="3">
        <v>15.83</v>
      </c>
    </row>
    <row r="2719" spans="1:9" x14ac:dyDescent="0.3">
      <c r="A2719" s="4">
        <v>42716</v>
      </c>
      <c r="B2719" s="5" t="s">
        <v>1117</v>
      </c>
      <c r="C2719" s="5" t="s">
        <v>80</v>
      </c>
      <c r="D2719" s="5" t="s">
        <v>25</v>
      </c>
      <c r="E2719" s="5" t="s">
        <v>38</v>
      </c>
      <c r="F2719" s="5" t="s">
        <v>1859</v>
      </c>
      <c r="G2719" s="5">
        <v>60.35</v>
      </c>
      <c r="H2719" s="5">
        <v>5</v>
      </c>
      <c r="I2719" s="6">
        <v>19.920000000000002</v>
      </c>
    </row>
    <row r="2720" spans="1:9" x14ac:dyDescent="0.3">
      <c r="A2720" s="1">
        <v>42716</v>
      </c>
      <c r="B2720" s="2" t="s">
        <v>1117</v>
      </c>
      <c r="C2720" s="2" t="s">
        <v>80</v>
      </c>
      <c r="D2720" s="2" t="s">
        <v>2</v>
      </c>
      <c r="E2720" s="2" t="s">
        <v>144</v>
      </c>
      <c r="F2720" s="2" t="s">
        <v>2085</v>
      </c>
      <c r="G2720" s="2">
        <v>35.520000000000003</v>
      </c>
      <c r="H2720" s="2">
        <v>4</v>
      </c>
      <c r="I2720" s="3">
        <v>9.9499999999999993</v>
      </c>
    </row>
    <row r="2721" spans="1:9" x14ac:dyDescent="0.3">
      <c r="A2721" s="4">
        <v>42716</v>
      </c>
      <c r="B2721" s="5" t="s">
        <v>1117</v>
      </c>
      <c r="C2721" s="5" t="s">
        <v>80</v>
      </c>
      <c r="D2721" s="5" t="s">
        <v>2</v>
      </c>
      <c r="E2721" s="5" t="s">
        <v>15</v>
      </c>
      <c r="F2721" s="5" t="s">
        <v>1777</v>
      </c>
      <c r="G2721" s="5">
        <v>11.2</v>
      </c>
      <c r="H2721" s="5">
        <v>7</v>
      </c>
      <c r="I2721" s="6">
        <v>4.82</v>
      </c>
    </row>
    <row r="2722" spans="1:9" x14ac:dyDescent="0.3">
      <c r="A2722" s="1">
        <v>42736</v>
      </c>
      <c r="B2722" s="2" t="s">
        <v>89</v>
      </c>
      <c r="C2722" s="2" t="s">
        <v>127</v>
      </c>
      <c r="D2722" s="2" t="s">
        <v>25</v>
      </c>
      <c r="E2722" s="2" t="s">
        <v>38</v>
      </c>
      <c r="F2722" s="2" t="s">
        <v>948</v>
      </c>
      <c r="G2722" s="2">
        <v>48.9</v>
      </c>
      <c r="H2722" s="2">
        <v>4</v>
      </c>
      <c r="I2722" s="3">
        <v>8.56</v>
      </c>
    </row>
    <row r="2723" spans="1:9" x14ac:dyDescent="0.3">
      <c r="A2723" s="4">
        <v>42736</v>
      </c>
      <c r="B2723" s="5" t="s">
        <v>381</v>
      </c>
      <c r="C2723" s="5" t="s">
        <v>18</v>
      </c>
      <c r="D2723" s="5" t="s">
        <v>25</v>
      </c>
      <c r="E2723" s="5" t="s">
        <v>38</v>
      </c>
      <c r="F2723" s="5" t="s">
        <v>2086</v>
      </c>
      <c r="G2723" s="5">
        <v>474.43</v>
      </c>
      <c r="H2723" s="5">
        <v>11</v>
      </c>
      <c r="I2723" s="6">
        <v>199.26</v>
      </c>
    </row>
    <row r="2724" spans="1:9" x14ac:dyDescent="0.3">
      <c r="A2724" s="1">
        <v>42736</v>
      </c>
      <c r="B2724" s="2" t="s">
        <v>457</v>
      </c>
      <c r="C2724" s="2" t="s">
        <v>53</v>
      </c>
      <c r="D2724" s="2" t="s">
        <v>2</v>
      </c>
      <c r="E2724" s="2" t="s">
        <v>11</v>
      </c>
      <c r="F2724" s="2" t="s">
        <v>2087</v>
      </c>
      <c r="G2724" s="2">
        <v>3.6</v>
      </c>
      <c r="H2724" s="2">
        <v>2</v>
      </c>
      <c r="I2724" s="3">
        <v>1.73</v>
      </c>
    </row>
    <row r="2725" spans="1:9" x14ac:dyDescent="0.3">
      <c r="A2725" s="4">
        <v>42736</v>
      </c>
      <c r="B2725" s="5" t="s">
        <v>2088</v>
      </c>
      <c r="C2725" s="5" t="s">
        <v>1</v>
      </c>
      <c r="D2725" s="5" t="s">
        <v>2</v>
      </c>
      <c r="E2725" s="5" t="s">
        <v>9</v>
      </c>
      <c r="F2725" s="5" t="s">
        <v>10</v>
      </c>
      <c r="G2725" s="5">
        <v>454.56</v>
      </c>
      <c r="H2725" s="5">
        <v>5</v>
      </c>
      <c r="I2725" s="6">
        <v>-107.96</v>
      </c>
    </row>
    <row r="2726" spans="1:9" x14ac:dyDescent="0.3">
      <c r="A2726" s="1">
        <v>42736</v>
      </c>
      <c r="B2726" s="2" t="s">
        <v>2088</v>
      </c>
      <c r="C2726" s="2" t="s">
        <v>1</v>
      </c>
      <c r="D2726" s="2" t="s">
        <v>25</v>
      </c>
      <c r="E2726" s="2" t="s">
        <v>38</v>
      </c>
      <c r="F2726" s="2" t="s">
        <v>619</v>
      </c>
      <c r="G2726" s="2">
        <v>141.41999999999999</v>
      </c>
      <c r="H2726" s="2">
        <v>5</v>
      </c>
      <c r="I2726" s="3">
        <v>-187.38</v>
      </c>
    </row>
    <row r="2727" spans="1:9" x14ac:dyDescent="0.3">
      <c r="A2727" s="4">
        <v>42736</v>
      </c>
      <c r="B2727" s="5" t="s">
        <v>2088</v>
      </c>
      <c r="C2727" s="5" t="s">
        <v>1</v>
      </c>
      <c r="D2727" s="5" t="s">
        <v>25</v>
      </c>
      <c r="E2727" s="5" t="s">
        <v>26</v>
      </c>
      <c r="F2727" s="5" t="s">
        <v>1953</v>
      </c>
      <c r="G2727" s="5">
        <v>310.74</v>
      </c>
      <c r="H2727" s="5">
        <v>4</v>
      </c>
      <c r="I2727" s="6">
        <v>-26.64</v>
      </c>
    </row>
    <row r="2728" spans="1:9" x14ac:dyDescent="0.3">
      <c r="A2728" s="1">
        <v>42736</v>
      </c>
      <c r="B2728" s="2" t="s">
        <v>2088</v>
      </c>
      <c r="C2728" s="2" t="s">
        <v>1</v>
      </c>
      <c r="D2728" s="2" t="s">
        <v>2</v>
      </c>
      <c r="E2728" s="2" t="s">
        <v>15</v>
      </c>
      <c r="F2728" s="2" t="s">
        <v>509</v>
      </c>
      <c r="G2728" s="2">
        <v>12.74</v>
      </c>
      <c r="H2728" s="2">
        <v>4</v>
      </c>
      <c r="I2728" s="3">
        <v>2.23</v>
      </c>
    </row>
    <row r="2729" spans="1:9" x14ac:dyDescent="0.3">
      <c r="A2729" s="4">
        <v>42736</v>
      </c>
      <c r="B2729" s="5" t="s">
        <v>2088</v>
      </c>
      <c r="C2729" s="5" t="s">
        <v>1</v>
      </c>
      <c r="D2729" s="5" t="s">
        <v>2</v>
      </c>
      <c r="E2729" s="5" t="s">
        <v>11</v>
      </c>
      <c r="F2729" s="5" t="s">
        <v>1944</v>
      </c>
      <c r="G2729" s="5">
        <v>6.47</v>
      </c>
      <c r="H2729" s="5">
        <v>5</v>
      </c>
      <c r="I2729" s="6">
        <v>-9.7100000000000009</v>
      </c>
    </row>
    <row r="2730" spans="1:9" x14ac:dyDescent="0.3">
      <c r="A2730" s="1">
        <v>42736</v>
      </c>
      <c r="B2730" s="2" t="s">
        <v>2088</v>
      </c>
      <c r="C2730" s="2" t="s">
        <v>1</v>
      </c>
      <c r="D2730" s="2" t="s">
        <v>2</v>
      </c>
      <c r="E2730" s="2" t="s">
        <v>11</v>
      </c>
      <c r="F2730" s="2" t="s">
        <v>1869</v>
      </c>
      <c r="G2730" s="2">
        <v>13.75</v>
      </c>
      <c r="H2730" s="2">
        <v>14</v>
      </c>
      <c r="I2730" s="3">
        <v>-22.68</v>
      </c>
    </row>
    <row r="2731" spans="1:9" x14ac:dyDescent="0.3">
      <c r="A2731" s="4">
        <v>42736</v>
      </c>
      <c r="B2731" s="5" t="s">
        <v>2088</v>
      </c>
      <c r="C2731" s="5" t="s">
        <v>1</v>
      </c>
      <c r="D2731" s="5" t="s">
        <v>2</v>
      </c>
      <c r="E2731" s="5" t="s">
        <v>133</v>
      </c>
      <c r="F2731" s="5" t="s">
        <v>562</v>
      </c>
      <c r="G2731" s="5">
        <v>15.22</v>
      </c>
      <c r="H2731" s="5">
        <v>2</v>
      </c>
      <c r="I2731" s="6">
        <v>-38.82</v>
      </c>
    </row>
    <row r="2732" spans="1:9" x14ac:dyDescent="0.3">
      <c r="A2732" s="1">
        <v>42767</v>
      </c>
      <c r="B2732" s="2" t="s">
        <v>2089</v>
      </c>
      <c r="C2732" s="2" t="s">
        <v>121</v>
      </c>
      <c r="D2732" s="2" t="s">
        <v>30</v>
      </c>
      <c r="E2732" s="2" t="s">
        <v>625</v>
      </c>
      <c r="F2732" s="2" t="s">
        <v>1812</v>
      </c>
      <c r="G2732" s="2">
        <v>695.7</v>
      </c>
      <c r="H2732" s="2">
        <v>2</v>
      </c>
      <c r="I2732" s="3">
        <v>-27.83</v>
      </c>
    </row>
    <row r="2733" spans="1:9" x14ac:dyDescent="0.3">
      <c r="A2733" s="4">
        <v>42767</v>
      </c>
      <c r="B2733" s="5" t="s">
        <v>2089</v>
      </c>
      <c r="C2733" s="5" t="s">
        <v>121</v>
      </c>
      <c r="D2733" s="5" t="s">
        <v>2</v>
      </c>
      <c r="E2733" s="5" t="s">
        <v>11</v>
      </c>
      <c r="F2733" s="5" t="s">
        <v>2090</v>
      </c>
      <c r="G2733" s="5">
        <v>15.66</v>
      </c>
      <c r="H2733" s="5">
        <v>5</v>
      </c>
      <c r="I2733" s="6">
        <v>-12.53</v>
      </c>
    </row>
    <row r="2734" spans="1:9" x14ac:dyDescent="0.3">
      <c r="A2734" s="1">
        <v>42767</v>
      </c>
      <c r="B2734" s="2" t="s">
        <v>2089</v>
      </c>
      <c r="C2734" s="2" t="s">
        <v>121</v>
      </c>
      <c r="D2734" s="2" t="s">
        <v>2</v>
      </c>
      <c r="E2734" s="2" t="s">
        <v>11</v>
      </c>
      <c r="F2734" s="2" t="s">
        <v>655</v>
      </c>
      <c r="G2734" s="2">
        <v>28.85</v>
      </c>
      <c r="H2734" s="2">
        <v>6</v>
      </c>
      <c r="I2734" s="3">
        <v>-21.16</v>
      </c>
    </row>
    <row r="2735" spans="1:9" x14ac:dyDescent="0.3">
      <c r="A2735" s="4">
        <v>42767</v>
      </c>
      <c r="B2735" s="5" t="s">
        <v>1067</v>
      </c>
      <c r="C2735" s="5" t="s">
        <v>1</v>
      </c>
      <c r="D2735" s="5" t="s">
        <v>2</v>
      </c>
      <c r="E2735" s="5" t="s">
        <v>15</v>
      </c>
      <c r="F2735" s="5" t="s">
        <v>199</v>
      </c>
      <c r="G2735" s="5">
        <v>31.74</v>
      </c>
      <c r="H2735" s="5">
        <v>2</v>
      </c>
      <c r="I2735" s="6">
        <v>3.97</v>
      </c>
    </row>
    <row r="2736" spans="1:9" x14ac:dyDescent="0.3">
      <c r="A2736" s="1">
        <v>42767</v>
      </c>
      <c r="B2736" s="2" t="s">
        <v>1067</v>
      </c>
      <c r="C2736" s="2" t="s">
        <v>1</v>
      </c>
      <c r="D2736" s="2" t="s">
        <v>2</v>
      </c>
      <c r="E2736" s="2" t="s">
        <v>133</v>
      </c>
      <c r="F2736" s="2" t="s">
        <v>2091</v>
      </c>
      <c r="G2736" s="2">
        <v>5.43</v>
      </c>
      <c r="H2736" s="2">
        <v>2</v>
      </c>
      <c r="I2736" s="3">
        <v>-13.58</v>
      </c>
    </row>
    <row r="2737" spans="1:9" x14ac:dyDescent="0.3">
      <c r="A2737" s="4">
        <v>42767</v>
      </c>
      <c r="B2737" s="5" t="s">
        <v>1067</v>
      </c>
      <c r="C2737" s="5" t="s">
        <v>1</v>
      </c>
      <c r="D2737" s="5" t="s">
        <v>25</v>
      </c>
      <c r="E2737" s="5" t="s">
        <v>86</v>
      </c>
      <c r="F2737" s="5" t="s">
        <v>136</v>
      </c>
      <c r="G2737" s="5">
        <v>913.43</v>
      </c>
      <c r="H2737" s="5">
        <v>5</v>
      </c>
      <c r="I2737" s="6">
        <v>-169.64</v>
      </c>
    </row>
    <row r="2738" spans="1:9" x14ac:dyDescent="0.3">
      <c r="A2738" s="1">
        <v>42767</v>
      </c>
      <c r="B2738" s="2" t="s">
        <v>1067</v>
      </c>
      <c r="C2738" s="2" t="s">
        <v>1</v>
      </c>
      <c r="D2738" s="2" t="s">
        <v>2</v>
      </c>
      <c r="E2738" s="2" t="s">
        <v>9</v>
      </c>
      <c r="F2738" s="2" t="s">
        <v>1051</v>
      </c>
      <c r="G2738" s="2">
        <v>372.14</v>
      </c>
      <c r="H2738" s="2">
        <v>3</v>
      </c>
      <c r="I2738" s="3">
        <v>27.91</v>
      </c>
    </row>
    <row r="2739" spans="1:9" x14ac:dyDescent="0.3">
      <c r="A2739" s="4">
        <v>42767</v>
      </c>
      <c r="B2739" s="5" t="s">
        <v>1915</v>
      </c>
      <c r="C2739" s="5" t="s">
        <v>18</v>
      </c>
      <c r="D2739" s="5" t="s">
        <v>30</v>
      </c>
      <c r="E2739" s="5" t="s">
        <v>43</v>
      </c>
      <c r="F2739" s="5" t="s">
        <v>1977</v>
      </c>
      <c r="G2739" s="5">
        <v>16.59</v>
      </c>
      <c r="H2739" s="5">
        <v>1</v>
      </c>
      <c r="I2739" s="6">
        <v>5.81</v>
      </c>
    </row>
    <row r="2740" spans="1:9" x14ac:dyDescent="0.3">
      <c r="A2740" s="1">
        <v>42795</v>
      </c>
      <c r="B2740" s="2" t="s">
        <v>74</v>
      </c>
      <c r="C2740" s="2" t="s">
        <v>18</v>
      </c>
      <c r="D2740" s="2" t="s">
        <v>2</v>
      </c>
      <c r="E2740" s="2" t="s">
        <v>3</v>
      </c>
      <c r="F2740" s="2" t="s">
        <v>2092</v>
      </c>
      <c r="G2740" s="2">
        <v>38.880000000000003</v>
      </c>
      <c r="H2740" s="2">
        <v>6</v>
      </c>
      <c r="I2740" s="3">
        <v>18.66</v>
      </c>
    </row>
    <row r="2741" spans="1:9" x14ac:dyDescent="0.3">
      <c r="A2741" s="4">
        <v>42795</v>
      </c>
      <c r="B2741" s="5" t="s">
        <v>2093</v>
      </c>
      <c r="C2741" s="5" t="s">
        <v>18</v>
      </c>
      <c r="D2741" s="5" t="s">
        <v>2</v>
      </c>
      <c r="E2741" s="5" t="s">
        <v>11</v>
      </c>
      <c r="F2741" s="5" t="s">
        <v>2094</v>
      </c>
      <c r="G2741" s="5">
        <v>2022.27</v>
      </c>
      <c r="H2741" s="5">
        <v>8</v>
      </c>
      <c r="I2741" s="6">
        <v>682.52</v>
      </c>
    </row>
    <row r="2742" spans="1:9" x14ac:dyDescent="0.3">
      <c r="A2742" s="1">
        <v>42795</v>
      </c>
      <c r="B2742" s="2" t="s">
        <v>2093</v>
      </c>
      <c r="C2742" s="2" t="s">
        <v>18</v>
      </c>
      <c r="D2742" s="2" t="s">
        <v>2</v>
      </c>
      <c r="E2742" s="2" t="s">
        <v>15</v>
      </c>
      <c r="F2742" s="2" t="s">
        <v>1393</v>
      </c>
      <c r="G2742" s="2">
        <v>9.1199999999999992</v>
      </c>
      <c r="H2742" s="2">
        <v>3</v>
      </c>
      <c r="I2742" s="3">
        <v>3.1</v>
      </c>
    </row>
    <row r="2743" spans="1:9" x14ac:dyDescent="0.3">
      <c r="A2743" s="4">
        <v>42887</v>
      </c>
      <c r="B2743" s="5" t="s">
        <v>457</v>
      </c>
      <c r="C2743" s="5" t="s">
        <v>244</v>
      </c>
      <c r="D2743" s="5" t="s">
        <v>2</v>
      </c>
      <c r="E2743" s="5" t="s">
        <v>11</v>
      </c>
      <c r="F2743" s="5" t="s">
        <v>93</v>
      </c>
      <c r="G2743" s="5">
        <v>33.74</v>
      </c>
      <c r="H2743" s="5">
        <v>7</v>
      </c>
      <c r="I2743" s="6">
        <v>15.52</v>
      </c>
    </row>
    <row r="2744" spans="1:9" x14ac:dyDescent="0.3">
      <c r="A2744" s="1">
        <v>42917</v>
      </c>
      <c r="B2744" s="2" t="s">
        <v>1963</v>
      </c>
      <c r="C2744" s="2" t="s">
        <v>160</v>
      </c>
      <c r="D2744" s="2" t="s">
        <v>30</v>
      </c>
      <c r="E2744" s="2" t="s">
        <v>625</v>
      </c>
      <c r="F2744" s="2" t="s">
        <v>666</v>
      </c>
      <c r="G2744" s="2">
        <v>3059.98</v>
      </c>
      <c r="H2744" s="2">
        <v>2</v>
      </c>
      <c r="I2744" s="3">
        <v>680</v>
      </c>
    </row>
    <row r="2745" spans="1:9" x14ac:dyDescent="0.3">
      <c r="A2745" s="4">
        <v>42917</v>
      </c>
      <c r="B2745" s="5" t="s">
        <v>2095</v>
      </c>
      <c r="C2745" s="5" t="s">
        <v>58</v>
      </c>
      <c r="D2745" s="5" t="s">
        <v>2</v>
      </c>
      <c r="E2745" s="5" t="s">
        <v>11</v>
      </c>
      <c r="F2745" s="5" t="s">
        <v>183</v>
      </c>
      <c r="G2745" s="5">
        <v>2.81</v>
      </c>
      <c r="H2745" s="5">
        <v>3</v>
      </c>
      <c r="I2745" s="6">
        <v>-1.97</v>
      </c>
    </row>
    <row r="2746" spans="1:9" x14ac:dyDescent="0.3">
      <c r="A2746" s="1">
        <v>42917</v>
      </c>
      <c r="B2746" s="2" t="s">
        <v>2044</v>
      </c>
      <c r="C2746" s="2" t="s">
        <v>18</v>
      </c>
      <c r="D2746" s="2" t="s">
        <v>2</v>
      </c>
      <c r="E2746" s="2" t="s">
        <v>9</v>
      </c>
      <c r="F2746" s="2" t="s">
        <v>1452</v>
      </c>
      <c r="G2746" s="2">
        <v>153.78</v>
      </c>
      <c r="H2746" s="2">
        <v>11</v>
      </c>
      <c r="I2746" s="3">
        <v>44.6</v>
      </c>
    </row>
    <row r="2747" spans="1:9" x14ac:dyDescent="0.3">
      <c r="A2747" s="4">
        <v>42917</v>
      </c>
      <c r="B2747" s="5" t="s">
        <v>2044</v>
      </c>
      <c r="C2747" s="5" t="s">
        <v>18</v>
      </c>
      <c r="D2747" s="5" t="s">
        <v>2</v>
      </c>
      <c r="E2747" s="5" t="s">
        <v>9</v>
      </c>
      <c r="F2747" s="5" t="s">
        <v>2096</v>
      </c>
      <c r="G2747" s="5">
        <v>61.02</v>
      </c>
      <c r="H2747" s="5">
        <v>3</v>
      </c>
      <c r="I2747" s="6">
        <v>0.61</v>
      </c>
    </row>
    <row r="2748" spans="1:9" x14ac:dyDescent="0.3">
      <c r="A2748" s="1">
        <v>42917</v>
      </c>
      <c r="B2748" s="2" t="s">
        <v>2044</v>
      </c>
      <c r="C2748" s="2" t="s">
        <v>18</v>
      </c>
      <c r="D2748" s="2" t="s">
        <v>2</v>
      </c>
      <c r="E2748" s="2" t="s">
        <v>144</v>
      </c>
      <c r="F2748" s="2" t="s">
        <v>2097</v>
      </c>
      <c r="G2748" s="2">
        <v>110.11</v>
      </c>
      <c r="H2748" s="2">
        <v>7</v>
      </c>
      <c r="I2748" s="3">
        <v>31.93</v>
      </c>
    </row>
    <row r="2749" spans="1:9" x14ac:dyDescent="0.3">
      <c r="A2749" s="4">
        <v>42917</v>
      </c>
      <c r="B2749" s="5" t="s">
        <v>2044</v>
      </c>
      <c r="C2749" s="5" t="s">
        <v>18</v>
      </c>
      <c r="D2749" s="5" t="s">
        <v>2</v>
      </c>
      <c r="E2749" s="5" t="s">
        <v>34</v>
      </c>
      <c r="F2749" s="5" t="s">
        <v>56</v>
      </c>
      <c r="G2749" s="5">
        <v>7.89</v>
      </c>
      <c r="H2749" s="5">
        <v>1</v>
      </c>
      <c r="I2749" s="6">
        <v>3.55</v>
      </c>
    </row>
    <row r="2750" spans="1:9" x14ac:dyDescent="0.3">
      <c r="A2750" s="1">
        <v>42948</v>
      </c>
      <c r="B2750" s="2" t="s">
        <v>549</v>
      </c>
      <c r="C2750" s="2" t="s">
        <v>62</v>
      </c>
      <c r="D2750" s="2" t="s">
        <v>25</v>
      </c>
      <c r="E2750" s="2" t="s">
        <v>86</v>
      </c>
      <c r="F2750" s="2" t="s">
        <v>2029</v>
      </c>
      <c r="G2750" s="2">
        <v>892.98</v>
      </c>
      <c r="H2750" s="2">
        <v>2</v>
      </c>
      <c r="I2750" s="3">
        <v>80.37</v>
      </c>
    </row>
    <row r="2751" spans="1:9" x14ac:dyDescent="0.3">
      <c r="A2751" s="4">
        <v>42979</v>
      </c>
      <c r="B2751" s="5" t="s">
        <v>744</v>
      </c>
      <c r="C2751" s="5" t="s">
        <v>14</v>
      </c>
      <c r="D2751" s="5" t="s">
        <v>2</v>
      </c>
      <c r="E2751" s="5" t="s">
        <v>11</v>
      </c>
      <c r="F2751" s="5" t="s">
        <v>28</v>
      </c>
      <c r="G2751" s="5">
        <v>274.49</v>
      </c>
      <c r="H2751" s="5">
        <v>3</v>
      </c>
      <c r="I2751" s="6">
        <v>-228.74</v>
      </c>
    </row>
    <row r="2752" spans="1:9" x14ac:dyDescent="0.3">
      <c r="A2752" s="1">
        <v>43070</v>
      </c>
      <c r="B2752" s="2" t="s">
        <v>712</v>
      </c>
      <c r="C2752" s="2" t="s">
        <v>2057</v>
      </c>
      <c r="D2752" s="2" t="s">
        <v>2</v>
      </c>
      <c r="E2752" s="2" t="s">
        <v>3</v>
      </c>
      <c r="F2752" s="2" t="s">
        <v>510</v>
      </c>
      <c r="G2752" s="2">
        <v>40.08</v>
      </c>
      <c r="H2752" s="2">
        <v>6</v>
      </c>
      <c r="I2752" s="3">
        <v>19.239999999999998</v>
      </c>
    </row>
    <row r="2753" spans="1:9" x14ac:dyDescent="0.3">
      <c r="A2753" s="4">
        <v>43070</v>
      </c>
      <c r="B2753" s="5" t="s">
        <v>712</v>
      </c>
      <c r="C2753" s="5" t="s">
        <v>2057</v>
      </c>
      <c r="D2753" s="5" t="s">
        <v>25</v>
      </c>
      <c r="E2753" s="5" t="s">
        <v>38</v>
      </c>
      <c r="F2753" s="5" t="s">
        <v>1846</v>
      </c>
      <c r="G2753" s="5">
        <v>37.68</v>
      </c>
      <c r="H2753" s="5">
        <v>2</v>
      </c>
      <c r="I2753" s="6">
        <v>15.83</v>
      </c>
    </row>
    <row r="2754" spans="1:9" x14ac:dyDescent="0.3">
      <c r="A2754" s="1">
        <v>43070</v>
      </c>
      <c r="B2754" s="2" t="s">
        <v>2098</v>
      </c>
      <c r="C2754" s="2" t="s">
        <v>18</v>
      </c>
      <c r="D2754" s="2" t="s">
        <v>2</v>
      </c>
      <c r="E2754" s="2" t="s">
        <v>114</v>
      </c>
      <c r="F2754" s="2" t="s">
        <v>115</v>
      </c>
      <c r="G2754" s="2">
        <v>9.7799999999999994</v>
      </c>
      <c r="H2754" s="2">
        <v>1</v>
      </c>
      <c r="I2754" s="3">
        <v>4.8899999999999997</v>
      </c>
    </row>
    <row r="2755" spans="1:9" x14ac:dyDescent="0.3">
      <c r="A2755" s="4">
        <v>43070</v>
      </c>
      <c r="B2755" s="5" t="s">
        <v>1166</v>
      </c>
      <c r="C2755" s="5" t="s">
        <v>1</v>
      </c>
      <c r="D2755" s="5" t="s">
        <v>2</v>
      </c>
      <c r="E2755" s="5" t="s">
        <v>11</v>
      </c>
      <c r="F2755" s="5" t="s">
        <v>1327</v>
      </c>
      <c r="G2755" s="5">
        <v>760.98</v>
      </c>
      <c r="H2755" s="5">
        <v>5</v>
      </c>
      <c r="I2755" s="6">
        <v>-1141.47</v>
      </c>
    </row>
    <row r="2756" spans="1:9" x14ac:dyDescent="0.3">
      <c r="A2756" s="1">
        <v>42768</v>
      </c>
      <c r="B2756" s="2" t="s">
        <v>1872</v>
      </c>
      <c r="C2756" s="2" t="s">
        <v>127</v>
      </c>
      <c r="D2756" s="2" t="s">
        <v>30</v>
      </c>
      <c r="E2756" s="2" t="s">
        <v>31</v>
      </c>
      <c r="F2756" s="2" t="s">
        <v>1887</v>
      </c>
      <c r="G2756" s="2">
        <v>59.97</v>
      </c>
      <c r="H2756" s="2">
        <v>5</v>
      </c>
      <c r="I2756" s="3">
        <v>-11.99</v>
      </c>
    </row>
    <row r="2757" spans="1:9" x14ac:dyDescent="0.3">
      <c r="A2757" s="4">
        <v>42768</v>
      </c>
      <c r="B2757" s="5" t="s">
        <v>1872</v>
      </c>
      <c r="C2757" s="5" t="s">
        <v>127</v>
      </c>
      <c r="D2757" s="5" t="s">
        <v>2</v>
      </c>
      <c r="E2757" s="5" t="s">
        <v>3</v>
      </c>
      <c r="F2757" s="5" t="s">
        <v>514</v>
      </c>
      <c r="G2757" s="5">
        <v>78.3</v>
      </c>
      <c r="H2757" s="5">
        <v>2</v>
      </c>
      <c r="I2757" s="6">
        <v>29.36</v>
      </c>
    </row>
    <row r="2758" spans="1:9" x14ac:dyDescent="0.3">
      <c r="A2758" s="1">
        <v>42768</v>
      </c>
      <c r="B2758" s="2" t="s">
        <v>1872</v>
      </c>
      <c r="C2758" s="2" t="s">
        <v>127</v>
      </c>
      <c r="D2758" s="2" t="s">
        <v>2</v>
      </c>
      <c r="E2758" s="2" t="s">
        <v>34</v>
      </c>
      <c r="F2758" s="2" t="s">
        <v>56</v>
      </c>
      <c r="G2758" s="2">
        <v>21.46</v>
      </c>
      <c r="H2758" s="2">
        <v>9</v>
      </c>
      <c r="I2758" s="3">
        <v>6.97</v>
      </c>
    </row>
    <row r="2759" spans="1:9" x14ac:dyDescent="0.3">
      <c r="A2759" s="4">
        <v>42768</v>
      </c>
      <c r="B2759" s="5" t="s">
        <v>467</v>
      </c>
      <c r="C2759" s="5" t="s">
        <v>18</v>
      </c>
      <c r="D2759" s="5" t="s">
        <v>25</v>
      </c>
      <c r="E2759" s="5" t="s">
        <v>38</v>
      </c>
      <c r="F2759" s="5" t="s">
        <v>469</v>
      </c>
      <c r="G2759" s="5">
        <v>86.26</v>
      </c>
      <c r="H2759" s="5">
        <v>2</v>
      </c>
      <c r="I2759" s="6">
        <v>29.33</v>
      </c>
    </row>
    <row r="2760" spans="1:9" x14ac:dyDescent="0.3">
      <c r="A2760" s="1">
        <v>42768</v>
      </c>
      <c r="B2760" s="2" t="s">
        <v>467</v>
      </c>
      <c r="C2760" s="2" t="s">
        <v>18</v>
      </c>
      <c r="D2760" s="2" t="s">
        <v>2</v>
      </c>
      <c r="E2760" s="2" t="s">
        <v>9</v>
      </c>
      <c r="F2760" s="2" t="s">
        <v>811</v>
      </c>
      <c r="G2760" s="2">
        <v>139.04</v>
      </c>
      <c r="H2760" s="2">
        <v>4</v>
      </c>
      <c r="I2760" s="3">
        <v>38.93</v>
      </c>
    </row>
    <row r="2761" spans="1:9" x14ac:dyDescent="0.3">
      <c r="A2761" s="4">
        <v>42768</v>
      </c>
      <c r="B2761" s="5" t="s">
        <v>467</v>
      </c>
      <c r="C2761" s="5" t="s">
        <v>18</v>
      </c>
      <c r="D2761" s="5" t="s">
        <v>2</v>
      </c>
      <c r="E2761" s="5" t="s">
        <v>133</v>
      </c>
      <c r="F2761" s="5" t="s">
        <v>2076</v>
      </c>
      <c r="G2761" s="5">
        <v>46.8</v>
      </c>
      <c r="H2761" s="5">
        <v>4</v>
      </c>
      <c r="I2761" s="6">
        <v>16.38</v>
      </c>
    </row>
    <row r="2762" spans="1:9" x14ac:dyDescent="0.3">
      <c r="A2762" s="1">
        <v>42768</v>
      </c>
      <c r="B2762" s="2" t="s">
        <v>1630</v>
      </c>
      <c r="C2762" s="2" t="s">
        <v>18</v>
      </c>
      <c r="D2762" s="2" t="s">
        <v>25</v>
      </c>
      <c r="E2762" s="2" t="s">
        <v>38</v>
      </c>
      <c r="F2762" s="2" t="s">
        <v>1252</v>
      </c>
      <c r="G2762" s="2">
        <v>210.58</v>
      </c>
      <c r="H2762" s="2">
        <v>2</v>
      </c>
      <c r="I2762" s="3">
        <v>12.63</v>
      </c>
    </row>
    <row r="2763" spans="1:9" x14ac:dyDescent="0.3">
      <c r="A2763" s="4">
        <v>42768</v>
      </c>
      <c r="B2763" s="5" t="s">
        <v>1630</v>
      </c>
      <c r="C2763" s="5" t="s">
        <v>18</v>
      </c>
      <c r="D2763" s="5" t="s">
        <v>2</v>
      </c>
      <c r="E2763" s="5" t="s">
        <v>11</v>
      </c>
      <c r="F2763" s="5" t="s">
        <v>2099</v>
      </c>
      <c r="G2763" s="5">
        <v>30.96</v>
      </c>
      <c r="H2763" s="5">
        <v>2</v>
      </c>
      <c r="I2763" s="6">
        <v>10.06</v>
      </c>
    </row>
    <row r="2764" spans="1:9" x14ac:dyDescent="0.3">
      <c r="A2764" s="1">
        <v>42768</v>
      </c>
      <c r="B2764" s="2" t="s">
        <v>1630</v>
      </c>
      <c r="C2764" s="2" t="s">
        <v>18</v>
      </c>
      <c r="D2764" s="2" t="s">
        <v>30</v>
      </c>
      <c r="E2764" s="2" t="s">
        <v>625</v>
      </c>
      <c r="F2764" s="2" t="s">
        <v>2100</v>
      </c>
      <c r="G2764" s="2">
        <v>239.98</v>
      </c>
      <c r="H2764" s="2">
        <v>2</v>
      </c>
      <c r="I2764" s="3">
        <v>39</v>
      </c>
    </row>
    <row r="2765" spans="1:9" x14ac:dyDescent="0.3">
      <c r="A2765" s="4">
        <v>42796</v>
      </c>
      <c r="B2765" s="5" t="s">
        <v>957</v>
      </c>
      <c r="C2765" s="5" t="s">
        <v>127</v>
      </c>
      <c r="D2765" s="5" t="s">
        <v>2</v>
      </c>
      <c r="E2765" s="5" t="s">
        <v>11</v>
      </c>
      <c r="F2765" s="5" t="s">
        <v>1982</v>
      </c>
      <c r="G2765" s="5">
        <v>5.23</v>
      </c>
      <c r="H2765" s="5">
        <v>3</v>
      </c>
      <c r="I2765" s="6">
        <v>-4.18</v>
      </c>
    </row>
    <row r="2766" spans="1:9" x14ac:dyDescent="0.3">
      <c r="A2766" s="1">
        <v>42796</v>
      </c>
      <c r="B2766" s="2" t="s">
        <v>957</v>
      </c>
      <c r="C2766" s="2" t="s">
        <v>127</v>
      </c>
      <c r="D2766" s="2" t="s">
        <v>2</v>
      </c>
      <c r="E2766" s="2" t="s">
        <v>9</v>
      </c>
      <c r="F2766" s="2" t="s">
        <v>380</v>
      </c>
      <c r="G2766" s="2">
        <v>285.55</v>
      </c>
      <c r="H2766" s="2">
        <v>2</v>
      </c>
      <c r="I2766" s="3">
        <v>35.69</v>
      </c>
    </row>
    <row r="2767" spans="1:9" x14ac:dyDescent="0.3">
      <c r="A2767" s="4">
        <v>42796</v>
      </c>
      <c r="B2767" s="5" t="s">
        <v>105</v>
      </c>
      <c r="C2767" s="5" t="s">
        <v>58</v>
      </c>
      <c r="D2767" s="5" t="s">
        <v>2</v>
      </c>
      <c r="E2767" s="5" t="s">
        <v>11</v>
      </c>
      <c r="F2767" s="5" t="s">
        <v>1944</v>
      </c>
      <c r="G2767" s="5">
        <v>3.88</v>
      </c>
      <c r="H2767" s="5">
        <v>2</v>
      </c>
      <c r="I2767" s="6">
        <v>-2.59</v>
      </c>
    </row>
    <row r="2768" spans="1:9" x14ac:dyDescent="0.3">
      <c r="A2768" s="1">
        <v>42796</v>
      </c>
      <c r="B2768" s="2" t="s">
        <v>105</v>
      </c>
      <c r="C2768" s="2" t="s">
        <v>58</v>
      </c>
      <c r="D2768" s="2" t="s">
        <v>2</v>
      </c>
      <c r="E2768" s="2" t="s">
        <v>3</v>
      </c>
      <c r="F2768" s="2" t="s">
        <v>1908</v>
      </c>
      <c r="G2768" s="2">
        <v>115.3</v>
      </c>
      <c r="H2768" s="2">
        <v>3</v>
      </c>
      <c r="I2768" s="3">
        <v>40.35</v>
      </c>
    </row>
    <row r="2769" spans="1:9" x14ac:dyDescent="0.3">
      <c r="A2769" s="4">
        <v>42796</v>
      </c>
      <c r="B2769" s="5" t="s">
        <v>1809</v>
      </c>
      <c r="C2769" s="5" t="s">
        <v>6</v>
      </c>
      <c r="D2769" s="5" t="s">
        <v>2</v>
      </c>
      <c r="E2769" s="5" t="s">
        <v>3</v>
      </c>
      <c r="F2769" s="5" t="s">
        <v>1644</v>
      </c>
      <c r="G2769" s="5">
        <v>5.18</v>
      </c>
      <c r="H2769" s="5">
        <v>1</v>
      </c>
      <c r="I2769" s="6">
        <v>1.81</v>
      </c>
    </row>
    <row r="2770" spans="1:9" x14ac:dyDescent="0.3">
      <c r="A2770" s="1">
        <v>42796</v>
      </c>
      <c r="B2770" s="2" t="s">
        <v>1809</v>
      </c>
      <c r="C2770" s="2" t="s">
        <v>6</v>
      </c>
      <c r="D2770" s="2" t="s">
        <v>2</v>
      </c>
      <c r="E2770" s="2" t="s">
        <v>3</v>
      </c>
      <c r="F2770" s="2" t="s">
        <v>911</v>
      </c>
      <c r="G2770" s="2">
        <v>65.58</v>
      </c>
      <c r="H2770" s="2">
        <v>2</v>
      </c>
      <c r="I2770" s="3">
        <v>23.77</v>
      </c>
    </row>
    <row r="2771" spans="1:9" x14ac:dyDescent="0.3">
      <c r="A2771" s="4">
        <v>42796</v>
      </c>
      <c r="B2771" s="5" t="s">
        <v>1809</v>
      </c>
      <c r="C2771" s="5" t="s">
        <v>6</v>
      </c>
      <c r="D2771" s="5" t="s">
        <v>25</v>
      </c>
      <c r="E2771" s="5" t="s">
        <v>38</v>
      </c>
      <c r="F2771" s="5" t="s">
        <v>1622</v>
      </c>
      <c r="G2771" s="5">
        <v>22.2</v>
      </c>
      <c r="H2771" s="5">
        <v>1</v>
      </c>
      <c r="I2771" s="6">
        <v>-26.09</v>
      </c>
    </row>
    <row r="2772" spans="1:9" x14ac:dyDescent="0.3">
      <c r="A2772" s="1">
        <v>42796</v>
      </c>
      <c r="B2772" s="2" t="s">
        <v>1809</v>
      </c>
      <c r="C2772" s="2" t="s">
        <v>6</v>
      </c>
      <c r="D2772" s="2" t="s">
        <v>2</v>
      </c>
      <c r="E2772" s="2" t="s">
        <v>3</v>
      </c>
      <c r="F2772" s="2" t="s">
        <v>2101</v>
      </c>
      <c r="G2772" s="2">
        <v>419.4</v>
      </c>
      <c r="H2772" s="2">
        <v>5</v>
      </c>
      <c r="I2772" s="3">
        <v>146.79</v>
      </c>
    </row>
    <row r="2773" spans="1:9" x14ac:dyDescent="0.3">
      <c r="A2773" s="4">
        <v>42827</v>
      </c>
      <c r="B2773" s="5" t="s">
        <v>1832</v>
      </c>
      <c r="C2773" s="5" t="s">
        <v>80</v>
      </c>
      <c r="D2773" s="5" t="s">
        <v>2</v>
      </c>
      <c r="E2773" s="5" t="s">
        <v>133</v>
      </c>
      <c r="F2773" s="5" t="s">
        <v>288</v>
      </c>
      <c r="G2773" s="5">
        <v>32.67</v>
      </c>
      <c r="H2773" s="5">
        <v>3</v>
      </c>
      <c r="I2773" s="6">
        <v>8.49</v>
      </c>
    </row>
    <row r="2774" spans="1:9" x14ac:dyDescent="0.3">
      <c r="A2774" s="1">
        <v>42857</v>
      </c>
      <c r="B2774" s="2" t="s">
        <v>2102</v>
      </c>
      <c r="C2774" s="2" t="s">
        <v>1</v>
      </c>
      <c r="D2774" s="2" t="s">
        <v>2</v>
      </c>
      <c r="E2774" s="2" t="s">
        <v>11</v>
      </c>
      <c r="F2774" s="2" t="s">
        <v>28</v>
      </c>
      <c r="G2774" s="2">
        <v>243.99</v>
      </c>
      <c r="H2774" s="2">
        <v>4</v>
      </c>
      <c r="I2774" s="3">
        <v>-426.99</v>
      </c>
    </row>
    <row r="2775" spans="1:9" x14ac:dyDescent="0.3">
      <c r="A2775" s="4">
        <v>42857</v>
      </c>
      <c r="B2775" s="5" t="s">
        <v>2102</v>
      </c>
      <c r="C2775" s="5" t="s">
        <v>1</v>
      </c>
      <c r="D2775" s="5" t="s">
        <v>2</v>
      </c>
      <c r="E2775" s="5" t="s">
        <v>15</v>
      </c>
      <c r="F2775" s="5" t="s">
        <v>1599</v>
      </c>
      <c r="G2775" s="5">
        <v>7.12</v>
      </c>
      <c r="H2775" s="5">
        <v>5</v>
      </c>
      <c r="I2775" s="6">
        <v>0.71</v>
      </c>
    </row>
    <row r="2776" spans="1:9" x14ac:dyDescent="0.3">
      <c r="A2776" s="1">
        <v>42857</v>
      </c>
      <c r="B2776" s="2" t="s">
        <v>783</v>
      </c>
      <c r="C2776" s="2" t="s">
        <v>18</v>
      </c>
      <c r="D2776" s="2" t="s">
        <v>2</v>
      </c>
      <c r="E2776" s="2" t="s">
        <v>133</v>
      </c>
      <c r="F2776" s="2" t="s">
        <v>2103</v>
      </c>
      <c r="G2776" s="2">
        <v>1640.7</v>
      </c>
      <c r="H2776" s="2">
        <v>5</v>
      </c>
      <c r="I2776" s="3">
        <v>459.4</v>
      </c>
    </row>
    <row r="2777" spans="1:9" x14ac:dyDescent="0.3">
      <c r="A2777" s="4">
        <v>42857</v>
      </c>
      <c r="B2777" s="5" t="s">
        <v>783</v>
      </c>
      <c r="C2777" s="5" t="s">
        <v>18</v>
      </c>
      <c r="D2777" s="5" t="s">
        <v>30</v>
      </c>
      <c r="E2777" s="5" t="s">
        <v>31</v>
      </c>
      <c r="F2777" s="5" t="s">
        <v>912</v>
      </c>
      <c r="G2777" s="5">
        <v>371.2</v>
      </c>
      <c r="H2777" s="5">
        <v>5</v>
      </c>
      <c r="I2777" s="6">
        <v>41.76</v>
      </c>
    </row>
    <row r="2778" spans="1:9" x14ac:dyDescent="0.3">
      <c r="A2778" s="1">
        <v>42888</v>
      </c>
      <c r="B2778" s="2" t="s">
        <v>1910</v>
      </c>
      <c r="C2778" s="2" t="s">
        <v>46</v>
      </c>
      <c r="D2778" s="2" t="s">
        <v>25</v>
      </c>
      <c r="E2778" s="2" t="s">
        <v>129</v>
      </c>
      <c r="F2778" s="2" t="s">
        <v>1650</v>
      </c>
      <c r="G2778" s="2">
        <v>359.97</v>
      </c>
      <c r="H2778" s="2">
        <v>3</v>
      </c>
      <c r="I2778" s="3">
        <v>79.19</v>
      </c>
    </row>
    <row r="2779" spans="1:9" x14ac:dyDescent="0.3">
      <c r="A2779" s="4">
        <v>42888</v>
      </c>
      <c r="B2779" s="5" t="s">
        <v>1693</v>
      </c>
      <c r="C2779" s="5" t="s">
        <v>80</v>
      </c>
      <c r="D2779" s="5" t="s">
        <v>25</v>
      </c>
      <c r="E2779" s="5" t="s">
        <v>129</v>
      </c>
      <c r="F2779" s="5" t="s">
        <v>1086</v>
      </c>
      <c r="G2779" s="5">
        <v>240.78</v>
      </c>
      <c r="H2779" s="5">
        <v>1</v>
      </c>
      <c r="I2779" s="6">
        <v>30.1</v>
      </c>
    </row>
    <row r="2780" spans="1:9" x14ac:dyDescent="0.3">
      <c r="A2780" s="1">
        <v>42888</v>
      </c>
      <c r="B2780" s="2" t="s">
        <v>1967</v>
      </c>
      <c r="C2780" s="2" t="s">
        <v>80</v>
      </c>
      <c r="D2780" s="2" t="s">
        <v>30</v>
      </c>
      <c r="E2780" s="2" t="s">
        <v>31</v>
      </c>
      <c r="F2780" s="2" t="s">
        <v>1678</v>
      </c>
      <c r="G2780" s="2">
        <v>227.46</v>
      </c>
      <c r="H2780" s="2">
        <v>6</v>
      </c>
      <c r="I2780" s="3">
        <v>65.959999999999994</v>
      </c>
    </row>
    <row r="2781" spans="1:9" x14ac:dyDescent="0.3">
      <c r="A2781" s="4">
        <v>42888</v>
      </c>
      <c r="B2781" s="5" t="s">
        <v>1967</v>
      </c>
      <c r="C2781" s="5" t="s">
        <v>80</v>
      </c>
      <c r="D2781" s="5" t="s">
        <v>2</v>
      </c>
      <c r="E2781" s="5" t="s">
        <v>11</v>
      </c>
      <c r="F2781" s="5" t="s">
        <v>2104</v>
      </c>
      <c r="G2781" s="5">
        <v>46.24</v>
      </c>
      <c r="H2781" s="5">
        <v>4</v>
      </c>
      <c r="I2781" s="6">
        <v>15.61</v>
      </c>
    </row>
    <row r="2782" spans="1:9" x14ac:dyDescent="0.3">
      <c r="A2782" s="1">
        <v>42888</v>
      </c>
      <c r="B2782" s="2" t="s">
        <v>1404</v>
      </c>
      <c r="C2782" s="2" t="s">
        <v>18</v>
      </c>
      <c r="D2782" s="2" t="s">
        <v>2</v>
      </c>
      <c r="E2782" s="2" t="s">
        <v>3</v>
      </c>
      <c r="F2782" s="2" t="s">
        <v>189</v>
      </c>
      <c r="G2782" s="2">
        <v>29.9</v>
      </c>
      <c r="H2782" s="2">
        <v>5</v>
      </c>
      <c r="I2782" s="3">
        <v>13.46</v>
      </c>
    </row>
    <row r="2783" spans="1:9" x14ac:dyDescent="0.3">
      <c r="A2783" s="4">
        <v>42980</v>
      </c>
      <c r="B2783" s="5" t="s">
        <v>2105</v>
      </c>
      <c r="C2783" s="5" t="s">
        <v>1</v>
      </c>
      <c r="D2783" s="5" t="s">
        <v>2</v>
      </c>
      <c r="E2783" s="5" t="s">
        <v>11</v>
      </c>
      <c r="F2783" s="5" t="s">
        <v>2094</v>
      </c>
      <c r="G2783" s="5">
        <v>252.78</v>
      </c>
      <c r="H2783" s="5">
        <v>4</v>
      </c>
      <c r="I2783" s="6">
        <v>-417.09</v>
      </c>
    </row>
    <row r="2784" spans="1:9" x14ac:dyDescent="0.3">
      <c r="A2784" s="1">
        <v>42980</v>
      </c>
      <c r="B2784" s="2" t="s">
        <v>2105</v>
      </c>
      <c r="C2784" s="2" t="s">
        <v>1</v>
      </c>
      <c r="D2784" s="2" t="s">
        <v>30</v>
      </c>
      <c r="E2784" s="2" t="s">
        <v>43</v>
      </c>
      <c r="F2784" s="2" t="s">
        <v>1144</v>
      </c>
      <c r="G2784" s="2">
        <v>127.98</v>
      </c>
      <c r="H2784" s="2">
        <v>2</v>
      </c>
      <c r="I2784" s="3">
        <v>16</v>
      </c>
    </row>
    <row r="2785" spans="1:9" x14ac:dyDescent="0.3">
      <c r="A2785" s="4">
        <v>42980</v>
      </c>
      <c r="B2785" s="5" t="s">
        <v>2105</v>
      </c>
      <c r="C2785" s="5" t="s">
        <v>1</v>
      </c>
      <c r="D2785" s="5" t="s">
        <v>25</v>
      </c>
      <c r="E2785" s="5" t="s">
        <v>38</v>
      </c>
      <c r="F2785" s="5" t="s">
        <v>2106</v>
      </c>
      <c r="G2785" s="5">
        <v>3.98</v>
      </c>
      <c r="H2785" s="5">
        <v>2</v>
      </c>
      <c r="I2785" s="6">
        <v>-2.69</v>
      </c>
    </row>
    <row r="2786" spans="1:9" x14ac:dyDescent="0.3">
      <c r="A2786" s="1">
        <v>42980</v>
      </c>
      <c r="B2786" s="2" t="s">
        <v>2105</v>
      </c>
      <c r="C2786" s="2" t="s">
        <v>1</v>
      </c>
      <c r="D2786" s="2" t="s">
        <v>2</v>
      </c>
      <c r="E2786" s="2" t="s">
        <v>133</v>
      </c>
      <c r="F2786" s="2" t="s">
        <v>2020</v>
      </c>
      <c r="G2786" s="2">
        <v>12.99</v>
      </c>
      <c r="H2786" s="2">
        <v>2</v>
      </c>
      <c r="I2786" s="3">
        <v>-32.479999999999997</v>
      </c>
    </row>
    <row r="2787" spans="1:9" x14ac:dyDescent="0.3">
      <c r="A2787" s="4">
        <v>42980</v>
      </c>
      <c r="B2787" s="5" t="s">
        <v>537</v>
      </c>
      <c r="C2787" s="5" t="s">
        <v>18</v>
      </c>
      <c r="D2787" s="5" t="s">
        <v>25</v>
      </c>
      <c r="E2787" s="5" t="s">
        <v>38</v>
      </c>
      <c r="F2787" s="5" t="s">
        <v>815</v>
      </c>
      <c r="G2787" s="5">
        <v>21.12</v>
      </c>
      <c r="H2787" s="5">
        <v>4</v>
      </c>
      <c r="I2787" s="6">
        <v>6.55</v>
      </c>
    </row>
    <row r="2788" spans="1:9" x14ac:dyDescent="0.3">
      <c r="A2788" s="1">
        <v>42980</v>
      </c>
      <c r="B2788" s="2" t="s">
        <v>400</v>
      </c>
      <c r="C2788" s="2" t="s">
        <v>18</v>
      </c>
      <c r="D2788" s="2" t="s">
        <v>2</v>
      </c>
      <c r="E2788" s="2" t="s">
        <v>9</v>
      </c>
      <c r="F2788" s="2" t="s">
        <v>139</v>
      </c>
      <c r="G2788" s="2">
        <v>354.9</v>
      </c>
      <c r="H2788" s="2">
        <v>5</v>
      </c>
      <c r="I2788" s="3">
        <v>17.75</v>
      </c>
    </row>
    <row r="2789" spans="1:9" x14ac:dyDescent="0.3">
      <c r="A2789" s="4">
        <v>43010</v>
      </c>
      <c r="B2789" s="5" t="s">
        <v>1585</v>
      </c>
      <c r="C2789" s="5" t="s">
        <v>18</v>
      </c>
      <c r="D2789" s="5" t="s">
        <v>25</v>
      </c>
      <c r="E2789" s="5" t="s">
        <v>129</v>
      </c>
      <c r="F2789" s="5" t="s">
        <v>1650</v>
      </c>
      <c r="G2789" s="5">
        <v>203.98</v>
      </c>
      <c r="H2789" s="5">
        <v>2</v>
      </c>
      <c r="I2789" s="6">
        <v>16.8</v>
      </c>
    </row>
    <row r="2790" spans="1:9" x14ac:dyDescent="0.3">
      <c r="A2790" s="1">
        <v>43010</v>
      </c>
      <c r="B2790" s="2" t="s">
        <v>489</v>
      </c>
      <c r="C2790" s="2" t="s">
        <v>958</v>
      </c>
      <c r="D2790" s="2" t="s">
        <v>2</v>
      </c>
      <c r="E2790" s="2" t="s">
        <v>3</v>
      </c>
      <c r="F2790" s="2" t="s">
        <v>1412</v>
      </c>
      <c r="G2790" s="2">
        <v>23.12</v>
      </c>
      <c r="H2790" s="2">
        <v>4</v>
      </c>
      <c r="I2790" s="3">
        <v>11.33</v>
      </c>
    </row>
    <row r="2791" spans="1:9" x14ac:dyDescent="0.3">
      <c r="A2791" s="4">
        <v>43041</v>
      </c>
      <c r="B2791" s="5" t="s">
        <v>352</v>
      </c>
      <c r="C2791" s="5" t="s">
        <v>18</v>
      </c>
      <c r="D2791" s="5" t="s">
        <v>2</v>
      </c>
      <c r="E2791" s="5" t="s">
        <v>11</v>
      </c>
      <c r="F2791" s="5" t="s">
        <v>2107</v>
      </c>
      <c r="G2791" s="5">
        <v>21.34</v>
      </c>
      <c r="H2791" s="5">
        <v>7</v>
      </c>
      <c r="I2791" s="6">
        <v>7.73</v>
      </c>
    </row>
    <row r="2792" spans="1:9" x14ac:dyDescent="0.3">
      <c r="A2792" s="1">
        <v>43041</v>
      </c>
      <c r="B2792" s="2" t="s">
        <v>1127</v>
      </c>
      <c r="C2792" s="2" t="s">
        <v>62</v>
      </c>
      <c r="D2792" s="2" t="s">
        <v>25</v>
      </c>
      <c r="E2792" s="2" t="s">
        <v>26</v>
      </c>
      <c r="F2792" s="2" t="s">
        <v>158</v>
      </c>
      <c r="G2792" s="2">
        <v>963.14</v>
      </c>
      <c r="H2792" s="2">
        <v>4</v>
      </c>
      <c r="I2792" s="3">
        <v>108.35</v>
      </c>
    </row>
    <row r="2793" spans="1:9" x14ac:dyDescent="0.3">
      <c r="A2793" s="4">
        <v>43041</v>
      </c>
      <c r="B2793" s="5" t="s">
        <v>1127</v>
      </c>
      <c r="C2793" s="5" t="s">
        <v>62</v>
      </c>
      <c r="D2793" s="5" t="s">
        <v>30</v>
      </c>
      <c r="E2793" s="5" t="s">
        <v>31</v>
      </c>
      <c r="F2793" s="5" t="s">
        <v>445</v>
      </c>
      <c r="G2793" s="5">
        <v>88.78</v>
      </c>
      <c r="H2793" s="5">
        <v>3</v>
      </c>
      <c r="I2793" s="6">
        <v>7.77</v>
      </c>
    </row>
    <row r="2794" spans="1:9" x14ac:dyDescent="0.3">
      <c r="A2794" s="1">
        <v>43041</v>
      </c>
      <c r="B2794" s="2" t="s">
        <v>2108</v>
      </c>
      <c r="C2794" s="2" t="s">
        <v>80</v>
      </c>
      <c r="D2794" s="2" t="s">
        <v>2</v>
      </c>
      <c r="E2794" s="2" t="s">
        <v>7</v>
      </c>
      <c r="F2794" s="2" t="s">
        <v>1709</v>
      </c>
      <c r="G2794" s="2">
        <v>20.7</v>
      </c>
      <c r="H2794" s="2">
        <v>2</v>
      </c>
      <c r="I2794" s="3">
        <v>9.94</v>
      </c>
    </row>
    <row r="2795" spans="1:9" x14ac:dyDescent="0.3">
      <c r="A2795" s="4">
        <v>43041</v>
      </c>
      <c r="B2795" s="5" t="s">
        <v>2109</v>
      </c>
      <c r="C2795" s="5" t="s">
        <v>127</v>
      </c>
      <c r="D2795" s="5" t="s">
        <v>25</v>
      </c>
      <c r="E2795" s="5" t="s">
        <v>38</v>
      </c>
      <c r="F2795" s="5" t="s">
        <v>1647</v>
      </c>
      <c r="G2795" s="5">
        <v>147.57</v>
      </c>
      <c r="H2795" s="5">
        <v>2</v>
      </c>
      <c r="I2795" s="6">
        <v>-3.69</v>
      </c>
    </row>
    <row r="2796" spans="1:9" x14ac:dyDescent="0.3">
      <c r="A2796" s="1">
        <v>42769</v>
      </c>
      <c r="B2796" s="2" t="s">
        <v>1821</v>
      </c>
      <c r="C2796" s="2" t="s">
        <v>1</v>
      </c>
      <c r="D2796" s="2" t="s">
        <v>2</v>
      </c>
      <c r="E2796" s="2" t="s">
        <v>144</v>
      </c>
      <c r="F2796" s="2" t="s">
        <v>429</v>
      </c>
      <c r="G2796" s="2">
        <v>6.98</v>
      </c>
      <c r="H2796" s="2">
        <v>4</v>
      </c>
      <c r="I2796" s="3">
        <v>-1.4</v>
      </c>
    </row>
    <row r="2797" spans="1:9" x14ac:dyDescent="0.3">
      <c r="A2797" s="4">
        <v>42769</v>
      </c>
      <c r="B2797" s="5" t="s">
        <v>1821</v>
      </c>
      <c r="C2797" s="5" t="s">
        <v>1</v>
      </c>
      <c r="D2797" s="5" t="s">
        <v>2</v>
      </c>
      <c r="E2797" s="5" t="s">
        <v>11</v>
      </c>
      <c r="F2797" s="5" t="s">
        <v>88</v>
      </c>
      <c r="G2797" s="5">
        <v>12.22</v>
      </c>
      <c r="H2797" s="5">
        <v>7</v>
      </c>
      <c r="I2797" s="6">
        <v>-20.170000000000002</v>
      </c>
    </row>
    <row r="2798" spans="1:9" x14ac:dyDescent="0.3">
      <c r="A2798" s="1">
        <v>42769</v>
      </c>
      <c r="B2798" s="2" t="s">
        <v>2110</v>
      </c>
      <c r="C2798" s="2" t="s">
        <v>18</v>
      </c>
      <c r="D2798" s="2" t="s">
        <v>30</v>
      </c>
      <c r="E2798" s="2" t="s">
        <v>31</v>
      </c>
      <c r="F2798" s="2" t="s">
        <v>649</v>
      </c>
      <c r="G2798" s="2">
        <v>196.78</v>
      </c>
      <c r="H2798" s="2">
        <v>3</v>
      </c>
      <c r="I2798" s="3">
        <v>14.76</v>
      </c>
    </row>
    <row r="2799" spans="1:9" x14ac:dyDescent="0.3">
      <c r="A2799" s="4">
        <v>42769</v>
      </c>
      <c r="B2799" s="5" t="s">
        <v>2110</v>
      </c>
      <c r="C2799" s="5" t="s">
        <v>18</v>
      </c>
      <c r="D2799" s="5" t="s">
        <v>30</v>
      </c>
      <c r="E2799" s="5" t="s">
        <v>43</v>
      </c>
      <c r="F2799" s="5" t="s">
        <v>2111</v>
      </c>
      <c r="G2799" s="5">
        <v>479.94</v>
      </c>
      <c r="H2799" s="5">
        <v>6</v>
      </c>
      <c r="I2799" s="6">
        <v>52.79</v>
      </c>
    </row>
    <row r="2800" spans="1:9" x14ac:dyDescent="0.3">
      <c r="A2800" s="1">
        <v>42769</v>
      </c>
      <c r="B2800" s="2" t="s">
        <v>795</v>
      </c>
      <c r="C2800" s="2" t="s">
        <v>50</v>
      </c>
      <c r="D2800" s="2" t="s">
        <v>2</v>
      </c>
      <c r="E2800" s="2" t="s">
        <v>15</v>
      </c>
      <c r="F2800" s="2" t="s">
        <v>1041</v>
      </c>
      <c r="G2800" s="2">
        <v>59.52</v>
      </c>
      <c r="H2800" s="2">
        <v>3</v>
      </c>
      <c r="I2800" s="3">
        <v>15.48</v>
      </c>
    </row>
    <row r="2801" spans="1:9" x14ac:dyDescent="0.3">
      <c r="A2801" s="4">
        <v>42769</v>
      </c>
      <c r="B2801" s="5" t="s">
        <v>795</v>
      </c>
      <c r="C2801" s="5" t="s">
        <v>50</v>
      </c>
      <c r="D2801" s="5" t="s">
        <v>2</v>
      </c>
      <c r="E2801" s="5" t="s">
        <v>114</v>
      </c>
      <c r="F2801" s="5" t="s">
        <v>115</v>
      </c>
      <c r="G2801" s="5">
        <v>57.96</v>
      </c>
      <c r="H2801" s="5">
        <v>7</v>
      </c>
      <c r="I2801" s="6">
        <v>27.24</v>
      </c>
    </row>
    <row r="2802" spans="1:9" x14ac:dyDescent="0.3">
      <c r="A2802" s="1">
        <v>42769</v>
      </c>
      <c r="B2802" s="2" t="s">
        <v>795</v>
      </c>
      <c r="C2802" s="2" t="s">
        <v>50</v>
      </c>
      <c r="D2802" s="2" t="s">
        <v>25</v>
      </c>
      <c r="E2802" s="2" t="s">
        <v>129</v>
      </c>
      <c r="F2802" s="2" t="s">
        <v>1438</v>
      </c>
      <c r="G2802" s="2">
        <v>441.96</v>
      </c>
      <c r="H2802" s="2">
        <v>2</v>
      </c>
      <c r="I2802" s="3">
        <v>101.65</v>
      </c>
    </row>
    <row r="2803" spans="1:9" x14ac:dyDescent="0.3">
      <c r="A2803" s="4">
        <v>42769</v>
      </c>
      <c r="B2803" s="5" t="s">
        <v>795</v>
      </c>
      <c r="C2803" s="5" t="s">
        <v>50</v>
      </c>
      <c r="D2803" s="5" t="s">
        <v>2</v>
      </c>
      <c r="E2803" s="5" t="s">
        <v>3</v>
      </c>
      <c r="F2803" s="5" t="s">
        <v>315</v>
      </c>
      <c r="G2803" s="5">
        <v>68.040000000000006</v>
      </c>
      <c r="H2803" s="5">
        <v>6</v>
      </c>
      <c r="I2803" s="6">
        <v>33.340000000000003</v>
      </c>
    </row>
    <row r="2804" spans="1:9" x14ac:dyDescent="0.3">
      <c r="A2804" s="1">
        <v>42769</v>
      </c>
      <c r="B2804" s="2" t="s">
        <v>928</v>
      </c>
      <c r="C2804" s="2" t="s">
        <v>127</v>
      </c>
      <c r="D2804" s="2" t="s">
        <v>2</v>
      </c>
      <c r="E2804" s="2" t="s">
        <v>11</v>
      </c>
      <c r="F2804" s="2" t="s">
        <v>1783</v>
      </c>
      <c r="G2804" s="2">
        <v>18.53</v>
      </c>
      <c r="H2804" s="2">
        <v>4</v>
      </c>
      <c r="I2804" s="3">
        <v>-12.35</v>
      </c>
    </row>
    <row r="2805" spans="1:9" x14ac:dyDescent="0.3">
      <c r="A2805" s="4">
        <v>42769</v>
      </c>
      <c r="B2805" s="5" t="s">
        <v>2112</v>
      </c>
      <c r="C2805" s="5" t="s">
        <v>18</v>
      </c>
      <c r="D2805" s="5" t="s">
        <v>2</v>
      </c>
      <c r="E2805" s="5" t="s">
        <v>11</v>
      </c>
      <c r="F2805" s="5" t="s">
        <v>153</v>
      </c>
      <c r="G2805" s="5">
        <v>107.65</v>
      </c>
      <c r="H2805" s="5">
        <v>2</v>
      </c>
      <c r="I2805" s="6">
        <v>33.64</v>
      </c>
    </row>
    <row r="2806" spans="1:9" x14ac:dyDescent="0.3">
      <c r="A2806" s="1">
        <v>42769</v>
      </c>
      <c r="B2806" s="2" t="s">
        <v>246</v>
      </c>
      <c r="C2806" s="2" t="s">
        <v>1</v>
      </c>
      <c r="D2806" s="2" t="s">
        <v>2</v>
      </c>
      <c r="E2806" s="2" t="s">
        <v>11</v>
      </c>
      <c r="F2806" s="2" t="s">
        <v>1119</v>
      </c>
      <c r="G2806" s="2">
        <v>0.56000000000000005</v>
      </c>
      <c r="H2806" s="2">
        <v>1</v>
      </c>
      <c r="I2806" s="3">
        <v>-0.95</v>
      </c>
    </row>
    <row r="2807" spans="1:9" x14ac:dyDescent="0.3">
      <c r="A2807" s="4">
        <v>42797</v>
      </c>
      <c r="B2807" s="5" t="s">
        <v>1806</v>
      </c>
      <c r="C2807" s="5" t="s">
        <v>24</v>
      </c>
      <c r="D2807" s="5" t="s">
        <v>2</v>
      </c>
      <c r="E2807" s="5" t="s">
        <v>133</v>
      </c>
      <c r="F2807" s="5" t="s">
        <v>373</v>
      </c>
      <c r="G2807" s="5">
        <v>72.8</v>
      </c>
      <c r="H2807" s="5">
        <v>5</v>
      </c>
      <c r="I2807" s="6">
        <v>19.66</v>
      </c>
    </row>
    <row r="2808" spans="1:9" x14ac:dyDescent="0.3">
      <c r="A2808" s="1">
        <v>42797</v>
      </c>
      <c r="B2808" s="2" t="s">
        <v>384</v>
      </c>
      <c r="C2808" s="2" t="s">
        <v>1</v>
      </c>
      <c r="D2808" s="2" t="s">
        <v>2</v>
      </c>
      <c r="E2808" s="2" t="s">
        <v>3</v>
      </c>
      <c r="F2808" s="2" t="s">
        <v>1253</v>
      </c>
      <c r="G2808" s="2">
        <v>26.88</v>
      </c>
      <c r="H2808" s="2">
        <v>8</v>
      </c>
      <c r="I2808" s="3">
        <v>9.74</v>
      </c>
    </row>
    <row r="2809" spans="1:9" x14ac:dyDescent="0.3">
      <c r="A2809" s="4">
        <v>42797</v>
      </c>
      <c r="B2809" s="5" t="s">
        <v>463</v>
      </c>
      <c r="C2809" s="5" t="s">
        <v>160</v>
      </c>
      <c r="D2809" s="5" t="s">
        <v>25</v>
      </c>
      <c r="E2809" s="5" t="s">
        <v>26</v>
      </c>
      <c r="F2809" s="5" t="s">
        <v>1318</v>
      </c>
      <c r="G2809" s="5">
        <v>180.98</v>
      </c>
      <c r="H2809" s="5">
        <v>1</v>
      </c>
      <c r="I2809" s="6">
        <v>47.05</v>
      </c>
    </row>
    <row r="2810" spans="1:9" x14ac:dyDescent="0.3">
      <c r="A2810" s="1">
        <v>42797</v>
      </c>
      <c r="B2810" s="2" t="s">
        <v>463</v>
      </c>
      <c r="C2810" s="2" t="s">
        <v>160</v>
      </c>
      <c r="D2810" s="2" t="s">
        <v>30</v>
      </c>
      <c r="E2810" s="2" t="s">
        <v>43</v>
      </c>
      <c r="F2810" s="2" t="s">
        <v>205</v>
      </c>
      <c r="G2810" s="2">
        <v>99.98</v>
      </c>
      <c r="H2810" s="2">
        <v>2</v>
      </c>
      <c r="I2810" s="3">
        <v>42.99</v>
      </c>
    </row>
    <row r="2811" spans="1:9" x14ac:dyDescent="0.3">
      <c r="A2811" s="4">
        <v>42797</v>
      </c>
      <c r="B2811" s="5" t="s">
        <v>2113</v>
      </c>
      <c r="C2811" s="5" t="s">
        <v>18</v>
      </c>
      <c r="D2811" s="5" t="s">
        <v>30</v>
      </c>
      <c r="E2811" s="5" t="s">
        <v>43</v>
      </c>
      <c r="F2811" s="5" t="s">
        <v>2114</v>
      </c>
      <c r="G2811" s="5">
        <v>1049.44</v>
      </c>
      <c r="H2811" s="5">
        <v>8</v>
      </c>
      <c r="I2811" s="6">
        <v>440.76</v>
      </c>
    </row>
    <row r="2812" spans="1:9" x14ac:dyDescent="0.3">
      <c r="A2812" s="1">
        <v>42797</v>
      </c>
      <c r="B2812" s="2" t="s">
        <v>2113</v>
      </c>
      <c r="C2812" s="2" t="s">
        <v>18</v>
      </c>
      <c r="D2812" s="2" t="s">
        <v>25</v>
      </c>
      <c r="E2812" s="2" t="s">
        <v>26</v>
      </c>
      <c r="F2812" s="2" t="s">
        <v>1269</v>
      </c>
      <c r="G2812" s="2">
        <v>170.35</v>
      </c>
      <c r="H2812" s="2">
        <v>3</v>
      </c>
      <c r="I2812" s="3">
        <v>-17.04</v>
      </c>
    </row>
    <row r="2813" spans="1:9" x14ac:dyDescent="0.3">
      <c r="A2813" s="4">
        <v>42797</v>
      </c>
      <c r="B2813" s="5" t="s">
        <v>2115</v>
      </c>
      <c r="C2813" s="5" t="s">
        <v>18</v>
      </c>
      <c r="D2813" s="5" t="s">
        <v>25</v>
      </c>
      <c r="E2813" s="5" t="s">
        <v>86</v>
      </c>
      <c r="F2813" s="5" t="s">
        <v>1291</v>
      </c>
      <c r="G2813" s="5">
        <v>399.67</v>
      </c>
      <c r="H2813" s="5">
        <v>7</v>
      </c>
      <c r="I2813" s="6">
        <v>-14.99</v>
      </c>
    </row>
    <row r="2814" spans="1:9" x14ac:dyDescent="0.3">
      <c r="A2814" s="1">
        <v>42828</v>
      </c>
      <c r="B2814" s="2" t="s">
        <v>1366</v>
      </c>
      <c r="C2814" s="2" t="s">
        <v>18</v>
      </c>
      <c r="D2814" s="2" t="s">
        <v>2</v>
      </c>
      <c r="E2814" s="2" t="s">
        <v>15</v>
      </c>
      <c r="F2814" s="2" t="s">
        <v>1507</v>
      </c>
      <c r="G2814" s="2">
        <v>9.32</v>
      </c>
      <c r="H2814" s="2">
        <v>4</v>
      </c>
      <c r="I2814" s="3">
        <v>2.7</v>
      </c>
    </row>
    <row r="2815" spans="1:9" x14ac:dyDescent="0.3">
      <c r="A2815" s="4">
        <v>42828</v>
      </c>
      <c r="B2815" s="5" t="s">
        <v>1366</v>
      </c>
      <c r="C2815" s="5" t="s">
        <v>18</v>
      </c>
      <c r="D2815" s="5" t="s">
        <v>2</v>
      </c>
      <c r="E2815" s="5" t="s">
        <v>114</v>
      </c>
      <c r="F2815" s="5" t="s">
        <v>1497</v>
      </c>
      <c r="G2815" s="5">
        <v>15.25</v>
      </c>
      <c r="H2815" s="5">
        <v>1</v>
      </c>
      <c r="I2815" s="6">
        <v>7.02</v>
      </c>
    </row>
    <row r="2816" spans="1:9" x14ac:dyDescent="0.3">
      <c r="A2816" s="1">
        <v>42828</v>
      </c>
      <c r="B2816" s="2" t="s">
        <v>0</v>
      </c>
      <c r="C2816" s="2" t="s">
        <v>1</v>
      </c>
      <c r="D2816" s="2" t="s">
        <v>2</v>
      </c>
      <c r="E2816" s="2" t="s">
        <v>3</v>
      </c>
      <c r="F2816" s="2" t="s">
        <v>533</v>
      </c>
      <c r="G2816" s="2">
        <v>89.57</v>
      </c>
      <c r="H2816" s="2">
        <v>2</v>
      </c>
      <c r="I2816" s="3">
        <v>32.47</v>
      </c>
    </row>
    <row r="2817" spans="1:9" x14ac:dyDescent="0.3">
      <c r="A2817" s="4">
        <v>42828</v>
      </c>
      <c r="B2817" s="5" t="s">
        <v>1592</v>
      </c>
      <c r="C2817" s="5" t="s">
        <v>1</v>
      </c>
      <c r="D2817" s="5" t="s">
        <v>25</v>
      </c>
      <c r="E2817" s="5" t="s">
        <v>38</v>
      </c>
      <c r="F2817" s="5" t="s">
        <v>1286</v>
      </c>
      <c r="G2817" s="5">
        <v>103.5</v>
      </c>
      <c r="H2817" s="5">
        <v>5</v>
      </c>
      <c r="I2817" s="6">
        <v>-77.63</v>
      </c>
    </row>
    <row r="2818" spans="1:9" x14ac:dyDescent="0.3">
      <c r="A2818" s="1">
        <v>42828</v>
      </c>
      <c r="B2818" s="2" t="s">
        <v>1592</v>
      </c>
      <c r="C2818" s="2" t="s">
        <v>1</v>
      </c>
      <c r="D2818" s="2" t="s">
        <v>2</v>
      </c>
      <c r="E2818" s="2" t="s">
        <v>7</v>
      </c>
      <c r="F2818" s="2" t="s">
        <v>2116</v>
      </c>
      <c r="G2818" s="2">
        <v>2.46</v>
      </c>
      <c r="H2818" s="2">
        <v>1</v>
      </c>
      <c r="I2818" s="3">
        <v>0.86</v>
      </c>
    </row>
    <row r="2819" spans="1:9" x14ac:dyDescent="0.3">
      <c r="A2819" s="4">
        <v>42828</v>
      </c>
      <c r="B2819" s="5" t="s">
        <v>1592</v>
      </c>
      <c r="C2819" s="5" t="s">
        <v>1</v>
      </c>
      <c r="D2819" s="5" t="s">
        <v>2</v>
      </c>
      <c r="E2819" s="5" t="s">
        <v>9</v>
      </c>
      <c r="F2819" s="5" t="s">
        <v>1897</v>
      </c>
      <c r="G2819" s="5">
        <v>8.7200000000000006</v>
      </c>
      <c r="H2819" s="5">
        <v>1</v>
      </c>
      <c r="I2819" s="6">
        <v>0.65</v>
      </c>
    </row>
    <row r="2820" spans="1:9" x14ac:dyDescent="0.3">
      <c r="A2820" s="1">
        <v>42858</v>
      </c>
      <c r="B2820" s="2" t="s">
        <v>901</v>
      </c>
      <c r="C2820" s="2" t="s">
        <v>53</v>
      </c>
      <c r="D2820" s="2" t="s">
        <v>2</v>
      </c>
      <c r="E2820" s="2" t="s">
        <v>7</v>
      </c>
      <c r="F2820" s="2" t="s">
        <v>2117</v>
      </c>
      <c r="G2820" s="2">
        <v>25.06</v>
      </c>
      <c r="H2820" s="2">
        <v>2</v>
      </c>
      <c r="I2820" s="3">
        <v>11.78</v>
      </c>
    </row>
    <row r="2821" spans="1:9" x14ac:dyDescent="0.3">
      <c r="A2821" s="4">
        <v>42858</v>
      </c>
      <c r="B2821" s="5" t="s">
        <v>2118</v>
      </c>
      <c r="C2821" s="5" t="s">
        <v>359</v>
      </c>
      <c r="D2821" s="5" t="s">
        <v>2</v>
      </c>
      <c r="E2821" s="5" t="s">
        <v>34</v>
      </c>
      <c r="F2821" s="5" t="s">
        <v>1275</v>
      </c>
      <c r="G2821" s="5">
        <v>7.9</v>
      </c>
      <c r="H2821" s="5">
        <v>2</v>
      </c>
      <c r="I2821" s="6">
        <v>2.5299999999999998</v>
      </c>
    </row>
    <row r="2822" spans="1:9" x14ac:dyDescent="0.3">
      <c r="A2822" s="1">
        <v>42858</v>
      </c>
      <c r="B2822" s="2" t="s">
        <v>2118</v>
      </c>
      <c r="C2822" s="2" t="s">
        <v>359</v>
      </c>
      <c r="D2822" s="2" t="s">
        <v>2</v>
      </c>
      <c r="E2822" s="2" t="s">
        <v>9</v>
      </c>
      <c r="F2822" s="2" t="s">
        <v>387</v>
      </c>
      <c r="G2822" s="2">
        <v>221.16</v>
      </c>
      <c r="H2822" s="2">
        <v>4</v>
      </c>
      <c r="I2822" s="3">
        <v>57.5</v>
      </c>
    </row>
    <row r="2823" spans="1:9" x14ac:dyDescent="0.3">
      <c r="A2823" s="4">
        <v>42858</v>
      </c>
      <c r="B2823" s="5" t="s">
        <v>2118</v>
      </c>
      <c r="C2823" s="5" t="s">
        <v>359</v>
      </c>
      <c r="D2823" s="5" t="s">
        <v>2</v>
      </c>
      <c r="E2823" s="5" t="s">
        <v>11</v>
      </c>
      <c r="F2823" s="5" t="s">
        <v>672</v>
      </c>
      <c r="G2823" s="5">
        <v>127.96</v>
      </c>
      <c r="H2823" s="5">
        <v>2</v>
      </c>
      <c r="I2823" s="6">
        <v>62.7</v>
      </c>
    </row>
    <row r="2824" spans="1:9" x14ac:dyDescent="0.3">
      <c r="A2824" s="1">
        <v>42858</v>
      </c>
      <c r="B2824" s="2" t="s">
        <v>2118</v>
      </c>
      <c r="C2824" s="2" t="s">
        <v>359</v>
      </c>
      <c r="D2824" s="2" t="s">
        <v>2</v>
      </c>
      <c r="E2824" s="2" t="s">
        <v>11</v>
      </c>
      <c r="F2824" s="2" t="s">
        <v>591</v>
      </c>
      <c r="G2824" s="2">
        <v>18.690000000000001</v>
      </c>
      <c r="H2824" s="2">
        <v>3</v>
      </c>
      <c r="I2824" s="3">
        <v>9.16</v>
      </c>
    </row>
    <row r="2825" spans="1:9" x14ac:dyDescent="0.3">
      <c r="A2825" s="4">
        <v>42858</v>
      </c>
      <c r="B2825" s="5" t="s">
        <v>1031</v>
      </c>
      <c r="C2825" s="5" t="s">
        <v>450</v>
      </c>
      <c r="D2825" s="5" t="s">
        <v>2</v>
      </c>
      <c r="E2825" s="5" t="s">
        <v>114</v>
      </c>
      <c r="F2825" s="5" t="s">
        <v>1954</v>
      </c>
      <c r="G2825" s="5">
        <v>42.68</v>
      </c>
      <c r="H2825" s="5">
        <v>4</v>
      </c>
      <c r="I2825" s="6">
        <v>19.63</v>
      </c>
    </row>
    <row r="2826" spans="1:9" x14ac:dyDescent="0.3">
      <c r="A2826" s="1">
        <v>42858</v>
      </c>
      <c r="B2826" s="2" t="s">
        <v>1031</v>
      </c>
      <c r="C2826" s="2" t="s">
        <v>450</v>
      </c>
      <c r="D2826" s="2" t="s">
        <v>30</v>
      </c>
      <c r="E2826" s="2" t="s">
        <v>43</v>
      </c>
      <c r="F2826" s="2" t="s">
        <v>560</v>
      </c>
      <c r="G2826" s="2">
        <v>299.97000000000003</v>
      </c>
      <c r="H2826" s="2">
        <v>3</v>
      </c>
      <c r="I2826" s="3">
        <v>125.99</v>
      </c>
    </row>
    <row r="2827" spans="1:9" x14ac:dyDescent="0.3">
      <c r="A2827" s="4">
        <v>42858</v>
      </c>
      <c r="B2827" s="5" t="s">
        <v>1031</v>
      </c>
      <c r="C2827" s="5" t="s">
        <v>450</v>
      </c>
      <c r="D2827" s="5" t="s">
        <v>2</v>
      </c>
      <c r="E2827" s="5" t="s">
        <v>133</v>
      </c>
      <c r="F2827" s="5" t="s">
        <v>2119</v>
      </c>
      <c r="G2827" s="5">
        <v>262.24</v>
      </c>
      <c r="H2827" s="5">
        <v>2</v>
      </c>
      <c r="I2827" s="6">
        <v>78.67</v>
      </c>
    </row>
    <row r="2828" spans="1:9" x14ac:dyDescent="0.3">
      <c r="A2828" s="1">
        <v>42858</v>
      </c>
      <c r="B2828" s="2" t="s">
        <v>1031</v>
      </c>
      <c r="C2828" s="2" t="s">
        <v>450</v>
      </c>
      <c r="D2828" s="2" t="s">
        <v>2</v>
      </c>
      <c r="E2828" s="2" t="s">
        <v>11</v>
      </c>
      <c r="F2828" s="2" t="s">
        <v>1177</v>
      </c>
      <c r="G2828" s="2">
        <v>234.36</v>
      </c>
      <c r="H2828" s="2">
        <v>6</v>
      </c>
      <c r="I2828" s="3">
        <v>112.49</v>
      </c>
    </row>
    <row r="2829" spans="1:9" x14ac:dyDescent="0.3">
      <c r="A2829" s="4">
        <v>42889</v>
      </c>
      <c r="B2829" s="5" t="s">
        <v>2120</v>
      </c>
      <c r="C2829" s="5" t="s">
        <v>80</v>
      </c>
      <c r="D2829" s="5" t="s">
        <v>2</v>
      </c>
      <c r="E2829" s="5" t="s">
        <v>3</v>
      </c>
      <c r="F2829" s="5" t="s">
        <v>1604</v>
      </c>
      <c r="G2829" s="5">
        <v>26.38</v>
      </c>
      <c r="H2829" s="5">
        <v>1</v>
      </c>
      <c r="I2829" s="6">
        <v>12.13</v>
      </c>
    </row>
    <row r="2830" spans="1:9" x14ac:dyDescent="0.3">
      <c r="A2830" s="1">
        <v>42889</v>
      </c>
      <c r="B2830" s="2" t="s">
        <v>2120</v>
      </c>
      <c r="C2830" s="2" t="s">
        <v>80</v>
      </c>
      <c r="D2830" s="2" t="s">
        <v>25</v>
      </c>
      <c r="E2830" s="2" t="s">
        <v>38</v>
      </c>
      <c r="F2830" s="2" t="s">
        <v>2121</v>
      </c>
      <c r="G2830" s="2">
        <v>71.97</v>
      </c>
      <c r="H2830" s="2">
        <v>3</v>
      </c>
      <c r="I2830" s="3">
        <v>16.55</v>
      </c>
    </row>
    <row r="2831" spans="1:9" x14ac:dyDescent="0.3">
      <c r="A2831" s="4">
        <v>42889</v>
      </c>
      <c r="B2831" s="5" t="s">
        <v>500</v>
      </c>
      <c r="C2831" s="5" t="s">
        <v>18</v>
      </c>
      <c r="D2831" s="5" t="s">
        <v>2</v>
      </c>
      <c r="E2831" s="5" t="s">
        <v>11</v>
      </c>
      <c r="F2831" s="5" t="s">
        <v>2122</v>
      </c>
      <c r="G2831" s="5">
        <v>14.98</v>
      </c>
      <c r="H2831" s="5">
        <v>9</v>
      </c>
      <c r="I2831" s="6">
        <v>5.43</v>
      </c>
    </row>
    <row r="2832" spans="1:9" x14ac:dyDescent="0.3">
      <c r="A2832" s="1">
        <v>42889</v>
      </c>
      <c r="B2832" s="2" t="s">
        <v>1013</v>
      </c>
      <c r="C2832" s="2" t="s">
        <v>18</v>
      </c>
      <c r="D2832" s="2" t="s">
        <v>2</v>
      </c>
      <c r="E2832" s="2" t="s">
        <v>9</v>
      </c>
      <c r="F2832" s="2" t="s">
        <v>2123</v>
      </c>
      <c r="G2832" s="2">
        <v>67.78</v>
      </c>
      <c r="H2832" s="2">
        <v>2</v>
      </c>
      <c r="I2832" s="3">
        <v>16.95</v>
      </c>
    </row>
    <row r="2833" spans="1:9" x14ac:dyDescent="0.3">
      <c r="A2833" s="4">
        <v>42889</v>
      </c>
      <c r="B2833" s="5" t="s">
        <v>1605</v>
      </c>
      <c r="C2833" s="5" t="s">
        <v>18</v>
      </c>
      <c r="D2833" s="5" t="s">
        <v>2</v>
      </c>
      <c r="E2833" s="5" t="s">
        <v>15</v>
      </c>
      <c r="F2833" s="5" t="s">
        <v>509</v>
      </c>
      <c r="G2833" s="5">
        <v>23.88</v>
      </c>
      <c r="H2833" s="5">
        <v>6</v>
      </c>
      <c r="I2833" s="6">
        <v>8.1199999999999992</v>
      </c>
    </row>
    <row r="2834" spans="1:9" x14ac:dyDescent="0.3">
      <c r="A2834" s="1">
        <v>42889</v>
      </c>
      <c r="B2834" s="2" t="s">
        <v>1605</v>
      </c>
      <c r="C2834" s="2" t="s">
        <v>18</v>
      </c>
      <c r="D2834" s="2" t="s">
        <v>2</v>
      </c>
      <c r="E2834" s="2" t="s">
        <v>7</v>
      </c>
      <c r="F2834" s="2" t="s">
        <v>477</v>
      </c>
      <c r="G2834" s="2">
        <v>11.52</v>
      </c>
      <c r="H2834" s="2">
        <v>4</v>
      </c>
      <c r="I2834" s="3">
        <v>5.64</v>
      </c>
    </row>
    <row r="2835" spans="1:9" x14ac:dyDescent="0.3">
      <c r="A2835" s="4">
        <v>42889</v>
      </c>
      <c r="B2835" s="5" t="s">
        <v>1605</v>
      </c>
      <c r="C2835" s="5" t="s">
        <v>18</v>
      </c>
      <c r="D2835" s="5" t="s">
        <v>2</v>
      </c>
      <c r="E2835" s="5" t="s">
        <v>3</v>
      </c>
      <c r="F2835" s="5" t="s">
        <v>911</v>
      </c>
      <c r="G2835" s="5">
        <v>286.93</v>
      </c>
      <c r="H2835" s="5">
        <v>7</v>
      </c>
      <c r="I2835" s="6">
        <v>140.6</v>
      </c>
    </row>
    <row r="2836" spans="1:9" x14ac:dyDescent="0.3">
      <c r="A2836" s="1">
        <v>42889</v>
      </c>
      <c r="B2836" s="2" t="s">
        <v>1605</v>
      </c>
      <c r="C2836" s="2" t="s">
        <v>18</v>
      </c>
      <c r="D2836" s="2" t="s">
        <v>30</v>
      </c>
      <c r="E2836" s="2" t="s">
        <v>31</v>
      </c>
      <c r="F2836" s="2" t="s">
        <v>1202</v>
      </c>
      <c r="G2836" s="2">
        <v>206.38</v>
      </c>
      <c r="H2836" s="2">
        <v>2</v>
      </c>
      <c r="I2836" s="3">
        <v>23.22</v>
      </c>
    </row>
    <row r="2837" spans="1:9" x14ac:dyDescent="0.3">
      <c r="A2837" s="4">
        <v>42889</v>
      </c>
      <c r="B2837" s="5" t="s">
        <v>1707</v>
      </c>
      <c r="C2837" s="5" t="s">
        <v>1</v>
      </c>
      <c r="D2837" s="5" t="s">
        <v>2</v>
      </c>
      <c r="E2837" s="5" t="s">
        <v>7</v>
      </c>
      <c r="F2837" s="5" t="s">
        <v>1962</v>
      </c>
      <c r="G2837" s="5">
        <v>4.93</v>
      </c>
      <c r="H2837" s="5">
        <v>2</v>
      </c>
      <c r="I2837" s="6">
        <v>1.72</v>
      </c>
    </row>
    <row r="2838" spans="1:9" x14ac:dyDescent="0.3">
      <c r="A2838" s="1">
        <v>42889</v>
      </c>
      <c r="B2838" s="2" t="s">
        <v>1707</v>
      </c>
      <c r="C2838" s="2" t="s">
        <v>1</v>
      </c>
      <c r="D2838" s="2" t="s">
        <v>2</v>
      </c>
      <c r="E2838" s="2" t="s">
        <v>15</v>
      </c>
      <c r="F2838" s="2" t="s">
        <v>142</v>
      </c>
      <c r="G2838" s="2">
        <v>63.49</v>
      </c>
      <c r="H2838" s="2">
        <v>4</v>
      </c>
      <c r="I2838" s="3">
        <v>4.76</v>
      </c>
    </row>
    <row r="2839" spans="1:9" x14ac:dyDescent="0.3">
      <c r="A2839" s="4">
        <v>42919</v>
      </c>
      <c r="B2839" s="5" t="s">
        <v>1674</v>
      </c>
      <c r="C2839" s="5" t="s">
        <v>958</v>
      </c>
      <c r="D2839" s="5" t="s">
        <v>30</v>
      </c>
      <c r="E2839" s="5" t="s">
        <v>43</v>
      </c>
      <c r="F2839" s="5" t="s">
        <v>546</v>
      </c>
      <c r="G2839" s="5">
        <v>49.08</v>
      </c>
      <c r="H2839" s="5">
        <v>3</v>
      </c>
      <c r="I2839" s="6">
        <v>4.91</v>
      </c>
    </row>
    <row r="2840" spans="1:9" x14ac:dyDescent="0.3">
      <c r="A2840" s="1">
        <v>42919</v>
      </c>
      <c r="B2840" s="2" t="s">
        <v>828</v>
      </c>
      <c r="C2840" s="2" t="s">
        <v>80</v>
      </c>
      <c r="D2840" s="2" t="s">
        <v>2</v>
      </c>
      <c r="E2840" s="2" t="s">
        <v>11</v>
      </c>
      <c r="F2840" s="2" t="s">
        <v>1287</v>
      </c>
      <c r="G2840" s="2">
        <v>25.92</v>
      </c>
      <c r="H2840" s="2">
        <v>6</v>
      </c>
      <c r="I2840" s="3">
        <v>9.07</v>
      </c>
    </row>
    <row r="2841" spans="1:9" x14ac:dyDescent="0.3">
      <c r="A2841" s="4">
        <v>42919</v>
      </c>
      <c r="B2841" s="5" t="s">
        <v>828</v>
      </c>
      <c r="C2841" s="5" t="s">
        <v>80</v>
      </c>
      <c r="D2841" s="5" t="s">
        <v>2</v>
      </c>
      <c r="E2841" s="5" t="s">
        <v>7</v>
      </c>
      <c r="F2841" s="5" t="s">
        <v>2124</v>
      </c>
      <c r="G2841" s="5">
        <v>91.59</v>
      </c>
      <c r="H2841" s="5">
        <v>3</v>
      </c>
      <c r="I2841" s="6">
        <v>42.13</v>
      </c>
    </row>
    <row r="2842" spans="1:9" x14ac:dyDescent="0.3">
      <c r="A2842" s="1">
        <v>42950</v>
      </c>
      <c r="B2842" s="2" t="s">
        <v>2125</v>
      </c>
      <c r="C2842" s="2" t="s">
        <v>21</v>
      </c>
      <c r="D2842" s="2" t="s">
        <v>2</v>
      </c>
      <c r="E2842" s="2" t="s">
        <v>133</v>
      </c>
      <c r="F2842" s="2" t="s">
        <v>2126</v>
      </c>
      <c r="G2842" s="2">
        <v>647.84</v>
      </c>
      <c r="H2842" s="2">
        <v>8</v>
      </c>
      <c r="I2842" s="3">
        <v>168.44</v>
      </c>
    </row>
    <row r="2843" spans="1:9" x14ac:dyDescent="0.3">
      <c r="A2843" s="4">
        <v>42950</v>
      </c>
      <c r="B2843" s="5" t="s">
        <v>2125</v>
      </c>
      <c r="C2843" s="5" t="s">
        <v>21</v>
      </c>
      <c r="D2843" s="5" t="s">
        <v>2</v>
      </c>
      <c r="E2843" s="5" t="s">
        <v>7</v>
      </c>
      <c r="F2843" s="5" t="s">
        <v>2127</v>
      </c>
      <c r="G2843" s="5">
        <v>20.7</v>
      </c>
      <c r="H2843" s="5">
        <v>2</v>
      </c>
      <c r="I2843" s="6">
        <v>9.94</v>
      </c>
    </row>
    <row r="2844" spans="1:9" x14ac:dyDescent="0.3">
      <c r="A2844" s="1">
        <v>42950</v>
      </c>
      <c r="B2844" s="2" t="s">
        <v>1535</v>
      </c>
      <c r="C2844" s="2" t="s">
        <v>18</v>
      </c>
      <c r="D2844" s="2" t="s">
        <v>2</v>
      </c>
      <c r="E2844" s="2" t="s">
        <v>11</v>
      </c>
      <c r="F2844" s="2" t="s">
        <v>414</v>
      </c>
      <c r="G2844" s="2">
        <v>171.2</v>
      </c>
      <c r="H2844" s="2">
        <v>5</v>
      </c>
      <c r="I2844" s="3">
        <v>64.2</v>
      </c>
    </row>
    <row r="2845" spans="1:9" x14ac:dyDescent="0.3">
      <c r="A2845" s="4">
        <v>42950</v>
      </c>
      <c r="B2845" s="5" t="s">
        <v>1535</v>
      </c>
      <c r="C2845" s="5" t="s">
        <v>18</v>
      </c>
      <c r="D2845" s="5" t="s">
        <v>2</v>
      </c>
      <c r="E2845" s="5" t="s">
        <v>15</v>
      </c>
      <c r="F2845" s="5" t="s">
        <v>2128</v>
      </c>
      <c r="G2845" s="5">
        <v>3.36</v>
      </c>
      <c r="H2845" s="5">
        <v>2</v>
      </c>
      <c r="I2845" s="6">
        <v>0.87</v>
      </c>
    </row>
    <row r="2846" spans="1:9" x14ac:dyDescent="0.3">
      <c r="A2846" s="1">
        <v>42981</v>
      </c>
      <c r="B2846" s="2" t="s">
        <v>1767</v>
      </c>
      <c r="C2846" s="2" t="s">
        <v>18</v>
      </c>
      <c r="D2846" s="2" t="s">
        <v>30</v>
      </c>
      <c r="E2846" s="2" t="s">
        <v>43</v>
      </c>
      <c r="F2846" s="2" t="s">
        <v>260</v>
      </c>
      <c r="G2846" s="2">
        <v>199.98</v>
      </c>
      <c r="H2846" s="2">
        <v>2</v>
      </c>
      <c r="I2846" s="3">
        <v>69.989999999999995</v>
      </c>
    </row>
    <row r="2847" spans="1:9" x14ac:dyDescent="0.3">
      <c r="A2847" s="4">
        <v>42981</v>
      </c>
      <c r="B2847" s="5" t="s">
        <v>1247</v>
      </c>
      <c r="C2847" s="5" t="s">
        <v>18</v>
      </c>
      <c r="D2847" s="5" t="s">
        <v>30</v>
      </c>
      <c r="E2847" s="5" t="s">
        <v>290</v>
      </c>
      <c r="F2847" s="5" t="s">
        <v>1408</v>
      </c>
      <c r="G2847" s="5">
        <v>479.98</v>
      </c>
      <c r="H2847" s="5">
        <v>2</v>
      </c>
      <c r="I2847" s="6">
        <v>60</v>
      </c>
    </row>
    <row r="2848" spans="1:9" x14ac:dyDescent="0.3">
      <c r="A2848" s="1">
        <v>42981</v>
      </c>
      <c r="B2848" s="2" t="s">
        <v>1247</v>
      </c>
      <c r="C2848" s="2" t="s">
        <v>18</v>
      </c>
      <c r="D2848" s="2" t="s">
        <v>2</v>
      </c>
      <c r="E2848" s="2" t="s">
        <v>11</v>
      </c>
      <c r="F2848" s="2" t="s">
        <v>420</v>
      </c>
      <c r="G2848" s="2">
        <v>30.84</v>
      </c>
      <c r="H2848" s="2">
        <v>5</v>
      </c>
      <c r="I2848" s="3">
        <v>9.64</v>
      </c>
    </row>
    <row r="2849" spans="1:9" x14ac:dyDescent="0.3">
      <c r="A2849" s="4">
        <v>43011</v>
      </c>
      <c r="B2849" s="5" t="s">
        <v>2129</v>
      </c>
      <c r="C2849" s="5" t="s">
        <v>14</v>
      </c>
      <c r="D2849" s="5" t="s">
        <v>2</v>
      </c>
      <c r="E2849" s="5" t="s">
        <v>15</v>
      </c>
      <c r="F2849" s="5" t="s">
        <v>1636</v>
      </c>
      <c r="G2849" s="5">
        <v>5.25</v>
      </c>
      <c r="H2849" s="5">
        <v>2</v>
      </c>
      <c r="I2849" s="6">
        <v>0.59</v>
      </c>
    </row>
    <row r="2850" spans="1:9" x14ac:dyDescent="0.3">
      <c r="A2850" s="1">
        <v>43011</v>
      </c>
      <c r="B2850" s="2" t="s">
        <v>2129</v>
      </c>
      <c r="C2850" s="2" t="s">
        <v>14</v>
      </c>
      <c r="D2850" s="2" t="s">
        <v>30</v>
      </c>
      <c r="E2850" s="2" t="s">
        <v>31</v>
      </c>
      <c r="F2850" s="2" t="s">
        <v>1099</v>
      </c>
      <c r="G2850" s="2">
        <v>35.909999999999997</v>
      </c>
      <c r="H2850" s="2">
        <v>3</v>
      </c>
      <c r="I2850" s="3">
        <v>-8.3800000000000008</v>
      </c>
    </row>
    <row r="2851" spans="1:9" x14ac:dyDescent="0.3">
      <c r="A2851" s="4">
        <v>43011</v>
      </c>
      <c r="B2851" s="5" t="s">
        <v>2129</v>
      </c>
      <c r="C2851" s="5" t="s">
        <v>14</v>
      </c>
      <c r="D2851" s="5" t="s">
        <v>25</v>
      </c>
      <c r="E2851" s="5" t="s">
        <v>38</v>
      </c>
      <c r="F2851" s="5" t="s">
        <v>780</v>
      </c>
      <c r="G2851" s="5">
        <v>6.7</v>
      </c>
      <c r="H2851" s="5">
        <v>1</v>
      </c>
      <c r="I2851" s="6">
        <v>0.5</v>
      </c>
    </row>
    <row r="2852" spans="1:9" x14ac:dyDescent="0.3">
      <c r="A2852" s="1">
        <v>43011</v>
      </c>
      <c r="B2852" s="2" t="s">
        <v>2129</v>
      </c>
      <c r="C2852" s="2" t="s">
        <v>14</v>
      </c>
      <c r="D2852" s="2" t="s">
        <v>25</v>
      </c>
      <c r="E2852" s="2" t="s">
        <v>38</v>
      </c>
      <c r="F2852" s="2" t="s">
        <v>2130</v>
      </c>
      <c r="G2852" s="2">
        <v>43.87</v>
      </c>
      <c r="H2852" s="2">
        <v>2</v>
      </c>
      <c r="I2852" s="3">
        <v>11.52</v>
      </c>
    </row>
    <row r="2853" spans="1:9" x14ac:dyDescent="0.3">
      <c r="A2853" s="4">
        <v>43011</v>
      </c>
      <c r="B2853" s="5" t="s">
        <v>311</v>
      </c>
      <c r="C2853" s="5" t="s">
        <v>14</v>
      </c>
      <c r="D2853" s="5" t="s">
        <v>30</v>
      </c>
      <c r="E2853" s="5" t="s">
        <v>31</v>
      </c>
      <c r="F2853" s="5" t="s">
        <v>1593</v>
      </c>
      <c r="G2853" s="5">
        <v>53.98</v>
      </c>
      <c r="H2853" s="5">
        <v>3</v>
      </c>
      <c r="I2853" s="6">
        <v>-10.8</v>
      </c>
    </row>
    <row r="2854" spans="1:9" x14ac:dyDescent="0.3">
      <c r="A2854" s="1">
        <v>43011</v>
      </c>
      <c r="B2854" s="2" t="s">
        <v>2131</v>
      </c>
      <c r="C2854" s="2" t="s">
        <v>121</v>
      </c>
      <c r="D2854" s="2" t="s">
        <v>2</v>
      </c>
      <c r="E2854" s="2" t="s">
        <v>133</v>
      </c>
      <c r="F2854" s="2" t="s">
        <v>1781</v>
      </c>
      <c r="G2854" s="2">
        <v>48.78</v>
      </c>
      <c r="H2854" s="2">
        <v>1</v>
      </c>
      <c r="I2854" s="3">
        <v>3.66</v>
      </c>
    </row>
    <row r="2855" spans="1:9" x14ac:dyDescent="0.3">
      <c r="A2855" s="4">
        <v>43011</v>
      </c>
      <c r="B2855" s="5" t="s">
        <v>2131</v>
      </c>
      <c r="C2855" s="5" t="s">
        <v>121</v>
      </c>
      <c r="D2855" s="5" t="s">
        <v>2</v>
      </c>
      <c r="E2855" s="5" t="s">
        <v>11</v>
      </c>
      <c r="F2855" s="5" t="s">
        <v>1755</v>
      </c>
      <c r="G2855" s="5">
        <v>13.09</v>
      </c>
      <c r="H2855" s="5">
        <v>4</v>
      </c>
      <c r="I2855" s="6">
        <v>-10.039999999999999</v>
      </c>
    </row>
    <row r="2856" spans="1:9" x14ac:dyDescent="0.3">
      <c r="A2856" s="1">
        <v>43011</v>
      </c>
      <c r="B2856" s="2" t="s">
        <v>2132</v>
      </c>
      <c r="C2856" s="2" t="s">
        <v>18</v>
      </c>
      <c r="D2856" s="2" t="s">
        <v>30</v>
      </c>
      <c r="E2856" s="2" t="s">
        <v>43</v>
      </c>
      <c r="F2856" s="2" t="s">
        <v>2133</v>
      </c>
      <c r="G2856" s="2">
        <v>111.96</v>
      </c>
      <c r="H2856" s="2">
        <v>4</v>
      </c>
      <c r="I2856" s="3">
        <v>21.27</v>
      </c>
    </row>
    <row r="2857" spans="1:9" x14ac:dyDescent="0.3">
      <c r="A2857" s="4">
        <v>43011</v>
      </c>
      <c r="B2857" s="5" t="s">
        <v>865</v>
      </c>
      <c r="C2857" s="5" t="s">
        <v>1</v>
      </c>
      <c r="D2857" s="5" t="s">
        <v>25</v>
      </c>
      <c r="E2857" s="5" t="s">
        <v>86</v>
      </c>
      <c r="F2857" s="5" t="s">
        <v>357</v>
      </c>
      <c r="G2857" s="5">
        <v>933.41</v>
      </c>
      <c r="H2857" s="5">
        <v>4</v>
      </c>
      <c r="I2857" s="6">
        <v>-173.35</v>
      </c>
    </row>
    <row r="2858" spans="1:9" x14ac:dyDescent="0.3">
      <c r="A2858" s="1">
        <v>43042</v>
      </c>
      <c r="B2858" s="2" t="s">
        <v>1227</v>
      </c>
      <c r="C2858" s="2" t="s">
        <v>160</v>
      </c>
      <c r="D2858" s="2" t="s">
        <v>2</v>
      </c>
      <c r="E2858" s="2" t="s">
        <v>11</v>
      </c>
      <c r="F2858" s="2" t="s">
        <v>2134</v>
      </c>
      <c r="G2858" s="2">
        <v>895.92</v>
      </c>
      <c r="H2858" s="2">
        <v>4</v>
      </c>
      <c r="I2858" s="3">
        <v>421.08</v>
      </c>
    </row>
    <row r="2859" spans="1:9" x14ac:dyDescent="0.3">
      <c r="A2859" s="4">
        <v>43042</v>
      </c>
      <c r="B2859" s="5" t="s">
        <v>2135</v>
      </c>
      <c r="C2859" s="5" t="s">
        <v>14</v>
      </c>
      <c r="D2859" s="5" t="s">
        <v>30</v>
      </c>
      <c r="E2859" s="5" t="s">
        <v>31</v>
      </c>
      <c r="F2859" s="5" t="s">
        <v>1719</v>
      </c>
      <c r="G2859" s="5">
        <v>776.85</v>
      </c>
      <c r="H2859" s="5">
        <v>5</v>
      </c>
      <c r="I2859" s="6">
        <v>-181.27</v>
      </c>
    </row>
    <row r="2860" spans="1:9" x14ac:dyDescent="0.3">
      <c r="A2860" s="1">
        <v>43042</v>
      </c>
      <c r="B2860" s="2" t="s">
        <v>2135</v>
      </c>
      <c r="C2860" s="2" t="s">
        <v>14</v>
      </c>
      <c r="D2860" s="2" t="s">
        <v>2</v>
      </c>
      <c r="E2860" s="2" t="s">
        <v>11</v>
      </c>
      <c r="F2860" s="2" t="s">
        <v>241</v>
      </c>
      <c r="G2860" s="2">
        <v>12.29</v>
      </c>
      <c r="H2860" s="2">
        <v>1</v>
      </c>
      <c r="I2860" s="3">
        <v>-8.61</v>
      </c>
    </row>
    <row r="2861" spans="1:9" x14ac:dyDescent="0.3">
      <c r="A2861" s="4">
        <v>43042</v>
      </c>
      <c r="B2861" s="5" t="s">
        <v>2135</v>
      </c>
      <c r="C2861" s="5" t="s">
        <v>14</v>
      </c>
      <c r="D2861" s="5" t="s">
        <v>25</v>
      </c>
      <c r="E2861" s="5" t="s">
        <v>86</v>
      </c>
      <c r="F2861" s="5" t="s">
        <v>229</v>
      </c>
      <c r="G2861" s="5">
        <v>154.76</v>
      </c>
      <c r="H2861" s="5">
        <v>3</v>
      </c>
      <c r="I2861" s="6">
        <v>-46.43</v>
      </c>
    </row>
    <row r="2862" spans="1:9" x14ac:dyDescent="0.3">
      <c r="A2862" s="1">
        <v>43042</v>
      </c>
      <c r="B2862" s="2" t="s">
        <v>2135</v>
      </c>
      <c r="C2862" s="2" t="s">
        <v>14</v>
      </c>
      <c r="D2862" s="2" t="s">
        <v>2</v>
      </c>
      <c r="E2862" s="2" t="s">
        <v>9</v>
      </c>
      <c r="F2862" s="2" t="s">
        <v>2136</v>
      </c>
      <c r="G2862" s="2">
        <v>43.28</v>
      </c>
      <c r="H2862" s="2">
        <v>1</v>
      </c>
      <c r="I2862" s="3">
        <v>3.25</v>
      </c>
    </row>
    <row r="2863" spans="1:9" x14ac:dyDescent="0.3">
      <c r="A2863" s="4">
        <v>43042</v>
      </c>
      <c r="B2863" s="5" t="s">
        <v>507</v>
      </c>
      <c r="C2863" s="5" t="s">
        <v>181</v>
      </c>
      <c r="D2863" s="5" t="s">
        <v>30</v>
      </c>
      <c r="E2863" s="5" t="s">
        <v>43</v>
      </c>
      <c r="F2863" s="5" t="s">
        <v>2137</v>
      </c>
      <c r="G2863" s="5">
        <v>63.88</v>
      </c>
      <c r="H2863" s="5">
        <v>4</v>
      </c>
      <c r="I2863" s="6">
        <v>24.91</v>
      </c>
    </row>
    <row r="2864" spans="1:9" x14ac:dyDescent="0.3">
      <c r="A2864" s="1">
        <v>43042</v>
      </c>
      <c r="B2864" s="2" t="s">
        <v>507</v>
      </c>
      <c r="C2864" s="2" t="s">
        <v>181</v>
      </c>
      <c r="D2864" s="2" t="s">
        <v>25</v>
      </c>
      <c r="E2864" s="2" t="s">
        <v>38</v>
      </c>
      <c r="F2864" s="2" t="s">
        <v>2138</v>
      </c>
      <c r="G2864" s="2">
        <v>26.72</v>
      </c>
      <c r="H2864" s="2">
        <v>1</v>
      </c>
      <c r="I2864" s="3">
        <v>11.76</v>
      </c>
    </row>
    <row r="2865" spans="1:9" x14ac:dyDescent="0.3">
      <c r="A2865" s="4">
        <v>43072</v>
      </c>
      <c r="B2865" s="5" t="s">
        <v>202</v>
      </c>
      <c r="C2865" s="5" t="s">
        <v>181</v>
      </c>
      <c r="D2865" s="5" t="s">
        <v>30</v>
      </c>
      <c r="E2865" s="5" t="s">
        <v>31</v>
      </c>
      <c r="F2865" s="5" t="s">
        <v>124</v>
      </c>
      <c r="G2865" s="5">
        <v>69.930000000000007</v>
      </c>
      <c r="H2865" s="5">
        <v>7</v>
      </c>
      <c r="I2865" s="6">
        <v>32.17</v>
      </c>
    </row>
    <row r="2866" spans="1:9" x14ac:dyDescent="0.3">
      <c r="A2866" s="1">
        <v>43072</v>
      </c>
      <c r="B2866" s="2" t="s">
        <v>1553</v>
      </c>
      <c r="C2866" s="2" t="s">
        <v>18</v>
      </c>
      <c r="D2866" s="2" t="s">
        <v>2</v>
      </c>
      <c r="E2866" s="2" t="s">
        <v>9</v>
      </c>
      <c r="F2866" s="2" t="s">
        <v>687</v>
      </c>
      <c r="G2866" s="2">
        <v>242.94</v>
      </c>
      <c r="H2866" s="2">
        <v>3</v>
      </c>
      <c r="I2866" s="3">
        <v>9.7200000000000006</v>
      </c>
    </row>
    <row r="2867" spans="1:9" x14ac:dyDescent="0.3">
      <c r="A2867" s="4">
        <v>43072</v>
      </c>
      <c r="B2867" s="5" t="s">
        <v>89</v>
      </c>
      <c r="C2867" s="5" t="s">
        <v>368</v>
      </c>
      <c r="D2867" s="5" t="s">
        <v>2</v>
      </c>
      <c r="E2867" s="5" t="s">
        <v>11</v>
      </c>
      <c r="F2867" s="5" t="s">
        <v>201</v>
      </c>
      <c r="G2867" s="5">
        <v>40.409999999999997</v>
      </c>
      <c r="H2867" s="5">
        <v>9</v>
      </c>
      <c r="I2867" s="6">
        <v>18.59</v>
      </c>
    </row>
    <row r="2868" spans="1:9" x14ac:dyDescent="0.3">
      <c r="A2868" s="1">
        <v>42739</v>
      </c>
      <c r="B2868" s="2" t="s">
        <v>1526</v>
      </c>
      <c r="C2868" s="2" t="s">
        <v>90</v>
      </c>
      <c r="D2868" s="2" t="s">
        <v>2</v>
      </c>
      <c r="E2868" s="2" t="s">
        <v>9</v>
      </c>
      <c r="F2868" s="2" t="s">
        <v>1487</v>
      </c>
      <c r="G2868" s="2">
        <v>94.2</v>
      </c>
      <c r="H2868" s="2">
        <v>6</v>
      </c>
      <c r="I2868" s="3">
        <v>23.55</v>
      </c>
    </row>
    <row r="2869" spans="1:9" x14ac:dyDescent="0.3">
      <c r="A2869" s="4">
        <v>42739</v>
      </c>
      <c r="B2869" s="5" t="s">
        <v>1526</v>
      </c>
      <c r="C2869" s="5" t="s">
        <v>90</v>
      </c>
      <c r="D2869" s="5" t="s">
        <v>2</v>
      </c>
      <c r="E2869" s="5" t="s">
        <v>114</v>
      </c>
      <c r="F2869" s="5" t="s">
        <v>115</v>
      </c>
      <c r="G2869" s="5">
        <v>28.4</v>
      </c>
      <c r="H2869" s="5">
        <v>5</v>
      </c>
      <c r="I2869" s="6">
        <v>13.35</v>
      </c>
    </row>
    <row r="2870" spans="1:9" x14ac:dyDescent="0.3">
      <c r="A2870" s="1">
        <v>42739</v>
      </c>
      <c r="B2870" s="2" t="s">
        <v>695</v>
      </c>
      <c r="C2870" s="2" t="s">
        <v>18</v>
      </c>
      <c r="D2870" s="2" t="s">
        <v>2</v>
      </c>
      <c r="E2870" s="2" t="s">
        <v>7</v>
      </c>
      <c r="F2870" s="2" t="s">
        <v>2139</v>
      </c>
      <c r="G2870" s="2">
        <v>5.78</v>
      </c>
      <c r="H2870" s="2">
        <v>2</v>
      </c>
      <c r="I2870" s="3">
        <v>2.72</v>
      </c>
    </row>
    <row r="2871" spans="1:9" x14ac:dyDescent="0.3">
      <c r="A2871" s="4">
        <v>42739</v>
      </c>
      <c r="B2871" s="5" t="s">
        <v>695</v>
      </c>
      <c r="C2871" s="5" t="s">
        <v>18</v>
      </c>
      <c r="D2871" s="5" t="s">
        <v>2</v>
      </c>
      <c r="E2871" s="5" t="s">
        <v>11</v>
      </c>
      <c r="F2871" s="5" t="s">
        <v>298</v>
      </c>
      <c r="G2871" s="5">
        <v>121.68</v>
      </c>
      <c r="H2871" s="5">
        <v>13</v>
      </c>
      <c r="I2871" s="6">
        <v>38.03</v>
      </c>
    </row>
    <row r="2872" spans="1:9" x14ac:dyDescent="0.3">
      <c r="A2872" s="1">
        <v>42739</v>
      </c>
      <c r="B2872" s="2" t="s">
        <v>2140</v>
      </c>
      <c r="C2872" s="2" t="s">
        <v>18</v>
      </c>
      <c r="D2872" s="2" t="s">
        <v>25</v>
      </c>
      <c r="E2872" s="2" t="s">
        <v>129</v>
      </c>
      <c r="F2872" s="2" t="s">
        <v>1899</v>
      </c>
      <c r="G2872" s="2">
        <v>482.66</v>
      </c>
      <c r="H2872" s="2">
        <v>8</v>
      </c>
      <c r="I2872" s="3">
        <v>85.18</v>
      </c>
    </row>
    <row r="2873" spans="1:9" x14ac:dyDescent="0.3">
      <c r="A2873" s="4">
        <v>42739</v>
      </c>
      <c r="B2873" s="5" t="s">
        <v>2140</v>
      </c>
      <c r="C2873" s="5" t="s">
        <v>18</v>
      </c>
      <c r="D2873" s="5" t="s">
        <v>30</v>
      </c>
      <c r="E2873" s="5" t="s">
        <v>625</v>
      </c>
      <c r="F2873" s="5" t="s">
        <v>2141</v>
      </c>
      <c r="G2873" s="5">
        <v>4799.9799999999996</v>
      </c>
      <c r="H2873" s="5">
        <v>2</v>
      </c>
      <c r="I2873" s="6">
        <v>360</v>
      </c>
    </row>
    <row r="2874" spans="1:9" x14ac:dyDescent="0.3">
      <c r="A2874" s="1">
        <v>42739</v>
      </c>
      <c r="B2874" s="2" t="s">
        <v>2142</v>
      </c>
      <c r="C2874" s="2" t="s">
        <v>80</v>
      </c>
      <c r="D2874" s="2" t="s">
        <v>2</v>
      </c>
      <c r="E2874" s="2" t="s">
        <v>3</v>
      </c>
      <c r="F2874" s="2" t="s">
        <v>1074</v>
      </c>
      <c r="G2874" s="2">
        <v>42.93</v>
      </c>
      <c r="H2874" s="2">
        <v>9</v>
      </c>
      <c r="I2874" s="3">
        <v>19.32</v>
      </c>
    </row>
    <row r="2875" spans="1:9" x14ac:dyDescent="0.3">
      <c r="A2875" s="4">
        <v>42739</v>
      </c>
      <c r="B2875" s="5" t="s">
        <v>1845</v>
      </c>
      <c r="C2875" s="5" t="s">
        <v>58</v>
      </c>
      <c r="D2875" s="5" t="s">
        <v>30</v>
      </c>
      <c r="E2875" s="5" t="s">
        <v>31</v>
      </c>
      <c r="F2875" s="5" t="s">
        <v>1664</v>
      </c>
      <c r="G2875" s="5">
        <v>23.98</v>
      </c>
      <c r="H2875" s="5">
        <v>3</v>
      </c>
      <c r="I2875" s="6">
        <v>-5.69</v>
      </c>
    </row>
    <row r="2876" spans="1:9" x14ac:dyDescent="0.3">
      <c r="A2876" s="1">
        <v>42739</v>
      </c>
      <c r="B2876" s="2" t="s">
        <v>1845</v>
      </c>
      <c r="C2876" s="2" t="s">
        <v>58</v>
      </c>
      <c r="D2876" s="2" t="s">
        <v>2</v>
      </c>
      <c r="E2876" s="2" t="s">
        <v>7</v>
      </c>
      <c r="F2876" s="2" t="s">
        <v>581</v>
      </c>
      <c r="G2876" s="2">
        <v>6.26</v>
      </c>
      <c r="H2876" s="2">
        <v>3</v>
      </c>
      <c r="I2876" s="3">
        <v>2.04</v>
      </c>
    </row>
    <row r="2877" spans="1:9" x14ac:dyDescent="0.3">
      <c r="A2877" s="4">
        <v>42739</v>
      </c>
      <c r="B2877" s="5" t="s">
        <v>1845</v>
      </c>
      <c r="C2877" s="5" t="s">
        <v>58</v>
      </c>
      <c r="D2877" s="5" t="s">
        <v>2</v>
      </c>
      <c r="E2877" s="5" t="s">
        <v>133</v>
      </c>
      <c r="F2877" s="5" t="s">
        <v>351</v>
      </c>
      <c r="G2877" s="5">
        <v>20.81</v>
      </c>
      <c r="H2877" s="5">
        <v>3</v>
      </c>
      <c r="I2877" s="6">
        <v>1.82</v>
      </c>
    </row>
    <row r="2878" spans="1:9" x14ac:dyDescent="0.3">
      <c r="A2878" s="1">
        <v>42739</v>
      </c>
      <c r="B2878" s="2" t="s">
        <v>1845</v>
      </c>
      <c r="C2878" s="2" t="s">
        <v>58</v>
      </c>
      <c r="D2878" s="2" t="s">
        <v>25</v>
      </c>
      <c r="E2878" s="2" t="s">
        <v>26</v>
      </c>
      <c r="F2878" s="2" t="s">
        <v>1245</v>
      </c>
      <c r="G2878" s="2">
        <v>218.35</v>
      </c>
      <c r="H2878" s="2">
        <v>3</v>
      </c>
      <c r="I2878" s="3">
        <v>-19.11</v>
      </c>
    </row>
    <row r="2879" spans="1:9" x14ac:dyDescent="0.3">
      <c r="A2879" s="4">
        <v>42739</v>
      </c>
      <c r="B2879" s="5" t="s">
        <v>1402</v>
      </c>
      <c r="C2879" s="5" t="s">
        <v>138</v>
      </c>
      <c r="D2879" s="5" t="s">
        <v>25</v>
      </c>
      <c r="E2879" s="5" t="s">
        <v>38</v>
      </c>
      <c r="F2879" s="5" t="s">
        <v>720</v>
      </c>
      <c r="G2879" s="5">
        <v>127.95</v>
      </c>
      <c r="H2879" s="5">
        <v>3</v>
      </c>
      <c r="I2879" s="6">
        <v>21.75</v>
      </c>
    </row>
    <row r="2880" spans="1:9" x14ac:dyDescent="0.3">
      <c r="A2880" s="1">
        <v>42770</v>
      </c>
      <c r="B2880" s="2" t="s">
        <v>2044</v>
      </c>
      <c r="C2880" s="2" t="s">
        <v>18</v>
      </c>
      <c r="D2880" s="2" t="s">
        <v>25</v>
      </c>
      <c r="E2880" s="2" t="s">
        <v>38</v>
      </c>
      <c r="F2880" s="2" t="s">
        <v>780</v>
      </c>
      <c r="G2880" s="2">
        <v>25.11</v>
      </c>
      <c r="H2880" s="2">
        <v>3</v>
      </c>
      <c r="I2880" s="3">
        <v>6.53</v>
      </c>
    </row>
    <row r="2881" spans="1:9" x14ac:dyDescent="0.3">
      <c r="A2881" s="4">
        <v>42770</v>
      </c>
      <c r="B2881" s="5" t="s">
        <v>2056</v>
      </c>
      <c r="C2881" s="5" t="s">
        <v>21</v>
      </c>
      <c r="D2881" s="5" t="s">
        <v>25</v>
      </c>
      <c r="E2881" s="5" t="s">
        <v>86</v>
      </c>
      <c r="F2881" s="5" t="s">
        <v>432</v>
      </c>
      <c r="G2881" s="5">
        <v>411.8</v>
      </c>
      <c r="H2881" s="5">
        <v>2</v>
      </c>
      <c r="I2881" s="6">
        <v>70.010000000000005</v>
      </c>
    </row>
    <row r="2882" spans="1:9" x14ac:dyDescent="0.3">
      <c r="A2882" s="1">
        <v>42770</v>
      </c>
      <c r="B2882" s="2" t="s">
        <v>2056</v>
      </c>
      <c r="C2882" s="2" t="s">
        <v>21</v>
      </c>
      <c r="D2882" s="2" t="s">
        <v>30</v>
      </c>
      <c r="E2882" s="2" t="s">
        <v>43</v>
      </c>
      <c r="F2882" s="2" t="s">
        <v>848</v>
      </c>
      <c r="G2882" s="2">
        <v>360</v>
      </c>
      <c r="H2882" s="2">
        <v>4</v>
      </c>
      <c r="I2882" s="3">
        <v>129.6</v>
      </c>
    </row>
    <row r="2883" spans="1:9" x14ac:dyDescent="0.3">
      <c r="A2883" s="4">
        <v>42770</v>
      </c>
      <c r="B2883" s="5" t="s">
        <v>1374</v>
      </c>
      <c r="C2883" s="5" t="s">
        <v>300</v>
      </c>
      <c r="D2883" s="5" t="s">
        <v>2</v>
      </c>
      <c r="E2883" s="5" t="s">
        <v>15</v>
      </c>
      <c r="F2883" s="5" t="s">
        <v>2072</v>
      </c>
      <c r="G2883" s="5">
        <v>11.12</v>
      </c>
      <c r="H2883" s="5">
        <v>4</v>
      </c>
      <c r="I2883" s="6">
        <v>2.89</v>
      </c>
    </row>
    <row r="2884" spans="1:9" x14ac:dyDescent="0.3">
      <c r="A2884" s="1">
        <v>42770</v>
      </c>
      <c r="B2884" s="2" t="s">
        <v>1036</v>
      </c>
      <c r="C2884" s="2" t="s">
        <v>244</v>
      </c>
      <c r="D2884" s="2" t="s">
        <v>2</v>
      </c>
      <c r="E2884" s="2" t="s">
        <v>7</v>
      </c>
      <c r="F2884" s="2" t="s">
        <v>820</v>
      </c>
      <c r="G2884" s="2">
        <v>14.94</v>
      </c>
      <c r="H2884" s="2">
        <v>3</v>
      </c>
      <c r="I2884" s="3">
        <v>6.87</v>
      </c>
    </row>
    <row r="2885" spans="1:9" x14ac:dyDescent="0.3">
      <c r="A2885" s="4">
        <v>42798</v>
      </c>
      <c r="B2885" s="5" t="s">
        <v>1837</v>
      </c>
      <c r="C2885" s="5" t="s">
        <v>14</v>
      </c>
      <c r="D2885" s="5" t="s">
        <v>25</v>
      </c>
      <c r="E2885" s="5" t="s">
        <v>38</v>
      </c>
      <c r="F2885" s="5" t="s">
        <v>1182</v>
      </c>
      <c r="G2885" s="5">
        <v>25.47</v>
      </c>
      <c r="H2885" s="5">
        <v>4</v>
      </c>
      <c r="I2885" s="6">
        <v>7.64</v>
      </c>
    </row>
    <row r="2886" spans="1:9" x14ac:dyDescent="0.3">
      <c r="A2886" s="1">
        <v>42798</v>
      </c>
      <c r="B2886" s="2" t="s">
        <v>2143</v>
      </c>
      <c r="C2886" s="2" t="s">
        <v>6</v>
      </c>
      <c r="D2886" s="2" t="s">
        <v>2</v>
      </c>
      <c r="E2886" s="2" t="s">
        <v>15</v>
      </c>
      <c r="F2886" s="2" t="s">
        <v>684</v>
      </c>
      <c r="G2886" s="2">
        <v>7.06</v>
      </c>
      <c r="H2886" s="2">
        <v>3</v>
      </c>
      <c r="I2886" s="3">
        <v>2.21</v>
      </c>
    </row>
    <row r="2887" spans="1:9" x14ac:dyDescent="0.3">
      <c r="A2887" s="4">
        <v>42829</v>
      </c>
      <c r="B2887" s="5" t="s">
        <v>2144</v>
      </c>
      <c r="C2887" s="5" t="s">
        <v>6</v>
      </c>
      <c r="D2887" s="5" t="s">
        <v>30</v>
      </c>
      <c r="E2887" s="5" t="s">
        <v>31</v>
      </c>
      <c r="F2887" s="5" t="s">
        <v>1850</v>
      </c>
      <c r="G2887" s="5">
        <v>383.84</v>
      </c>
      <c r="H2887" s="5">
        <v>4</v>
      </c>
      <c r="I2887" s="6">
        <v>47.98</v>
      </c>
    </row>
    <row r="2888" spans="1:9" x14ac:dyDescent="0.3">
      <c r="A2888" s="1">
        <v>42829</v>
      </c>
      <c r="B2888" s="2" t="s">
        <v>479</v>
      </c>
      <c r="C2888" s="2" t="s">
        <v>80</v>
      </c>
      <c r="D2888" s="2" t="s">
        <v>30</v>
      </c>
      <c r="E2888" s="2" t="s">
        <v>31</v>
      </c>
      <c r="F2888" s="2" t="s">
        <v>2145</v>
      </c>
      <c r="G2888" s="2">
        <v>41.22</v>
      </c>
      <c r="H2888" s="2">
        <v>1</v>
      </c>
      <c r="I2888" s="3">
        <v>11.13</v>
      </c>
    </row>
    <row r="2889" spans="1:9" x14ac:dyDescent="0.3">
      <c r="A2889" s="4">
        <v>42829</v>
      </c>
      <c r="B2889" s="5" t="s">
        <v>479</v>
      </c>
      <c r="C2889" s="5" t="s">
        <v>80</v>
      </c>
      <c r="D2889" s="5" t="s">
        <v>2</v>
      </c>
      <c r="E2889" s="5" t="s">
        <v>144</v>
      </c>
      <c r="F2889" s="5" t="s">
        <v>1718</v>
      </c>
      <c r="G2889" s="5">
        <v>240.37</v>
      </c>
      <c r="H2889" s="5">
        <v>1</v>
      </c>
      <c r="I2889" s="6">
        <v>7.21</v>
      </c>
    </row>
    <row r="2890" spans="1:9" x14ac:dyDescent="0.3">
      <c r="A2890" s="1">
        <v>42829</v>
      </c>
      <c r="B2890" s="2" t="s">
        <v>479</v>
      </c>
      <c r="C2890" s="2" t="s">
        <v>80</v>
      </c>
      <c r="D2890" s="2" t="s">
        <v>30</v>
      </c>
      <c r="E2890" s="2" t="s">
        <v>31</v>
      </c>
      <c r="F2890" s="2" t="s">
        <v>1055</v>
      </c>
      <c r="G2890" s="2">
        <v>119.02</v>
      </c>
      <c r="H2890" s="2">
        <v>2</v>
      </c>
      <c r="I2890" s="3">
        <v>33.33</v>
      </c>
    </row>
    <row r="2891" spans="1:9" x14ac:dyDescent="0.3">
      <c r="A2891" s="4">
        <v>42829</v>
      </c>
      <c r="B2891" s="5" t="s">
        <v>2006</v>
      </c>
      <c r="C2891" s="5" t="s">
        <v>80</v>
      </c>
      <c r="D2891" s="5" t="s">
        <v>2</v>
      </c>
      <c r="E2891" s="5" t="s">
        <v>114</v>
      </c>
      <c r="F2891" s="5" t="s">
        <v>1091</v>
      </c>
      <c r="G2891" s="5">
        <v>16.98</v>
      </c>
      <c r="H2891" s="5">
        <v>1</v>
      </c>
      <c r="I2891" s="6">
        <v>8.49</v>
      </c>
    </row>
    <row r="2892" spans="1:9" x14ac:dyDescent="0.3">
      <c r="A2892" s="1">
        <v>42829</v>
      </c>
      <c r="B2892" s="2" t="s">
        <v>728</v>
      </c>
      <c r="C2892" s="2" t="s">
        <v>80</v>
      </c>
      <c r="D2892" s="2" t="s">
        <v>2</v>
      </c>
      <c r="E2892" s="2" t="s">
        <v>15</v>
      </c>
      <c r="F2892" s="2" t="s">
        <v>1611</v>
      </c>
      <c r="G2892" s="2">
        <v>7.04</v>
      </c>
      <c r="H2892" s="2">
        <v>4</v>
      </c>
      <c r="I2892" s="3">
        <v>2.04</v>
      </c>
    </row>
    <row r="2893" spans="1:9" x14ac:dyDescent="0.3">
      <c r="A2893" s="4">
        <v>42890</v>
      </c>
      <c r="B2893" s="5" t="s">
        <v>1865</v>
      </c>
      <c r="C2893" s="5" t="s">
        <v>1516</v>
      </c>
      <c r="D2893" s="5" t="s">
        <v>2</v>
      </c>
      <c r="E2893" s="5" t="s">
        <v>3</v>
      </c>
      <c r="F2893" s="5" t="s">
        <v>315</v>
      </c>
      <c r="G2893" s="5">
        <v>106.32</v>
      </c>
      <c r="H2893" s="5">
        <v>3</v>
      </c>
      <c r="I2893" s="6">
        <v>49.97</v>
      </c>
    </row>
    <row r="2894" spans="1:9" x14ac:dyDescent="0.3">
      <c r="A2894" s="1">
        <v>42890</v>
      </c>
      <c r="B2894" s="2" t="s">
        <v>597</v>
      </c>
      <c r="C2894" s="2" t="s">
        <v>411</v>
      </c>
      <c r="D2894" s="2" t="s">
        <v>2</v>
      </c>
      <c r="E2894" s="2" t="s">
        <v>11</v>
      </c>
      <c r="F2894" s="2" t="s">
        <v>1287</v>
      </c>
      <c r="G2894" s="2">
        <v>8.1</v>
      </c>
      <c r="H2894" s="2">
        <v>5</v>
      </c>
      <c r="I2894" s="3">
        <v>-5.94</v>
      </c>
    </row>
    <row r="2895" spans="1:9" x14ac:dyDescent="0.3">
      <c r="A2895" s="4">
        <v>42920</v>
      </c>
      <c r="B2895" s="5" t="s">
        <v>1420</v>
      </c>
      <c r="C2895" s="5" t="s">
        <v>58</v>
      </c>
      <c r="D2895" s="5" t="s">
        <v>25</v>
      </c>
      <c r="E2895" s="5" t="s">
        <v>86</v>
      </c>
      <c r="F2895" s="5" t="s">
        <v>1545</v>
      </c>
      <c r="G2895" s="5">
        <v>233.86</v>
      </c>
      <c r="H2895" s="5">
        <v>2</v>
      </c>
      <c r="I2895" s="6">
        <v>-102.05</v>
      </c>
    </row>
    <row r="2896" spans="1:9" x14ac:dyDescent="0.3">
      <c r="A2896" s="1">
        <v>42920</v>
      </c>
      <c r="B2896" s="2" t="s">
        <v>1420</v>
      </c>
      <c r="C2896" s="2" t="s">
        <v>58</v>
      </c>
      <c r="D2896" s="2" t="s">
        <v>25</v>
      </c>
      <c r="E2896" s="2" t="s">
        <v>86</v>
      </c>
      <c r="F2896" s="2" t="s">
        <v>1018</v>
      </c>
      <c r="G2896" s="2">
        <v>620.61</v>
      </c>
      <c r="H2896" s="2">
        <v>3</v>
      </c>
      <c r="I2896" s="3">
        <v>-248.25</v>
      </c>
    </row>
    <row r="2897" spans="1:9" x14ac:dyDescent="0.3">
      <c r="A2897" s="4">
        <v>42920</v>
      </c>
      <c r="B2897" s="5" t="s">
        <v>1420</v>
      </c>
      <c r="C2897" s="5" t="s">
        <v>58</v>
      </c>
      <c r="D2897" s="5" t="s">
        <v>2</v>
      </c>
      <c r="E2897" s="5" t="s">
        <v>11</v>
      </c>
      <c r="F2897" s="5" t="s">
        <v>2146</v>
      </c>
      <c r="G2897" s="5">
        <v>5.33</v>
      </c>
      <c r="H2897" s="5">
        <v>2</v>
      </c>
      <c r="I2897" s="6">
        <v>-3.55</v>
      </c>
    </row>
    <row r="2898" spans="1:9" x14ac:dyDescent="0.3">
      <c r="A2898" s="1">
        <v>42920</v>
      </c>
      <c r="B2898" s="2" t="s">
        <v>1420</v>
      </c>
      <c r="C2898" s="2" t="s">
        <v>58</v>
      </c>
      <c r="D2898" s="2" t="s">
        <v>25</v>
      </c>
      <c r="E2898" s="2" t="s">
        <v>38</v>
      </c>
      <c r="F2898" s="2" t="s">
        <v>2147</v>
      </c>
      <c r="G2898" s="2">
        <v>258.07</v>
      </c>
      <c r="H2898" s="2">
        <v>3</v>
      </c>
      <c r="I2898" s="3">
        <v>0</v>
      </c>
    </row>
    <row r="2899" spans="1:9" x14ac:dyDescent="0.3">
      <c r="A2899" s="4">
        <v>42920</v>
      </c>
      <c r="B2899" s="5" t="s">
        <v>1420</v>
      </c>
      <c r="C2899" s="5" t="s">
        <v>58</v>
      </c>
      <c r="D2899" s="5" t="s">
        <v>30</v>
      </c>
      <c r="E2899" s="5" t="s">
        <v>43</v>
      </c>
      <c r="F2899" s="5" t="s">
        <v>1938</v>
      </c>
      <c r="G2899" s="5">
        <v>617.98</v>
      </c>
      <c r="H2899" s="5">
        <v>3</v>
      </c>
      <c r="I2899" s="6">
        <v>-7.72</v>
      </c>
    </row>
    <row r="2900" spans="1:9" x14ac:dyDescent="0.3">
      <c r="A2900" s="1">
        <v>42920</v>
      </c>
      <c r="B2900" s="2" t="s">
        <v>100</v>
      </c>
      <c r="C2900" s="2" t="s">
        <v>58</v>
      </c>
      <c r="D2900" s="2" t="s">
        <v>2</v>
      </c>
      <c r="E2900" s="2" t="s">
        <v>15</v>
      </c>
      <c r="F2900" s="2" t="s">
        <v>915</v>
      </c>
      <c r="G2900" s="2">
        <v>16.260000000000002</v>
      </c>
      <c r="H2900" s="2">
        <v>2</v>
      </c>
      <c r="I2900" s="3">
        <v>1.22</v>
      </c>
    </row>
    <row r="2901" spans="1:9" x14ac:dyDescent="0.3">
      <c r="A2901" s="4">
        <v>42920</v>
      </c>
      <c r="B2901" s="5" t="s">
        <v>100</v>
      </c>
      <c r="C2901" s="5" t="s">
        <v>58</v>
      </c>
      <c r="D2901" s="5" t="s">
        <v>30</v>
      </c>
      <c r="E2901" s="5" t="s">
        <v>31</v>
      </c>
      <c r="F2901" s="5" t="s">
        <v>279</v>
      </c>
      <c r="G2901" s="5">
        <v>219.18</v>
      </c>
      <c r="H2901" s="5">
        <v>2</v>
      </c>
      <c r="I2901" s="6">
        <v>19.18</v>
      </c>
    </row>
    <row r="2902" spans="1:9" x14ac:dyDescent="0.3">
      <c r="A2902" s="1">
        <v>42951</v>
      </c>
      <c r="B2902" s="2" t="s">
        <v>841</v>
      </c>
      <c r="C2902" s="2" t="s">
        <v>21</v>
      </c>
      <c r="D2902" s="2" t="s">
        <v>25</v>
      </c>
      <c r="E2902" s="2" t="s">
        <v>38</v>
      </c>
      <c r="F2902" s="2" t="s">
        <v>1934</v>
      </c>
      <c r="G2902" s="2">
        <v>56.28</v>
      </c>
      <c r="H2902" s="2">
        <v>6</v>
      </c>
      <c r="I2902" s="3">
        <v>15.76</v>
      </c>
    </row>
    <row r="2903" spans="1:9" x14ac:dyDescent="0.3">
      <c r="A2903" s="4">
        <v>42951</v>
      </c>
      <c r="B2903" s="5" t="s">
        <v>841</v>
      </c>
      <c r="C2903" s="5" t="s">
        <v>21</v>
      </c>
      <c r="D2903" s="5" t="s">
        <v>2</v>
      </c>
      <c r="E2903" s="5" t="s">
        <v>11</v>
      </c>
      <c r="F2903" s="5" t="s">
        <v>627</v>
      </c>
      <c r="G2903" s="5">
        <v>2690.97</v>
      </c>
      <c r="H2903" s="5">
        <v>3</v>
      </c>
      <c r="I2903" s="6">
        <v>1264.76</v>
      </c>
    </row>
    <row r="2904" spans="1:9" x14ac:dyDescent="0.3">
      <c r="A2904" s="1">
        <v>42951</v>
      </c>
      <c r="B2904" s="2" t="s">
        <v>1694</v>
      </c>
      <c r="C2904" s="2" t="s">
        <v>77</v>
      </c>
      <c r="D2904" s="2" t="s">
        <v>2</v>
      </c>
      <c r="E2904" s="2" t="s">
        <v>9</v>
      </c>
      <c r="F2904" s="2" t="s">
        <v>1238</v>
      </c>
      <c r="G2904" s="2">
        <v>2591.56</v>
      </c>
      <c r="H2904" s="2">
        <v>4</v>
      </c>
      <c r="I2904" s="3">
        <v>621.97</v>
      </c>
    </row>
    <row r="2905" spans="1:9" x14ac:dyDescent="0.3">
      <c r="A2905" s="4">
        <v>42951</v>
      </c>
      <c r="B2905" s="5" t="s">
        <v>1694</v>
      </c>
      <c r="C2905" s="5" t="s">
        <v>77</v>
      </c>
      <c r="D2905" s="5" t="s">
        <v>2</v>
      </c>
      <c r="E2905" s="5" t="s">
        <v>133</v>
      </c>
      <c r="F2905" s="5" t="s">
        <v>682</v>
      </c>
      <c r="G2905" s="5">
        <v>41.95</v>
      </c>
      <c r="H2905" s="5">
        <v>5</v>
      </c>
      <c r="I2905" s="6">
        <v>10.49</v>
      </c>
    </row>
    <row r="2906" spans="1:9" x14ac:dyDescent="0.3">
      <c r="A2906" s="1">
        <v>42951</v>
      </c>
      <c r="B2906" s="2" t="s">
        <v>2148</v>
      </c>
      <c r="C2906" s="2" t="s">
        <v>18</v>
      </c>
      <c r="D2906" s="2" t="s">
        <v>2</v>
      </c>
      <c r="E2906" s="2" t="s">
        <v>3</v>
      </c>
      <c r="F2906" s="2" t="s">
        <v>147</v>
      </c>
      <c r="G2906" s="2">
        <v>244.55</v>
      </c>
      <c r="H2906" s="2">
        <v>5</v>
      </c>
      <c r="I2906" s="3">
        <v>114.94</v>
      </c>
    </row>
    <row r="2907" spans="1:9" x14ac:dyDescent="0.3">
      <c r="A2907" s="4">
        <v>42951</v>
      </c>
      <c r="B2907" s="5" t="s">
        <v>2148</v>
      </c>
      <c r="C2907" s="5" t="s">
        <v>18</v>
      </c>
      <c r="D2907" s="5" t="s">
        <v>2</v>
      </c>
      <c r="E2907" s="5" t="s">
        <v>3</v>
      </c>
      <c r="F2907" s="5" t="s">
        <v>960</v>
      </c>
      <c r="G2907" s="5">
        <v>195.76</v>
      </c>
      <c r="H2907" s="5">
        <v>4</v>
      </c>
      <c r="I2907" s="6">
        <v>97.88</v>
      </c>
    </row>
    <row r="2908" spans="1:9" x14ac:dyDescent="0.3">
      <c r="A2908" s="1">
        <v>42951</v>
      </c>
      <c r="B2908" s="2" t="s">
        <v>117</v>
      </c>
      <c r="C2908" s="2" t="s">
        <v>160</v>
      </c>
      <c r="D2908" s="2" t="s">
        <v>25</v>
      </c>
      <c r="E2908" s="2" t="s">
        <v>38</v>
      </c>
      <c r="F2908" s="2" t="s">
        <v>644</v>
      </c>
      <c r="G2908" s="2">
        <v>273.95999999999998</v>
      </c>
      <c r="H2908" s="2">
        <v>2</v>
      </c>
      <c r="I2908" s="3">
        <v>71.23</v>
      </c>
    </row>
    <row r="2909" spans="1:9" x14ac:dyDescent="0.3">
      <c r="A2909" s="4">
        <v>42951</v>
      </c>
      <c r="B2909" s="5" t="s">
        <v>117</v>
      </c>
      <c r="C2909" s="5" t="s">
        <v>160</v>
      </c>
      <c r="D2909" s="5" t="s">
        <v>25</v>
      </c>
      <c r="E2909" s="5" t="s">
        <v>38</v>
      </c>
      <c r="F2909" s="5" t="s">
        <v>2149</v>
      </c>
      <c r="G2909" s="5">
        <v>306.89999999999998</v>
      </c>
      <c r="H2909" s="5">
        <v>3</v>
      </c>
      <c r="I2909" s="6">
        <v>79.790000000000006</v>
      </c>
    </row>
    <row r="2910" spans="1:9" x14ac:dyDescent="0.3">
      <c r="A2910" s="1">
        <v>42982</v>
      </c>
      <c r="B2910" s="2" t="s">
        <v>2150</v>
      </c>
      <c r="C2910" s="2" t="s">
        <v>80</v>
      </c>
      <c r="D2910" s="2" t="s">
        <v>2</v>
      </c>
      <c r="E2910" s="2" t="s">
        <v>7</v>
      </c>
      <c r="F2910" s="2" t="s">
        <v>2151</v>
      </c>
      <c r="G2910" s="2">
        <v>9.82</v>
      </c>
      <c r="H2910" s="2">
        <v>2</v>
      </c>
      <c r="I2910" s="3">
        <v>4.8099999999999996</v>
      </c>
    </row>
    <row r="2911" spans="1:9" x14ac:dyDescent="0.3">
      <c r="A2911" s="4">
        <v>42982</v>
      </c>
      <c r="B2911" s="5" t="s">
        <v>2150</v>
      </c>
      <c r="C2911" s="5" t="s">
        <v>80</v>
      </c>
      <c r="D2911" s="5" t="s">
        <v>2</v>
      </c>
      <c r="E2911" s="5" t="s">
        <v>15</v>
      </c>
      <c r="F2911" s="5" t="s">
        <v>603</v>
      </c>
      <c r="G2911" s="5">
        <v>35.97</v>
      </c>
      <c r="H2911" s="5">
        <v>3</v>
      </c>
      <c r="I2911" s="6">
        <v>9.7100000000000009</v>
      </c>
    </row>
    <row r="2912" spans="1:9" x14ac:dyDescent="0.3">
      <c r="A2912" s="1">
        <v>42982</v>
      </c>
      <c r="B2912" s="2" t="s">
        <v>2150</v>
      </c>
      <c r="C2912" s="2" t="s">
        <v>80</v>
      </c>
      <c r="D2912" s="2" t="s">
        <v>2</v>
      </c>
      <c r="E2912" s="2" t="s">
        <v>3</v>
      </c>
      <c r="F2912" s="2" t="s">
        <v>1637</v>
      </c>
      <c r="G2912" s="2">
        <v>12.96</v>
      </c>
      <c r="H2912" s="2">
        <v>2</v>
      </c>
      <c r="I2912" s="3">
        <v>6.22</v>
      </c>
    </row>
    <row r="2913" spans="1:9" x14ac:dyDescent="0.3">
      <c r="A2913" s="4">
        <v>42982</v>
      </c>
      <c r="B2913" s="5" t="s">
        <v>2150</v>
      </c>
      <c r="C2913" s="5" t="s">
        <v>80</v>
      </c>
      <c r="D2913" s="5" t="s">
        <v>2</v>
      </c>
      <c r="E2913" s="5" t="s">
        <v>3</v>
      </c>
      <c r="F2913" s="5" t="s">
        <v>2152</v>
      </c>
      <c r="G2913" s="5">
        <v>191.6</v>
      </c>
      <c r="H2913" s="5">
        <v>4</v>
      </c>
      <c r="I2913" s="6">
        <v>91.97</v>
      </c>
    </row>
    <row r="2914" spans="1:9" x14ac:dyDescent="0.3">
      <c r="A2914" s="1">
        <v>42982</v>
      </c>
      <c r="B2914" s="2" t="s">
        <v>2150</v>
      </c>
      <c r="C2914" s="2" t="s">
        <v>80</v>
      </c>
      <c r="D2914" s="2" t="s">
        <v>2</v>
      </c>
      <c r="E2914" s="2" t="s">
        <v>7</v>
      </c>
      <c r="F2914" s="2" t="s">
        <v>1331</v>
      </c>
      <c r="G2914" s="2">
        <v>8.64</v>
      </c>
      <c r="H2914" s="2">
        <v>3</v>
      </c>
      <c r="I2914" s="3">
        <v>4.2300000000000004</v>
      </c>
    </row>
    <row r="2915" spans="1:9" x14ac:dyDescent="0.3">
      <c r="A2915" s="4">
        <v>42982</v>
      </c>
      <c r="B2915" s="5" t="s">
        <v>2150</v>
      </c>
      <c r="C2915" s="5" t="s">
        <v>80</v>
      </c>
      <c r="D2915" s="5" t="s">
        <v>2</v>
      </c>
      <c r="E2915" s="5" t="s">
        <v>9</v>
      </c>
      <c r="F2915" s="5" t="s">
        <v>2153</v>
      </c>
      <c r="G2915" s="5">
        <v>501.81</v>
      </c>
      <c r="H2915" s="5">
        <v>3</v>
      </c>
      <c r="I2915" s="6">
        <v>0</v>
      </c>
    </row>
    <row r="2916" spans="1:9" x14ac:dyDescent="0.3">
      <c r="A2916" s="1">
        <v>42982</v>
      </c>
      <c r="B2916" s="2" t="s">
        <v>2143</v>
      </c>
      <c r="C2916" s="2" t="s">
        <v>58</v>
      </c>
      <c r="D2916" s="2" t="s">
        <v>2</v>
      </c>
      <c r="E2916" s="2" t="s">
        <v>7</v>
      </c>
      <c r="F2916" s="2" t="s">
        <v>2154</v>
      </c>
      <c r="G2916" s="2">
        <v>15.12</v>
      </c>
      <c r="H2916" s="2">
        <v>3</v>
      </c>
      <c r="I2916" s="3">
        <v>4.91</v>
      </c>
    </row>
    <row r="2917" spans="1:9" x14ac:dyDescent="0.3">
      <c r="A2917" s="4">
        <v>42982</v>
      </c>
      <c r="B2917" s="5" t="s">
        <v>2143</v>
      </c>
      <c r="C2917" s="5" t="s">
        <v>58</v>
      </c>
      <c r="D2917" s="5" t="s">
        <v>2</v>
      </c>
      <c r="E2917" s="5" t="s">
        <v>11</v>
      </c>
      <c r="F2917" s="5" t="s">
        <v>355</v>
      </c>
      <c r="G2917" s="5">
        <v>17.43</v>
      </c>
      <c r="H2917" s="5">
        <v>1</v>
      </c>
      <c r="I2917" s="6">
        <v>-13.36</v>
      </c>
    </row>
    <row r="2918" spans="1:9" x14ac:dyDescent="0.3">
      <c r="A2918" s="1">
        <v>42982</v>
      </c>
      <c r="B2918" s="2" t="s">
        <v>2143</v>
      </c>
      <c r="C2918" s="2" t="s">
        <v>58</v>
      </c>
      <c r="D2918" s="2" t="s">
        <v>2</v>
      </c>
      <c r="E2918" s="2" t="s">
        <v>3</v>
      </c>
      <c r="F2918" s="2" t="s">
        <v>2051</v>
      </c>
      <c r="G2918" s="2">
        <v>251.64</v>
      </c>
      <c r="H2918" s="2">
        <v>3</v>
      </c>
      <c r="I2918" s="3">
        <v>88.07</v>
      </c>
    </row>
    <row r="2919" spans="1:9" x14ac:dyDescent="0.3">
      <c r="A2919" s="4">
        <v>42982</v>
      </c>
      <c r="B2919" s="5" t="s">
        <v>595</v>
      </c>
      <c r="C2919" s="5" t="s">
        <v>160</v>
      </c>
      <c r="D2919" s="5" t="s">
        <v>2</v>
      </c>
      <c r="E2919" s="5" t="s">
        <v>11</v>
      </c>
      <c r="F2919" s="5" t="s">
        <v>757</v>
      </c>
      <c r="G2919" s="5">
        <v>478.24</v>
      </c>
      <c r="H2919" s="5">
        <v>8</v>
      </c>
      <c r="I2919" s="6">
        <v>219.99</v>
      </c>
    </row>
    <row r="2920" spans="1:9" x14ac:dyDescent="0.3">
      <c r="A2920" s="1">
        <v>42982</v>
      </c>
      <c r="B2920" s="2" t="s">
        <v>1170</v>
      </c>
      <c r="C2920" s="2" t="s">
        <v>14</v>
      </c>
      <c r="D2920" s="2" t="s">
        <v>2</v>
      </c>
      <c r="E2920" s="2" t="s">
        <v>11</v>
      </c>
      <c r="F2920" s="2" t="s">
        <v>1292</v>
      </c>
      <c r="G2920" s="2">
        <v>37.9</v>
      </c>
      <c r="H2920" s="2">
        <v>4</v>
      </c>
      <c r="I2920" s="3">
        <v>-29.05</v>
      </c>
    </row>
    <row r="2921" spans="1:9" x14ac:dyDescent="0.3">
      <c r="A2921" s="4">
        <v>42982</v>
      </c>
      <c r="B2921" s="5" t="s">
        <v>1170</v>
      </c>
      <c r="C2921" s="5" t="s">
        <v>14</v>
      </c>
      <c r="D2921" s="5" t="s">
        <v>2</v>
      </c>
      <c r="E2921" s="5" t="s">
        <v>3</v>
      </c>
      <c r="F2921" s="5" t="s">
        <v>911</v>
      </c>
      <c r="G2921" s="5">
        <v>65.58</v>
      </c>
      <c r="H2921" s="5">
        <v>2</v>
      </c>
      <c r="I2921" s="6">
        <v>23.77</v>
      </c>
    </row>
    <row r="2922" spans="1:9" x14ac:dyDescent="0.3">
      <c r="A2922" s="1">
        <v>43012</v>
      </c>
      <c r="B2922" s="2" t="s">
        <v>1685</v>
      </c>
      <c r="C2922" s="2" t="s">
        <v>77</v>
      </c>
      <c r="D2922" s="2" t="s">
        <v>2</v>
      </c>
      <c r="E2922" s="2" t="s">
        <v>3</v>
      </c>
      <c r="F2922" s="2" t="s">
        <v>1208</v>
      </c>
      <c r="G2922" s="2">
        <v>7.61</v>
      </c>
      <c r="H2922" s="2">
        <v>1</v>
      </c>
      <c r="I2922" s="3">
        <v>3.58</v>
      </c>
    </row>
    <row r="2923" spans="1:9" x14ac:dyDescent="0.3">
      <c r="A2923" s="4">
        <v>43012</v>
      </c>
      <c r="B2923" s="5" t="s">
        <v>1685</v>
      </c>
      <c r="C2923" s="5" t="s">
        <v>77</v>
      </c>
      <c r="D2923" s="5" t="s">
        <v>2</v>
      </c>
      <c r="E2923" s="5" t="s">
        <v>34</v>
      </c>
      <c r="F2923" s="5" t="s">
        <v>1521</v>
      </c>
      <c r="G2923" s="5">
        <v>7.16</v>
      </c>
      <c r="H2923" s="5">
        <v>2</v>
      </c>
      <c r="I2923" s="6">
        <v>3.58</v>
      </c>
    </row>
    <row r="2924" spans="1:9" x14ac:dyDescent="0.3">
      <c r="A2924" s="1">
        <v>43012</v>
      </c>
      <c r="B2924" s="2" t="s">
        <v>752</v>
      </c>
      <c r="C2924" s="2" t="s">
        <v>1</v>
      </c>
      <c r="D2924" s="2" t="s">
        <v>2</v>
      </c>
      <c r="E2924" s="2" t="s">
        <v>3</v>
      </c>
      <c r="F2924" s="2" t="s">
        <v>1448</v>
      </c>
      <c r="G2924" s="2">
        <v>10.37</v>
      </c>
      <c r="H2924" s="2">
        <v>2</v>
      </c>
      <c r="I2924" s="3">
        <v>3.63</v>
      </c>
    </row>
    <row r="2925" spans="1:9" x14ac:dyDescent="0.3">
      <c r="A2925" s="4">
        <v>43012</v>
      </c>
      <c r="B2925" s="5" t="s">
        <v>752</v>
      </c>
      <c r="C2925" s="5" t="s">
        <v>1</v>
      </c>
      <c r="D2925" s="5" t="s">
        <v>30</v>
      </c>
      <c r="E2925" s="5" t="s">
        <v>43</v>
      </c>
      <c r="F2925" s="5" t="s">
        <v>1635</v>
      </c>
      <c r="G2925" s="5">
        <v>95.74</v>
      </c>
      <c r="H2925" s="5">
        <v>3</v>
      </c>
      <c r="I2925" s="6">
        <v>20.34</v>
      </c>
    </row>
    <row r="2926" spans="1:9" x14ac:dyDescent="0.3">
      <c r="A2926" s="1">
        <v>43012</v>
      </c>
      <c r="B2926" s="2" t="s">
        <v>2155</v>
      </c>
      <c r="C2926" s="2" t="s">
        <v>58</v>
      </c>
      <c r="D2926" s="2" t="s">
        <v>25</v>
      </c>
      <c r="E2926" s="2" t="s">
        <v>38</v>
      </c>
      <c r="F2926" s="2" t="s">
        <v>1260</v>
      </c>
      <c r="G2926" s="2">
        <v>12.32</v>
      </c>
      <c r="H2926" s="2">
        <v>5</v>
      </c>
      <c r="I2926" s="3">
        <v>1.85</v>
      </c>
    </row>
    <row r="2927" spans="1:9" x14ac:dyDescent="0.3">
      <c r="A2927" s="4">
        <v>43012</v>
      </c>
      <c r="B2927" s="5" t="s">
        <v>2155</v>
      </c>
      <c r="C2927" s="5" t="s">
        <v>58</v>
      </c>
      <c r="D2927" s="5" t="s">
        <v>2</v>
      </c>
      <c r="E2927" s="5" t="s">
        <v>11</v>
      </c>
      <c r="F2927" s="5" t="s">
        <v>833</v>
      </c>
      <c r="G2927" s="5">
        <v>4.42</v>
      </c>
      <c r="H2927" s="5">
        <v>3</v>
      </c>
      <c r="I2927" s="6">
        <v>-3.09</v>
      </c>
    </row>
    <row r="2928" spans="1:9" x14ac:dyDescent="0.3">
      <c r="A2928" s="1">
        <v>43012</v>
      </c>
      <c r="B2928" s="2" t="s">
        <v>2156</v>
      </c>
      <c r="C2928" s="2" t="s">
        <v>300</v>
      </c>
      <c r="D2928" s="2" t="s">
        <v>30</v>
      </c>
      <c r="E2928" s="2" t="s">
        <v>43</v>
      </c>
      <c r="F2928" s="2" t="s">
        <v>560</v>
      </c>
      <c r="G2928" s="2">
        <v>99.99</v>
      </c>
      <c r="H2928" s="2">
        <v>1</v>
      </c>
      <c r="I2928" s="3">
        <v>42</v>
      </c>
    </row>
    <row r="2929" spans="1:9" x14ac:dyDescent="0.3">
      <c r="A2929" s="4">
        <v>43012</v>
      </c>
      <c r="B2929" s="5" t="s">
        <v>2156</v>
      </c>
      <c r="C2929" s="5" t="s">
        <v>300</v>
      </c>
      <c r="D2929" s="5" t="s">
        <v>2</v>
      </c>
      <c r="E2929" s="5" t="s">
        <v>9</v>
      </c>
      <c r="F2929" s="5" t="s">
        <v>111</v>
      </c>
      <c r="G2929" s="5">
        <v>286.14999999999998</v>
      </c>
      <c r="H2929" s="5">
        <v>5</v>
      </c>
      <c r="I2929" s="6">
        <v>71.540000000000006</v>
      </c>
    </row>
    <row r="2930" spans="1:9" x14ac:dyDescent="0.3">
      <c r="A2930" s="1">
        <v>43012</v>
      </c>
      <c r="B2930" s="2" t="s">
        <v>523</v>
      </c>
      <c r="C2930" s="2" t="s">
        <v>14</v>
      </c>
      <c r="D2930" s="2" t="s">
        <v>2</v>
      </c>
      <c r="E2930" s="2" t="s">
        <v>133</v>
      </c>
      <c r="F2930" s="2" t="s">
        <v>2157</v>
      </c>
      <c r="G2930" s="2">
        <v>195.1</v>
      </c>
      <c r="H2930" s="2">
        <v>4</v>
      </c>
      <c r="I2930" s="3">
        <v>21.95</v>
      </c>
    </row>
    <row r="2931" spans="1:9" x14ac:dyDescent="0.3">
      <c r="A2931" s="4">
        <v>43012</v>
      </c>
      <c r="B2931" s="5" t="s">
        <v>523</v>
      </c>
      <c r="C2931" s="5" t="s">
        <v>14</v>
      </c>
      <c r="D2931" s="5" t="s">
        <v>25</v>
      </c>
      <c r="E2931" s="5" t="s">
        <v>38</v>
      </c>
      <c r="F2931" s="5" t="s">
        <v>948</v>
      </c>
      <c r="G2931" s="5">
        <v>36.67</v>
      </c>
      <c r="H2931" s="5">
        <v>3</v>
      </c>
      <c r="I2931" s="6">
        <v>6.42</v>
      </c>
    </row>
    <row r="2932" spans="1:9" x14ac:dyDescent="0.3">
      <c r="A2932" s="1">
        <v>43043</v>
      </c>
      <c r="B2932" s="2" t="s">
        <v>734</v>
      </c>
      <c r="C2932" s="2" t="s">
        <v>18</v>
      </c>
      <c r="D2932" s="2" t="s">
        <v>30</v>
      </c>
      <c r="E2932" s="2" t="s">
        <v>43</v>
      </c>
      <c r="F2932" s="2" t="s">
        <v>568</v>
      </c>
      <c r="G2932" s="2">
        <v>199.95</v>
      </c>
      <c r="H2932" s="2">
        <v>5</v>
      </c>
      <c r="I2932" s="3">
        <v>21.99</v>
      </c>
    </row>
    <row r="2933" spans="1:9" x14ac:dyDescent="0.3">
      <c r="A2933" s="4">
        <v>43043</v>
      </c>
      <c r="B2933" s="5" t="s">
        <v>734</v>
      </c>
      <c r="C2933" s="5" t="s">
        <v>18</v>
      </c>
      <c r="D2933" s="5" t="s">
        <v>2</v>
      </c>
      <c r="E2933" s="5" t="s">
        <v>15</v>
      </c>
      <c r="F2933" s="5" t="s">
        <v>2158</v>
      </c>
      <c r="G2933" s="5">
        <v>41.86</v>
      </c>
      <c r="H2933" s="5">
        <v>7</v>
      </c>
      <c r="I2933" s="6">
        <v>14.23</v>
      </c>
    </row>
    <row r="2934" spans="1:9" x14ac:dyDescent="0.3">
      <c r="A2934" s="1">
        <v>43043</v>
      </c>
      <c r="B2934" s="2" t="s">
        <v>2159</v>
      </c>
      <c r="C2934" s="2" t="s">
        <v>1</v>
      </c>
      <c r="D2934" s="2" t="s">
        <v>2</v>
      </c>
      <c r="E2934" s="2" t="s">
        <v>11</v>
      </c>
      <c r="F2934" s="2" t="s">
        <v>2160</v>
      </c>
      <c r="G2934" s="2">
        <v>11.36</v>
      </c>
      <c r="H2934" s="2">
        <v>3</v>
      </c>
      <c r="I2934" s="3">
        <v>-17.05</v>
      </c>
    </row>
    <row r="2935" spans="1:9" x14ac:dyDescent="0.3">
      <c r="A2935" s="4">
        <v>43043</v>
      </c>
      <c r="B2935" s="5" t="s">
        <v>611</v>
      </c>
      <c r="C2935" s="5" t="s">
        <v>127</v>
      </c>
      <c r="D2935" s="5" t="s">
        <v>2</v>
      </c>
      <c r="E2935" s="5" t="s">
        <v>9</v>
      </c>
      <c r="F2935" s="5" t="s">
        <v>1350</v>
      </c>
      <c r="G2935" s="5">
        <v>16.77</v>
      </c>
      <c r="H2935" s="5">
        <v>2</v>
      </c>
      <c r="I2935" s="6">
        <v>1.47</v>
      </c>
    </row>
    <row r="2936" spans="1:9" x14ac:dyDescent="0.3">
      <c r="A2936" s="1">
        <v>43043</v>
      </c>
      <c r="B2936" s="2" t="s">
        <v>611</v>
      </c>
      <c r="C2936" s="2" t="s">
        <v>127</v>
      </c>
      <c r="D2936" s="2" t="s">
        <v>30</v>
      </c>
      <c r="E2936" s="2" t="s">
        <v>43</v>
      </c>
      <c r="F2936" s="2" t="s">
        <v>233</v>
      </c>
      <c r="G2936" s="2">
        <v>27.12</v>
      </c>
      <c r="H2936" s="2">
        <v>2</v>
      </c>
      <c r="I2936" s="3">
        <v>-4.75</v>
      </c>
    </row>
    <row r="2937" spans="1:9" x14ac:dyDescent="0.3">
      <c r="A2937" s="4">
        <v>43043</v>
      </c>
      <c r="B2937" s="5" t="s">
        <v>1422</v>
      </c>
      <c r="C2937" s="5" t="s">
        <v>121</v>
      </c>
      <c r="D2937" s="5" t="s">
        <v>2</v>
      </c>
      <c r="E2937" s="5" t="s">
        <v>15</v>
      </c>
      <c r="F2937" s="5" t="s">
        <v>2161</v>
      </c>
      <c r="G2937" s="5">
        <v>1.75</v>
      </c>
      <c r="H2937" s="5">
        <v>1</v>
      </c>
      <c r="I2937" s="6">
        <v>0.15</v>
      </c>
    </row>
    <row r="2938" spans="1:9" x14ac:dyDescent="0.3">
      <c r="A2938" s="1">
        <v>43043</v>
      </c>
      <c r="B2938" s="2" t="s">
        <v>1422</v>
      </c>
      <c r="C2938" s="2" t="s">
        <v>121</v>
      </c>
      <c r="D2938" s="2" t="s">
        <v>2</v>
      </c>
      <c r="E2938" s="2" t="s">
        <v>15</v>
      </c>
      <c r="F2938" s="2" t="s">
        <v>213</v>
      </c>
      <c r="G2938" s="2">
        <v>20.99</v>
      </c>
      <c r="H2938" s="2">
        <v>8</v>
      </c>
      <c r="I2938" s="3">
        <v>2.36</v>
      </c>
    </row>
    <row r="2939" spans="1:9" x14ac:dyDescent="0.3">
      <c r="A2939" s="4">
        <v>43073</v>
      </c>
      <c r="B2939" s="5" t="s">
        <v>1337</v>
      </c>
      <c r="C2939" s="5" t="s">
        <v>1300</v>
      </c>
      <c r="D2939" s="5" t="s">
        <v>2</v>
      </c>
      <c r="E2939" s="5" t="s">
        <v>11</v>
      </c>
      <c r="F2939" s="5" t="s">
        <v>314</v>
      </c>
      <c r="G2939" s="5">
        <v>29.7</v>
      </c>
      <c r="H2939" s="5">
        <v>5</v>
      </c>
      <c r="I2939" s="6">
        <v>13.37</v>
      </c>
    </row>
    <row r="2940" spans="1:9" x14ac:dyDescent="0.3">
      <c r="A2940" s="1">
        <v>43073</v>
      </c>
      <c r="B2940" s="2" t="s">
        <v>1337</v>
      </c>
      <c r="C2940" s="2" t="s">
        <v>1300</v>
      </c>
      <c r="D2940" s="2" t="s">
        <v>2</v>
      </c>
      <c r="E2940" s="2" t="s">
        <v>3</v>
      </c>
      <c r="F2940" s="2" t="s">
        <v>2162</v>
      </c>
      <c r="G2940" s="2">
        <v>39.96</v>
      </c>
      <c r="H2940" s="2">
        <v>4</v>
      </c>
      <c r="I2940" s="3">
        <v>17.98</v>
      </c>
    </row>
    <row r="2941" spans="1:9" x14ac:dyDescent="0.3">
      <c r="A2941" s="4">
        <v>42740</v>
      </c>
      <c r="B2941" s="5" t="s">
        <v>1685</v>
      </c>
      <c r="C2941" s="5" t="s">
        <v>368</v>
      </c>
      <c r="D2941" s="5" t="s">
        <v>30</v>
      </c>
      <c r="E2941" s="5" t="s">
        <v>43</v>
      </c>
      <c r="F2941" s="5" t="s">
        <v>773</v>
      </c>
      <c r="G2941" s="5">
        <v>48.9</v>
      </c>
      <c r="H2941" s="5">
        <v>5</v>
      </c>
      <c r="I2941" s="6">
        <v>18.09</v>
      </c>
    </row>
    <row r="2942" spans="1:9" x14ac:dyDescent="0.3">
      <c r="A2942" s="1">
        <v>42740</v>
      </c>
      <c r="B2942" s="2" t="s">
        <v>1692</v>
      </c>
      <c r="C2942" s="2" t="s">
        <v>58</v>
      </c>
      <c r="D2942" s="2" t="s">
        <v>2</v>
      </c>
      <c r="E2942" s="2" t="s">
        <v>144</v>
      </c>
      <c r="F2942" s="2" t="s">
        <v>2163</v>
      </c>
      <c r="G2942" s="2">
        <v>3.33</v>
      </c>
      <c r="H2942" s="2">
        <v>2</v>
      </c>
      <c r="I2942" s="3">
        <v>0.42</v>
      </c>
    </row>
    <row r="2943" spans="1:9" x14ac:dyDescent="0.3">
      <c r="A2943" s="4">
        <v>42740</v>
      </c>
      <c r="B2943" s="5" t="s">
        <v>1692</v>
      </c>
      <c r="C2943" s="5" t="s">
        <v>58</v>
      </c>
      <c r="D2943" s="5" t="s">
        <v>25</v>
      </c>
      <c r="E2943" s="5" t="s">
        <v>86</v>
      </c>
      <c r="F2943" s="5" t="s">
        <v>1049</v>
      </c>
      <c r="G2943" s="5">
        <v>933.26</v>
      </c>
      <c r="H2943" s="5">
        <v>4</v>
      </c>
      <c r="I2943" s="6">
        <v>-458.15</v>
      </c>
    </row>
    <row r="2944" spans="1:9" x14ac:dyDescent="0.3">
      <c r="A2944" s="1">
        <v>42740</v>
      </c>
      <c r="B2944" s="2" t="s">
        <v>1692</v>
      </c>
      <c r="C2944" s="2" t="s">
        <v>58</v>
      </c>
      <c r="D2944" s="2" t="s">
        <v>25</v>
      </c>
      <c r="E2944" s="2" t="s">
        <v>26</v>
      </c>
      <c r="F2944" s="2" t="s">
        <v>735</v>
      </c>
      <c r="G2944" s="2">
        <v>2803.92</v>
      </c>
      <c r="H2944" s="2">
        <v>5</v>
      </c>
      <c r="I2944" s="3">
        <v>0</v>
      </c>
    </row>
    <row r="2945" spans="1:9" x14ac:dyDescent="0.3">
      <c r="A2945" s="4">
        <v>42740</v>
      </c>
      <c r="B2945" s="5" t="s">
        <v>1361</v>
      </c>
      <c r="C2945" s="5" t="s">
        <v>58</v>
      </c>
      <c r="D2945" s="5" t="s">
        <v>25</v>
      </c>
      <c r="E2945" s="5" t="s">
        <v>129</v>
      </c>
      <c r="F2945" s="5" t="s">
        <v>1736</v>
      </c>
      <c r="G2945" s="5">
        <v>314.35000000000002</v>
      </c>
      <c r="H2945" s="5">
        <v>3</v>
      </c>
      <c r="I2945" s="6">
        <v>-15.72</v>
      </c>
    </row>
    <row r="2946" spans="1:9" x14ac:dyDescent="0.3">
      <c r="A2946" s="1">
        <v>42740</v>
      </c>
      <c r="B2946" s="2" t="s">
        <v>1361</v>
      </c>
      <c r="C2946" s="2" t="s">
        <v>58</v>
      </c>
      <c r="D2946" s="2" t="s">
        <v>2</v>
      </c>
      <c r="E2946" s="2" t="s">
        <v>7</v>
      </c>
      <c r="F2946" s="2" t="s">
        <v>999</v>
      </c>
      <c r="G2946" s="2">
        <v>4.6100000000000003</v>
      </c>
      <c r="H2946" s="2">
        <v>2</v>
      </c>
      <c r="I2946" s="3">
        <v>1.5</v>
      </c>
    </row>
    <row r="2947" spans="1:9" x14ac:dyDescent="0.3">
      <c r="A2947" s="4">
        <v>42771</v>
      </c>
      <c r="B2947" s="5" t="s">
        <v>1872</v>
      </c>
      <c r="C2947" s="5" t="s">
        <v>77</v>
      </c>
      <c r="D2947" s="5" t="s">
        <v>25</v>
      </c>
      <c r="E2947" s="5" t="s">
        <v>38</v>
      </c>
      <c r="F2947" s="5" t="s">
        <v>1019</v>
      </c>
      <c r="G2947" s="5">
        <v>129.93</v>
      </c>
      <c r="H2947" s="5">
        <v>3</v>
      </c>
      <c r="I2947" s="6">
        <v>12.99</v>
      </c>
    </row>
    <row r="2948" spans="1:9" x14ac:dyDescent="0.3">
      <c r="A2948" s="1">
        <v>42771</v>
      </c>
      <c r="B2948" s="2" t="s">
        <v>962</v>
      </c>
      <c r="C2948" s="2" t="s">
        <v>18</v>
      </c>
      <c r="D2948" s="2" t="s">
        <v>30</v>
      </c>
      <c r="E2948" s="2" t="s">
        <v>43</v>
      </c>
      <c r="F2948" s="2" t="s">
        <v>1635</v>
      </c>
      <c r="G2948" s="2">
        <v>159.56</v>
      </c>
      <c r="H2948" s="2">
        <v>4</v>
      </c>
      <c r="I2948" s="3">
        <v>59.04</v>
      </c>
    </row>
    <row r="2949" spans="1:9" x14ac:dyDescent="0.3">
      <c r="A2949" s="4">
        <v>42771</v>
      </c>
      <c r="B2949" s="5" t="s">
        <v>2164</v>
      </c>
      <c r="C2949" s="5" t="s">
        <v>18</v>
      </c>
      <c r="D2949" s="5" t="s">
        <v>2</v>
      </c>
      <c r="E2949" s="5" t="s">
        <v>3</v>
      </c>
      <c r="F2949" s="5" t="s">
        <v>308</v>
      </c>
      <c r="G2949" s="5">
        <v>15.7</v>
      </c>
      <c r="H2949" s="5">
        <v>5</v>
      </c>
      <c r="I2949" s="6">
        <v>7.07</v>
      </c>
    </row>
    <row r="2950" spans="1:9" x14ac:dyDescent="0.3">
      <c r="A2950" s="1">
        <v>42771</v>
      </c>
      <c r="B2950" s="2" t="s">
        <v>2164</v>
      </c>
      <c r="C2950" s="2" t="s">
        <v>18</v>
      </c>
      <c r="D2950" s="2" t="s">
        <v>2</v>
      </c>
      <c r="E2950" s="2" t="s">
        <v>15</v>
      </c>
      <c r="F2950" s="2" t="s">
        <v>1041</v>
      </c>
      <c r="G2950" s="2">
        <v>59.52</v>
      </c>
      <c r="H2950" s="2">
        <v>3</v>
      </c>
      <c r="I2950" s="3">
        <v>15.48</v>
      </c>
    </row>
    <row r="2951" spans="1:9" x14ac:dyDescent="0.3">
      <c r="A2951" s="4">
        <v>42771</v>
      </c>
      <c r="B2951" s="5" t="s">
        <v>2164</v>
      </c>
      <c r="C2951" s="5" t="s">
        <v>18</v>
      </c>
      <c r="D2951" s="5" t="s">
        <v>2</v>
      </c>
      <c r="E2951" s="5" t="s">
        <v>3</v>
      </c>
      <c r="F2951" s="5" t="s">
        <v>1603</v>
      </c>
      <c r="G2951" s="5">
        <v>34.4</v>
      </c>
      <c r="H2951" s="5">
        <v>5</v>
      </c>
      <c r="I2951" s="6">
        <v>15.82</v>
      </c>
    </row>
    <row r="2952" spans="1:9" x14ac:dyDescent="0.3">
      <c r="A2952" s="1">
        <v>42799</v>
      </c>
      <c r="B2952" s="2" t="s">
        <v>931</v>
      </c>
      <c r="C2952" s="2" t="s">
        <v>18</v>
      </c>
      <c r="D2952" s="2" t="s">
        <v>2</v>
      </c>
      <c r="E2952" s="2" t="s">
        <v>9</v>
      </c>
      <c r="F2952" s="2" t="s">
        <v>811</v>
      </c>
      <c r="G2952" s="2">
        <v>69.52</v>
      </c>
      <c r="H2952" s="2">
        <v>2</v>
      </c>
      <c r="I2952" s="3">
        <v>19.47</v>
      </c>
    </row>
    <row r="2953" spans="1:9" x14ac:dyDescent="0.3">
      <c r="A2953" s="4">
        <v>42799</v>
      </c>
      <c r="B2953" s="5" t="s">
        <v>931</v>
      </c>
      <c r="C2953" s="5" t="s">
        <v>18</v>
      </c>
      <c r="D2953" s="5" t="s">
        <v>2</v>
      </c>
      <c r="E2953" s="5" t="s">
        <v>9</v>
      </c>
      <c r="F2953" s="5" t="s">
        <v>2165</v>
      </c>
      <c r="G2953" s="5">
        <v>763.44</v>
      </c>
      <c r="H2953" s="5">
        <v>8</v>
      </c>
      <c r="I2953" s="6">
        <v>45.81</v>
      </c>
    </row>
    <row r="2954" spans="1:9" x14ac:dyDescent="0.3">
      <c r="A2954" s="1">
        <v>42799</v>
      </c>
      <c r="B2954" s="2" t="s">
        <v>2041</v>
      </c>
      <c r="C2954" s="2" t="s">
        <v>18</v>
      </c>
      <c r="D2954" s="2" t="s">
        <v>2</v>
      </c>
      <c r="E2954" s="2" t="s">
        <v>3</v>
      </c>
      <c r="F2954" s="2" t="s">
        <v>1644</v>
      </c>
      <c r="G2954" s="2">
        <v>25.92</v>
      </c>
      <c r="H2954" s="2">
        <v>4</v>
      </c>
      <c r="I2954" s="3">
        <v>12.44</v>
      </c>
    </row>
    <row r="2955" spans="1:9" x14ac:dyDescent="0.3">
      <c r="A2955" s="4">
        <v>42799</v>
      </c>
      <c r="B2955" s="5" t="s">
        <v>2041</v>
      </c>
      <c r="C2955" s="5" t="s">
        <v>18</v>
      </c>
      <c r="D2955" s="5" t="s">
        <v>2</v>
      </c>
      <c r="E2955" s="5" t="s">
        <v>15</v>
      </c>
      <c r="F2955" s="5" t="s">
        <v>309</v>
      </c>
      <c r="G2955" s="5">
        <v>22.96</v>
      </c>
      <c r="H2955" s="5">
        <v>7</v>
      </c>
      <c r="I2955" s="6">
        <v>6.66</v>
      </c>
    </row>
    <row r="2956" spans="1:9" x14ac:dyDescent="0.3">
      <c r="A2956" s="1">
        <v>42799</v>
      </c>
      <c r="B2956" s="2" t="s">
        <v>1630</v>
      </c>
      <c r="C2956" s="2" t="s">
        <v>14</v>
      </c>
      <c r="D2956" s="2" t="s">
        <v>25</v>
      </c>
      <c r="E2956" s="2" t="s">
        <v>38</v>
      </c>
      <c r="F2956" s="2" t="s">
        <v>2166</v>
      </c>
      <c r="G2956" s="2">
        <v>32.450000000000003</v>
      </c>
      <c r="H2956" s="2">
        <v>2</v>
      </c>
      <c r="I2956" s="3">
        <v>7.3</v>
      </c>
    </row>
    <row r="2957" spans="1:9" x14ac:dyDescent="0.3">
      <c r="A2957" s="4">
        <v>42799</v>
      </c>
      <c r="B2957" s="5" t="s">
        <v>1630</v>
      </c>
      <c r="C2957" s="5" t="s">
        <v>14</v>
      </c>
      <c r="D2957" s="5" t="s">
        <v>2</v>
      </c>
      <c r="E2957" s="5" t="s">
        <v>11</v>
      </c>
      <c r="F2957" s="5" t="s">
        <v>317</v>
      </c>
      <c r="G2957" s="5">
        <v>26.39</v>
      </c>
      <c r="H2957" s="5">
        <v>4</v>
      </c>
      <c r="I2957" s="6">
        <v>-17.59</v>
      </c>
    </row>
    <row r="2958" spans="1:9" x14ac:dyDescent="0.3">
      <c r="A2958" s="1">
        <v>42799</v>
      </c>
      <c r="B2958" s="2" t="s">
        <v>1630</v>
      </c>
      <c r="C2958" s="2" t="s">
        <v>14</v>
      </c>
      <c r="D2958" s="2" t="s">
        <v>25</v>
      </c>
      <c r="E2958" s="2" t="s">
        <v>86</v>
      </c>
      <c r="F2958" s="2" t="s">
        <v>259</v>
      </c>
      <c r="G2958" s="2">
        <v>373.47</v>
      </c>
      <c r="H2958" s="2">
        <v>5</v>
      </c>
      <c r="I2958" s="3">
        <v>-112.04</v>
      </c>
    </row>
    <row r="2959" spans="1:9" x14ac:dyDescent="0.3">
      <c r="A2959" s="4">
        <v>42799</v>
      </c>
      <c r="B2959" s="5" t="s">
        <v>1630</v>
      </c>
      <c r="C2959" s="5" t="s">
        <v>14</v>
      </c>
      <c r="D2959" s="5" t="s">
        <v>2</v>
      </c>
      <c r="E2959" s="5" t="s">
        <v>11</v>
      </c>
      <c r="F2959" s="5" t="s">
        <v>1228</v>
      </c>
      <c r="G2959" s="5">
        <v>64.2</v>
      </c>
      <c r="H2959" s="5">
        <v>5</v>
      </c>
      <c r="I2959" s="6">
        <v>-44.94</v>
      </c>
    </row>
    <row r="2960" spans="1:9" x14ac:dyDescent="0.3">
      <c r="A2960" s="1">
        <v>42799</v>
      </c>
      <c r="B2960" s="2" t="s">
        <v>1630</v>
      </c>
      <c r="C2960" s="2" t="s">
        <v>14</v>
      </c>
      <c r="D2960" s="2" t="s">
        <v>2</v>
      </c>
      <c r="E2960" s="2" t="s">
        <v>34</v>
      </c>
      <c r="F2960" s="2" t="s">
        <v>679</v>
      </c>
      <c r="G2960" s="2">
        <v>8</v>
      </c>
      <c r="H2960" s="2">
        <v>2</v>
      </c>
      <c r="I2960" s="3">
        <v>2.8</v>
      </c>
    </row>
    <row r="2961" spans="1:9" x14ac:dyDescent="0.3">
      <c r="A2961" s="4">
        <v>42830</v>
      </c>
      <c r="B2961" s="5" t="s">
        <v>1767</v>
      </c>
      <c r="C2961" s="5" t="s">
        <v>18</v>
      </c>
      <c r="D2961" s="5" t="s">
        <v>30</v>
      </c>
      <c r="E2961" s="5" t="s">
        <v>31</v>
      </c>
      <c r="F2961" s="5" t="s">
        <v>2167</v>
      </c>
      <c r="G2961" s="5">
        <v>183.96</v>
      </c>
      <c r="H2961" s="5">
        <v>5</v>
      </c>
      <c r="I2961" s="6">
        <v>20.7</v>
      </c>
    </row>
    <row r="2962" spans="1:9" x14ac:dyDescent="0.3">
      <c r="A2962" s="1">
        <v>42830</v>
      </c>
      <c r="B2962" s="2" t="s">
        <v>1767</v>
      </c>
      <c r="C2962" s="2" t="s">
        <v>18</v>
      </c>
      <c r="D2962" s="2" t="s">
        <v>2</v>
      </c>
      <c r="E2962" s="2" t="s">
        <v>3</v>
      </c>
      <c r="F2962" s="2" t="s">
        <v>1249</v>
      </c>
      <c r="G2962" s="2">
        <v>17.61</v>
      </c>
      <c r="H2962" s="2">
        <v>3</v>
      </c>
      <c r="I2962" s="3">
        <v>8.4499999999999993</v>
      </c>
    </row>
    <row r="2963" spans="1:9" x14ac:dyDescent="0.3">
      <c r="A2963" s="4">
        <v>42830</v>
      </c>
      <c r="B2963" s="5" t="s">
        <v>1767</v>
      </c>
      <c r="C2963" s="5" t="s">
        <v>18</v>
      </c>
      <c r="D2963" s="5" t="s">
        <v>25</v>
      </c>
      <c r="E2963" s="5" t="s">
        <v>86</v>
      </c>
      <c r="F2963" s="5" t="s">
        <v>1018</v>
      </c>
      <c r="G2963" s="5">
        <v>300.89999999999998</v>
      </c>
      <c r="H2963" s="5">
        <v>1</v>
      </c>
      <c r="I2963" s="6">
        <v>11.28</v>
      </c>
    </row>
    <row r="2964" spans="1:9" x14ac:dyDescent="0.3">
      <c r="A2964" s="1">
        <v>42830</v>
      </c>
      <c r="B2964" s="2" t="s">
        <v>2041</v>
      </c>
      <c r="C2964" s="2" t="s">
        <v>46</v>
      </c>
      <c r="D2964" s="2" t="s">
        <v>2</v>
      </c>
      <c r="E2964" s="2" t="s">
        <v>3</v>
      </c>
      <c r="F2964" s="2" t="s">
        <v>1621</v>
      </c>
      <c r="G2964" s="2">
        <v>9.11</v>
      </c>
      <c r="H2964" s="2">
        <v>1</v>
      </c>
      <c r="I2964" s="3">
        <v>4.0999999999999996</v>
      </c>
    </row>
    <row r="2965" spans="1:9" x14ac:dyDescent="0.3">
      <c r="A2965" s="4">
        <v>42830</v>
      </c>
      <c r="B2965" s="5" t="s">
        <v>2041</v>
      </c>
      <c r="C2965" s="5" t="s">
        <v>46</v>
      </c>
      <c r="D2965" s="5" t="s">
        <v>2</v>
      </c>
      <c r="E2965" s="5" t="s">
        <v>9</v>
      </c>
      <c r="F2965" s="5" t="s">
        <v>1537</v>
      </c>
      <c r="G2965" s="5">
        <v>571.44000000000005</v>
      </c>
      <c r="H2965" s="5">
        <v>4</v>
      </c>
      <c r="I2965" s="6">
        <v>165.72</v>
      </c>
    </row>
    <row r="2966" spans="1:9" x14ac:dyDescent="0.3">
      <c r="A2966" s="1">
        <v>42830</v>
      </c>
      <c r="B2966" s="2" t="s">
        <v>2041</v>
      </c>
      <c r="C2966" s="2" t="s">
        <v>46</v>
      </c>
      <c r="D2966" s="2" t="s">
        <v>2</v>
      </c>
      <c r="E2966" s="2" t="s">
        <v>3</v>
      </c>
      <c r="F2966" s="2" t="s">
        <v>2008</v>
      </c>
      <c r="G2966" s="2">
        <v>32.4</v>
      </c>
      <c r="H2966" s="2">
        <v>5</v>
      </c>
      <c r="I2966" s="3">
        <v>15.55</v>
      </c>
    </row>
    <row r="2967" spans="1:9" x14ac:dyDescent="0.3">
      <c r="A2967" s="4">
        <v>42830</v>
      </c>
      <c r="B2967" s="5" t="s">
        <v>2041</v>
      </c>
      <c r="C2967" s="5" t="s">
        <v>46</v>
      </c>
      <c r="D2967" s="5" t="s">
        <v>2</v>
      </c>
      <c r="E2967" s="5" t="s">
        <v>9</v>
      </c>
      <c r="F2967" s="5" t="s">
        <v>2168</v>
      </c>
      <c r="G2967" s="5">
        <v>16.91</v>
      </c>
      <c r="H2967" s="5">
        <v>1</v>
      </c>
      <c r="I2967" s="6">
        <v>4.57</v>
      </c>
    </row>
    <row r="2968" spans="1:9" x14ac:dyDescent="0.3">
      <c r="A2968" s="1">
        <v>42830</v>
      </c>
      <c r="B2968" s="2" t="s">
        <v>828</v>
      </c>
      <c r="C2968" s="2" t="s">
        <v>127</v>
      </c>
      <c r="D2968" s="2" t="s">
        <v>2</v>
      </c>
      <c r="E2968" s="2" t="s">
        <v>11</v>
      </c>
      <c r="F2968" s="2" t="s">
        <v>420</v>
      </c>
      <c r="G2968" s="2">
        <v>2.31</v>
      </c>
      <c r="H2968" s="2">
        <v>1</v>
      </c>
      <c r="I2968" s="3">
        <v>-1.93</v>
      </c>
    </row>
    <row r="2969" spans="1:9" x14ac:dyDescent="0.3">
      <c r="A2969" s="4">
        <v>42830</v>
      </c>
      <c r="B2969" s="5" t="s">
        <v>1712</v>
      </c>
      <c r="C2969" s="5" t="s">
        <v>14</v>
      </c>
      <c r="D2969" s="5" t="s">
        <v>2</v>
      </c>
      <c r="E2969" s="5" t="s">
        <v>11</v>
      </c>
      <c r="F2969" s="5" t="s">
        <v>2081</v>
      </c>
      <c r="G2969" s="5">
        <v>2.2000000000000002</v>
      </c>
      <c r="H2969" s="5">
        <v>2</v>
      </c>
      <c r="I2969" s="6">
        <v>-1.54</v>
      </c>
    </row>
    <row r="2970" spans="1:9" x14ac:dyDescent="0.3">
      <c r="A2970" s="1">
        <v>42830</v>
      </c>
      <c r="B2970" s="2" t="s">
        <v>1712</v>
      </c>
      <c r="C2970" s="2" t="s">
        <v>14</v>
      </c>
      <c r="D2970" s="2" t="s">
        <v>2</v>
      </c>
      <c r="E2970" s="2" t="s">
        <v>11</v>
      </c>
      <c r="F2970" s="2" t="s">
        <v>2090</v>
      </c>
      <c r="G2970" s="2">
        <v>9.4</v>
      </c>
      <c r="H2970" s="2">
        <v>3</v>
      </c>
      <c r="I2970" s="3">
        <v>-7.52</v>
      </c>
    </row>
    <row r="2971" spans="1:9" x14ac:dyDescent="0.3">
      <c r="A2971" s="4">
        <v>42830</v>
      </c>
      <c r="B2971" s="5" t="s">
        <v>710</v>
      </c>
      <c r="C2971" s="5" t="s">
        <v>18</v>
      </c>
      <c r="D2971" s="5" t="s">
        <v>2</v>
      </c>
      <c r="E2971" s="5" t="s">
        <v>133</v>
      </c>
      <c r="F2971" s="5" t="s">
        <v>1283</v>
      </c>
      <c r="G2971" s="5">
        <v>243.16</v>
      </c>
      <c r="H2971" s="5">
        <v>2</v>
      </c>
      <c r="I2971" s="6">
        <v>72.95</v>
      </c>
    </row>
    <row r="2972" spans="1:9" x14ac:dyDescent="0.3">
      <c r="A2972" s="1">
        <v>42860</v>
      </c>
      <c r="B2972" s="2" t="s">
        <v>1303</v>
      </c>
      <c r="C2972" s="2" t="s">
        <v>18</v>
      </c>
      <c r="D2972" s="2" t="s">
        <v>2</v>
      </c>
      <c r="E2972" s="2" t="s">
        <v>114</v>
      </c>
      <c r="F2972" s="2" t="s">
        <v>2169</v>
      </c>
      <c r="G2972" s="2">
        <v>23.16</v>
      </c>
      <c r="H2972" s="2">
        <v>2</v>
      </c>
      <c r="I2972" s="3">
        <v>11.58</v>
      </c>
    </row>
    <row r="2973" spans="1:9" x14ac:dyDescent="0.3">
      <c r="A2973" s="4">
        <v>42860</v>
      </c>
      <c r="B2973" s="5" t="s">
        <v>671</v>
      </c>
      <c r="C2973" s="5" t="s">
        <v>163</v>
      </c>
      <c r="D2973" s="5" t="s">
        <v>2</v>
      </c>
      <c r="E2973" s="5" t="s">
        <v>114</v>
      </c>
      <c r="F2973" s="5" t="s">
        <v>1491</v>
      </c>
      <c r="G2973" s="5">
        <v>21.24</v>
      </c>
      <c r="H2973" s="5">
        <v>9</v>
      </c>
      <c r="I2973" s="6">
        <v>7.43</v>
      </c>
    </row>
    <row r="2974" spans="1:9" x14ac:dyDescent="0.3">
      <c r="A2974" s="1">
        <v>42860</v>
      </c>
      <c r="B2974" s="2" t="s">
        <v>671</v>
      </c>
      <c r="C2974" s="2" t="s">
        <v>163</v>
      </c>
      <c r="D2974" s="2" t="s">
        <v>2</v>
      </c>
      <c r="E2974" s="2" t="s">
        <v>11</v>
      </c>
      <c r="F2974" s="2" t="s">
        <v>1354</v>
      </c>
      <c r="G2974" s="2">
        <v>9.5500000000000007</v>
      </c>
      <c r="H2974" s="2">
        <v>8</v>
      </c>
      <c r="I2974" s="3">
        <v>-7.32</v>
      </c>
    </row>
    <row r="2975" spans="1:9" x14ac:dyDescent="0.3">
      <c r="A2975" s="4">
        <v>42860</v>
      </c>
      <c r="B2975" s="5" t="s">
        <v>671</v>
      </c>
      <c r="C2975" s="5" t="s">
        <v>163</v>
      </c>
      <c r="D2975" s="5" t="s">
        <v>25</v>
      </c>
      <c r="E2975" s="5" t="s">
        <v>129</v>
      </c>
      <c r="F2975" s="5" t="s">
        <v>337</v>
      </c>
      <c r="G2975" s="5">
        <v>89.99</v>
      </c>
      <c r="H2975" s="5">
        <v>3</v>
      </c>
      <c r="I2975" s="6">
        <v>-152.97999999999999</v>
      </c>
    </row>
    <row r="2976" spans="1:9" x14ac:dyDescent="0.3">
      <c r="A2976" s="1">
        <v>42860</v>
      </c>
      <c r="B2976" s="2" t="s">
        <v>1050</v>
      </c>
      <c r="C2976" s="2" t="s">
        <v>21</v>
      </c>
      <c r="D2976" s="2" t="s">
        <v>2</v>
      </c>
      <c r="E2976" s="2" t="s">
        <v>11</v>
      </c>
      <c r="F2976" s="2" t="s">
        <v>986</v>
      </c>
      <c r="G2976" s="2">
        <v>34.5</v>
      </c>
      <c r="H2976" s="2">
        <v>3</v>
      </c>
      <c r="I2976" s="3">
        <v>15.53</v>
      </c>
    </row>
    <row r="2977" spans="1:9" x14ac:dyDescent="0.3">
      <c r="A2977" s="4">
        <v>42860</v>
      </c>
      <c r="B2977" s="5" t="s">
        <v>333</v>
      </c>
      <c r="C2977" s="5" t="s">
        <v>80</v>
      </c>
      <c r="D2977" s="5" t="s">
        <v>2</v>
      </c>
      <c r="E2977" s="5" t="s">
        <v>3</v>
      </c>
      <c r="F2977" s="5" t="s">
        <v>1725</v>
      </c>
      <c r="G2977" s="5">
        <v>6.68</v>
      </c>
      <c r="H2977" s="5">
        <v>1</v>
      </c>
      <c r="I2977" s="6">
        <v>3.21</v>
      </c>
    </row>
    <row r="2978" spans="1:9" x14ac:dyDescent="0.3">
      <c r="A2978" s="1">
        <v>42891</v>
      </c>
      <c r="B2978" s="2" t="s">
        <v>1865</v>
      </c>
      <c r="C2978" s="2" t="s">
        <v>6</v>
      </c>
      <c r="D2978" s="2" t="s">
        <v>2</v>
      </c>
      <c r="E2978" s="2" t="s">
        <v>15</v>
      </c>
      <c r="F2978" s="2" t="s">
        <v>1895</v>
      </c>
      <c r="G2978" s="2">
        <v>6.41</v>
      </c>
      <c r="H2978" s="2">
        <v>3</v>
      </c>
      <c r="I2978" s="3">
        <v>0.64</v>
      </c>
    </row>
    <row r="2979" spans="1:9" x14ac:dyDescent="0.3">
      <c r="A2979" s="4">
        <v>42891</v>
      </c>
      <c r="B2979" s="5" t="s">
        <v>1865</v>
      </c>
      <c r="C2979" s="5" t="s">
        <v>6</v>
      </c>
      <c r="D2979" s="5" t="s">
        <v>30</v>
      </c>
      <c r="E2979" s="5" t="s">
        <v>43</v>
      </c>
      <c r="F2979" s="5" t="s">
        <v>230</v>
      </c>
      <c r="G2979" s="5">
        <v>408.74</v>
      </c>
      <c r="H2979" s="5">
        <v>7</v>
      </c>
      <c r="I2979" s="6">
        <v>76.64</v>
      </c>
    </row>
    <row r="2980" spans="1:9" x14ac:dyDescent="0.3">
      <c r="A2980" s="1">
        <v>42891</v>
      </c>
      <c r="B2980" s="2" t="s">
        <v>1811</v>
      </c>
      <c r="C2980" s="2" t="s">
        <v>80</v>
      </c>
      <c r="D2980" s="2" t="s">
        <v>2</v>
      </c>
      <c r="E2980" s="2" t="s">
        <v>7</v>
      </c>
      <c r="F2980" s="2" t="s">
        <v>1027</v>
      </c>
      <c r="G2980" s="2">
        <v>59.2</v>
      </c>
      <c r="H2980" s="2">
        <v>4</v>
      </c>
      <c r="I2980" s="3">
        <v>29.6</v>
      </c>
    </row>
    <row r="2981" spans="1:9" x14ac:dyDescent="0.3">
      <c r="A2981" s="4">
        <v>42891</v>
      </c>
      <c r="B2981" s="5" t="s">
        <v>555</v>
      </c>
      <c r="C2981" s="5" t="s">
        <v>46</v>
      </c>
      <c r="D2981" s="5" t="s">
        <v>2</v>
      </c>
      <c r="E2981" s="5" t="s">
        <v>15</v>
      </c>
      <c r="F2981" s="5" t="s">
        <v>653</v>
      </c>
      <c r="G2981" s="5">
        <v>54.66</v>
      </c>
      <c r="H2981" s="5">
        <v>6</v>
      </c>
      <c r="I2981" s="6">
        <v>18.04</v>
      </c>
    </row>
    <row r="2982" spans="1:9" x14ac:dyDescent="0.3">
      <c r="A2982" s="1">
        <v>42891</v>
      </c>
      <c r="B2982" s="2" t="s">
        <v>795</v>
      </c>
      <c r="C2982" s="2" t="s">
        <v>1</v>
      </c>
      <c r="D2982" s="2" t="s">
        <v>2</v>
      </c>
      <c r="E2982" s="2" t="s">
        <v>11</v>
      </c>
      <c r="F2982" s="2" t="s">
        <v>64</v>
      </c>
      <c r="G2982" s="2">
        <v>11.06</v>
      </c>
      <c r="H2982" s="2">
        <v>10</v>
      </c>
      <c r="I2982" s="3">
        <v>-18.8</v>
      </c>
    </row>
    <row r="2983" spans="1:9" x14ac:dyDescent="0.3">
      <c r="A2983" s="4">
        <v>42891</v>
      </c>
      <c r="B2983" s="5" t="s">
        <v>795</v>
      </c>
      <c r="C2983" s="5" t="s">
        <v>1</v>
      </c>
      <c r="D2983" s="5" t="s">
        <v>25</v>
      </c>
      <c r="E2983" s="5" t="s">
        <v>129</v>
      </c>
      <c r="F2983" s="5" t="s">
        <v>885</v>
      </c>
      <c r="G2983" s="5">
        <v>623.46</v>
      </c>
      <c r="H2983" s="5">
        <v>7</v>
      </c>
      <c r="I2983" s="6">
        <v>-119.19</v>
      </c>
    </row>
    <row r="2984" spans="1:9" x14ac:dyDescent="0.3">
      <c r="A2984" s="1">
        <v>42891</v>
      </c>
      <c r="B2984" s="2" t="s">
        <v>795</v>
      </c>
      <c r="C2984" s="2" t="s">
        <v>1</v>
      </c>
      <c r="D2984" s="2" t="s">
        <v>2</v>
      </c>
      <c r="E2984" s="2" t="s">
        <v>9</v>
      </c>
      <c r="F2984" s="2" t="s">
        <v>769</v>
      </c>
      <c r="G2984" s="2">
        <v>772.68</v>
      </c>
      <c r="H2984" s="2">
        <v>5</v>
      </c>
      <c r="I2984" s="3">
        <v>-57.95</v>
      </c>
    </row>
    <row r="2985" spans="1:9" x14ac:dyDescent="0.3">
      <c r="A2985" s="4">
        <v>42891</v>
      </c>
      <c r="B2985" s="5" t="s">
        <v>13</v>
      </c>
      <c r="C2985" s="5" t="s">
        <v>121</v>
      </c>
      <c r="D2985" s="5" t="s">
        <v>2</v>
      </c>
      <c r="E2985" s="5" t="s">
        <v>11</v>
      </c>
      <c r="F2985" s="5" t="s">
        <v>397</v>
      </c>
      <c r="G2985" s="5">
        <v>68.540000000000006</v>
      </c>
      <c r="H2985" s="5">
        <v>11</v>
      </c>
      <c r="I2985" s="6">
        <v>-52.55</v>
      </c>
    </row>
    <row r="2986" spans="1:9" x14ac:dyDescent="0.3">
      <c r="A2986" s="1">
        <v>42891</v>
      </c>
      <c r="B2986" s="2" t="s">
        <v>13</v>
      </c>
      <c r="C2986" s="2" t="s">
        <v>121</v>
      </c>
      <c r="D2986" s="2" t="s">
        <v>30</v>
      </c>
      <c r="E2986" s="2" t="s">
        <v>31</v>
      </c>
      <c r="F2986" s="2" t="s">
        <v>32</v>
      </c>
      <c r="G2986" s="2">
        <v>627.16999999999996</v>
      </c>
      <c r="H2986" s="2">
        <v>4</v>
      </c>
      <c r="I2986" s="3">
        <v>70.56</v>
      </c>
    </row>
    <row r="2987" spans="1:9" x14ac:dyDescent="0.3">
      <c r="A2987" s="4">
        <v>42891</v>
      </c>
      <c r="B2987" s="5" t="s">
        <v>13</v>
      </c>
      <c r="C2987" s="5" t="s">
        <v>121</v>
      </c>
      <c r="D2987" s="5" t="s">
        <v>2</v>
      </c>
      <c r="E2987" s="5" t="s">
        <v>7</v>
      </c>
      <c r="F2987" s="5" t="s">
        <v>2124</v>
      </c>
      <c r="G2987" s="5">
        <v>122.12</v>
      </c>
      <c r="H2987" s="5">
        <v>5</v>
      </c>
      <c r="I2987" s="6">
        <v>39.69</v>
      </c>
    </row>
    <row r="2988" spans="1:9" x14ac:dyDescent="0.3">
      <c r="A2988" s="1">
        <v>42891</v>
      </c>
      <c r="B2988" s="2" t="s">
        <v>1067</v>
      </c>
      <c r="C2988" s="2" t="s">
        <v>18</v>
      </c>
      <c r="D2988" s="2" t="s">
        <v>2</v>
      </c>
      <c r="E2988" s="2" t="s">
        <v>133</v>
      </c>
      <c r="F2988" s="2" t="s">
        <v>539</v>
      </c>
      <c r="G2988" s="2">
        <v>152.94</v>
      </c>
      <c r="H2988" s="2">
        <v>3</v>
      </c>
      <c r="I2988" s="3">
        <v>41.29</v>
      </c>
    </row>
    <row r="2989" spans="1:9" x14ac:dyDescent="0.3">
      <c r="A2989" s="4">
        <v>42891</v>
      </c>
      <c r="B2989" s="5" t="s">
        <v>1342</v>
      </c>
      <c r="C2989" s="5" t="s">
        <v>253</v>
      </c>
      <c r="D2989" s="5" t="s">
        <v>2</v>
      </c>
      <c r="E2989" s="5" t="s">
        <v>3</v>
      </c>
      <c r="F2989" s="5" t="s">
        <v>1604</v>
      </c>
      <c r="G2989" s="5">
        <v>84.42</v>
      </c>
      <c r="H2989" s="5">
        <v>4</v>
      </c>
      <c r="I2989" s="6">
        <v>27.44</v>
      </c>
    </row>
    <row r="2990" spans="1:9" x14ac:dyDescent="0.3">
      <c r="A2990" s="1">
        <v>42891</v>
      </c>
      <c r="B2990" s="2" t="s">
        <v>1437</v>
      </c>
      <c r="C2990" s="2" t="s">
        <v>6</v>
      </c>
      <c r="D2990" s="2" t="s">
        <v>30</v>
      </c>
      <c r="E2990" s="2" t="s">
        <v>43</v>
      </c>
      <c r="F2990" s="2" t="s">
        <v>1726</v>
      </c>
      <c r="G2990" s="2">
        <v>191.97</v>
      </c>
      <c r="H2990" s="2">
        <v>4</v>
      </c>
      <c r="I2990" s="3">
        <v>28.8</v>
      </c>
    </row>
    <row r="2991" spans="1:9" x14ac:dyDescent="0.3">
      <c r="A2991" s="4">
        <v>42921</v>
      </c>
      <c r="B2991" s="5" t="s">
        <v>1059</v>
      </c>
      <c r="C2991" s="5" t="s">
        <v>160</v>
      </c>
      <c r="D2991" s="5" t="s">
        <v>25</v>
      </c>
      <c r="E2991" s="5" t="s">
        <v>26</v>
      </c>
      <c r="F2991" s="5" t="s">
        <v>1244</v>
      </c>
      <c r="G2991" s="5">
        <v>1458.65</v>
      </c>
      <c r="H2991" s="5">
        <v>5</v>
      </c>
      <c r="I2991" s="6">
        <v>423.01</v>
      </c>
    </row>
    <row r="2992" spans="1:9" x14ac:dyDescent="0.3">
      <c r="A2992" s="1">
        <v>42921</v>
      </c>
      <c r="B2992" s="2" t="s">
        <v>1059</v>
      </c>
      <c r="C2992" s="2" t="s">
        <v>160</v>
      </c>
      <c r="D2992" s="2" t="s">
        <v>25</v>
      </c>
      <c r="E2992" s="2" t="s">
        <v>26</v>
      </c>
      <c r="F2992" s="2" t="s">
        <v>2170</v>
      </c>
      <c r="G2992" s="2">
        <v>26.64</v>
      </c>
      <c r="H2992" s="2">
        <v>1</v>
      </c>
      <c r="I2992" s="3">
        <v>7.46</v>
      </c>
    </row>
    <row r="2993" spans="1:9" x14ac:dyDescent="0.3">
      <c r="A2993" s="4">
        <v>42921</v>
      </c>
      <c r="B2993" s="5" t="s">
        <v>1059</v>
      </c>
      <c r="C2993" s="5" t="s">
        <v>160</v>
      </c>
      <c r="D2993" s="5" t="s">
        <v>25</v>
      </c>
      <c r="E2993" s="5" t="s">
        <v>26</v>
      </c>
      <c r="F2993" s="5" t="s">
        <v>1493</v>
      </c>
      <c r="G2993" s="5">
        <v>476.8</v>
      </c>
      <c r="H2993" s="5">
        <v>2</v>
      </c>
      <c r="I2993" s="6">
        <v>119.2</v>
      </c>
    </row>
    <row r="2994" spans="1:9" x14ac:dyDescent="0.3">
      <c r="A2994" s="1">
        <v>42921</v>
      </c>
      <c r="B2994" s="2" t="s">
        <v>1059</v>
      </c>
      <c r="C2994" s="2" t="s">
        <v>160</v>
      </c>
      <c r="D2994" s="2" t="s">
        <v>2</v>
      </c>
      <c r="E2994" s="2" t="s">
        <v>133</v>
      </c>
      <c r="F2994" s="2" t="s">
        <v>2171</v>
      </c>
      <c r="G2994" s="2">
        <v>87.44</v>
      </c>
      <c r="H2994" s="2">
        <v>2</v>
      </c>
      <c r="I2994" s="3">
        <v>18.46</v>
      </c>
    </row>
    <row r="2995" spans="1:9" x14ac:dyDescent="0.3">
      <c r="A2995" s="4">
        <v>42921</v>
      </c>
      <c r="B2995" s="5" t="s">
        <v>1884</v>
      </c>
      <c r="C2995" s="5" t="s">
        <v>18</v>
      </c>
      <c r="D2995" s="5" t="s">
        <v>30</v>
      </c>
      <c r="E2995" s="5" t="s">
        <v>43</v>
      </c>
      <c r="F2995" s="5" t="s">
        <v>194</v>
      </c>
      <c r="G2995" s="5">
        <v>79.989999999999995</v>
      </c>
      <c r="H2995" s="5">
        <v>1</v>
      </c>
      <c r="I2995" s="6">
        <v>28.8</v>
      </c>
    </row>
    <row r="2996" spans="1:9" x14ac:dyDescent="0.3">
      <c r="A2996" s="1">
        <v>42921</v>
      </c>
      <c r="B2996" s="2" t="s">
        <v>409</v>
      </c>
      <c r="C2996" s="2" t="s">
        <v>18</v>
      </c>
      <c r="D2996" s="2" t="s">
        <v>30</v>
      </c>
      <c r="E2996" s="2" t="s">
        <v>31</v>
      </c>
      <c r="F2996" s="2" t="s">
        <v>2172</v>
      </c>
      <c r="G2996" s="2">
        <v>419.94</v>
      </c>
      <c r="H2996" s="2">
        <v>7</v>
      </c>
      <c r="I2996" s="3">
        <v>52.49</v>
      </c>
    </row>
    <row r="2997" spans="1:9" x14ac:dyDescent="0.3">
      <c r="A2997" s="4">
        <v>42952</v>
      </c>
      <c r="B2997" s="5" t="s">
        <v>865</v>
      </c>
      <c r="C2997" s="5" t="s">
        <v>127</v>
      </c>
      <c r="D2997" s="5" t="s">
        <v>25</v>
      </c>
      <c r="E2997" s="5" t="s">
        <v>26</v>
      </c>
      <c r="F2997" s="5" t="s">
        <v>1195</v>
      </c>
      <c r="G2997" s="5">
        <v>47.99</v>
      </c>
      <c r="H2997" s="5">
        <v>2</v>
      </c>
      <c r="I2997" s="6">
        <v>-2.06</v>
      </c>
    </row>
    <row r="2998" spans="1:9" x14ac:dyDescent="0.3">
      <c r="A2998" s="1">
        <v>42952</v>
      </c>
      <c r="B2998" s="2" t="s">
        <v>2006</v>
      </c>
      <c r="C2998" s="2" t="s">
        <v>18</v>
      </c>
      <c r="D2998" s="2" t="s">
        <v>30</v>
      </c>
      <c r="E2998" s="2" t="s">
        <v>290</v>
      </c>
      <c r="F2998" s="2" t="s">
        <v>464</v>
      </c>
      <c r="G2998" s="2">
        <v>3359.95</v>
      </c>
      <c r="H2998" s="2">
        <v>6</v>
      </c>
      <c r="I2998" s="3">
        <v>1049.99</v>
      </c>
    </row>
    <row r="2999" spans="1:9" x14ac:dyDescent="0.3">
      <c r="A2999" s="4">
        <v>42952</v>
      </c>
      <c r="B2999" s="5" t="s">
        <v>2108</v>
      </c>
      <c r="C2999" s="5" t="s">
        <v>14</v>
      </c>
      <c r="D2999" s="5" t="s">
        <v>25</v>
      </c>
      <c r="E2999" s="5" t="s">
        <v>26</v>
      </c>
      <c r="F2999" s="5" t="s">
        <v>1469</v>
      </c>
      <c r="G2999" s="5">
        <v>128.06</v>
      </c>
      <c r="H2999" s="5">
        <v>3</v>
      </c>
      <c r="I2999" s="6">
        <v>-23.78</v>
      </c>
    </row>
    <row r="3000" spans="1:9" x14ac:dyDescent="0.3">
      <c r="A3000" s="1">
        <v>42952</v>
      </c>
      <c r="B3000" s="2" t="s">
        <v>272</v>
      </c>
      <c r="C3000" s="2" t="s">
        <v>18</v>
      </c>
      <c r="D3000" s="2" t="s">
        <v>2</v>
      </c>
      <c r="E3000" s="2" t="s">
        <v>133</v>
      </c>
      <c r="F3000" s="2" t="s">
        <v>446</v>
      </c>
      <c r="G3000" s="2">
        <v>81.08</v>
      </c>
      <c r="H3000" s="2">
        <v>4</v>
      </c>
      <c r="I3000" s="3">
        <v>22.7</v>
      </c>
    </row>
    <row r="3001" spans="1:9" x14ac:dyDescent="0.3">
      <c r="A3001" s="4">
        <v>42952</v>
      </c>
      <c r="B3001" s="5" t="s">
        <v>471</v>
      </c>
      <c r="C3001" s="5" t="s">
        <v>1</v>
      </c>
      <c r="D3001" s="5" t="s">
        <v>2</v>
      </c>
      <c r="E3001" s="5" t="s">
        <v>3</v>
      </c>
      <c r="F3001" s="5" t="s">
        <v>1115</v>
      </c>
      <c r="G3001" s="5">
        <v>41.47</v>
      </c>
      <c r="H3001" s="5">
        <v>8</v>
      </c>
      <c r="I3001" s="6">
        <v>14.52</v>
      </c>
    </row>
    <row r="3002" spans="1:9" x14ac:dyDescent="0.3">
      <c r="A3002" s="1">
        <v>42983</v>
      </c>
      <c r="B3002" s="2" t="s">
        <v>945</v>
      </c>
      <c r="C3002" s="2" t="s">
        <v>121</v>
      </c>
      <c r="D3002" s="2" t="s">
        <v>2</v>
      </c>
      <c r="E3002" s="2" t="s">
        <v>114</v>
      </c>
      <c r="F3002" s="2" t="s">
        <v>1413</v>
      </c>
      <c r="G3002" s="2">
        <v>65.23</v>
      </c>
      <c r="H3002" s="2">
        <v>3</v>
      </c>
      <c r="I3002" s="3">
        <v>22.02</v>
      </c>
    </row>
    <row r="3003" spans="1:9" x14ac:dyDescent="0.3">
      <c r="A3003" s="4">
        <v>42983</v>
      </c>
      <c r="B3003" s="5" t="s">
        <v>945</v>
      </c>
      <c r="C3003" s="5" t="s">
        <v>121</v>
      </c>
      <c r="D3003" s="5" t="s">
        <v>25</v>
      </c>
      <c r="E3003" s="5" t="s">
        <v>26</v>
      </c>
      <c r="F3003" s="5" t="s">
        <v>107</v>
      </c>
      <c r="G3003" s="5">
        <v>207</v>
      </c>
      <c r="H3003" s="5">
        <v>3</v>
      </c>
      <c r="I3003" s="6">
        <v>25.88</v>
      </c>
    </row>
    <row r="3004" spans="1:9" x14ac:dyDescent="0.3">
      <c r="A3004" s="1">
        <v>42983</v>
      </c>
      <c r="B3004" s="2" t="s">
        <v>1890</v>
      </c>
      <c r="C3004" s="2" t="s">
        <v>62</v>
      </c>
      <c r="D3004" s="2" t="s">
        <v>2</v>
      </c>
      <c r="E3004" s="2" t="s">
        <v>11</v>
      </c>
      <c r="F3004" s="2" t="s">
        <v>1714</v>
      </c>
      <c r="G3004" s="2">
        <v>147.91999999999999</v>
      </c>
      <c r="H3004" s="2">
        <v>5</v>
      </c>
      <c r="I3004" s="3">
        <v>46.23</v>
      </c>
    </row>
    <row r="3005" spans="1:9" x14ac:dyDescent="0.3">
      <c r="A3005" s="4">
        <v>42983</v>
      </c>
      <c r="B3005" s="5" t="s">
        <v>1890</v>
      </c>
      <c r="C3005" s="5" t="s">
        <v>62</v>
      </c>
      <c r="D3005" s="5" t="s">
        <v>2</v>
      </c>
      <c r="E3005" s="5" t="s">
        <v>9</v>
      </c>
      <c r="F3005" s="5" t="s">
        <v>2173</v>
      </c>
      <c r="G3005" s="5">
        <v>104.28</v>
      </c>
      <c r="H3005" s="5">
        <v>3</v>
      </c>
      <c r="I3005" s="6">
        <v>26.07</v>
      </c>
    </row>
    <row r="3006" spans="1:9" x14ac:dyDescent="0.3">
      <c r="A3006" s="1">
        <v>42983</v>
      </c>
      <c r="B3006" s="2" t="s">
        <v>1890</v>
      </c>
      <c r="C3006" s="2" t="s">
        <v>62</v>
      </c>
      <c r="D3006" s="2" t="s">
        <v>25</v>
      </c>
      <c r="E3006" s="2" t="s">
        <v>86</v>
      </c>
      <c r="F3006" s="2" t="s">
        <v>651</v>
      </c>
      <c r="G3006" s="2">
        <v>286.85000000000002</v>
      </c>
      <c r="H3006" s="2">
        <v>1</v>
      </c>
      <c r="I3006" s="3">
        <v>63.11</v>
      </c>
    </row>
    <row r="3007" spans="1:9" x14ac:dyDescent="0.3">
      <c r="A3007" s="4">
        <v>42983</v>
      </c>
      <c r="B3007" s="5" t="s">
        <v>1890</v>
      </c>
      <c r="C3007" s="5" t="s">
        <v>62</v>
      </c>
      <c r="D3007" s="5" t="s">
        <v>2</v>
      </c>
      <c r="E3007" s="5" t="s">
        <v>9</v>
      </c>
      <c r="F3007" s="5" t="s">
        <v>182</v>
      </c>
      <c r="G3007" s="5">
        <v>66.959999999999994</v>
      </c>
      <c r="H3007" s="5">
        <v>4</v>
      </c>
      <c r="I3007" s="6">
        <v>2.68</v>
      </c>
    </row>
    <row r="3008" spans="1:9" x14ac:dyDescent="0.3">
      <c r="A3008" s="1">
        <v>42983</v>
      </c>
      <c r="B3008" s="2" t="s">
        <v>1890</v>
      </c>
      <c r="C3008" s="2" t="s">
        <v>62</v>
      </c>
      <c r="D3008" s="2" t="s">
        <v>30</v>
      </c>
      <c r="E3008" s="2" t="s">
        <v>43</v>
      </c>
      <c r="F3008" s="2" t="s">
        <v>242</v>
      </c>
      <c r="G3008" s="2">
        <v>199.98</v>
      </c>
      <c r="H3008" s="2">
        <v>2</v>
      </c>
      <c r="I3008" s="3">
        <v>87.99</v>
      </c>
    </row>
    <row r="3009" spans="1:9" x14ac:dyDescent="0.3">
      <c r="A3009" s="4">
        <v>43044</v>
      </c>
      <c r="B3009" s="5" t="s">
        <v>2027</v>
      </c>
      <c r="C3009" s="5" t="s">
        <v>62</v>
      </c>
      <c r="D3009" s="5" t="s">
        <v>2</v>
      </c>
      <c r="E3009" s="5" t="s">
        <v>3</v>
      </c>
      <c r="F3009" s="5" t="s">
        <v>2174</v>
      </c>
      <c r="G3009" s="5">
        <v>37.44</v>
      </c>
      <c r="H3009" s="5">
        <v>6</v>
      </c>
      <c r="I3009" s="6">
        <v>16.850000000000001</v>
      </c>
    </row>
    <row r="3010" spans="1:9" x14ac:dyDescent="0.3">
      <c r="A3010" s="1">
        <v>43044</v>
      </c>
      <c r="B3010" s="2" t="s">
        <v>2027</v>
      </c>
      <c r="C3010" s="2" t="s">
        <v>62</v>
      </c>
      <c r="D3010" s="2" t="s">
        <v>2</v>
      </c>
      <c r="E3010" s="2" t="s">
        <v>7</v>
      </c>
      <c r="F3010" s="2" t="s">
        <v>1317</v>
      </c>
      <c r="G3010" s="2">
        <v>37.590000000000003</v>
      </c>
      <c r="H3010" s="2">
        <v>3</v>
      </c>
      <c r="I3010" s="3">
        <v>17.670000000000002</v>
      </c>
    </row>
    <row r="3011" spans="1:9" x14ac:dyDescent="0.3">
      <c r="A3011" s="4">
        <v>43044</v>
      </c>
      <c r="B3011" s="5" t="s">
        <v>2027</v>
      </c>
      <c r="C3011" s="5" t="s">
        <v>62</v>
      </c>
      <c r="D3011" s="5" t="s">
        <v>2</v>
      </c>
      <c r="E3011" s="5" t="s">
        <v>11</v>
      </c>
      <c r="F3011" s="5" t="s">
        <v>858</v>
      </c>
      <c r="G3011" s="5">
        <v>26.03</v>
      </c>
      <c r="H3011" s="5">
        <v>2</v>
      </c>
      <c r="I3011" s="6">
        <v>9.44</v>
      </c>
    </row>
    <row r="3012" spans="1:9" x14ac:dyDescent="0.3">
      <c r="A3012" s="1">
        <v>43044</v>
      </c>
      <c r="B3012" s="2" t="s">
        <v>827</v>
      </c>
      <c r="C3012" s="2" t="s">
        <v>1</v>
      </c>
      <c r="D3012" s="2" t="s">
        <v>2</v>
      </c>
      <c r="E3012" s="2" t="s">
        <v>15</v>
      </c>
      <c r="F3012" s="2" t="s">
        <v>2175</v>
      </c>
      <c r="G3012" s="2">
        <v>5.25</v>
      </c>
      <c r="H3012" s="2">
        <v>2</v>
      </c>
      <c r="I3012" s="3">
        <v>0.59</v>
      </c>
    </row>
    <row r="3013" spans="1:9" x14ac:dyDescent="0.3">
      <c r="A3013" s="4">
        <v>43044</v>
      </c>
      <c r="B3013" s="5" t="s">
        <v>827</v>
      </c>
      <c r="C3013" s="5" t="s">
        <v>1</v>
      </c>
      <c r="D3013" s="5" t="s">
        <v>2</v>
      </c>
      <c r="E3013" s="5" t="s">
        <v>9</v>
      </c>
      <c r="F3013" s="5" t="s">
        <v>204</v>
      </c>
      <c r="G3013" s="5">
        <v>74.42</v>
      </c>
      <c r="H3013" s="5">
        <v>2</v>
      </c>
      <c r="I3013" s="6">
        <v>-14.88</v>
      </c>
    </row>
    <row r="3014" spans="1:9" x14ac:dyDescent="0.3">
      <c r="A3014" s="1">
        <v>43044</v>
      </c>
      <c r="B3014" s="2" t="s">
        <v>827</v>
      </c>
      <c r="C3014" s="2" t="s">
        <v>1</v>
      </c>
      <c r="D3014" s="2" t="s">
        <v>2</v>
      </c>
      <c r="E3014" s="2" t="s">
        <v>3</v>
      </c>
      <c r="F3014" s="2" t="s">
        <v>2176</v>
      </c>
      <c r="G3014" s="2">
        <v>6.85</v>
      </c>
      <c r="H3014" s="2">
        <v>2</v>
      </c>
      <c r="I3014" s="3">
        <v>2.14</v>
      </c>
    </row>
    <row r="3015" spans="1:9" x14ac:dyDescent="0.3">
      <c r="A3015" s="4">
        <v>43044</v>
      </c>
      <c r="B3015" s="5" t="s">
        <v>827</v>
      </c>
      <c r="C3015" s="5" t="s">
        <v>1</v>
      </c>
      <c r="D3015" s="5" t="s">
        <v>25</v>
      </c>
      <c r="E3015" s="5" t="s">
        <v>38</v>
      </c>
      <c r="F3015" s="5" t="s">
        <v>635</v>
      </c>
      <c r="G3015" s="5">
        <v>8</v>
      </c>
      <c r="H3015" s="5">
        <v>1</v>
      </c>
      <c r="I3015" s="6">
        <v>-7</v>
      </c>
    </row>
    <row r="3016" spans="1:9" x14ac:dyDescent="0.3">
      <c r="A3016" s="1">
        <v>43044</v>
      </c>
      <c r="B3016" s="2" t="s">
        <v>1290</v>
      </c>
      <c r="C3016" s="2" t="s">
        <v>253</v>
      </c>
      <c r="D3016" s="2" t="s">
        <v>25</v>
      </c>
      <c r="E3016" s="2" t="s">
        <v>129</v>
      </c>
      <c r="F3016" s="2" t="s">
        <v>337</v>
      </c>
      <c r="G3016" s="2">
        <v>209.98</v>
      </c>
      <c r="H3016" s="2">
        <v>7</v>
      </c>
      <c r="I3016" s="3">
        <v>-356.96</v>
      </c>
    </row>
    <row r="3017" spans="1:9" x14ac:dyDescent="0.3">
      <c r="A3017" s="4">
        <v>43044</v>
      </c>
      <c r="B3017" s="5" t="s">
        <v>1682</v>
      </c>
      <c r="C3017" s="5" t="s">
        <v>80</v>
      </c>
      <c r="D3017" s="5" t="s">
        <v>2</v>
      </c>
      <c r="E3017" s="5" t="s">
        <v>15</v>
      </c>
      <c r="F3017" s="5" t="s">
        <v>2177</v>
      </c>
      <c r="G3017" s="5">
        <v>43.92</v>
      </c>
      <c r="H3017" s="5">
        <v>3</v>
      </c>
      <c r="I3017" s="6">
        <v>12.74</v>
      </c>
    </row>
    <row r="3018" spans="1:9" x14ac:dyDescent="0.3">
      <c r="A3018" s="1">
        <v>43074</v>
      </c>
      <c r="B3018" s="2" t="s">
        <v>497</v>
      </c>
      <c r="C3018" s="2" t="s">
        <v>1</v>
      </c>
      <c r="D3018" s="2" t="s">
        <v>2</v>
      </c>
      <c r="E3018" s="2" t="s">
        <v>9</v>
      </c>
      <c r="F3018" s="2" t="s">
        <v>456</v>
      </c>
      <c r="G3018" s="2">
        <v>127.92</v>
      </c>
      <c r="H3018" s="2">
        <v>5</v>
      </c>
      <c r="I3018" s="3">
        <v>-15.99</v>
      </c>
    </row>
    <row r="3019" spans="1:9" x14ac:dyDescent="0.3">
      <c r="A3019" s="4">
        <v>43074</v>
      </c>
      <c r="B3019" s="5" t="s">
        <v>497</v>
      </c>
      <c r="C3019" s="5" t="s">
        <v>1</v>
      </c>
      <c r="D3019" s="5" t="s">
        <v>2</v>
      </c>
      <c r="E3019" s="5" t="s">
        <v>11</v>
      </c>
      <c r="F3019" s="5" t="s">
        <v>1228</v>
      </c>
      <c r="G3019" s="5">
        <v>34.24</v>
      </c>
      <c r="H3019" s="5">
        <v>4</v>
      </c>
      <c r="I3019" s="6">
        <v>-53.07</v>
      </c>
    </row>
    <row r="3020" spans="1:9" x14ac:dyDescent="0.3">
      <c r="A3020" s="1">
        <v>43074</v>
      </c>
      <c r="B3020" s="2" t="s">
        <v>166</v>
      </c>
      <c r="C3020" s="2" t="s">
        <v>181</v>
      </c>
      <c r="D3020" s="2" t="s">
        <v>2</v>
      </c>
      <c r="E3020" s="2" t="s">
        <v>3</v>
      </c>
      <c r="F3020" s="2" t="s">
        <v>2178</v>
      </c>
      <c r="G3020" s="2">
        <v>87.6</v>
      </c>
      <c r="H3020" s="2">
        <v>5</v>
      </c>
      <c r="I3020" s="3">
        <v>42.05</v>
      </c>
    </row>
    <row r="3021" spans="1:9" x14ac:dyDescent="0.3">
      <c r="A3021" s="4">
        <v>43074</v>
      </c>
      <c r="B3021" s="5" t="s">
        <v>1259</v>
      </c>
      <c r="C3021" s="5" t="s">
        <v>127</v>
      </c>
      <c r="D3021" s="5" t="s">
        <v>2</v>
      </c>
      <c r="E3021" s="5" t="s">
        <v>15</v>
      </c>
      <c r="F3021" s="5" t="s">
        <v>2179</v>
      </c>
      <c r="G3021" s="5">
        <v>10.27</v>
      </c>
      <c r="H3021" s="5">
        <v>3</v>
      </c>
      <c r="I3021" s="6">
        <v>1.1599999999999999</v>
      </c>
    </row>
    <row r="3022" spans="1:9" x14ac:dyDescent="0.3">
      <c r="A3022" s="1">
        <v>43074</v>
      </c>
      <c r="B3022" s="2" t="s">
        <v>597</v>
      </c>
      <c r="C3022" s="2" t="s">
        <v>18</v>
      </c>
      <c r="D3022" s="2" t="s">
        <v>2</v>
      </c>
      <c r="E3022" s="2" t="s">
        <v>144</v>
      </c>
      <c r="F3022" s="2" t="s">
        <v>730</v>
      </c>
      <c r="G3022" s="2">
        <v>238.62</v>
      </c>
      <c r="H3022" s="2">
        <v>2</v>
      </c>
      <c r="I3022" s="3">
        <v>4.7699999999999996</v>
      </c>
    </row>
    <row r="3023" spans="1:9" x14ac:dyDescent="0.3">
      <c r="A3023" s="4">
        <v>43074</v>
      </c>
      <c r="B3023" s="5" t="s">
        <v>597</v>
      </c>
      <c r="C3023" s="5" t="s">
        <v>18</v>
      </c>
      <c r="D3023" s="5" t="s">
        <v>2</v>
      </c>
      <c r="E3023" s="5" t="s">
        <v>133</v>
      </c>
      <c r="F3023" s="5" t="s">
        <v>2180</v>
      </c>
      <c r="G3023" s="5">
        <v>7.77</v>
      </c>
      <c r="H3023" s="5">
        <v>1</v>
      </c>
      <c r="I3023" s="6">
        <v>2.1</v>
      </c>
    </row>
    <row r="3024" spans="1:9" x14ac:dyDescent="0.3">
      <c r="A3024" s="1">
        <v>43074</v>
      </c>
      <c r="B3024" s="2" t="s">
        <v>597</v>
      </c>
      <c r="C3024" s="2" t="s">
        <v>18</v>
      </c>
      <c r="D3024" s="2" t="s">
        <v>25</v>
      </c>
      <c r="E3024" s="2" t="s">
        <v>86</v>
      </c>
      <c r="F3024" s="2" t="s">
        <v>1291</v>
      </c>
      <c r="G3024" s="2">
        <v>285.48</v>
      </c>
      <c r="H3024" s="2">
        <v>5</v>
      </c>
      <c r="I3024" s="3">
        <v>-10.71</v>
      </c>
    </row>
    <row r="3025" spans="1:9" x14ac:dyDescent="0.3">
      <c r="A3025" s="4">
        <v>43074</v>
      </c>
      <c r="B3025" s="5" t="s">
        <v>597</v>
      </c>
      <c r="C3025" s="5" t="s">
        <v>18</v>
      </c>
      <c r="D3025" s="5" t="s">
        <v>2</v>
      </c>
      <c r="E3025" s="5" t="s">
        <v>11</v>
      </c>
      <c r="F3025" s="5" t="s">
        <v>1363</v>
      </c>
      <c r="G3025" s="5">
        <v>19.170000000000002</v>
      </c>
      <c r="H3025" s="5">
        <v>4</v>
      </c>
      <c r="I3025" s="6">
        <v>6.47</v>
      </c>
    </row>
    <row r="3026" spans="1:9" x14ac:dyDescent="0.3">
      <c r="A3026" s="1">
        <v>43074</v>
      </c>
      <c r="B3026" s="2" t="s">
        <v>1242</v>
      </c>
      <c r="C3026" s="2" t="s">
        <v>127</v>
      </c>
      <c r="D3026" s="2" t="s">
        <v>2</v>
      </c>
      <c r="E3026" s="2" t="s">
        <v>7</v>
      </c>
      <c r="F3026" s="2" t="s">
        <v>606</v>
      </c>
      <c r="G3026" s="2">
        <v>5.9</v>
      </c>
      <c r="H3026" s="2">
        <v>2</v>
      </c>
      <c r="I3026" s="3">
        <v>1.99</v>
      </c>
    </row>
    <row r="3027" spans="1:9" x14ac:dyDescent="0.3">
      <c r="A3027" s="4">
        <v>43074</v>
      </c>
      <c r="B3027" s="5" t="s">
        <v>1617</v>
      </c>
      <c r="C3027" s="5" t="s">
        <v>77</v>
      </c>
      <c r="D3027" s="5" t="s">
        <v>25</v>
      </c>
      <c r="E3027" s="5" t="s">
        <v>38</v>
      </c>
      <c r="F3027" s="5" t="s">
        <v>2181</v>
      </c>
      <c r="G3027" s="5">
        <v>42.85</v>
      </c>
      <c r="H3027" s="5">
        <v>5</v>
      </c>
      <c r="I3027" s="6">
        <v>15.43</v>
      </c>
    </row>
    <row r="3028" spans="1:9" x14ac:dyDescent="0.3">
      <c r="A3028" s="1">
        <v>43074</v>
      </c>
      <c r="B3028" s="2" t="s">
        <v>1617</v>
      </c>
      <c r="C3028" s="2" t="s">
        <v>77</v>
      </c>
      <c r="D3028" s="2" t="s">
        <v>2</v>
      </c>
      <c r="E3028" s="2" t="s">
        <v>7</v>
      </c>
      <c r="F3028" s="2" t="s">
        <v>754</v>
      </c>
      <c r="G3028" s="2">
        <v>6.16</v>
      </c>
      <c r="H3028" s="2">
        <v>2</v>
      </c>
      <c r="I3028" s="3">
        <v>2.96</v>
      </c>
    </row>
    <row r="3029" spans="1:9" x14ac:dyDescent="0.3">
      <c r="A3029" s="4">
        <v>43074</v>
      </c>
      <c r="B3029" s="5" t="s">
        <v>1617</v>
      </c>
      <c r="C3029" s="5" t="s">
        <v>77</v>
      </c>
      <c r="D3029" s="5" t="s">
        <v>2</v>
      </c>
      <c r="E3029" s="5" t="s">
        <v>144</v>
      </c>
      <c r="F3029" s="5" t="s">
        <v>1489</v>
      </c>
      <c r="G3029" s="5">
        <v>17</v>
      </c>
      <c r="H3029" s="5">
        <v>2</v>
      </c>
      <c r="I3029" s="6">
        <v>4.42</v>
      </c>
    </row>
    <row r="3030" spans="1:9" x14ac:dyDescent="0.3">
      <c r="A3030" s="1">
        <v>43074</v>
      </c>
      <c r="B3030" s="2" t="s">
        <v>1617</v>
      </c>
      <c r="C3030" s="2" t="s">
        <v>77</v>
      </c>
      <c r="D3030" s="2" t="s">
        <v>30</v>
      </c>
      <c r="E3030" s="2" t="s">
        <v>43</v>
      </c>
      <c r="F3030" s="2" t="s">
        <v>2182</v>
      </c>
      <c r="G3030" s="2">
        <v>87.4</v>
      </c>
      <c r="H3030" s="2">
        <v>5</v>
      </c>
      <c r="I3030" s="3">
        <v>34.96</v>
      </c>
    </row>
    <row r="3031" spans="1:9" x14ac:dyDescent="0.3">
      <c r="A3031" s="4">
        <v>42741</v>
      </c>
      <c r="B3031" s="5" t="s">
        <v>1474</v>
      </c>
      <c r="C3031" s="5" t="s">
        <v>127</v>
      </c>
      <c r="D3031" s="5" t="s">
        <v>2</v>
      </c>
      <c r="E3031" s="5" t="s">
        <v>133</v>
      </c>
      <c r="F3031" s="5" t="s">
        <v>2183</v>
      </c>
      <c r="G3031" s="5">
        <v>17.48</v>
      </c>
      <c r="H3031" s="5">
        <v>5</v>
      </c>
      <c r="I3031" s="6">
        <v>1.31</v>
      </c>
    </row>
    <row r="3032" spans="1:9" x14ac:dyDescent="0.3">
      <c r="A3032" s="1">
        <v>42741</v>
      </c>
      <c r="B3032" s="2" t="s">
        <v>2184</v>
      </c>
      <c r="C3032" s="2" t="s">
        <v>127</v>
      </c>
      <c r="D3032" s="2" t="s">
        <v>2</v>
      </c>
      <c r="E3032" s="2" t="s">
        <v>11</v>
      </c>
      <c r="F3032" s="2" t="s">
        <v>125</v>
      </c>
      <c r="G3032" s="2">
        <v>3.8</v>
      </c>
      <c r="H3032" s="2">
        <v>2</v>
      </c>
      <c r="I3032" s="3">
        <v>-2.66</v>
      </c>
    </row>
    <row r="3033" spans="1:9" x14ac:dyDescent="0.3">
      <c r="A3033" s="4">
        <v>42741</v>
      </c>
      <c r="B3033" s="5" t="s">
        <v>2184</v>
      </c>
      <c r="C3033" s="5" t="s">
        <v>127</v>
      </c>
      <c r="D3033" s="5" t="s">
        <v>2</v>
      </c>
      <c r="E3033" s="5" t="s">
        <v>3</v>
      </c>
      <c r="F3033" s="5" t="s">
        <v>2017</v>
      </c>
      <c r="G3033" s="5">
        <v>27.74</v>
      </c>
      <c r="H3033" s="5">
        <v>6</v>
      </c>
      <c r="I3033" s="6">
        <v>10.06</v>
      </c>
    </row>
    <row r="3034" spans="1:9" x14ac:dyDescent="0.3">
      <c r="A3034" s="1">
        <v>42741</v>
      </c>
      <c r="B3034" s="2" t="s">
        <v>2184</v>
      </c>
      <c r="C3034" s="2" t="s">
        <v>127</v>
      </c>
      <c r="D3034" s="2" t="s">
        <v>30</v>
      </c>
      <c r="E3034" s="2" t="s">
        <v>31</v>
      </c>
      <c r="F3034" s="2" t="s">
        <v>1557</v>
      </c>
      <c r="G3034" s="2">
        <v>158.38</v>
      </c>
      <c r="H3034" s="2">
        <v>4</v>
      </c>
      <c r="I3034" s="3">
        <v>-34.31</v>
      </c>
    </row>
    <row r="3035" spans="1:9" x14ac:dyDescent="0.3">
      <c r="A3035" s="4">
        <v>42741</v>
      </c>
      <c r="B3035" s="5" t="s">
        <v>1780</v>
      </c>
      <c r="C3035" s="5" t="s">
        <v>767</v>
      </c>
      <c r="D3035" s="5" t="s">
        <v>2</v>
      </c>
      <c r="E3035" s="5" t="s">
        <v>11</v>
      </c>
      <c r="F3035" s="5" t="s">
        <v>69</v>
      </c>
      <c r="G3035" s="5">
        <v>53.9</v>
      </c>
      <c r="H3035" s="5">
        <v>5</v>
      </c>
      <c r="I3035" s="6">
        <v>25.87</v>
      </c>
    </row>
    <row r="3036" spans="1:9" x14ac:dyDescent="0.3">
      <c r="A3036" s="1">
        <v>42741</v>
      </c>
      <c r="B3036" s="2" t="s">
        <v>1339</v>
      </c>
      <c r="C3036" s="2" t="s">
        <v>14</v>
      </c>
      <c r="D3036" s="2" t="s">
        <v>2</v>
      </c>
      <c r="E3036" s="2" t="s">
        <v>9</v>
      </c>
      <c r="F3036" s="2" t="s">
        <v>1702</v>
      </c>
      <c r="G3036" s="2">
        <v>324.74</v>
      </c>
      <c r="H3036" s="2">
        <v>3</v>
      </c>
      <c r="I3036" s="3">
        <v>-77.13</v>
      </c>
    </row>
    <row r="3037" spans="1:9" x14ac:dyDescent="0.3">
      <c r="A3037" s="4">
        <v>42741</v>
      </c>
      <c r="B3037" s="5" t="s">
        <v>2185</v>
      </c>
      <c r="C3037" s="5" t="s">
        <v>283</v>
      </c>
      <c r="D3037" s="5" t="s">
        <v>25</v>
      </c>
      <c r="E3037" s="5" t="s">
        <v>26</v>
      </c>
      <c r="F3037" s="5" t="s">
        <v>946</v>
      </c>
      <c r="G3037" s="5">
        <v>1925.88</v>
      </c>
      <c r="H3037" s="5">
        <v>6</v>
      </c>
      <c r="I3037" s="6">
        <v>539.25</v>
      </c>
    </row>
    <row r="3038" spans="1:9" x14ac:dyDescent="0.3">
      <c r="A3038" s="1">
        <v>42741</v>
      </c>
      <c r="B3038" s="2" t="s">
        <v>2185</v>
      </c>
      <c r="C3038" s="2" t="s">
        <v>283</v>
      </c>
      <c r="D3038" s="2" t="s">
        <v>2</v>
      </c>
      <c r="E3038" s="2" t="s">
        <v>133</v>
      </c>
      <c r="F3038" s="2" t="s">
        <v>362</v>
      </c>
      <c r="G3038" s="2">
        <v>2405.1999999999998</v>
      </c>
      <c r="H3038" s="2">
        <v>8</v>
      </c>
      <c r="I3038" s="3">
        <v>793.72</v>
      </c>
    </row>
    <row r="3039" spans="1:9" x14ac:dyDescent="0.3">
      <c r="A3039" s="4">
        <v>42741</v>
      </c>
      <c r="B3039" s="5" t="s">
        <v>2185</v>
      </c>
      <c r="C3039" s="5" t="s">
        <v>283</v>
      </c>
      <c r="D3039" s="5" t="s">
        <v>30</v>
      </c>
      <c r="E3039" s="5" t="s">
        <v>43</v>
      </c>
      <c r="F3039" s="5" t="s">
        <v>2133</v>
      </c>
      <c r="G3039" s="5">
        <v>83.97</v>
      </c>
      <c r="H3039" s="5">
        <v>3</v>
      </c>
      <c r="I3039" s="6">
        <v>15.95</v>
      </c>
    </row>
    <row r="3040" spans="1:9" x14ac:dyDescent="0.3">
      <c r="A3040" s="1">
        <v>42741</v>
      </c>
      <c r="B3040" s="2" t="s">
        <v>2185</v>
      </c>
      <c r="C3040" s="2" t="s">
        <v>283</v>
      </c>
      <c r="D3040" s="2" t="s">
        <v>30</v>
      </c>
      <c r="E3040" s="2" t="s">
        <v>43</v>
      </c>
      <c r="F3040" s="2" t="s">
        <v>1635</v>
      </c>
      <c r="G3040" s="2">
        <v>39.89</v>
      </c>
      <c r="H3040" s="2">
        <v>1</v>
      </c>
      <c r="I3040" s="3">
        <v>14.76</v>
      </c>
    </row>
    <row r="3041" spans="1:9" x14ac:dyDescent="0.3">
      <c r="A3041" s="4">
        <v>42741</v>
      </c>
      <c r="B3041" s="5" t="s">
        <v>2185</v>
      </c>
      <c r="C3041" s="5" t="s">
        <v>283</v>
      </c>
      <c r="D3041" s="5" t="s">
        <v>2</v>
      </c>
      <c r="E3041" s="5" t="s">
        <v>11</v>
      </c>
      <c r="F3041" s="5" t="s">
        <v>1136</v>
      </c>
      <c r="G3041" s="5">
        <v>17.38</v>
      </c>
      <c r="H3041" s="5">
        <v>2</v>
      </c>
      <c r="I3041" s="6">
        <v>8.69</v>
      </c>
    </row>
    <row r="3042" spans="1:9" x14ac:dyDescent="0.3">
      <c r="A3042" s="1">
        <v>42772</v>
      </c>
      <c r="B3042" s="2" t="s">
        <v>1189</v>
      </c>
      <c r="C3042" s="2" t="s">
        <v>127</v>
      </c>
      <c r="D3042" s="2" t="s">
        <v>30</v>
      </c>
      <c r="E3042" s="2" t="s">
        <v>31</v>
      </c>
      <c r="F3042" s="2" t="s">
        <v>1137</v>
      </c>
      <c r="G3042" s="2">
        <v>2.97</v>
      </c>
      <c r="H3042" s="2">
        <v>1</v>
      </c>
      <c r="I3042" s="3">
        <v>-0.64</v>
      </c>
    </row>
    <row r="3043" spans="1:9" x14ac:dyDescent="0.3">
      <c r="A3043" s="4">
        <v>42772</v>
      </c>
      <c r="B3043" s="5" t="s">
        <v>1189</v>
      </c>
      <c r="C3043" s="5" t="s">
        <v>127</v>
      </c>
      <c r="D3043" s="5" t="s">
        <v>2</v>
      </c>
      <c r="E3043" s="5" t="s">
        <v>9</v>
      </c>
      <c r="F3043" s="5" t="s">
        <v>1246</v>
      </c>
      <c r="G3043" s="5">
        <v>27.44</v>
      </c>
      <c r="H3043" s="5">
        <v>2</v>
      </c>
      <c r="I3043" s="6">
        <v>2.4</v>
      </c>
    </row>
    <row r="3044" spans="1:9" x14ac:dyDescent="0.3">
      <c r="A3044" s="1">
        <v>42772</v>
      </c>
      <c r="B3044" s="2" t="s">
        <v>748</v>
      </c>
      <c r="C3044" s="2" t="s">
        <v>253</v>
      </c>
      <c r="D3044" s="2" t="s">
        <v>2</v>
      </c>
      <c r="E3044" s="2" t="s">
        <v>3</v>
      </c>
      <c r="F3044" s="2" t="s">
        <v>898</v>
      </c>
      <c r="G3044" s="2">
        <v>25.34</v>
      </c>
      <c r="H3044" s="2">
        <v>6</v>
      </c>
      <c r="I3044" s="3">
        <v>7.92</v>
      </c>
    </row>
    <row r="3045" spans="1:9" x14ac:dyDescent="0.3">
      <c r="A3045" s="4">
        <v>42772</v>
      </c>
      <c r="B3045" s="5" t="s">
        <v>748</v>
      </c>
      <c r="C3045" s="5" t="s">
        <v>253</v>
      </c>
      <c r="D3045" s="5" t="s">
        <v>2</v>
      </c>
      <c r="E3045" s="5" t="s">
        <v>114</v>
      </c>
      <c r="F3045" s="5" t="s">
        <v>1787</v>
      </c>
      <c r="G3045" s="5">
        <v>43.92</v>
      </c>
      <c r="H3045" s="5">
        <v>5</v>
      </c>
      <c r="I3045" s="6">
        <v>15.92</v>
      </c>
    </row>
    <row r="3046" spans="1:9" x14ac:dyDescent="0.3">
      <c r="A3046" s="1">
        <v>42772</v>
      </c>
      <c r="B3046" s="2" t="s">
        <v>289</v>
      </c>
      <c r="C3046" s="2" t="s">
        <v>121</v>
      </c>
      <c r="D3046" s="2" t="s">
        <v>2</v>
      </c>
      <c r="E3046" s="2" t="s">
        <v>3</v>
      </c>
      <c r="F3046" s="2" t="s">
        <v>255</v>
      </c>
      <c r="G3046" s="2">
        <v>25.34</v>
      </c>
      <c r="H3046" s="2">
        <v>4</v>
      </c>
      <c r="I3046" s="3">
        <v>9.19</v>
      </c>
    </row>
    <row r="3047" spans="1:9" x14ac:dyDescent="0.3">
      <c r="A3047" s="4">
        <v>42772</v>
      </c>
      <c r="B3047" s="5" t="s">
        <v>1129</v>
      </c>
      <c r="C3047" s="5" t="s">
        <v>1</v>
      </c>
      <c r="D3047" s="5" t="s">
        <v>2</v>
      </c>
      <c r="E3047" s="5" t="s">
        <v>3</v>
      </c>
      <c r="F3047" s="5" t="s">
        <v>2066</v>
      </c>
      <c r="G3047" s="5">
        <v>10.69</v>
      </c>
      <c r="H3047" s="5">
        <v>2</v>
      </c>
      <c r="I3047" s="6">
        <v>3.74</v>
      </c>
    </row>
    <row r="3048" spans="1:9" x14ac:dyDescent="0.3">
      <c r="A3048" s="1">
        <v>42800</v>
      </c>
      <c r="B3048" s="2" t="s">
        <v>437</v>
      </c>
      <c r="C3048" s="2" t="s">
        <v>411</v>
      </c>
      <c r="D3048" s="2" t="s">
        <v>25</v>
      </c>
      <c r="E3048" s="2" t="s">
        <v>38</v>
      </c>
      <c r="F3048" s="2" t="s">
        <v>2186</v>
      </c>
      <c r="G3048" s="2">
        <v>35.17</v>
      </c>
      <c r="H3048" s="2">
        <v>7</v>
      </c>
      <c r="I3048" s="3">
        <v>9.67</v>
      </c>
    </row>
    <row r="3049" spans="1:9" x14ac:dyDescent="0.3">
      <c r="A3049" s="4">
        <v>42800</v>
      </c>
      <c r="B3049" s="5" t="s">
        <v>313</v>
      </c>
      <c r="C3049" s="5" t="s">
        <v>62</v>
      </c>
      <c r="D3049" s="5" t="s">
        <v>30</v>
      </c>
      <c r="E3049" s="5" t="s">
        <v>43</v>
      </c>
      <c r="F3049" s="5" t="s">
        <v>2187</v>
      </c>
      <c r="G3049" s="5">
        <v>1099.5</v>
      </c>
      <c r="H3049" s="5">
        <v>10</v>
      </c>
      <c r="I3049" s="6">
        <v>362.84</v>
      </c>
    </row>
    <row r="3050" spans="1:9" x14ac:dyDescent="0.3">
      <c r="A3050" s="1">
        <v>42800</v>
      </c>
      <c r="B3050" s="2" t="s">
        <v>2188</v>
      </c>
      <c r="C3050" s="2" t="s">
        <v>18</v>
      </c>
      <c r="D3050" s="2" t="s">
        <v>30</v>
      </c>
      <c r="E3050" s="2" t="s">
        <v>43</v>
      </c>
      <c r="F3050" s="2" t="s">
        <v>743</v>
      </c>
      <c r="G3050" s="2">
        <v>44.75</v>
      </c>
      <c r="H3050" s="2">
        <v>5</v>
      </c>
      <c r="I3050" s="3">
        <v>8.5</v>
      </c>
    </row>
    <row r="3051" spans="1:9" x14ac:dyDescent="0.3">
      <c r="A3051" s="4">
        <v>42800</v>
      </c>
      <c r="B3051" s="5" t="s">
        <v>2188</v>
      </c>
      <c r="C3051" s="5" t="s">
        <v>18</v>
      </c>
      <c r="D3051" s="5" t="s">
        <v>2</v>
      </c>
      <c r="E3051" s="5" t="s">
        <v>3</v>
      </c>
      <c r="F3051" s="5" t="s">
        <v>189</v>
      </c>
      <c r="G3051" s="5">
        <v>11.96</v>
      </c>
      <c r="H3051" s="5">
        <v>2</v>
      </c>
      <c r="I3051" s="6">
        <v>5.38</v>
      </c>
    </row>
    <row r="3052" spans="1:9" x14ac:dyDescent="0.3">
      <c r="A3052" s="1">
        <v>42800</v>
      </c>
      <c r="B3052" s="2" t="s">
        <v>2188</v>
      </c>
      <c r="C3052" s="2" t="s">
        <v>18</v>
      </c>
      <c r="D3052" s="2" t="s">
        <v>2</v>
      </c>
      <c r="E3052" s="2" t="s">
        <v>11</v>
      </c>
      <c r="F3052" s="2" t="s">
        <v>1068</v>
      </c>
      <c r="G3052" s="2">
        <v>3.91</v>
      </c>
      <c r="H3052" s="2">
        <v>1</v>
      </c>
      <c r="I3052" s="3">
        <v>1.27</v>
      </c>
    </row>
    <row r="3053" spans="1:9" x14ac:dyDescent="0.3">
      <c r="A3053" s="4">
        <v>42800</v>
      </c>
      <c r="B3053" s="5" t="s">
        <v>407</v>
      </c>
      <c r="C3053" s="5" t="s">
        <v>58</v>
      </c>
      <c r="D3053" s="5" t="s">
        <v>2</v>
      </c>
      <c r="E3053" s="5" t="s">
        <v>11</v>
      </c>
      <c r="F3053" s="5" t="s">
        <v>1061</v>
      </c>
      <c r="G3053" s="5">
        <v>4.55</v>
      </c>
      <c r="H3053" s="5">
        <v>3</v>
      </c>
      <c r="I3053" s="6">
        <v>-3.49</v>
      </c>
    </row>
    <row r="3054" spans="1:9" x14ac:dyDescent="0.3">
      <c r="A3054" s="1">
        <v>42800</v>
      </c>
      <c r="B3054" s="2" t="s">
        <v>407</v>
      </c>
      <c r="C3054" s="2" t="s">
        <v>58</v>
      </c>
      <c r="D3054" s="2" t="s">
        <v>2</v>
      </c>
      <c r="E3054" s="2" t="s">
        <v>133</v>
      </c>
      <c r="F3054" s="2" t="s">
        <v>525</v>
      </c>
      <c r="G3054" s="2">
        <v>5.2</v>
      </c>
      <c r="H3054" s="2">
        <v>2</v>
      </c>
      <c r="I3054" s="3">
        <v>0.59</v>
      </c>
    </row>
    <row r="3055" spans="1:9" x14ac:dyDescent="0.3">
      <c r="A3055" s="4">
        <v>42800</v>
      </c>
      <c r="B3055" s="5" t="s">
        <v>407</v>
      </c>
      <c r="C3055" s="5" t="s">
        <v>58</v>
      </c>
      <c r="D3055" s="5" t="s">
        <v>30</v>
      </c>
      <c r="E3055" s="5" t="s">
        <v>43</v>
      </c>
      <c r="F3055" s="5" t="s">
        <v>1938</v>
      </c>
      <c r="G3055" s="5">
        <v>205.99</v>
      </c>
      <c r="H3055" s="5">
        <v>1</v>
      </c>
      <c r="I3055" s="6">
        <v>-2.57</v>
      </c>
    </row>
    <row r="3056" spans="1:9" x14ac:dyDescent="0.3">
      <c r="A3056" s="1">
        <v>42800</v>
      </c>
      <c r="B3056" s="2" t="s">
        <v>407</v>
      </c>
      <c r="C3056" s="2" t="s">
        <v>58</v>
      </c>
      <c r="D3056" s="2" t="s">
        <v>2</v>
      </c>
      <c r="E3056" s="2" t="s">
        <v>3</v>
      </c>
      <c r="F3056" s="2" t="s">
        <v>1742</v>
      </c>
      <c r="G3056" s="2">
        <v>15.55</v>
      </c>
      <c r="H3056" s="2">
        <v>3</v>
      </c>
      <c r="I3056" s="3">
        <v>5.44</v>
      </c>
    </row>
    <row r="3057" spans="1:9" x14ac:dyDescent="0.3">
      <c r="A3057" s="4">
        <v>42800</v>
      </c>
      <c r="B3057" s="5" t="s">
        <v>407</v>
      </c>
      <c r="C3057" s="5" t="s">
        <v>58</v>
      </c>
      <c r="D3057" s="5" t="s">
        <v>30</v>
      </c>
      <c r="E3057" s="5" t="s">
        <v>31</v>
      </c>
      <c r="F3057" s="5" t="s">
        <v>1188</v>
      </c>
      <c r="G3057" s="5">
        <v>503.96</v>
      </c>
      <c r="H3057" s="5">
        <v>5</v>
      </c>
      <c r="I3057" s="6">
        <v>50.4</v>
      </c>
    </row>
    <row r="3058" spans="1:9" x14ac:dyDescent="0.3">
      <c r="A3058" s="1">
        <v>42800</v>
      </c>
      <c r="B3058" s="2" t="s">
        <v>407</v>
      </c>
      <c r="C3058" s="2" t="s">
        <v>58</v>
      </c>
      <c r="D3058" s="2" t="s">
        <v>2</v>
      </c>
      <c r="E3058" s="2" t="s">
        <v>133</v>
      </c>
      <c r="F3058" s="2" t="s">
        <v>2183</v>
      </c>
      <c r="G3058" s="2">
        <v>24.47</v>
      </c>
      <c r="H3058" s="2">
        <v>7</v>
      </c>
      <c r="I3058" s="3">
        <v>1.84</v>
      </c>
    </row>
    <row r="3059" spans="1:9" x14ac:dyDescent="0.3">
      <c r="A3059" s="4">
        <v>42800</v>
      </c>
      <c r="B3059" s="5" t="s">
        <v>407</v>
      </c>
      <c r="C3059" s="5" t="s">
        <v>58</v>
      </c>
      <c r="D3059" s="5" t="s">
        <v>25</v>
      </c>
      <c r="E3059" s="5" t="s">
        <v>129</v>
      </c>
      <c r="F3059" s="5" t="s">
        <v>1268</v>
      </c>
      <c r="G3059" s="5">
        <v>241.57</v>
      </c>
      <c r="H3059" s="5">
        <v>2</v>
      </c>
      <c r="I3059" s="6">
        <v>0</v>
      </c>
    </row>
    <row r="3060" spans="1:9" x14ac:dyDescent="0.3">
      <c r="A3060" s="1">
        <v>42800</v>
      </c>
      <c r="B3060" s="2" t="s">
        <v>407</v>
      </c>
      <c r="C3060" s="2" t="s">
        <v>58</v>
      </c>
      <c r="D3060" s="2" t="s">
        <v>30</v>
      </c>
      <c r="E3060" s="2" t="s">
        <v>43</v>
      </c>
      <c r="F3060" s="2" t="s">
        <v>791</v>
      </c>
      <c r="G3060" s="2">
        <v>110.4</v>
      </c>
      <c r="H3060" s="2">
        <v>2</v>
      </c>
      <c r="I3060" s="3">
        <v>-4.1399999999999997</v>
      </c>
    </row>
    <row r="3061" spans="1:9" x14ac:dyDescent="0.3">
      <c r="A3061" s="4">
        <v>42800</v>
      </c>
      <c r="B3061" s="5" t="s">
        <v>955</v>
      </c>
      <c r="C3061" s="5" t="s">
        <v>80</v>
      </c>
      <c r="D3061" s="5" t="s">
        <v>25</v>
      </c>
      <c r="E3061" s="5" t="s">
        <v>86</v>
      </c>
      <c r="F3061" s="5" t="s">
        <v>1875</v>
      </c>
      <c r="G3061" s="5">
        <v>384.77</v>
      </c>
      <c r="H3061" s="5">
        <v>2</v>
      </c>
      <c r="I3061" s="6">
        <v>-115.43</v>
      </c>
    </row>
    <row r="3062" spans="1:9" x14ac:dyDescent="0.3">
      <c r="A3062" s="1">
        <v>42800</v>
      </c>
      <c r="B3062" s="2" t="s">
        <v>955</v>
      </c>
      <c r="C3062" s="2" t="s">
        <v>80</v>
      </c>
      <c r="D3062" s="2" t="s">
        <v>30</v>
      </c>
      <c r="E3062" s="2" t="s">
        <v>625</v>
      </c>
      <c r="F3062" s="2" t="s">
        <v>2189</v>
      </c>
      <c r="G3062" s="2">
        <v>78.66</v>
      </c>
      <c r="H3062" s="2">
        <v>6</v>
      </c>
      <c r="I3062" s="3">
        <v>36.18</v>
      </c>
    </row>
    <row r="3063" spans="1:9" x14ac:dyDescent="0.3">
      <c r="A3063" s="4">
        <v>42800</v>
      </c>
      <c r="B3063" s="5" t="s">
        <v>955</v>
      </c>
      <c r="C3063" s="5" t="s">
        <v>80</v>
      </c>
      <c r="D3063" s="5" t="s">
        <v>2</v>
      </c>
      <c r="E3063" s="5" t="s">
        <v>3</v>
      </c>
      <c r="F3063" s="5" t="s">
        <v>1305</v>
      </c>
      <c r="G3063" s="5">
        <v>45.36</v>
      </c>
      <c r="H3063" s="5">
        <v>4</v>
      </c>
      <c r="I3063" s="6">
        <v>22.23</v>
      </c>
    </row>
    <row r="3064" spans="1:9" x14ac:dyDescent="0.3">
      <c r="A3064" s="1">
        <v>42800</v>
      </c>
      <c r="B3064" s="2" t="s">
        <v>2190</v>
      </c>
      <c r="C3064" s="2" t="s">
        <v>62</v>
      </c>
      <c r="D3064" s="2" t="s">
        <v>2</v>
      </c>
      <c r="E3064" s="2" t="s">
        <v>9</v>
      </c>
      <c r="F3064" s="2" t="s">
        <v>1348</v>
      </c>
      <c r="G3064" s="2">
        <v>136.26</v>
      </c>
      <c r="H3064" s="2">
        <v>9</v>
      </c>
      <c r="I3064" s="3">
        <v>5.45</v>
      </c>
    </row>
    <row r="3065" spans="1:9" x14ac:dyDescent="0.3">
      <c r="A3065" s="4">
        <v>42831</v>
      </c>
      <c r="B3065" s="5" t="s">
        <v>1767</v>
      </c>
      <c r="C3065" s="5" t="s">
        <v>121</v>
      </c>
      <c r="D3065" s="5" t="s">
        <v>25</v>
      </c>
      <c r="E3065" s="5" t="s">
        <v>38</v>
      </c>
      <c r="F3065" s="5" t="s">
        <v>635</v>
      </c>
      <c r="G3065" s="5">
        <v>31.98</v>
      </c>
      <c r="H3065" s="5">
        <v>2</v>
      </c>
      <c r="I3065" s="6">
        <v>2</v>
      </c>
    </row>
    <row r="3066" spans="1:9" x14ac:dyDescent="0.3">
      <c r="A3066" s="1">
        <v>42831</v>
      </c>
      <c r="B3066" s="2" t="s">
        <v>1767</v>
      </c>
      <c r="C3066" s="2" t="s">
        <v>121</v>
      </c>
      <c r="D3066" s="2" t="s">
        <v>30</v>
      </c>
      <c r="E3066" s="2" t="s">
        <v>31</v>
      </c>
      <c r="F3066" s="2" t="s">
        <v>2191</v>
      </c>
      <c r="G3066" s="2">
        <v>71.98</v>
      </c>
      <c r="H3066" s="2">
        <v>2</v>
      </c>
      <c r="I3066" s="3">
        <v>25.19</v>
      </c>
    </row>
    <row r="3067" spans="1:9" x14ac:dyDescent="0.3">
      <c r="A3067" s="4">
        <v>42831</v>
      </c>
      <c r="B3067" s="5" t="s">
        <v>454</v>
      </c>
      <c r="C3067" s="5" t="s">
        <v>244</v>
      </c>
      <c r="D3067" s="5" t="s">
        <v>2</v>
      </c>
      <c r="E3067" s="5" t="s">
        <v>3</v>
      </c>
      <c r="F3067" s="5" t="s">
        <v>2174</v>
      </c>
      <c r="G3067" s="5">
        <v>12.48</v>
      </c>
      <c r="H3067" s="5">
        <v>2</v>
      </c>
      <c r="I3067" s="6">
        <v>5.62</v>
      </c>
    </row>
    <row r="3068" spans="1:9" x14ac:dyDescent="0.3">
      <c r="A3068" s="1">
        <v>42831</v>
      </c>
      <c r="B3068" s="2" t="s">
        <v>321</v>
      </c>
      <c r="C3068" s="2" t="s">
        <v>359</v>
      </c>
      <c r="D3068" s="2" t="s">
        <v>2</v>
      </c>
      <c r="E3068" s="2" t="s">
        <v>15</v>
      </c>
      <c r="F3068" s="2" t="s">
        <v>2192</v>
      </c>
      <c r="G3068" s="2">
        <v>8.64</v>
      </c>
      <c r="H3068" s="2">
        <v>3</v>
      </c>
      <c r="I3068" s="3">
        <v>2.5099999999999998</v>
      </c>
    </row>
    <row r="3069" spans="1:9" x14ac:dyDescent="0.3">
      <c r="A3069" s="4">
        <v>42831</v>
      </c>
      <c r="B3069" s="5" t="s">
        <v>2193</v>
      </c>
      <c r="C3069" s="5" t="s">
        <v>1</v>
      </c>
      <c r="D3069" s="5" t="s">
        <v>2</v>
      </c>
      <c r="E3069" s="5" t="s">
        <v>11</v>
      </c>
      <c r="F3069" s="5" t="s">
        <v>404</v>
      </c>
      <c r="G3069" s="5">
        <v>6.37</v>
      </c>
      <c r="H3069" s="5">
        <v>7</v>
      </c>
      <c r="I3069" s="6">
        <v>-9.56</v>
      </c>
    </row>
    <row r="3070" spans="1:9" x14ac:dyDescent="0.3">
      <c r="A3070" s="1">
        <v>42831</v>
      </c>
      <c r="B3070" s="2" t="s">
        <v>991</v>
      </c>
      <c r="C3070" s="2" t="s">
        <v>368</v>
      </c>
      <c r="D3070" s="2" t="s">
        <v>2</v>
      </c>
      <c r="E3070" s="2" t="s">
        <v>11</v>
      </c>
      <c r="F3070" s="2" t="s">
        <v>1783</v>
      </c>
      <c r="G3070" s="2">
        <v>108.08</v>
      </c>
      <c r="H3070" s="2">
        <v>7</v>
      </c>
      <c r="I3070" s="3">
        <v>54.04</v>
      </c>
    </row>
    <row r="3071" spans="1:9" x14ac:dyDescent="0.3">
      <c r="A3071" s="4">
        <v>42831</v>
      </c>
      <c r="B3071" s="5" t="s">
        <v>991</v>
      </c>
      <c r="C3071" s="5" t="s">
        <v>368</v>
      </c>
      <c r="D3071" s="5" t="s">
        <v>2</v>
      </c>
      <c r="E3071" s="5" t="s">
        <v>11</v>
      </c>
      <c r="F3071" s="5" t="s">
        <v>1940</v>
      </c>
      <c r="G3071" s="5">
        <v>9.5399999999999991</v>
      </c>
      <c r="H3071" s="5">
        <v>3</v>
      </c>
      <c r="I3071" s="6">
        <v>4.3899999999999997</v>
      </c>
    </row>
    <row r="3072" spans="1:9" x14ac:dyDescent="0.3">
      <c r="A3072" s="1">
        <v>42831</v>
      </c>
      <c r="B3072" s="2" t="s">
        <v>2194</v>
      </c>
      <c r="C3072" s="2" t="s">
        <v>1</v>
      </c>
      <c r="D3072" s="2" t="s">
        <v>25</v>
      </c>
      <c r="E3072" s="2" t="s">
        <v>38</v>
      </c>
      <c r="F3072" s="2" t="s">
        <v>708</v>
      </c>
      <c r="G3072" s="2">
        <v>30.34</v>
      </c>
      <c r="H3072" s="2">
        <v>6</v>
      </c>
      <c r="I3072" s="3">
        <v>-17.440000000000001</v>
      </c>
    </row>
    <row r="3073" spans="1:9" x14ac:dyDescent="0.3">
      <c r="A3073" s="4">
        <v>42861</v>
      </c>
      <c r="B3073" s="5" t="s">
        <v>1502</v>
      </c>
      <c r="C3073" s="5" t="s">
        <v>1</v>
      </c>
      <c r="D3073" s="5" t="s">
        <v>30</v>
      </c>
      <c r="E3073" s="5" t="s">
        <v>31</v>
      </c>
      <c r="F3073" s="5" t="s">
        <v>1108</v>
      </c>
      <c r="G3073" s="5">
        <v>470.38</v>
      </c>
      <c r="H3073" s="5">
        <v>3</v>
      </c>
      <c r="I3073" s="6">
        <v>52.92</v>
      </c>
    </row>
    <row r="3074" spans="1:9" x14ac:dyDescent="0.3">
      <c r="A3074" s="1">
        <v>42861</v>
      </c>
      <c r="B3074" s="2" t="s">
        <v>1117</v>
      </c>
      <c r="C3074" s="2" t="s">
        <v>58</v>
      </c>
      <c r="D3074" s="2" t="s">
        <v>2</v>
      </c>
      <c r="E3074" s="2" t="s">
        <v>3</v>
      </c>
      <c r="F3074" s="2" t="s">
        <v>1737</v>
      </c>
      <c r="G3074" s="2">
        <v>20.74</v>
      </c>
      <c r="H3074" s="2">
        <v>4</v>
      </c>
      <c r="I3074" s="3">
        <v>7.26</v>
      </c>
    </row>
    <row r="3075" spans="1:9" x14ac:dyDescent="0.3">
      <c r="A3075" s="4">
        <v>42892</v>
      </c>
      <c r="B3075" s="5" t="s">
        <v>476</v>
      </c>
      <c r="C3075" s="5" t="s">
        <v>18</v>
      </c>
      <c r="D3075" s="5" t="s">
        <v>25</v>
      </c>
      <c r="E3075" s="5" t="s">
        <v>38</v>
      </c>
      <c r="F3075" s="5" t="s">
        <v>2195</v>
      </c>
      <c r="G3075" s="5">
        <v>4.95</v>
      </c>
      <c r="H3075" s="5">
        <v>1</v>
      </c>
      <c r="I3075" s="6">
        <v>2.1800000000000002</v>
      </c>
    </row>
    <row r="3076" spans="1:9" x14ac:dyDescent="0.3">
      <c r="A3076" s="1">
        <v>42892</v>
      </c>
      <c r="B3076" s="2" t="s">
        <v>476</v>
      </c>
      <c r="C3076" s="2" t="s">
        <v>18</v>
      </c>
      <c r="D3076" s="2" t="s">
        <v>2</v>
      </c>
      <c r="E3076" s="2" t="s">
        <v>9</v>
      </c>
      <c r="F3076" s="2" t="s">
        <v>1752</v>
      </c>
      <c r="G3076" s="2">
        <v>26.4</v>
      </c>
      <c r="H3076" s="2">
        <v>5</v>
      </c>
      <c r="I3076" s="3">
        <v>0</v>
      </c>
    </row>
    <row r="3077" spans="1:9" x14ac:dyDescent="0.3">
      <c r="A3077" s="4">
        <v>42953</v>
      </c>
      <c r="B3077" s="5" t="s">
        <v>439</v>
      </c>
      <c r="C3077" s="5" t="s">
        <v>1</v>
      </c>
      <c r="D3077" s="5" t="s">
        <v>2</v>
      </c>
      <c r="E3077" s="5" t="s">
        <v>133</v>
      </c>
      <c r="F3077" s="5" t="s">
        <v>2196</v>
      </c>
      <c r="G3077" s="5">
        <v>1.62</v>
      </c>
      <c r="H3077" s="5">
        <v>2</v>
      </c>
      <c r="I3077" s="6">
        <v>-4.47</v>
      </c>
    </row>
    <row r="3078" spans="1:9" x14ac:dyDescent="0.3">
      <c r="A3078" s="1">
        <v>42953</v>
      </c>
      <c r="B3078" s="2" t="s">
        <v>859</v>
      </c>
      <c r="C3078" s="2" t="s">
        <v>1</v>
      </c>
      <c r="D3078" s="2" t="s">
        <v>2</v>
      </c>
      <c r="E3078" s="2" t="s">
        <v>144</v>
      </c>
      <c r="F3078" s="2" t="s">
        <v>2197</v>
      </c>
      <c r="G3078" s="2">
        <v>23.76</v>
      </c>
      <c r="H3078" s="2">
        <v>3</v>
      </c>
      <c r="I3078" s="3">
        <v>2.08</v>
      </c>
    </row>
    <row r="3079" spans="1:9" x14ac:dyDescent="0.3">
      <c r="A3079" s="4">
        <v>42953</v>
      </c>
      <c r="B3079" s="5" t="s">
        <v>859</v>
      </c>
      <c r="C3079" s="5" t="s">
        <v>1</v>
      </c>
      <c r="D3079" s="5" t="s">
        <v>2</v>
      </c>
      <c r="E3079" s="5" t="s">
        <v>3</v>
      </c>
      <c r="F3079" s="5" t="s">
        <v>315</v>
      </c>
      <c r="G3079" s="5">
        <v>85.06</v>
      </c>
      <c r="H3079" s="5">
        <v>3</v>
      </c>
      <c r="I3079" s="6">
        <v>28.71</v>
      </c>
    </row>
    <row r="3080" spans="1:9" x14ac:dyDescent="0.3">
      <c r="A3080" s="1">
        <v>42953</v>
      </c>
      <c r="B3080" s="2" t="s">
        <v>859</v>
      </c>
      <c r="C3080" s="2" t="s">
        <v>1</v>
      </c>
      <c r="D3080" s="2" t="s">
        <v>30</v>
      </c>
      <c r="E3080" s="2" t="s">
        <v>31</v>
      </c>
      <c r="F3080" s="2" t="s">
        <v>2198</v>
      </c>
      <c r="G3080" s="2">
        <v>381.58</v>
      </c>
      <c r="H3080" s="2">
        <v>3</v>
      </c>
      <c r="I3080" s="3">
        <v>28.62</v>
      </c>
    </row>
    <row r="3081" spans="1:9" x14ac:dyDescent="0.3">
      <c r="A3081" s="4">
        <v>42953</v>
      </c>
      <c r="B3081" s="5" t="s">
        <v>719</v>
      </c>
      <c r="C3081" s="5" t="s">
        <v>300</v>
      </c>
      <c r="D3081" s="5" t="s">
        <v>2</v>
      </c>
      <c r="E3081" s="5" t="s">
        <v>11</v>
      </c>
      <c r="F3081" s="5" t="s">
        <v>726</v>
      </c>
      <c r="G3081" s="5">
        <v>10.36</v>
      </c>
      <c r="H3081" s="5">
        <v>2</v>
      </c>
      <c r="I3081" s="6">
        <v>5.08</v>
      </c>
    </row>
    <row r="3082" spans="1:9" x14ac:dyDescent="0.3">
      <c r="A3082" s="1">
        <v>42953</v>
      </c>
      <c r="B3082" s="2" t="s">
        <v>599</v>
      </c>
      <c r="C3082" s="2" t="s">
        <v>6</v>
      </c>
      <c r="D3082" s="2" t="s">
        <v>2</v>
      </c>
      <c r="E3082" s="2" t="s">
        <v>11</v>
      </c>
      <c r="F3082" s="2" t="s">
        <v>1107</v>
      </c>
      <c r="G3082" s="2">
        <v>12.18</v>
      </c>
      <c r="H3082" s="2">
        <v>4</v>
      </c>
      <c r="I3082" s="3">
        <v>-18.87</v>
      </c>
    </row>
    <row r="3083" spans="1:9" x14ac:dyDescent="0.3">
      <c r="A3083" s="4">
        <v>42953</v>
      </c>
      <c r="B3083" s="5" t="s">
        <v>2199</v>
      </c>
      <c r="C3083" s="5" t="s">
        <v>18</v>
      </c>
      <c r="D3083" s="5" t="s">
        <v>25</v>
      </c>
      <c r="E3083" s="5" t="s">
        <v>129</v>
      </c>
      <c r="F3083" s="5" t="s">
        <v>1523</v>
      </c>
      <c r="G3083" s="5">
        <v>1497.67</v>
      </c>
      <c r="H3083" s="5">
        <v>2</v>
      </c>
      <c r="I3083" s="6">
        <v>140.96</v>
      </c>
    </row>
    <row r="3084" spans="1:9" x14ac:dyDescent="0.3">
      <c r="A3084" s="1">
        <v>42953</v>
      </c>
      <c r="B3084" s="2" t="s">
        <v>2199</v>
      </c>
      <c r="C3084" s="2" t="s">
        <v>18</v>
      </c>
      <c r="D3084" s="2" t="s">
        <v>30</v>
      </c>
      <c r="E3084" s="2" t="s">
        <v>31</v>
      </c>
      <c r="F3084" s="2" t="s">
        <v>985</v>
      </c>
      <c r="G3084" s="2">
        <v>17.52</v>
      </c>
      <c r="H3084" s="2">
        <v>2</v>
      </c>
      <c r="I3084" s="3">
        <v>-3.5</v>
      </c>
    </row>
    <row r="3085" spans="1:9" x14ac:dyDescent="0.3">
      <c r="A3085" s="4">
        <v>42953</v>
      </c>
      <c r="B3085" s="5" t="s">
        <v>431</v>
      </c>
      <c r="C3085" s="5" t="s">
        <v>253</v>
      </c>
      <c r="D3085" s="5" t="s">
        <v>30</v>
      </c>
      <c r="E3085" s="5" t="s">
        <v>43</v>
      </c>
      <c r="F3085" s="5" t="s">
        <v>2200</v>
      </c>
      <c r="G3085" s="5">
        <v>89.54</v>
      </c>
      <c r="H3085" s="5">
        <v>7</v>
      </c>
      <c r="I3085" s="6">
        <v>12.31</v>
      </c>
    </row>
    <row r="3086" spans="1:9" x14ac:dyDescent="0.3">
      <c r="A3086" s="1">
        <v>42953</v>
      </c>
      <c r="B3086" s="2" t="s">
        <v>431</v>
      </c>
      <c r="C3086" s="2" t="s">
        <v>253</v>
      </c>
      <c r="D3086" s="2" t="s">
        <v>2</v>
      </c>
      <c r="E3086" s="2" t="s">
        <v>9</v>
      </c>
      <c r="F3086" s="2" t="s">
        <v>987</v>
      </c>
      <c r="G3086" s="2">
        <v>35.17</v>
      </c>
      <c r="H3086" s="2">
        <v>2</v>
      </c>
      <c r="I3086" s="3">
        <v>-8.35</v>
      </c>
    </row>
    <row r="3087" spans="1:9" x14ac:dyDescent="0.3">
      <c r="A3087" s="4">
        <v>42953</v>
      </c>
      <c r="B3087" s="5" t="s">
        <v>431</v>
      </c>
      <c r="C3087" s="5" t="s">
        <v>253</v>
      </c>
      <c r="D3087" s="5" t="s">
        <v>2</v>
      </c>
      <c r="E3087" s="5" t="s">
        <v>11</v>
      </c>
      <c r="F3087" s="5" t="s">
        <v>2201</v>
      </c>
      <c r="G3087" s="5">
        <v>72.59</v>
      </c>
      <c r="H3087" s="5">
        <v>2</v>
      </c>
      <c r="I3087" s="6">
        <v>-48.39</v>
      </c>
    </row>
    <row r="3088" spans="1:9" x14ac:dyDescent="0.3">
      <c r="A3088" s="1">
        <v>42984</v>
      </c>
      <c r="B3088" s="2" t="s">
        <v>2190</v>
      </c>
      <c r="C3088" s="2" t="s">
        <v>6</v>
      </c>
      <c r="D3088" s="2" t="s">
        <v>25</v>
      </c>
      <c r="E3088" s="2" t="s">
        <v>38</v>
      </c>
      <c r="F3088" s="2" t="s">
        <v>954</v>
      </c>
      <c r="G3088" s="2">
        <v>23.98</v>
      </c>
      <c r="H3088" s="2">
        <v>3</v>
      </c>
      <c r="I3088" s="3">
        <v>-14.39</v>
      </c>
    </row>
    <row r="3089" spans="1:9" x14ac:dyDescent="0.3">
      <c r="A3089" s="4">
        <v>42984</v>
      </c>
      <c r="B3089" s="5" t="s">
        <v>2190</v>
      </c>
      <c r="C3089" s="5" t="s">
        <v>6</v>
      </c>
      <c r="D3089" s="5" t="s">
        <v>25</v>
      </c>
      <c r="E3089" s="5" t="s">
        <v>86</v>
      </c>
      <c r="F3089" s="5" t="s">
        <v>232</v>
      </c>
      <c r="G3089" s="5">
        <v>108.93</v>
      </c>
      <c r="H3089" s="5">
        <v>1</v>
      </c>
      <c r="I3089" s="6">
        <v>-71.89</v>
      </c>
    </row>
    <row r="3090" spans="1:9" x14ac:dyDescent="0.3">
      <c r="A3090" s="1">
        <v>42984</v>
      </c>
      <c r="B3090" s="2" t="s">
        <v>2190</v>
      </c>
      <c r="C3090" s="2" t="s">
        <v>6</v>
      </c>
      <c r="D3090" s="2" t="s">
        <v>2</v>
      </c>
      <c r="E3090" s="2" t="s">
        <v>3</v>
      </c>
      <c r="F3090" s="2" t="s">
        <v>2202</v>
      </c>
      <c r="G3090" s="2">
        <v>36.35</v>
      </c>
      <c r="H3090" s="2">
        <v>8</v>
      </c>
      <c r="I3090" s="3">
        <v>11.36</v>
      </c>
    </row>
    <row r="3091" spans="1:9" x14ac:dyDescent="0.3">
      <c r="A3091" s="4">
        <v>42984</v>
      </c>
      <c r="B3091" s="5" t="s">
        <v>1170</v>
      </c>
      <c r="C3091" s="5" t="s">
        <v>1</v>
      </c>
      <c r="D3091" s="5" t="s">
        <v>2</v>
      </c>
      <c r="E3091" s="5" t="s">
        <v>9</v>
      </c>
      <c r="F3091" s="5" t="s">
        <v>988</v>
      </c>
      <c r="G3091" s="5">
        <v>720.76</v>
      </c>
      <c r="H3091" s="5">
        <v>5</v>
      </c>
      <c r="I3091" s="6">
        <v>54.06</v>
      </c>
    </row>
    <row r="3092" spans="1:9" x14ac:dyDescent="0.3">
      <c r="A3092" s="1">
        <v>42984</v>
      </c>
      <c r="B3092" s="2" t="s">
        <v>1185</v>
      </c>
      <c r="C3092" s="2" t="s">
        <v>46</v>
      </c>
      <c r="D3092" s="2" t="s">
        <v>2</v>
      </c>
      <c r="E3092" s="2" t="s">
        <v>3</v>
      </c>
      <c r="F3092" s="2" t="s">
        <v>315</v>
      </c>
      <c r="G3092" s="2">
        <v>49.12</v>
      </c>
      <c r="H3092" s="2">
        <v>4</v>
      </c>
      <c r="I3092" s="3">
        <v>23.09</v>
      </c>
    </row>
    <row r="3093" spans="1:9" x14ac:dyDescent="0.3">
      <c r="A3093" s="4">
        <v>43014</v>
      </c>
      <c r="B3093" s="5" t="s">
        <v>1879</v>
      </c>
      <c r="C3093" s="5" t="s">
        <v>18</v>
      </c>
      <c r="D3093" s="5" t="s">
        <v>2</v>
      </c>
      <c r="E3093" s="5" t="s">
        <v>7</v>
      </c>
      <c r="F3093" s="5" t="s">
        <v>696</v>
      </c>
      <c r="G3093" s="5">
        <v>29.6</v>
      </c>
      <c r="H3093" s="5">
        <v>2</v>
      </c>
      <c r="I3093" s="6">
        <v>14.8</v>
      </c>
    </row>
    <row r="3094" spans="1:9" x14ac:dyDescent="0.3">
      <c r="A3094" s="1">
        <v>43014</v>
      </c>
      <c r="B3094" s="2" t="s">
        <v>1879</v>
      </c>
      <c r="C3094" s="2" t="s">
        <v>18</v>
      </c>
      <c r="D3094" s="2" t="s">
        <v>25</v>
      </c>
      <c r="E3094" s="2" t="s">
        <v>129</v>
      </c>
      <c r="F3094" s="2" t="s">
        <v>281</v>
      </c>
      <c r="G3094" s="2">
        <v>514.16999999999996</v>
      </c>
      <c r="H3094" s="2">
        <v>5</v>
      </c>
      <c r="I3094" s="3">
        <v>-30.25</v>
      </c>
    </row>
    <row r="3095" spans="1:9" x14ac:dyDescent="0.3">
      <c r="A3095" s="4">
        <v>43014</v>
      </c>
      <c r="B3095" s="5" t="s">
        <v>1879</v>
      </c>
      <c r="C3095" s="5" t="s">
        <v>18</v>
      </c>
      <c r="D3095" s="5" t="s">
        <v>30</v>
      </c>
      <c r="E3095" s="5" t="s">
        <v>31</v>
      </c>
      <c r="F3095" s="5" t="s">
        <v>2203</v>
      </c>
      <c r="G3095" s="5">
        <v>279.95999999999998</v>
      </c>
      <c r="H3095" s="5">
        <v>5</v>
      </c>
      <c r="I3095" s="6">
        <v>17.5</v>
      </c>
    </row>
    <row r="3096" spans="1:9" x14ac:dyDescent="0.3">
      <c r="A3096" s="1">
        <v>43014</v>
      </c>
      <c r="B3096" s="2" t="s">
        <v>2204</v>
      </c>
      <c r="C3096" s="2" t="s">
        <v>160</v>
      </c>
      <c r="D3096" s="2" t="s">
        <v>30</v>
      </c>
      <c r="E3096" s="2" t="s">
        <v>43</v>
      </c>
      <c r="F3096" s="2" t="s">
        <v>933</v>
      </c>
      <c r="G3096" s="2">
        <v>132.52000000000001</v>
      </c>
      <c r="H3096" s="2">
        <v>4</v>
      </c>
      <c r="I3096" s="3">
        <v>54.33</v>
      </c>
    </row>
    <row r="3097" spans="1:9" x14ac:dyDescent="0.3">
      <c r="A3097" s="4">
        <v>43014</v>
      </c>
      <c r="B3097" s="5" t="s">
        <v>599</v>
      </c>
      <c r="C3097" s="5" t="s">
        <v>18</v>
      </c>
      <c r="D3097" s="5" t="s">
        <v>2</v>
      </c>
      <c r="E3097" s="5" t="s">
        <v>15</v>
      </c>
      <c r="F3097" s="5" t="s">
        <v>2205</v>
      </c>
      <c r="G3097" s="5">
        <v>16.399999999999999</v>
      </c>
      <c r="H3097" s="5">
        <v>5</v>
      </c>
      <c r="I3097" s="6">
        <v>4.76</v>
      </c>
    </row>
    <row r="3098" spans="1:9" x14ac:dyDescent="0.3">
      <c r="A3098" s="1">
        <v>43014</v>
      </c>
      <c r="B3098" s="2" t="s">
        <v>2036</v>
      </c>
      <c r="C3098" s="2" t="s">
        <v>14</v>
      </c>
      <c r="D3098" s="2" t="s">
        <v>2</v>
      </c>
      <c r="E3098" s="2" t="s">
        <v>3</v>
      </c>
      <c r="F3098" s="2" t="s">
        <v>2206</v>
      </c>
      <c r="G3098" s="2">
        <v>40.03</v>
      </c>
      <c r="H3098" s="2">
        <v>6</v>
      </c>
      <c r="I3098" s="3">
        <v>15.01</v>
      </c>
    </row>
    <row r="3099" spans="1:9" x14ac:dyDescent="0.3">
      <c r="A3099" s="4">
        <v>43014</v>
      </c>
      <c r="B3099" s="5" t="s">
        <v>70</v>
      </c>
      <c r="C3099" s="5" t="s">
        <v>58</v>
      </c>
      <c r="D3099" s="5" t="s">
        <v>2</v>
      </c>
      <c r="E3099" s="5" t="s">
        <v>9</v>
      </c>
      <c r="F3099" s="5" t="s">
        <v>2207</v>
      </c>
      <c r="G3099" s="5">
        <v>1347.52</v>
      </c>
      <c r="H3099" s="5">
        <v>8</v>
      </c>
      <c r="I3099" s="6">
        <v>84.22</v>
      </c>
    </row>
    <row r="3100" spans="1:9" x14ac:dyDescent="0.3">
      <c r="A3100" s="1">
        <v>43014</v>
      </c>
      <c r="B3100" s="2" t="s">
        <v>1868</v>
      </c>
      <c r="C3100" s="2" t="s">
        <v>80</v>
      </c>
      <c r="D3100" s="2" t="s">
        <v>2</v>
      </c>
      <c r="E3100" s="2" t="s">
        <v>15</v>
      </c>
      <c r="F3100" s="2" t="s">
        <v>844</v>
      </c>
      <c r="G3100" s="2">
        <v>8.4</v>
      </c>
      <c r="H3100" s="2">
        <v>5</v>
      </c>
      <c r="I3100" s="3">
        <v>4.2</v>
      </c>
    </row>
    <row r="3101" spans="1:9" x14ac:dyDescent="0.3">
      <c r="A3101" s="4">
        <v>43014</v>
      </c>
      <c r="B3101" s="5" t="s">
        <v>1337</v>
      </c>
      <c r="C3101" s="5" t="s">
        <v>62</v>
      </c>
      <c r="D3101" s="5" t="s">
        <v>30</v>
      </c>
      <c r="E3101" s="5" t="s">
        <v>31</v>
      </c>
      <c r="F3101" s="5" t="s">
        <v>445</v>
      </c>
      <c r="G3101" s="5">
        <v>88.78</v>
      </c>
      <c r="H3101" s="5">
        <v>3</v>
      </c>
      <c r="I3101" s="6">
        <v>7.77</v>
      </c>
    </row>
    <row r="3102" spans="1:9" x14ac:dyDescent="0.3">
      <c r="A3102" s="1">
        <v>43014</v>
      </c>
      <c r="B3102" s="2" t="s">
        <v>1337</v>
      </c>
      <c r="C3102" s="2" t="s">
        <v>62</v>
      </c>
      <c r="D3102" s="2" t="s">
        <v>2</v>
      </c>
      <c r="E3102" s="2" t="s">
        <v>7</v>
      </c>
      <c r="F3102" s="2" t="s">
        <v>756</v>
      </c>
      <c r="G3102" s="2">
        <v>11.56</v>
      </c>
      <c r="H3102" s="2">
        <v>4</v>
      </c>
      <c r="I3102" s="3">
        <v>5.43</v>
      </c>
    </row>
    <row r="3103" spans="1:9" x14ac:dyDescent="0.3">
      <c r="A3103" s="4">
        <v>43014</v>
      </c>
      <c r="B3103" s="5" t="s">
        <v>1337</v>
      </c>
      <c r="C3103" s="5" t="s">
        <v>62</v>
      </c>
      <c r="D3103" s="5" t="s">
        <v>2</v>
      </c>
      <c r="E3103" s="5" t="s">
        <v>9</v>
      </c>
      <c r="F3103" s="5" t="s">
        <v>2208</v>
      </c>
      <c r="G3103" s="5">
        <v>15.58</v>
      </c>
      <c r="H3103" s="5">
        <v>1</v>
      </c>
      <c r="I3103" s="6">
        <v>3.9</v>
      </c>
    </row>
    <row r="3104" spans="1:9" x14ac:dyDescent="0.3">
      <c r="A3104" s="1">
        <v>43014</v>
      </c>
      <c r="B3104" s="2" t="s">
        <v>2209</v>
      </c>
      <c r="C3104" s="2" t="s">
        <v>18</v>
      </c>
      <c r="D3104" s="2" t="s">
        <v>2</v>
      </c>
      <c r="E3104" s="2" t="s">
        <v>15</v>
      </c>
      <c r="F3104" s="2" t="s">
        <v>2210</v>
      </c>
      <c r="G3104" s="2">
        <v>14.7</v>
      </c>
      <c r="H3104" s="2">
        <v>7</v>
      </c>
      <c r="I3104" s="3">
        <v>4.12</v>
      </c>
    </row>
    <row r="3105" spans="1:9" x14ac:dyDescent="0.3">
      <c r="A3105" s="4">
        <v>43014</v>
      </c>
      <c r="B3105" s="5" t="s">
        <v>2211</v>
      </c>
      <c r="C3105" s="5" t="s">
        <v>80</v>
      </c>
      <c r="D3105" s="5" t="s">
        <v>2</v>
      </c>
      <c r="E3105" s="5" t="s">
        <v>34</v>
      </c>
      <c r="F3105" s="5" t="s">
        <v>106</v>
      </c>
      <c r="G3105" s="5">
        <v>14.13</v>
      </c>
      <c r="H3105" s="5">
        <v>3</v>
      </c>
      <c r="I3105" s="6">
        <v>0.71</v>
      </c>
    </row>
    <row r="3106" spans="1:9" x14ac:dyDescent="0.3">
      <c r="A3106" s="1">
        <v>43045</v>
      </c>
      <c r="B3106" s="2" t="s">
        <v>1530</v>
      </c>
      <c r="C3106" s="2" t="s">
        <v>18</v>
      </c>
      <c r="D3106" s="2" t="s">
        <v>2</v>
      </c>
      <c r="E3106" s="2" t="s">
        <v>3</v>
      </c>
      <c r="F3106" s="2" t="s">
        <v>1652</v>
      </c>
      <c r="G3106" s="2">
        <v>122.97</v>
      </c>
      <c r="H3106" s="2">
        <v>3</v>
      </c>
      <c r="I3106" s="3">
        <v>60.26</v>
      </c>
    </row>
    <row r="3107" spans="1:9" x14ac:dyDescent="0.3">
      <c r="A3107" s="4">
        <v>43045</v>
      </c>
      <c r="B3107" s="5" t="s">
        <v>465</v>
      </c>
      <c r="C3107" s="5" t="s">
        <v>253</v>
      </c>
      <c r="D3107" s="5" t="s">
        <v>25</v>
      </c>
      <c r="E3107" s="5" t="s">
        <v>26</v>
      </c>
      <c r="F3107" s="5" t="s">
        <v>2212</v>
      </c>
      <c r="G3107" s="5">
        <v>280.79000000000002</v>
      </c>
      <c r="H3107" s="5">
        <v>1</v>
      </c>
      <c r="I3107" s="6">
        <v>35.1</v>
      </c>
    </row>
    <row r="3108" spans="1:9" x14ac:dyDescent="0.3">
      <c r="A3108" s="1">
        <v>43045</v>
      </c>
      <c r="B3108" s="2" t="s">
        <v>465</v>
      </c>
      <c r="C3108" s="2" t="s">
        <v>253</v>
      </c>
      <c r="D3108" s="2" t="s">
        <v>2</v>
      </c>
      <c r="E3108" s="2" t="s">
        <v>9</v>
      </c>
      <c r="F3108" s="2" t="s">
        <v>799</v>
      </c>
      <c r="G3108" s="2">
        <v>68.45</v>
      </c>
      <c r="H3108" s="2">
        <v>4</v>
      </c>
      <c r="I3108" s="3">
        <v>7.7</v>
      </c>
    </row>
    <row r="3109" spans="1:9" x14ac:dyDescent="0.3">
      <c r="A3109" s="4">
        <v>43045</v>
      </c>
      <c r="B3109" s="5" t="s">
        <v>465</v>
      </c>
      <c r="C3109" s="5" t="s">
        <v>253</v>
      </c>
      <c r="D3109" s="5" t="s">
        <v>2</v>
      </c>
      <c r="E3109" s="5" t="s">
        <v>15</v>
      </c>
      <c r="F3109" s="5" t="s">
        <v>1708</v>
      </c>
      <c r="G3109" s="5">
        <v>88.04</v>
      </c>
      <c r="H3109" s="5">
        <v>5</v>
      </c>
      <c r="I3109" s="6">
        <v>6.6</v>
      </c>
    </row>
    <row r="3110" spans="1:9" x14ac:dyDescent="0.3">
      <c r="A3110" s="1">
        <v>43045</v>
      </c>
      <c r="B3110" s="2" t="s">
        <v>465</v>
      </c>
      <c r="C3110" s="2" t="s">
        <v>253</v>
      </c>
      <c r="D3110" s="2" t="s">
        <v>2</v>
      </c>
      <c r="E3110" s="2" t="s">
        <v>15</v>
      </c>
      <c r="F3110" s="2" t="s">
        <v>199</v>
      </c>
      <c r="G3110" s="2">
        <v>15.87</v>
      </c>
      <c r="H3110" s="2">
        <v>1</v>
      </c>
      <c r="I3110" s="3">
        <v>1.98</v>
      </c>
    </row>
    <row r="3111" spans="1:9" x14ac:dyDescent="0.3">
      <c r="A3111" s="4">
        <v>43045</v>
      </c>
      <c r="B3111" s="5" t="s">
        <v>465</v>
      </c>
      <c r="C3111" s="5" t="s">
        <v>253</v>
      </c>
      <c r="D3111" s="5" t="s">
        <v>2</v>
      </c>
      <c r="E3111" s="5" t="s">
        <v>9</v>
      </c>
      <c r="F3111" s="5" t="s">
        <v>2213</v>
      </c>
      <c r="G3111" s="5">
        <v>215.59</v>
      </c>
      <c r="H3111" s="5">
        <v>3</v>
      </c>
      <c r="I3111" s="6">
        <v>-48.51</v>
      </c>
    </row>
    <row r="3112" spans="1:9" x14ac:dyDescent="0.3">
      <c r="A3112" s="1">
        <v>43045</v>
      </c>
      <c r="B3112" s="2" t="s">
        <v>113</v>
      </c>
      <c r="C3112" s="2" t="s">
        <v>244</v>
      </c>
      <c r="D3112" s="2" t="s">
        <v>2</v>
      </c>
      <c r="E3112" s="2" t="s">
        <v>15</v>
      </c>
      <c r="F3112" s="2" t="s">
        <v>812</v>
      </c>
      <c r="G3112" s="2">
        <v>3.76</v>
      </c>
      <c r="H3112" s="2">
        <v>2</v>
      </c>
      <c r="I3112" s="3">
        <v>1.0900000000000001</v>
      </c>
    </row>
    <row r="3113" spans="1:9" x14ac:dyDescent="0.3">
      <c r="A3113" s="4">
        <v>43045</v>
      </c>
      <c r="B3113" s="5" t="s">
        <v>61</v>
      </c>
      <c r="C3113" s="5" t="s">
        <v>62</v>
      </c>
      <c r="D3113" s="5" t="s">
        <v>2</v>
      </c>
      <c r="E3113" s="5" t="s">
        <v>3</v>
      </c>
      <c r="F3113" s="5" t="s">
        <v>1720</v>
      </c>
      <c r="G3113" s="5">
        <v>37.94</v>
      </c>
      <c r="H3113" s="5">
        <v>2</v>
      </c>
      <c r="I3113" s="6">
        <v>18.21</v>
      </c>
    </row>
    <row r="3114" spans="1:9" x14ac:dyDescent="0.3">
      <c r="A3114" s="1">
        <v>43045</v>
      </c>
      <c r="B3114" s="2" t="s">
        <v>61</v>
      </c>
      <c r="C3114" s="2" t="s">
        <v>62</v>
      </c>
      <c r="D3114" s="2" t="s">
        <v>2</v>
      </c>
      <c r="E3114" s="2" t="s">
        <v>11</v>
      </c>
      <c r="F3114" s="2" t="s">
        <v>2107</v>
      </c>
      <c r="G3114" s="2">
        <v>18.29</v>
      </c>
      <c r="H3114" s="2">
        <v>6</v>
      </c>
      <c r="I3114" s="3">
        <v>6.63</v>
      </c>
    </row>
    <row r="3115" spans="1:9" x14ac:dyDescent="0.3">
      <c r="A3115" s="4">
        <v>43045</v>
      </c>
      <c r="B3115" s="5" t="s">
        <v>61</v>
      </c>
      <c r="C3115" s="5" t="s">
        <v>62</v>
      </c>
      <c r="D3115" s="5" t="s">
        <v>30</v>
      </c>
      <c r="E3115" s="5" t="s">
        <v>625</v>
      </c>
      <c r="F3115" s="5" t="s">
        <v>2214</v>
      </c>
      <c r="G3115" s="5">
        <v>385.8</v>
      </c>
      <c r="H3115" s="5">
        <v>5</v>
      </c>
      <c r="I3115" s="6">
        <v>130.21</v>
      </c>
    </row>
    <row r="3116" spans="1:9" x14ac:dyDescent="0.3">
      <c r="A3116" s="1">
        <v>43045</v>
      </c>
      <c r="B3116" s="2" t="s">
        <v>61</v>
      </c>
      <c r="C3116" s="2" t="s">
        <v>62</v>
      </c>
      <c r="D3116" s="2" t="s">
        <v>2</v>
      </c>
      <c r="E3116" s="2" t="s">
        <v>9</v>
      </c>
      <c r="F3116" s="2" t="s">
        <v>1576</v>
      </c>
      <c r="G3116" s="2">
        <v>102.96</v>
      </c>
      <c r="H3116" s="2">
        <v>2</v>
      </c>
      <c r="I3116" s="3">
        <v>1.03</v>
      </c>
    </row>
    <row r="3117" spans="1:9" x14ac:dyDescent="0.3">
      <c r="A3117" s="4">
        <v>43045</v>
      </c>
      <c r="B3117" s="5" t="s">
        <v>61</v>
      </c>
      <c r="C3117" s="5" t="s">
        <v>62</v>
      </c>
      <c r="D3117" s="5" t="s">
        <v>25</v>
      </c>
      <c r="E3117" s="5" t="s">
        <v>129</v>
      </c>
      <c r="F3117" s="5" t="s">
        <v>2215</v>
      </c>
      <c r="G3117" s="5">
        <v>174.42</v>
      </c>
      <c r="H3117" s="5">
        <v>3</v>
      </c>
      <c r="I3117" s="6">
        <v>41.86</v>
      </c>
    </row>
    <row r="3118" spans="1:9" x14ac:dyDescent="0.3">
      <c r="A3118" s="1">
        <v>43045</v>
      </c>
      <c r="B3118" s="2" t="s">
        <v>1715</v>
      </c>
      <c r="C3118" s="2" t="s">
        <v>18</v>
      </c>
      <c r="D3118" s="2" t="s">
        <v>2</v>
      </c>
      <c r="E3118" s="2" t="s">
        <v>133</v>
      </c>
      <c r="F3118" s="2" t="s">
        <v>717</v>
      </c>
      <c r="G3118" s="2">
        <v>61.44</v>
      </c>
      <c r="H3118" s="2">
        <v>3</v>
      </c>
      <c r="I3118" s="3">
        <v>16.59</v>
      </c>
    </row>
    <row r="3119" spans="1:9" x14ac:dyDescent="0.3">
      <c r="A3119" s="4">
        <v>43045</v>
      </c>
      <c r="B3119" s="5" t="s">
        <v>1682</v>
      </c>
      <c r="C3119" s="5" t="s">
        <v>121</v>
      </c>
      <c r="D3119" s="5" t="s">
        <v>2</v>
      </c>
      <c r="E3119" s="5" t="s">
        <v>11</v>
      </c>
      <c r="F3119" s="5" t="s">
        <v>1831</v>
      </c>
      <c r="G3119" s="5">
        <v>4.57</v>
      </c>
      <c r="H3119" s="5">
        <v>4</v>
      </c>
      <c r="I3119" s="6">
        <v>-3.81</v>
      </c>
    </row>
    <row r="3120" spans="1:9" x14ac:dyDescent="0.3">
      <c r="A3120" s="1">
        <v>43075</v>
      </c>
      <c r="B3120" s="2" t="s">
        <v>23</v>
      </c>
      <c r="C3120" s="2" t="s">
        <v>21</v>
      </c>
      <c r="D3120" s="2" t="s">
        <v>2</v>
      </c>
      <c r="E3120" s="2" t="s">
        <v>11</v>
      </c>
      <c r="F3120" s="2" t="s">
        <v>1955</v>
      </c>
      <c r="G3120" s="2">
        <v>91.2</v>
      </c>
      <c r="H3120" s="2">
        <v>3</v>
      </c>
      <c r="I3120" s="3">
        <v>41.95</v>
      </c>
    </row>
    <row r="3121" spans="1:9" x14ac:dyDescent="0.3">
      <c r="A3121" s="4">
        <v>43075</v>
      </c>
      <c r="B3121" s="5" t="s">
        <v>23</v>
      </c>
      <c r="C3121" s="5" t="s">
        <v>21</v>
      </c>
      <c r="D3121" s="5" t="s">
        <v>25</v>
      </c>
      <c r="E3121" s="5" t="s">
        <v>86</v>
      </c>
      <c r="F3121" s="5" t="s">
        <v>1461</v>
      </c>
      <c r="G3121" s="5">
        <v>452.94</v>
      </c>
      <c r="H3121" s="5">
        <v>3</v>
      </c>
      <c r="I3121" s="6">
        <v>67.94</v>
      </c>
    </row>
    <row r="3122" spans="1:9" x14ac:dyDescent="0.3">
      <c r="A3122" s="1">
        <v>43075</v>
      </c>
      <c r="B3122" s="2" t="s">
        <v>400</v>
      </c>
      <c r="C3122" s="2" t="s">
        <v>80</v>
      </c>
      <c r="D3122" s="2" t="s">
        <v>2</v>
      </c>
      <c r="E3122" s="2" t="s">
        <v>3</v>
      </c>
      <c r="F3122" s="2" t="s">
        <v>2216</v>
      </c>
      <c r="G3122" s="2">
        <v>19.04</v>
      </c>
      <c r="H3122" s="2">
        <v>4</v>
      </c>
      <c r="I3122" s="3">
        <v>9.33</v>
      </c>
    </row>
    <row r="3123" spans="1:9" x14ac:dyDescent="0.3">
      <c r="A3123" s="4">
        <v>43075</v>
      </c>
      <c r="B3123" s="5" t="s">
        <v>400</v>
      </c>
      <c r="C3123" s="5" t="s">
        <v>80</v>
      </c>
      <c r="D3123" s="5" t="s">
        <v>2</v>
      </c>
      <c r="E3123" s="5" t="s">
        <v>11</v>
      </c>
      <c r="F3123" s="5" t="s">
        <v>1382</v>
      </c>
      <c r="G3123" s="5">
        <v>13.13</v>
      </c>
      <c r="H3123" s="5">
        <v>3</v>
      </c>
      <c r="I3123" s="6">
        <v>4.2699999999999996</v>
      </c>
    </row>
    <row r="3124" spans="1:9" x14ac:dyDescent="0.3">
      <c r="A3124" s="1">
        <v>43075</v>
      </c>
      <c r="B3124" s="2" t="s">
        <v>400</v>
      </c>
      <c r="C3124" s="2" t="s">
        <v>80</v>
      </c>
      <c r="D3124" s="2" t="s">
        <v>2</v>
      </c>
      <c r="E3124" s="2" t="s">
        <v>15</v>
      </c>
      <c r="F3124" s="2" t="s">
        <v>1046</v>
      </c>
      <c r="G3124" s="2">
        <v>64.14</v>
      </c>
      <c r="H3124" s="2">
        <v>3</v>
      </c>
      <c r="I3124" s="3">
        <v>16.68</v>
      </c>
    </row>
    <row r="3125" spans="1:9" x14ac:dyDescent="0.3">
      <c r="A3125" s="4">
        <v>43075</v>
      </c>
      <c r="B3125" s="5" t="s">
        <v>400</v>
      </c>
      <c r="C3125" s="5" t="s">
        <v>80</v>
      </c>
      <c r="D3125" s="5" t="s">
        <v>25</v>
      </c>
      <c r="E3125" s="5" t="s">
        <v>26</v>
      </c>
      <c r="F3125" s="5" t="s">
        <v>1493</v>
      </c>
      <c r="G3125" s="5">
        <v>858.24</v>
      </c>
      <c r="H3125" s="5">
        <v>4</v>
      </c>
      <c r="I3125" s="6">
        <v>143.04</v>
      </c>
    </row>
    <row r="3126" spans="1:9" x14ac:dyDescent="0.3">
      <c r="A3126" s="1">
        <v>43075</v>
      </c>
      <c r="B3126" s="2" t="s">
        <v>1615</v>
      </c>
      <c r="C3126" s="2" t="s">
        <v>58</v>
      </c>
      <c r="D3126" s="2" t="s">
        <v>25</v>
      </c>
      <c r="E3126" s="2" t="s">
        <v>38</v>
      </c>
      <c r="F3126" s="2" t="s">
        <v>2217</v>
      </c>
      <c r="G3126" s="2">
        <v>17.09</v>
      </c>
      <c r="H3126" s="2">
        <v>2</v>
      </c>
      <c r="I3126" s="3">
        <v>1.07</v>
      </c>
    </row>
    <row r="3127" spans="1:9" x14ac:dyDescent="0.3">
      <c r="A3127" s="4">
        <v>43075</v>
      </c>
      <c r="B3127" s="5" t="s">
        <v>1949</v>
      </c>
      <c r="C3127" s="5" t="s">
        <v>127</v>
      </c>
      <c r="D3127" s="5" t="s">
        <v>30</v>
      </c>
      <c r="E3127" s="5" t="s">
        <v>43</v>
      </c>
      <c r="F3127" s="5" t="s">
        <v>1106</v>
      </c>
      <c r="G3127" s="5">
        <v>63.92</v>
      </c>
      <c r="H3127" s="5">
        <v>2</v>
      </c>
      <c r="I3127" s="6">
        <v>19.18</v>
      </c>
    </row>
    <row r="3128" spans="1:9" x14ac:dyDescent="0.3">
      <c r="A3128" s="1">
        <v>43075</v>
      </c>
      <c r="B3128" s="2" t="s">
        <v>2218</v>
      </c>
      <c r="C3128" s="2" t="s">
        <v>62</v>
      </c>
      <c r="D3128" s="2" t="s">
        <v>30</v>
      </c>
      <c r="E3128" s="2" t="s">
        <v>31</v>
      </c>
      <c r="F3128" s="2" t="s">
        <v>1843</v>
      </c>
      <c r="G3128" s="2">
        <v>71.98</v>
      </c>
      <c r="H3128" s="2">
        <v>3</v>
      </c>
      <c r="I3128" s="3">
        <v>9</v>
      </c>
    </row>
    <row r="3129" spans="1:9" x14ac:dyDescent="0.3">
      <c r="A3129" s="4">
        <v>43075</v>
      </c>
      <c r="B3129" s="5" t="s">
        <v>2218</v>
      </c>
      <c r="C3129" s="5" t="s">
        <v>62</v>
      </c>
      <c r="D3129" s="5" t="s">
        <v>2</v>
      </c>
      <c r="E3129" s="5" t="s">
        <v>3</v>
      </c>
      <c r="F3129" s="5" t="s">
        <v>2219</v>
      </c>
      <c r="G3129" s="5">
        <v>19.440000000000001</v>
      </c>
      <c r="H3129" s="5">
        <v>3</v>
      </c>
      <c r="I3129" s="6">
        <v>9.33</v>
      </c>
    </row>
    <row r="3130" spans="1:9" x14ac:dyDescent="0.3">
      <c r="A3130" s="1">
        <v>43075</v>
      </c>
      <c r="B3130" s="2" t="s">
        <v>1933</v>
      </c>
      <c r="C3130" s="2" t="s">
        <v>6</v>
      </c>
      <c r="D3130" s="2" t="s">
        <v>25</v>
      </c>
      <c r="E3130" s="2" t="s">
        <v>38</v>
      </c>
      <c r="F3130" s="2" t="s">
        <v>1304</v>
      </c>
      <c r="G3130" s="2">
        <v>8.86</v>
      </c>
      <c r="H3130" s="2">
        <v>3</v>
      </c>
      <c r="I3130" s="3">
        <v>-6.86</v>
      </c>
    </row>
    <row r="3131" spans="1:9" x14ac:dyDescent="0.3">
      <c r="A3131" s="4">
        <v>42742</v>
      </c>
      <c r="B3131" s="5" t="s">
        <v>1694</v>
      </c>
      <c r="C3131" s="5" t="s">
        <v>283</v>
      </c>
      <c r="D3131" s="5" t="s">
        <v>2</v>
      </c>
      <c r="E3131" s="5" t="s">
        <v>9</v>
      </c>
      <c r="F3131" s="5" t="s">
        <v>805</v>
      </c>
      <c r="G3131" s="5">
        <v>443.92</v>
      </c>
      <c r="H3131" s="5">
        <v>4</v>
      </c>
      <c r="I3131" s="6">
        <v>13.32</v>
      </c>
    </row>
    <row r="3132" spans="1:9" x14ac:dyDescent="0.3">
      <c r="A3132" s="1">
        <v>42742</v>
      </c>
      <c r="B3132" s="2" t="s">
        <v>1694</v>
      </c>
      <c r="C3132" s="2" t="s">
        <v>283</v>
      </c>
      <c r="D3132" s="2" t="s">
        <v>2</v>
      </c>
      <c r="E3132" s="2" t="s">
        <v>11</v>
      </c>
      <c r="F3132" s="2" t="s">
        <v>2052</v>
      </c>
      <c r="G3132" s="2">
        <v>169.99</v>
      </c>
      <c r="H3132" s="2">
        <v>1</v>
      </c>
      <c r="I3132" s="3">
        <v>78.2</v>
      </c>
    </row>
    <row r="3133" spans="1:9" x14ac:dyDescent="0.3">
      <c r="A3133" s="4">
        <v>42742</v>
      </c>
      <c r="B3133" s="5" t="s">
        <v>1694</v>
      </c>
      <c r="C3133" s="5" t="s">
        <v>283</v>
      </c>
      <c r="D3133" s="5" t="s">
        <v>2</v>
      </c>
      <c r="E3133" s="5" t="s">
        <v>3</v>
      </c>
      <c r="F3133" s="5" t="s">
        <v>250</v>
      </c>
      <c r="G3133" s="5">
        <v>25.92</v>
      </c>
      <c r="H3133" s="5">
        <v>4</v>
      </c>
      <c r="I3133" s="6">
        <v>12.44</v>
      </c>
    </row>
    <row r="3134" spans="1:9" x14ac:dyDescent="0.3">
      <c r="A3134" s="1">
        <v>42773</v>
      </c>
      <c r="B3134" s="2" t="s">
        <v>2148</v>
      </c>
      <c r="C3134" s="2" t="s">
        <v>1</v>
      </c>
      <c r="D3134" s="2" t="s">
        <v>2</v>
      </c>
      <c r="E3134" s="2" t="s">
        <v>3</v>
      </c>
      <c r="F3134" s="2" t="s">
        <v>1652</v>
      </c>
      <c r="G3134" s="2">
        <v>163.96</v>
      </c>
      <c r="H3134" s="2">
        <v>5</v>
      </c>
      <c r="I3134" s="3">
        <v>59.44</v>
      </c>
    </row>
    <row r="3135" spans="1:9" x14ac:dyDescent="0.3">
      <c r="A3135" s="4">
        <v>42773</v>
      </c>
      <c r="B3135" s="5" t="s">
        <v>2148</v>
      </c>
      <c r="C3135" s="5" t="s">
        <v>1</v>
      </c>
      <c r="D3135" s="5" t="s">
        <v>2</v>
      </c>
      <c r="E3135" s="5" t="s">
        <v>11</v>
      </c>
      <c r="F3135" s="5" t="s">
        <v>462</v>
      </c>
      <c r="G3135" s="5">
        <v>5.23</v>
      </c>
      <c r="H3135" s="5">
        <v>4</v>
      </c>
      <c r="I3135" s="6">
        <v>-8.11</v>
      </c>
    </row>
    <row r="3136" spans="1:9" x14ac:dyDescent="0.3">
      <c r="A3136" s="1">
        <v>42801</v>
      </c>
      <c r="B3136" s="2" t="s">
        <v>2220</v>
      </c>
      <c r="C3136" s="2" t="s">
        <v>21</v>
      </c>
      <c r="D3136" s="2" t="s">
        <v>25</v>
      </c>
      <c r="E3136" s="2" t="s">
        <v>38</v>
      </c>
      <c r="F3136" s="2" t="s">
        <v>2121</v>
      </c>
      <c r="G3136" s="2">
        <v>23.99</v>
      </c>
      <c r="H3136" s="2">
        <v>1</v>
      </c>
      <c r="I3136" s="3">
        <v>5.52</v>
      </c>
    </row>
    <row r="3137" spans="1:9" x14ac:dyDescent="0.3">
      <c r="A3137" s="4">
        <v>42801</v>
      </c>
      <c r="B3137" s="5" t="s">
        <v>2220</v>
      </c>
      <c r="C3137" s="5" t="s">
        <v>21</v>
      </c>
      <c r="D3137" s="5" t="s">
        <v>30</v>
      </c>
      <c r="E3137" s="5" t="s">
        <v>31</v>
      </c>
      <c r="F3137" s="5" t="s">
        <v>278</v>
      </c>
      <c r="G3137" s="5">
        <v>287.97000000000003</v>
      </c>
      <c r="H3137" s="5">
        <v>3</v>
      </c>
      <c r="I3137" s="6">
        <v>77.75</v>
      </c>
    </row>
    <row r="3138" spans="1:9" x14ac:dyDescent="0.3">
      <c r="A3138" s="1">
        <v>42801</v>
      </c>
      <c r="B3138" s="2" t="s">
        <v>1050</v>
      </c>
      <c r="C3138" s="2" t="s">
        <v>121</v>
      </c>
      <c r="D3138" s="2" t="s">
        <v>2</v>
      </c>
      <c r="E3138" s="2" t="s">
        <v>15</v>
      </c>
      <c r="F3138" s="2" t="s">
        <v>1455</v>
      </c>
      <c r="G3138" s="2">
        <v>9.5500000000000007</v>
      </c>
      <c r="H3138" s="2">
        <v>3</v>
      </c>
      <c r="I3138" s="3">
        <v>1.55</v>
      </c>
    </row>
    <row r="3139" spans="1:9" x14ac:dyDescent="0.3">
      <c r="A3139" s="4">
        <v>42801</v>
      </c>
      <c r="B3139" s="5" t="s">
        <v>184</v>
      </c>
      <c r="C3139" s="5" t="s">
        <v>1</v>
      </c>
      <c r="D3139" s="5" t="s">
        <v>30</v>
      </c>
      <c r="E3139" s="5" t="s">
        <v>31</v>
      </c>
      <c r="F3139" s="5" t="s">
        <v>971</v>
      </c>
      <c r="G3139" s="5">
        <v>167.97</v>
      </c>
      <c r="H3139" s="5">
        <v>4</v>
      </c>
      <c r="I3139" s="6">
        <v>62.99</v>
      </c>
    </row>
    <row r="3140" spans="1:9" x14ac:dyDescent="0.3">
      <c r="A3140" s="1">
        <v>42801</v>
      </c>
      <c r="B3140" s="2" t="s">
        <v>239</v>
      </c>
      <c r="C3140" s="2" t="s">
        <v>1</v>
      </c>
      <c r="D3140" s="2" t="s">
        <v>2</v>
      </c>
      <c r="E3140" s="2" t="s">
        <v>3</v>
      </c>
      <c r="F3140" s="2" t="s">
        <v>147</v>
      </c>
      <c r="G3140" s="2">
        <v>273.89999999999998</v>
      </c>
      <c r="H3140" s="2">
        <v>7</v>
      </c>
      <c r="I3140" s="3">
        <v>92.44</v>
      </c>
    </row>
    <row r="3141" spans="1:9" x14ac:dyDescent="0.3">
      <c r="A3141" s="4">
        <v>42801</v>
      </c>
      <c r="B3141" s="5" t="s">
        <v>239</v>
      </c>
      <c r="C3141" s="5" t="s">
        <v>1</v>
      </c>
      <c r="D3141" s="5" t="s">
        <v>30</v>
      </c>
      <c r="E3141" s="5" t="s">
        <v>625</v>
      </c>
      <c r="F3141" s="5" t="s">
        <v>2221</v>
      </c>
      <c r="G3141" s="5">
        <v>597.13</v>
      </c>
      <c r="H3141" s="5">
        <v>3</v>
      </c>
      <c r="I3141" s="6">
        <v>49.76</v>
      </c>
    </row>
    <row r="3142" spans="1:9" x14ac:dyDescent="0.3">
      <c r="A3142" s="1">
        <v>42801</v>
      </c>
      <c r="B3142" s="2" t="s">
        <v>1656</v>
      </c>
      <c r="C3142" s="2" t="s">
        <v>784</v>
      </c>
      <c r="D3142" s="2" t="s">
        <v>25</v>
      </c>
      <c r="E3142" s="2" t="s">
        <v>38</v>
      </c>
      <c r="F3142" s="2" t="s">
        <v>1441</v>
      </c>
      <c r="G3142" s="2">
        <v>545.85</v>
      </c>
      <c r="H3142" s="2">
        <v>9</v>
      </c>
      <c r="I3142" s="3">
        <v>114.63</v>
      </c>
    </row>
    <row r="3143" spans="1:9" x14ac:dyDescent="0.3">
      <c r="A3143" s="4">
        <v>42801</v>
      </c>
      <c r="B3143" s="5" t="s">
        <v>648</v>
      </c>
      <c r="C3143" s="5" t="s">
        <v>127</v>
      </c>
      <c r="D3143" s="5" t="s">
        <v>2</v>
      </c>
      <c r="E3143" s="5" t="s">
        <v>3</v>
      </c>
      <c r="F3143" s="5" t="s">
        <v>4</v>
      </c>
      <c r="G3143" s="5">
        <v>32.9</v>
      </c>
      <c r="H3143" s="5">
        <v>4</v>
      </c>
      <c r="I3143" s="6">
        <v>11.1</v>
      </c>
    </row>
    <row r="3144" spans="1:9" x14ac:dyDescent="0.3">
      <c r="A3144" s="1">
        <v>42801</v>
      </c>
      <c r="B3144" s="2" t="s">
        <v>648</v>
      </c>
      <c r="C3144" s="2" t="s">
        <v>127</v>
      </c>
      <c r="D3144" s="2" t="s">
        <v>25</v>
      </c>
      <c r="E3144" s="2" t="s">
        <v>86</v>
      </c>
      <c r="F3144" s="2" t="s">
        <v>408</v>
      </c>
      <c r="G3144" s="2">
        <v>215.15</v>
      </c>
      <c r="H3144" s="2">
        <v>2</v>
      </c>
      <c r="I3144" s="3">
        <v>-103.99</v>
      </c>
    </row>
    <row r="3145" spans="1:9" x14ac:dyDescent="0.3">
      <c r="A3145" s="4">
        <v>42801</v>
      </c>
      <c r="B3145" s="5" t="s">
        <v>648</v>
      </c>
      <c r="C3145" s="5" t="s">
        <v>127</v>
      </c>
      <c r="D3145" s="5" t="s">
        <v>2</v>
      </c>
      <c r="E3145" s="5" t="s">
        <v>3</v>
      </c>
      <c r="F3145" s="5" t="s">
        <v>1900</v>
      </c>
      <c r="G3145" s="5">
        <v>30.96</v>
      </c>
      <c r="H3145" s="5">
        <v>6</v>
      </c>
      <c r="I3145" s="6">
        <v>11.22</v>
      </c>
    </row>
    <row r="3146" spans="1:9" x14ac:dyDescent="0.3">
      <c r="A3146" s="1">
        <v>42801</v>
      </c>
      <c r="B3146" s="2" t="s">
        <v>1616</v>
      </c>
      <c r="C3146" s="2" t="s">
        <v>62</v>
      </c>
      <c r="D3146" s="2" t="s">
        <v>30</v>
      </c>
      <c r="E3146" s="2" t="s">
        <v>43</v>
      </c>
      <c r="F3146" s="2" t="s">
        <v>951</v>
      </c>
      <c r="G3146" s="2">
        <v>59.98</v>
      </c>
      <c r="H3146" s="2">
        <v>2</v>
      </c>
      <c r="I3146" s="3">
        <v>26.39</v>
      </c>
    </row>
    <row r="3147" spans="1:9" x14ac:dyDescent="0.3">
      <c r="A3147" s="4">
        <v>42801</v>
      </c>
      <c r="B3147" s="5" t="s">
        <v>1616</v>
      </c>
      <c r="C3147" s="5" t="s">
        <v>62</v>
      </c>
      <c r="D3147" s="5" t="s">
        <v>30</v>
      </c>
      <c r="E3147" s="5" t="s">
        <v>625</v>
      </c>
      <c r="F3147" s="5" t="s">
        <v>2222</v>
      </c>
      <c r="G3147" s="5">
        <v>2395.1999999999998</v>
      </c>
      <c r="H3147" s="5">
        <v>6</v>
      </c>
      <c r="I3147" s="6">
        <v>209.58</v>
      </c>
    </row>
    <row r="3148" spans="1:9" x14ac:dyDescent="0.3">
      <c r="A3148" s="1">
        <v>42801</v>
      </c>
      <c r="B3148" s="2" t="s">
        <v>1616</v>
      </c>
      <c r="C3148" s="2" t="s">
        <v>62</v>
      </c>
      <c r="D3148" s="2" t="s">
        <v>30</v>
      </c>
      <c r="E3148" s="2" t="s">
        <v>43</v>
      </c>
      <c r="F3148" s="2" t="s">
        <v>1893</v>
      </c>
      <c r="G3148" s="2">
        <v>1687.8</v>
      </c>
      <c r="H3148" s="2">
        <v>4</v>
      </c>
      <c r="I3148" s="3">
        <v>742.63</v>
      </c>
    </row>
    <row r="3149" spans="1:9" x14ac:dyDescent="0.3">
      <c r="A3149" s="4">
        <v>42801</v>
      </c>
      <c r="B3149" s="5" t="s">
        <v>1616</v>
      </c>
      <c r="C3149" s="5" t="s">
        <v>62</v>
      </c>
      <c r="D3149" s="5" t="s">
        <v>30</v>
      </c>
      <c r="E3149" s="5" t="s">
        <v>31</v>
      </c>
      <c r="F3149" s="5" t="s">
        <v>2223</v>
      </c>
      <c r="G3149" s="5">
        <v>7.99</v>
      </c>
      <c r="H3149" s="5">
        <v>1</v>
      </c>
      <c r="I3149" s="6">
        <v>2.7</v>
      </c>
    </row>
    <row r="3150" spans="1:9" x14ac:dyDescent="0.3">
      <c r="A3150" s="1">
        <v>42801</v>
      </c>
      <c r="B3150" s="2" t="s">
        <v>1145</v>
      </c>
      <c r="C3150" s="2" t="s">
        <v>181</v>
      </c>
      <c r="D3150" s="2" t="s">
        <v>30</v>
      </c>
      <c r="E3150" s="2" t="s">
        <v>43</v>
      </c>
      <c r="F3150" s="2" t="s">
        <v>1351</v>
      </c>
      <c r="G3150" s="2">
        <v>258.89999999999998</v>
      </c>
      <c r="H3150" s="2">
        <v>10</v>
      </c>
      <c r="I3150" s="3">
        <v>93.2</v>
      </c>
    </row>
    <row r="3151" spans="1:9" x14ac:dyDescent="0.3">
      <c r="A3151" s="4">
        <v>42801</v>
      </c>
      <c r="B3151" s="5" t="s">
        <v>1145</v>
      </c>
      <c r="C3151" s="5" t="s">
        <v>181</v>
      </c>
      <c r="D3151" s="5" t="s">
        <v>2</v>
      </c>
      <c r="E3151" s="5" t="s">
        <v>3</v>
      </c>
      <c r="F3151" s="5" t="s">
        <v>493</v>
      </c>
      <c r="G3151" s="5">
        <v>24.56</v>
      </c>
      <c r="H3151" s="5">
        <v>2</v>
      </c>
      <c r="I3151" s="6">
        <v>11.54</v>
      </c>
    </row>
    <row r="3152" spans="1:9" x14ac:dyDescent="0.3">
      <c r="A3152" s="1">
        <v>42801</v>
      </c>
      <c r="B3152" s="2" t="s">
        <v>566</v>
      </c>
      <c r="C3152" s="2" t="s">
        <v>18</v>
      </c>
      <c r="D3152" s="2" t="s">
        <v>25</v>
      </c>
      <c r="E3152" s="2" t="s">
        <v>38</v>
      </c>
      <c r="F3152" s="2" t="s">
        <v>2086</v>
      </c>
      <c r="G3152" s="2">
        <v>129.38999999999999</v>
      </c>
      <c r="H3152" s="2">
        <v>3</v>
      </c>
      <c r="I3152" s="3">
        <v>54.34</v>
      </c>
    </row>
    <row r="3153" spans="1:9" x14ac:dyDescent="0.3">
      <c r="A3153" s="4">
        <v>42801</v>
      </c>
      <c r="B3153" s="5" t="s">
        <v>184</v>
      </c>
      <c r="C3153" s="5" t="s">
        <v>18</v>
      </c>
      <c r="D3153" s="5" t="s">
        <v>2</v>
      </c>
      <c r="E3153" s="5" t="s">
        <v>9</v>
      </c>
      <c r="F3153" s="5" t="s">
        <v>987</v>
      </c>
      <c r="G3153" s="5">
        <v>87.92</v>
      </c>
      <c r="H3153" s="5">
        <v>4</v>
      </c>
      <c r="I3153" s="6">
        <v>0.88</v>
      </c>
    </row>
    <row r="3154" spans="1:9" x14ac:dyDescent="0.3">
      <c r="A3154" s="1">
        <v>42801</v>
      </c>
      <c r="B3154" s="2" t="s">
        <v>1124</v>
      </c>
      <c r="C3154" s="2" t="s">
        <v>121</v>
      </c>
      <c r="D3154" s="2" t="s">
        <v>30</v>
      </c>
      <c r="E3154" s="2" t="s">
        <v>43</v>
      </c>
      <c r="F3154" s="2" t="s">
        <v>1429</v>
      </c>
      <c r="G3154" s="2">
        <v>24</v>
      </c>
      <c r="H3154" s="2">
        <v>2</v>
      </c>
      <c r="I3154" s="3">
        <v>-2.7</v>
      </c>
    </row>
    <row r="3155" spans="1:9" x14ac:dyDescent="0.3">
      <c r="A3155" s="4">
        <v>42801</v>
      </c>
      <c r="B3155" s="5" t="s">
        <v>2224</v>
      </c>
      <c r="C3155" s="5" t="s">
        <v>1558</v>
      </c>
      <c r="D3155" s="5" t="s">
        <v>25</v>
      </c>
      <c r="E3155" s="5" t="s">
        <v>38</v>
      </c>
      <c r="F3155" s="5" t="s">
        <v>2149</v>
      </c>
      <c r="G3155" s="5">
        <v>102.3</v>
      </c>
      <c r="H3155" s="5">
        <v>1</v>
      </c>
      <c r="I3155" s="6">
        <v>26.6</v>
      </c>
    </row>
    <row r="3156" spans="1:9" x14ac:dyDescent="0.3">
      <c r="A3156" s="1">
        <v>42862</v>
      </c>
      <c r="B3156" s="2" t="s">
        <v>2098</v>
      </c>
      <c r="C3156" s="2" t="s">
        <v>1</v>
      </c>
      <c r="D3156" s="2" t="s">
        <v>25</v>
      </c>
      <c r="E3156" s="2" t="s">
        <v>38</v>
      </c>
      <c r="F3156" s="2" t="s">
        <v>1647</v>
      </c>
      <c r="G3156" s="2">
        <v>332.03</v>
      </c>
      <c r="H3156" s="2">
        <v>9</v>
      </c>
      <c r="I3156" s="3">
        <v>-348.63</v>
      </c>
    </row>
    <row r="3157" spans="1:9" x14ac:dyDescent="0.3">
      <c r="A3157" s="4">
        <v>42862</v>
      </c>
      <c r="B3157" s="5" t="s">
        <v>2098</v>
      </c>
      <c r="C3157" s="5" t="s">
        <v>1</v>
      </c>
      <c r="D3157" s="5" t="s">
        <v>2</v>
      </c>
      <c r="E3157" s="5" t="s">
        <v>11</v>
      </c>
      <c r="F3157" s="5" t="s">
        <v>125</v>
      </c>
      <c r="G3157" s="5">
        <v>11.39</v>
      </c>
      <c r="H3157" s="5">
        <v>9</v>
      </c>
      <c r="I3157" s="6">
        <v>-17.66</v>
      </c>
    </row>
    <row r="3158" spans="1:9" x14ac:dyDescent="0.3">
      <c r="A3158" s="1">
        <v>42862</v>
      </c>
      <c r="B3158" s="2" t="s">
        <v>2098</v>
      </c>
      <c r="C3158" s="2" t="s">
        <v>1</v>
      </c>
      <c r="D3158" s="2" t="s">
        <v>2</v>
      </c>
      <c r="E3158" s="2" t="s">
        <v>3</v>
      </c>
      <c r="F3158" s="2" t="s">
        <v>1830</v>
      </c>
      <c r="G3158" s="2">
        <v>15.55</v>
      </c>
      <c r="H3158" s="2">
        <v>3</v>
      </c>
      <c r="I3158" s="3">
        <v>5.64</v>
      </c>
    </row>
    <row r="3159" spans="1:9" x14ac:dyDescent="0.3">
      <c r="A3159" s="4">
        <v>42862</v>
      </c>
      <c r="B3159" s="5" t="s">
        <v>2098</v>
      </c>
      <c r="C3159" s="5" t="s">
        <v>1</v>
      </c>
      <c r="D3159" s="5" t="s">
        <v>2</v>
      </c>
      <c r="E3159" s="5" t="s">
        <v>3</v>
      </c>
      <c r="F3159" s="5" t="s">
        <v>207</v>
      </c>
      <c r="G3159" s="5">
        <v>31.1</v>
      </c>
      <c r="H3159" s="5">
        <v>6</v>
      </c>
      <c r="I3159" s="6">
        <v>11.28</v>
      </c>
    </row>
    <row r="3160" spans="1:9" x14ac:dyDescent="0.3">
      <c r="A3160" s="1">
        <v>42862</v>
      </c>
      <c r="B3160" s="2" t="s">
        <v>2098</v>
      </c>
      <c r="C3160" s="2" t="s">
        <v>1</v>
      </c>
      <c r="D3160" s="2" t="s">
        <v>2</v>
      </c>
      <c r="E3160" s="2" t="s">
        <v>11</v>
      </c>
      <c r="F3160" s="2" t="s">
        <v>1292</v>
      </c>
      <c r="G3160" s="2">
        <v>6.32</v>
      </c>
      <c r="H3160" s="2">
        <v>1</v>
      </c>
      <c r="I3160" s="3">
        <v>-10.42</v>
      </c>
    </row>
    <row r="3161" spans="1:9" x14ac:dyDescent="0.3">
      <c r="A3161" s="4">
        <v>42862</v>
      </c>
      <c r="B3161" s="5" t="s">
        <v>1073</v>
      </c>
      <c r="C3161" s="5" t="s">
        <v>767</v>
      </c>
      <c r="D3161" s="5" t="s">
        <v>30</v>
      </c>
      <c r="E3161" s="5" t="s">
        <v>31</v>
      </c>
      <c r="F3161" s="5" t="s">
        <v>1887</v>
      </c>
      <c r="G3161" s="5">
        <v>79.959999999999994</v>
      </c>
      <c r="H3161" s="5">
        <v>4</v>
      </c>
      <c r="I3161" s="6">
        <v>22.39</v>
      </c>
    </row>
    <row r="3162" spans="1:9" x14ac:dyDescent="0.3">
      <c r="A3162" s="1">
        <v>42893</v>
      </c>
      <c r="B3162" s="2" t="s">
        <v>1482</v>
      </c>
      <c r="C3162" s="2" t="s">
        <v>14</v>
      </c>
      <c r="D3162" s="2" t="s">
        <v>2</v>
      </c>
      <c r="E3162" s="2" t="s">
        <v>11</v>
      </c>
      <c r="F3162" s="2" t="s">
        <v>1869</v>
      </c>
      <c r="G3162" s="2">
        <v>2.95</v>
      </c>
      <c r="H3162" s="2">
        <v>2</v>
      </c>
      <c r="I3162" s="3">
        <v>-2.2599999999999998</v>
      </c>
    </row>
    <row r="3163" spans="1:9" x14ac:dyDescent="0.3">
      <c r="A3163" s="4">
        <v>42893</v>
      </c>
      <c r="B3163" s="5" t="s">
        <v>1482</v>
      </c>
      <c r="C3163" s="5" t="s">
        <v>14</v>
      </c>
      <c r="D3163" s="5" t="s">
        <v>2</v>
      </c>
      <c r="E3163" s="5" t="s">
        <v>3</v>
      </c>
      <c r="F3163" s="5" t="s">
        <v>2225</v>
      </c>
      <c r="G3163" s="5">
        <v>16.059999999999999</v>
      </c>
      <c r="H3163" s="5">
        <v>3</v>
      </c>
      <c r="I3163" s="6">
        <v>5.82</v>
      </c>
    </row>
    <row r="3164" spans="1:9" x14ac:dyDescent="0.3">
      <c r="A3164" s="1">
        <v>42893</v>
      </c>
      <c r="B3164" s="2" t="s">
        <v>2226</v>
      </c>
      <c r="C3164" s="2" t="s">
        <v>58</v>
      </c>
      <c r="D3164" s="2" t="s">
        <v>25</v>
      </c>
      <c r="E3164" s="2" t="s">
        <v>26</v>
      </c>
      <c r="F3164" s="2" t="s">
        <v>466</v>
      </c>
      <c r="G3164" s="2">
        <v>239.24</v>
      </c>
      <c r="H3164" s="2">
        <v>1</v>
      </c>
      <c r="I3164" s="3">
        <v>23.92</v>
      </c>
    </row>
    <row r="3165" spans="1:9" x14ac:dyDescent="0.3">
      <c r="A3165" s="4">
        <v>42893</v>
      </c>
      <c r="B3165" s="5" t="s">
        <v>822</v>
      </c>
      <c r="C3165" s="5" t="s">
        <v>18</v>
      </c>
      <c r="D3165" s="5" t="s">
        <v>25</v>
      </c>
      <c r="E3165" s="5" t="s">
        <v>26</v>
      </c>
      <c r="F3165" s="5" t="s">
        <v>1913</v>
      </c>
      <c r="G3165" s="5">
        <v>122.14</v>
      </c>
      <c r="H3165" s="5">
        <v>3</v>
      </c>
      <c r="I3165" s="6">
        <v>-13.74</v>
      </c>
    </row>
    <row r="3166" spans="1:9" x14ac:dyDescent="0.3">
      <c r="A3166" s="1">
        <v>42923</v>
      </c>
      <c r="B3166" s="2" t="s">
        <v>1357</v>
      </c>
      <c r="C3166" s="2" t="s">
        <v>80</v>
      </c>
      <c r="D3166" s="2" t="s">
        <v>2</v>
      </c>
      <c r="E3166" s="2" t="s">
        <v>11</v>
      </c>
      <c r="F3166" s="2" t="s">
        <v>1280</v>
      </c>
      <c r="G3166" s="2">
        <v>17.47</v>
      </c>
      <c r="H3166" s="2">
        <v>3</v>
      </c>
      <c r="I3166" s="3">
        <v>6.33</v>
      </c>
    </row>
    <row r="3167" spans="1:9" x14ac:dyDescent="0.3">
      <c r="A3167" s="4">
        <v>42923</v>
      </c>
      <c r="B3167" s="5" t="s">
        <v>1424</v>
      </c>
      <c r="C3167" s="5" t="s">
        <v>1300</v>
      </c>
      <c r="D3167" s="5" t="s">
        <v>30</v>
      </c>
      <c r="E3167" s="5" t="s">
        <v>43</v>
      </c>
      <c r="F3167" s="5" t="s">
        <v>119</v>
      </c>
      <c r="G3167" s="5">
        <v>252</v>
      </c>
      <c r="H3167" s="5">
        <v>4</v>
      </c>
      <c r="I3167" s="6">
        <v>93.24</v>
      </c>
    </row>
    <row r="3168" spans="1:9" x14ac:dyDescent="0.3">
      <c r="A3168" s="1">
        <v>42923</v>
      </c>
      <c r="B3168" s="2" t="s">
        <v>979</v>
      </c>
      <c r="C3168" s="2" t="s">
        <v>14</v>
      </c>
      <c r="D3168" s="2" t="s">
        <v>25</v>
      </c>
      <c r="E3168" s="2" t="s">
        <v>129</v>
      </c>
      <c r="F3168" s="2" t="s">
        <v>2215</v>
      </c>
      <c r="G3168" s="2">
        <v>87.21</v>
      </c>
      <c r="H3168" s="2">
        <v>3</v>
      </c>
      <c r="I3168" s="3">
        <v>-45.35</v>
      </c>
    </row>
    <row r="3169" spans="1:9" x14ac:dyDescent="0.3">
      <c r="A3169" s="4">
        <v>42923</v>
      </c>
      <c r="B3169" s="5" t="s">
        <v>979</v>
      </c>
      <c r="C3169" s="5" t="s">
        <v>14</v>
      </c>
      <c r="D3169" s="5" t="s">
        <v>2</v>
      </c>
      <c r="E3169" s="5" t="s">
        <v>3</v>
      </c>
      <c r="F3169" s="5" t="s">
        <v>613</v>
      </c>
      <c r="G3169" s="5">
        <v>15.55</v>
      </c>
      <c r="H3169" s="5">
        <v>3</v>
      </c>
      <c r="I3169" s="6">
        <v>5.44</v>
      </c>
    </row>
    <row r="3170" spans="1:9" x14ac:dyDescent="0.3">
      <c r="A3170" s="1">
        <v>42923</v>
      </c>
      <c r="B3170" s="2" t="s">
        <v>979</v>
      </c>
      <c r="C3170" s="2" t="s">
        <v>14</v>
      </c>
      <c r="D3170" s="2" t="s">
        <v>30</v>
      </c>
      <c r="E3170" s="2" t="s">
        <v>31</v>
      </c>
      <c r="F3170" s="2" t="s">
        <v>2227</v>
      </c>
      <c r="G3170" s="2">
        <v>683.99</v>
      </c>
      <c r="H3170" s="2">
        <v>2</v>
      </c>
      <c r="I3170" s="3">
        <v>-114</v>
      </c>
    </row>
    <row r="3171" spans="1:9" x14ac:dyDescent="0.3">
      <c r="A3171" s="4">
        <v>42923</v>
      </c>
      <c r="B3171" s="5" t="s">
        <v>979</v>
      </c>
      <c r="C3171" s="5" t="s">
        <v>14</v>
      </c>
      <c r="D3171" s="5" t="s">
        <v>2</v>
      </c>
      <c r="E3171" s="5" t="s">
        <v>9</v>
      </c>
      <c r="F3171" s="5" t="s">
        <v>2228</v>
      </c>
      <c r="G3171" s="5">
        <v>13.39</v>
      </c>
      <c r="H3171" s="5">
        <v>3</v>
      </c>
      <c r="I3171" s="6">
        <v>1</v>
      </c>
    </row>
    <row r="3172" spans="1:9" x14ac:dyDescent="0.3">
      <c r="A3172" s="1">
        <v>42923</v>
      </c>
      <c r="B3172" s="2" t="s">
        <v>979</v>
      </c>
      <c r="C3172" s="2" t="s">
        <v>14</v>
      </c>
      <c r="D3172" s="2" t="s">
        <v>30</v>
      </c>
      <c r="E3172" s="2" t="s">
        <v>43</v>
      </c>
      <c r="F3172" s="2" t="s">
        <v>1532</v>
      </c>
      <c r="G3172" s="2">
        <v>16.78</v>
      </c>
      <c r="H3172" s="2">
        <v>3</v>
      </c>
      <c r="I3172" s="3">
        <v>4.82</v>
      </c>
    </row>
    <row r="3173" spans="1:9" x14ac:dyDescent="0.3">
      <c r="A3173" s="4">
        <v>42923</v>
      </c>
      <c r="B3173" s="5" t="s">
        <v>979</v>
      </c>
      <c r="C3173" s="5" t="s">
        <v>14</v>
      </c>
      <c r="D3173" s="5" t="s">
        <v>30</v>
      </c>
      <c r="E3173" s="5" t="s">
        <v>43</v>
      </c>
      <c r="F3173" s="5" t="s">
        <v>2229</v>
      </c>
      <c r="G3173" s="5">
        <v>527.91999999999996</v>
      </c>
      <c r="H3173" s="5">
        <v>2</v>
      </c>
      <c r="I3173" s="6">
        <v>85.79</v>
      </c>
    </row>
    <row r="3174" spans="1:9" x14ac:dyDescent="0.3">
      <c r="A3174" s="1">
        <v>42923</v>
      </c>
      <c r="B3174" s="2" t="s">
        <v>836</v>
      </c>
      <c r="C3174" s="2" t="s">
        <v>18</v>
      </c>
      <c r="D3174" s="2" t="s">
        <v>2</v>
      </c>
      <c r="E3174" s="2" t="s">
        <v>34</v>
      </c>
      <c r="F3174" s="2" t="s">
        <v>1457</v>
      </c>
      <c r="G3174" s="2">
        <v>5.94</v>
      </c>
      <c r="H3174" s="2">
        <v>3</v>
      </c>
      <c r="I3174" s="3">
        <v>0.12</v>
      </c>
    </row>
    <row r="3175" spans="1:9" x14ac:dyDescent="0.3">
      <c r="A3175" s="4">
        <v>42954</v>
      </c>
      <c r="B3175" s="5" t="s">
        <v>2230</v>
      </c>
      <c r="C3175" s="5" t="s">
        <v>181</v>
      </c>
      <c r="D3175" s="5" t="s">
        <v>2</v>
      </c>
      <c r="E3175" s="5" t="s">
        <v>15</v>
      </c>
      <c r="F3175" s="5" t="s">
        <v>2231</v>
      </c>
      <c r="G3175" s="5">
        <v>7.56</v>
      </c>
      <c r="H3175" s="5">
        <v>3</v>
      </c>
      <c r="I3175" s="6">
        <v>3.1</v>
      </c>
    </row>
    <row r="3176" spans="1:9" x14ac:dyDescent="0.3">
      <c r="A3176" s="1">
        <v>42954</v>
      </c>
      <c r="B3176" s="2" t="s">
        <v>2230</v>
      </c>
      <c r="C3176" s="2" t="s">
        <v>181</v>
      </c>
      <c r="D3176" s="2" t="s">
        <v>2</v>
      </c>
      <c r="E3176" s="2" t="s">
        <v>3</v>
      </c>
      <c r="F3176" s="2" t="s">
        <v>315</v>
      </c>
      <c r="G3176" s="2">
        <v>24.56</v>
      </c>
      <c r="H3176" s="2">
        <v>2</v>
      </c>
      <c r="I3176" s="3">
        <v>11.54</v>
      </c>
    </row>
    <row r="3177" spans="1:9" x14ac:dyDescent="0.3">
      <c r="A3177" s="4">
        <v>42954</v>
      </c>
      <c r="B3177" s="5" t="s">
        <v>2230</v>
      </c>
      <c r="C3177" s="5" t="s">
        <v>181</v>
      </c>
      <c r="D3177" s="5" t="s">
        <v>2</v>
      </c>
      <c r="E3177" s="5" t="s">
        <v>15</v>
      </c>
      <c r="F3177" s="5" t="s">
        <v>140</v>
      </c>
      <c r="G3177" s="5">
        <v>12.96</v>
      </c>
      <c r="H3177" s="5">
        <v>2</v>
      </c>
      <c r="I3177" s="6">
        <v>4.1500000000000004</v>
      </c>
    </row>
    <row r="3178" spans="1:9" x14ac:dyDescent="0.3">
      <c r="A3178" s="1">
        <v>42954</v>
      </c>
      <c r="B3178" s="2" t="s">
        <v>648</v>
      </c>
      <c r="C3178" s="2" t="s">
        <v>18</v>
      </c>
      <c r="D3178" s="2" t="s">
        <v>25</v>
      </c>
      <c r="E3178" s="2" t="s">
        <v>38</v>
      </c>
      <c r="F3178" s="2" t="s">
        <v>953</v>
      </c>
      <c r="G3178" s="2">
        <v>145.9</v>
      </c>
      <c r="H3178" s="2">
        <v>5</v>
      </c>
      <c r="I3178" s="3">
        <v>62.74</v>
      </c>
    </row>
    <row r="3179" spans="1:9" x14ac:dyDescent="0.3">
      <c r="A3179" s="4">
        <v>42954</v>
      </c>
      <c r="B3179" s="5" t="s">
        <v>2232</v>
      </c>
      <c r="C3179" s="5" t="s">
        <v>62</v>
      </c>
      <c r="D3179" s="5" t="s">
        <v>25</v>
      </c>
      <c r="E3179" s="5" t="s">
        <v>38</v>
      </c>
      <c r="F3179" s="5" t="s">
        <v>1355</v>
      </c>
      <c r="G3179" s="5">
        <v>198.46</v>
      </c>
      <c r="H3179" s="5">
        <v>2</v>
      </c>
      <c r="I3179" s="6">
        <v>99.23</v>
      </c>
    </row>
    <row r="3180" spans="1:9" x14ac:dyDescent="0.3">
      <c r="A3180" s="1">
        <v>42954</v>
      </c>
      <c r="B3180" s="2" t="s">
        <v>2232</v>
      </c>
      <c r="C3180" s="2" t="s">
        <v>62</v>
      </c>
      <c r="D3180" s="2" t="s">
        <v>2</v>
      </c>
      <c r="E3180" s="2" t="s">
        <v>7</v>
      </c>
      <c r="F3180" s="2" t="s">
        <v>438</v>
      </c>
      <c r="G3180" s="2">
        <v>786.48</v>
      </c>
      <c r="H3180" s="2">
        <v>8</v>
      </c>
      <c r="I3180" s="3">
        <v>385.38</v>
      </c>
    </row>
    <row r="3181" spans="1:9" x14ac:dyDescent="0.3">
      <c r="A3181" s="4">
        <v>42954</v>
      </c>
      <c r="B3181" s="5" t="s">
        <v>2232</v>
      </c>
      <c r="C3181" s="5" t="s">
        <v>62</v>
      </c>
      <c r="D3181" s="5" t="s">
        <v>2</v>
      </c>
      <c r="E3181" s="5" t="s">
        <v>11</v>
      </c>
      <c r="F3181" s="5" t="s">
        <v>1569</v>
      </c>
      <c r="G3181" s="5">
        <v>23.17</v>
      </c>
      <c r="H3181" s="5">
        <v>2</v>
      </c>
      <c r="I3181" s="6">
        <v>7.82</v>
      </c>
    </row>
    <row r="3182" spans="1:9" x14ac:dyDescent="0.3">
      <c r="A3182" s="1">
        <v>42954</v>
      </c>
      <c r="B3182" s="2" t="s">
        <v>2232</v>
      </c>
      <c r="C3182" s="2" t="s">
        <v>62</v>
      </c>
      <c r="D3182" s="2" t="s">
        <v>30</v>
      </c>
      <c r="E3182" s="2" t="s">
        <v>43</v>
      </c>
      <c r="F3182" s="2" t="s">
        <v>1657</v>
      </c>
      <c r="G3182" s="2">
        <v>50</v>
      </c>
      <c r="H3182" s="2">
        <v>2</v>
      </c>
      <c r="I3182" s="3">
        <v>10.5</v>
      </c>
    </row>
    <row r="3183" spans="1:9" x14ac:dyDescent="0.3">
      <c r="A3183" s="4">
        <v>42954</v>
      </c>
      <c r="B3183" s="5" t="s">
        <v>576</v>
      </c>
      <c r="C3183" s="5" t="s">
        <v>18</v>
      </c>
      <c r="D3183" s="5" t="s">
        <v>2</v>
      </c>
      <c r="E3183" s="5" t="s">
        <v>7</v>
      </c>
      <c r="F3183" s="5" t="s">
        <v>2233</v>
      </c>
      <c r="G3183" s="5">
        <v>75.180000000000007</v>
      </c>
      <c r="H3183" s="5">
        <v>6</v>
      </c>
      <c r="I3183" s="6">
        <v>35.33</v>
      </c>
    </row>
    <row r="3184" spans="1:9" x14ac:dyDescent="0.3">
      <c r="A3184" s="1">
        <v>42954</v>
      </c>
      <c r="B3184" s="2" t="s">
        <v>102</v>
      </c>
      <c r="C3184" s="2" t="s">
        <v>62</v>
      </c>
      <c r="D3184" s="2" t="s">
        <v>25</v>
      </c>
      <c r="E3184" s="2" t="s">
        <v>38</v>
      </c>
      <c r="F3184" s="2" t="s">
        <v>815</v>
      </c>
      <c r="G3184" s="2">
        <v>15.84</v>
      </c>
      <c r="H3184" s="2">
        <v>3</v>
      </c>
      <c r="I3184" s="3">
        <v>4.91</v>
      </c>
    </row>
    <row r="3185" spans="1:9" x14ac:dyDescent="0.3">
      <c r="A3185" s="4">
        <v>42954</v>
      </c>
      <c r="B3185" s="5" t="s">
        <v>102</v>
      </c>
      <c r="C3185" s="5" t="s">
        <v>62</v>
      </c>
      <c r="D3185" s="5" t="s">
        <v>2</v>
      </c>
      <c r="E3185" s="5" t="s">
        <v>11</v>
      </c>
      <c r="F3185" s="5" t="s">
        <v>2011</v>
      </c>
      <c r="G3185" s="5">
        <v>86.38</v>
      </c>
      <c r="H3185" s="5">
        <v>3</v>
      </c>
      <c r="I3185" s="6">
        <v>30.23</v>
      </c>
    </row>
    <row r="3186" spans="1:9" x14ac:dyDescent="0.3">
      <c r="A3186" s="1">
        <v>42954</v>
      </c>
      <c r="B3186" s="2" t="s">
        <v>102</v>
      </c>
      <c r="C3186" s="2" t="s">
        <v>62</v>
      </c>
      <c r="D3186" s="2" t="s">
        <v>2</v>
      </c>
      <c r="E3186" s="2" t="s">
        <v>15</v>
      </c>
      <c r="F3186" s="2" t="s">
        <v>122</v>
      </c>
      <c r="G3186" s="2">
        <v>18.239999999999998</v>
      </c>
      <c r="H3186" s="2">
        <v>3</v>
      </c>
      <c r="I3186" s="3">
        <v>6.2</v>
      </c>
    </row>
    <row r="3187" spans="1:9" x14ac:dyDescent="0.3">
      <c r="A3187" s="4">
        <v>42954</v>
      </c>
      <c r="B3187" s="5" t="s">
        <v>102</v>
      </c>
      <c r="C3187" s="5" t="s">
        <v>62</v>
      </c>
      <c r="D3187" s="5" t="s">
        <v>2</v>
      </c>
      <c r="E3187" s="5" t="s">
        <v>15</v>
      </c>
      <c r="F3187" s="5" t="s">
        <v>211</v>
      </c>
      <c r="G3187" s="5">
        <v>13.12</v>
      </c>
      <c r="H3187" s="5">
        <v>4</v>
      </c>
      <c r="I3187" s="6">
        <v>4.33</v>
      </c>
    </row>
    <row r="3188" spans="1:9" x14ac:dyDescent="0.3">
      <c r="A3188" s="1">
        <v>42954</v>
      </c>
      <c r="B3188" s="2" t="s">
        <v>2059</v>
      </c>
      <c r="C3188" s="2" t="s">
        <v>50</v>
      </c>
      <c r="D3188" s="2" t="s">
        <v>25</v>
      </c>
      <c r="E3188" s="2" t="s">
        <v>38</v>
      </c>
      <c r="F3188" s="2" t="s">
        <v>1097</v>
      </c>
      <c r="G3188" s="2">
        <v>83.92</v>
      </c>
      <c r="H3188" s="2">
        <v>4</v>
      </c>
      <c r="I3188" s="3">
        <v>5.87</v>
      </c>
    </row>
    <row r="3189" spans="1:9" x14ac:dyDescent="0.3">
      <c r="A3189" s="4">
        <v>42954</v>
      </c>
      <c r="B3189" s="5" t="s">
        <v>2059</v>
      </c>
      <c r="C3189" s="5" t="s">
        <v>50</v>
      </c>
      <c r="D3189" s="5" t="s">
        <v>30</v>
      </c>
      <c r="E3189" s="5" t="s">
        <v>43</v>
      </c>
      <c r="F3189" s="5" t="s">
        <v>540</v>
      </c>
      <c r="G3189" s="5">
        <v>141.9</v>
      </c>
      <c r="H3189" s="5">
        <v>5</v>
      </c>
      <c r="I3189" s="6">
        <v>58.18</v>
      </c>
    </row>
    <row r="3190" spans="1:9" x14ac:dyDescent="0.3">
      <c r="A3190" s="1">
        <v>42954</v>
      </c>
      <c r="B3190" s="2" t="s">
        <v>2059</v>
      </c>
      <c r="C3190" s="2" t="s">
        <v>50</v>
      </c>
      <c r="D3190" s="2" t="s">
        <v>25</v>
      </c>
      <c r="E3190" s="2" t="s">
        <v>38</v>
      </c>
      <c r="F3190" s="2" t="s">
        <v>2234</v>
      </c>
      <c r="G3190" s="2">
        <v>39.979999999999997</v>
      </c>
      <c r="H3190" s="2">
        <v>2</v>
      </c>
      <c r="I3190" s="3">
        <v>9.1999999999999993</v>
      </c>
    </row>
    <row r="3191" spans="1:9" x14ac:dyDescent="0.3">
      <c r="A3191" s="4">
        <v>42954</v>
      </c>
      <c r="B3191" s="5" t="s">
        <v>2059</v>
      </c>
      <c r="C3191" s="5" t="s">
        <v>50</v>
      </c>
      <c r="D3191" s="5" t="s">
        <v>2</v>
      </c>
      <c r="E3191" s="5" t="s">
        <v>15</v>
      </c>
      <c r="F3191" s="5" t="s">
        <v>2235</v>
      </c>
      <c r="G3191" s="5">
        <v>28.91</v>
      </c>
      <c r="H3191" s="5">
        <v>7</v>
      </c>
      <c r="I3191" s="6">
        <v>8.67</v>
      </c>
    </row>
    <row r="3192" spans="1:9" x14ac:dyDescent="0.3">
      <c r="A3192" s="1">
        <v>42954</v>
      </c>
      <c r="B3192" s="2" t="s">
        <v>2059</v>
      </c>
      <c r="C3192" s="2" t="s">
        <v>50</v>
      </c>
      <c r="D3192" s="2" t="s">
        <v>2</v>
      </c>
      <c r="E3192" s="2" t="s">
        <v>15</v>
      </c>
      <c r="F3192" s="2" t="s">
        <v>749</v>
      </c>
      <c r="G3192" s="2">
        <v>174.95</v>
      </c>
      <c r="H3192" s="2">
        <v>5</v>
      </c>
      <c r="I3192" s="3">
        <v>45.49</v>
      </c>
    </row>
    <row r="3193" spans="1:9" x14ac:dyDescent="0.3">
      <c r="A3193" s="4">
        <v>42954</v>
      </c>
      <c r="B3193" s="5" t="s">
        <v>630</v>
      </c>
      <c r="C3193" s="5" t="s">
        <v>62</v>
      </c>
      <c r="D3193" s="5" t="s">
        <v>2</v>
      </c>
      <c r="E3193" s="5" t="s">
        <v>3</v>
      </c>
      <c r="F3193" s="5" t="s">
        <v>315</v>
      </c>
      <c r="G3193" s="5">
        <v>52.76</v>
      </c>
      <c r="H3193" s="5">
        <v>2</v>
      </c>
      <c r="I3193" s="6">
        <v>24.27</v>
      </c>
    </row>
    <row r="3194" spans="1:9" x14ac:dyDescent="0.3">
      <c r="A3194" s="1">
        <v>42985</v>
      </c>
      <c r="B3194" s="2" t="s">
        <v>2230</v>
      </c>
      <c r="C3194" s="2" t="s">
        <v>713</v>
      </c>
      <c r="D3194" s="2" t="s">
        <v>2</v>
      </c>
      <c r="E3194" s="2" t="s">
        <v>11</v>
      </c>
      <c r="F3194" s="2" t="s">
        <v>2087</v>
      </c>
      <c r="G3194" s="2">
        <v>1.08</v>
      </c>
      <c r="H3194" s="2">
        <v>2</v>
      </c>
      <c r="I3194" s="3">
        <v>-0.79</v>
      </c>
    </row>
    <row r="3195" spans="1:9" x14ac:dyDescent="0.3">
      <c r="A3195" s="4">
        <v>42985</v>
      </c>
      <c r="B3195" s="5" t="s">
        <v>1117</v>
      </c>
      <c r="C3195" s="5" t="s">
        <v>6</v>
      </c>
      <c r="D3195" s="5" t="s">
        <v>2</v>
      </c>
      <c r="E3195" s="5" t="s">
        <v>15</v>
      </c>
      <c r="F3195" s="5" t="s">
        <v>2236</v>
      </c>
      <c r="G3195" s="5">
        <v>8.84</v>
      </c>
      <c r="H3195" s="5">
        <v>5</v>
      </c>
      <c r="I3195" s="6">
        <v>2.98</v>
      </c>
    </row>
    <row r="3196" spans="1:9" x14ac:dyDescent="0.3">
      <c r="A3196" s="1">
        <v>42985</v>
      </c>
      <c r="B3196" s="2" t="s">
        <v>1117</v>
      </c>
      <c r="C3196" s="2" t="s">
        <v>6</v>
      </c>
      <c r="D3196" s="2" t="s">
        <v>2</v>
      </c>
      <c r="E3196" s="2" t="s">
        <v>133</v>
      </c>
      <c r="F3196" s="2" t="s">
        <v>2020</v>
      </c>
      <c r="G3196" s="2">
        <v>58.46</v>
      </c>
      <c r="H3196" s="2">
        <v>9</v>
      </c>
      <c r="I3196" s="3">
        <v>-146.16</v>
      </c>
    </row>
    <row r="3197" spans="1:9" x14ac:dyDescent="0.3">
      <c r="A3197" s="4">
        <v>42985</v>
      </c>
      <c r="B3197" s="5" t="s">
        <v>1356</v>
      </c>
      <c r="C3197" s="5" t="s">
        <v>6</v>
      </c>
      <c r="D3197" s="5" t="s">
        <v>2</v>
      </c>
      <c r="E3197" s="5" t="s">
        <v>9</v>
      </c>
      <c r="F3197" s="5" t="s">
        <v>111</v>
      </c>
      <c r="G3197" s="5">
        <v>228.92</v>
      </c>
      <c r="H3197" s="5">
        <v>5</v>
      </c>
      <c r="I3197" s="6">
        <v>14.31</v>
      </c>
    </row>
    <row r="3198" spans="1:9" x14ac:dyDescent="0.3">
      <c r="A3198" s="1">
        <v>42985</v>
      </c>
      <c r="B3198" s="2" t="s">
        <v>2237</v>
      </c>
      <c r="C3198" s="2" t="s">
        <v>283</v>
      </c>
      <c r="D3198" s="2" t="s">
        <v>25</v>
      </c>
      <c r="E3198" s="2" t="s">
        <v>38</v>
      </c>
      <c r="F3198" s="2" t="s">
        <v>1252</v>
      </c>
      <c r="G3198" s="2">
        <v>526.45000000000005</v>
      </c>
      <c r="H3198" s="2">
        <v>5</v>
      </c>
      <c r="I3198" s="3">
        <v>31.59</v>
      </c>
    </row>
    <row r="3199" spans="1:9" x14ac:dyDescent="0.3">
      <c r="A3199" s="4">
        <v>42985</v>
      </c>
      <c r="B3199" s="5" t="s">
        <v>2044</v>
      </c>
      <c r="C3199" s="5" t="s">
        <v>300</v>
      </c>
      <c r="D3199" s="5" t="s">
        <v>2</v>
      </c>
      <c r="E3199" s="5" t="s">
        <v>3</v>
      </c>
      <c r="F3199" s="5" t="s">
        <v>1746</v>
      </c>
      <c r="G3199" s="5">
        <v>274.8</v>
      </c>
      <c r="H3199" s="5">
        <v>5</v>
      </c>
      <c r="I3199" s="6">
        <v>134.65</v>
      </c>
    </row>
    <row r="3200" spans="1:9" x14ac:dyDescent="0.3">
      <c r="A3200" s="1">
        <v>42985</v>
      </c>
      <c r="B3200" s="2" t="s">
        <v>2044</v>
      </c>
      <c r="C3200" s="2" t="s">
        <v>300</v>
      </c>
      <c r="D3200" s="2" t="s">
        <v>2</v>
      </c>
      <c r="E3200" s="2" t="s">
        <v>9</v>
      </c>
      <c r="F3200" s="2" t="s">
        <v>1071</v>
      </c>
      <c r="G3200" s="2">
        <v>195.64</v>
      </c>
      <c r="H3200" s="2">
        <v>4</v>
      </c>
      <c r="I3200" s="3">
        <v>3.91</v>
      </c>
    </row>
    <row r="3201" spans="1:9" x14ac:dyDescent="0.3">
      <c r="A3201" s="4">
        <v>42985</v>
      </c>
      <c r="B3201" s="5" t="s">
        <v>2044</v>
      </c>
      <c r="C3201" s="5" t="s">
        <v>300</v>
      </c>
      <c r="D3201" s="5" t="s">
        <v>30</v>
      </c>
      <c r="E3201" s="5" t="s">
        <v>31</v>
      </c>
      <c r="F3201" s="5" t="s">
        <v>1202</v>
      </c>
      <c r="G3201" s="5">
        <v>257.98</v>
      </c>
      <c r="H3201" s="5">
        <v>2</v>
      </c>
      <c r="I3201" s="6">
        <v>74.81</v>
      </c>
    </row>
    <row r="3202" spans="1:9" x14ac:dyDescent="0.3">
      <c r="A3202" s="1">
        <v>42985</v>
      </c>
      <c r="B3202" s="2" t="s">
        <v>2044</v>
      </c>
      <c r="C3202" s="2" t="s">
        <v>300</v>
      </c>
      <c r="D3202" s="2" t="s">
        <v>2</v>
      </c>
      <c r="E3202" s="2" t="s">
        <v>15</v>
      </c>
      <c r="F3202" s="2" t="s">
        <v>286</v>
      </c>
      <c r="G3202" s="2">
        <v>119.04</v>
      </c>
      <c r="H3202" s="2">
        <v>6</v>
      </c>
      <c r="I3202" s="3">
        <v>48.81</v>
      </c>
    </row>
    <row r="3203" spans="1:9" x14ac:dyDescent="0.3">
      <c r="A3203" s="4">
        <v>43015</v>
      </c>
      <c r="B3203" s="5" t="s">
        <v>1210</v>
      </c>
      <c r="C3203" s="5" t="s">
        <v>21</v>
      </c>
      <c r="D3203" s="5" t="s">
        <v>25</v>
      </c>
      <c r="E3203" s="5" t="s">
        <v>38</v>
      </c>
      <c r="F3203" s="5" t="s">
        <v>2238</v>
      </c>
      <c r="G3203" s="5">
        <v>18.84</v>
      </c>
      <c r="H3203" s="5">
        <v>3</v>
      </c>
      <c r="I3203" s="6">
        <v>7.91</v>
      </c>
    </row>
    <row r="3204" spans="1:9" x14ac:dyDescent="0.3">
      <c r="A3204" s="1">
        <v>43015</v>
      </c>
      <c r="B3204" s="2" t="s">
        <v>2239</v>
      </c>
      <c r="C3204" s="2" t="s">
        <v>6</v>
      </c>
      <c r="D3204" s="2" t="s">
        <v>2</v>
      </c>
      <c r="E3204" s="2" t="s">
        <v>9</v>
      </c>
      <c r="F3204" s="2" t="s">
        <v>1654</v>
      </c>
      <c r="G3204" s="2">
        <v>298.45999999999998</v>
      </c>
      <c r="H3204" s="2">
        <v>6</v>
      </c>
      <c r="I3204" s="3">
        <v>26.12</v>
      </c>
    </row>
    <row r="3205" spans="1:9" x14ac:dyDescent="0.3">
      <c r="A3205" s="4">
        <v>43015</v>
      </c>
      <c r="B3205" s="5" t="s">
        <v>2240</v>
      </c>
      <c r="C3205" s="5" t="s">
        <v>21</v>
      </c>
      <c r="D3205" s="5" t="s">
        <v>2</v>
      </c>
      <c r="E3205" s="5" t="s">
        <v>133</v>
      </c>
      <c r="F3205" s="5" t="s">
        <v>1721</v>
      </c>
      <c r="G3205" s="5">
        <v>41.91</v>
      </c>
      <c r="H3205" s="5">
        <v>3</v>
      </c>
      <c r="I3205" s="6">
        <v>10.9</v>
      </c>
    </row>
    <row r="3206" spans="1:9" x14ac:dyDescent="0.3">
      <c r="A3206" s="1">
        <v>43046</v>
      </c>
      <c r="B3206" s="2" t="s">
        <v>955</v>
      </c>
      <c r="C3206" s="2" t="s">
        <v>18</v>
      </c>
      <c r="D3206" s="2" t="s">
        <v>2</v>
      </c>
      <c r="E3206" s="2" t="s">
        <v>7</v>
      </c>
      <c r="F3206" s="2" t="s">
        <v>47</v>
      </c>
      <c r="G3206" s="2">
        <v>8.67</v>
      </c>
      <c r="H3206" s="2">
        <v>3</v>
      </c>
      <c r="I3206" s="3">
        <v>4.07</v>
      </c>
    </row>
    <row r="3207" spans="1:9" x14ac:dyDescent="0.3">
      <c r="A3207" s="4">
        <v>43046</v>
      </c>
      <c r="B3207" s="5" t="s">
        <v>758</v>
      </c>
      <c r="C3207" s="5" t="s">
        <v>80</v>
      </c>
      <c r="D3207" s="5" t="s">
        <v>30</v>
      </c>
      <c r="E3207" s="5" t="s">
        <v>43</v>
      </c>
      <c r="F3207" s="5" t="s">
        <v>1428</v>
      </c>
      <c r="G3207" s="5">
        <v>132.6</v>
      </c>
      <c r="H3207" s="5">
        <v>6</v>
      </c>
      <c r="I3207" s="6">
        <v>17.239999999999998</v>
      </c>
    </row>
    <row r="3208" spans="1:9" x14ac:dyDescent="0.3">
      <c r="A3208" s="1">
        <v>43046</v>
      </c>
      <c r="B3208" s="2" t="s">
        <v>1190</v>
      </c>
      <c r="C3208" s="2" t="s">
        <v>1516</v>
      </c>
      <c r="D3208" s="2" t="s">
        <v>2</v>
      </c>
      <c r="E3208" s="2" t="s">
        <v>15</v>
      </c>
      <c r="F3208" s="2" t="s">
        <v>1599</v>
      </c>
      <c r="G3208" s="2">
        <v>30.32</v>
      </c>
      <c r="H3208" s="2">
        <v>4</v>
      </c>
      <c r="I3208" s="3">
        <v>11.82</v>
      </c>
    </row>
    <row r="3209" spans="1:9" x14ac:dyDescent="0.3">
      <c r="A3209" s="4">
        <v>43046</v>
      </c>
      <c r="B3209" s="5" t="s">
        <v>1492</v>
      </c>
      <c r="C3209" s="5" t="s">
        <v>18</v>
      </c>
      <c r="D3209" s="5" t="s">
        <v>30</v>
      </c>
      <c r="E3209" s="5" t="s">
        <v>43</v>
      </c>
      <c r="F3209" s="5" t="s">
        <v>1938</v>
      </c>
      <c r="G3209" s="5">
        <v>1287.45</v>
      </c>
      <c r="H3209" s="5">
        <v>5</v>
      </c>
      <c r="I3209" s="6">
        <v>244.62</v>
      </c>
    </row>
    <row r="3210" spans="1:9" x14ac:dyDescent="0.3">
      <c r="A3210" s="1">
        <v>43046</v>
      </c>
      <c r="B3210" s="2" t="s">
        <v>1492</v>
      </c>
      <c r="C3210" s="2" t="s">
        <v>18</v>
      </c>
      <c r="D3210" s="2" t="s">
        <v>2</v>
      </c>
      <c r="E3210" s="2" t="s">
        <v>133</v>
      </c>
      <c r="F3210" s="2" t="s">
        <v>2241</v>
      </c>
      <c r="G3210" s="2">
        <v>168.1</v>
      </c>
      <c r="H3210" s="2">
        <v>5</v>
      </c>
      <c r="I3210" s="3">
        <v>43.71</v>
      </c>
    </row>
    <row r="3211" spans="1:9" x14ac:dyDescent="0.3">
      <c r="A3211" s="4">
        <v>43046</v>
      </c>
      <c r="B3211" s="5" t="s">
        <v>917</v>
      </c>
      <c r="C3211" s="5" t="s">
        <v>18</v>
      </c>
      <c r="D3211" s="5" t="s">
        <v>30</v>
      </c>
      <c r="E3211" s="5" t="s">
        <v>31</v>
      </c>
      <c r="F3211" s="5" t="s">
        <v>2242</v>
      </c>
      <c r="G3211" s="5">
        <v>71.95</v>
      </c>
      <c r="H3211" s="5">
        <v>6</v>
      </c>
      <c r="I3211" s="6">
        <v>5.4</v>
      </c>
    </row>
    <row r="3212" spans="1:9" x14ac:dyDescent="0.3">
      <c r="A3212" s="1">
        <v>43046</v>
      </c>
      <c r="B3212" s="2" t="s">
        <v>917</v>
      </c>
      <c r="C3212" s="2" t="s">
        <v>18</v>
      </c>
      <c r="D3212" s="2" t="s">
        <v>2</v>
      </c>
      <c r="E3212" s="2" t="s">
        <v>11</v>
      </c>
      <c r="F3212" s="2" t="s">
        <v>40</v>
      </c>
      <c r="G3212" s="2">
        <v>29.8</v>
      </c>
      <c r="H3212" s="2">
        <v>5</v>
      </c>
      <c r="I3212" s="3">
        <v>9.31</v>
      </c>
    </row>
    <row r="3213" spans="1:9" x14ac:dyDescent="0.3">
      <c r="A3213" s="4">
        <v>43076</v>
      </c>
      <c r="B3213" s="5" t="s">
        <v>289</v>
      </c>
      <c r="C3213" s="5" t="s">
        <v>127</v>
      </c>
      <c r="D3213" s="5" t="s">
        <v>2</v>
      </c>
      <c r="E3213" s="5" t="s">
        <v>3</v>
      </c>
      <c r="F3213" s="5" t="s">
        <v>1074</v>
      </c>
      <c r="G3213" s="5">
        <v>3.82</v>
      </c>
      <c r="H3213" s="5">
        <v>1</v>
      </c>
      <c r="I3213" s="6">
        <v>1.19</v>
      </c>
    </row>
    <row r="3214" spans="1:9" x14ac:dyDescent="0.3">
      <c r="A3214" s="1">
        <v>42743</v>
      </c>
      <c r="B3214" s="2" t="s">
        <v>836</v>
      </c>
      <c r="C3214" s="2" t="s">
        <v>6</v>
      </c>
      <c r="D3214" s="2" t="s">
        <v>30</v>
      </c>
      <c r="E3214" s="2" t="s">
        <v>31</v>
      </c>
      <c r="F3214" s="2" t="s">
        <v>669</v>
      </c>
      <c r="G3214" s="2">
        <v>95.98</v>
      </c>
      <c r="H3214" s="2">
        <v>2</v>
      </c>
      <c r="I3214" s="3">
        <v>6</v>
      </c>
    </row>
    <row r="3215" spans="1:9" x14ac:dyDescent="0.3">
      <c r="A3215" s="4">
        <v>42743</v>
      </c>
      <c r="B3215" s="5" t="s">
        <v>2243</v>
      </c>
      <c r="C3215" s="5" t="s">
        <v>121</v>
      </c>
      <c r="D3215" s="5" t="s">
        <v>30</v>
      </c>
      <c r="E3215" s="5" t="s">
        <v>31</v>
      </c>
      <c r="F3215" s="5" t="s">
        <v>1907</v>
      </c>
      <c r="G3215" s="5">
        <v>271.95999999999998</v>
      </c>
      <c r="H3215" s="5">
        <v>5</v>
      </c>
      <c r="I3215" s="6">
        <v>17</v>
      </c>
    </row>
    <row r="3216" spans="1:9" x14ac:dyDescent="0.3">
      <c r="A3216" s="1">
        <v>42743</v>
      </c>
      <c r="B3216" s="2" t="s">
        <v>2089</v>
      </c>
      <c r="C3216" s="2" t="s">
        <v>1</v>
      </c>
      <c r="D3216" s="2" t="s">
        <v>30</v>
      </c>
      <c r="E3216" s="2" t="s">
        <v>625</v>
      </c>
      <c r="F3216" s="2" t="s">
        <v>1774</v>
      </c>
      <c r="G3216" s="2">
        <v>1439.98</v>
      </c>
      <c r="H3216" s="2">
        <v>3</v>
      </c>
      <c r="I3216" s="3">
        <v>-264</v>
      </c>
    </row>
    <row r="3217" spans="1:9" x14ac:dyDescent="0.3">
      <c r="A3217" s="4">
        <v>42743</v>
      </c>
      <c r="B3217" s="5" t="s">
        <v>2089</v>
      </c>
      <c r="C3217" s="5" t="s">
        <v>1</v>
      </c>
      <c r="D3217" s="5" t="s">
        <v>2</v>
      </c>
      <c r="E3217" s="5" t="s">
        <v>3</v>
      </c>
      <c r="F3217" s="5" t="s">
        <v>2244</v>
      </c>
      <c r="G3217" s="5">
        <v>36.29</v>
      </c>
      <c r="H3217" s="5">
        <v>7</v>
      </c>
      <c r="I3217" s="6">
        <v>12.7</v>
      </c>
    </row>
    <row r="3218" spans="1:9" x14ac:dyDescent="0.3">
      <c r="A3218" s="1">
        <v>42743</v>
      </c>
      <c r="B3218" s="2" t="s">
        <v>437</v>
      </c>
      <c r="C3218" s="2" t="s">
        <v>18</v>
      </c>
      <c r="D3218" s="2" t="s">
        <v>2</v>
      </c>
      <c r="E3218" s="2" t="s">
        <v>11</v>
      </c>
      <c r="F3218" s="2" t="s">
        <v>1132</v>
      </c>
      <c r="G3218" s="2">
        <v>54.9</v>
      </c>
      <c r="H3218" s="2">
        <v>2</v>
      </c>
      <c r="I3218" s="3">
        <v>18.53</v>
      </c>
    </row>
    <row r="3219" spans="1:9" x14ac:dyDescent="0.3">
      <c r="A3219" s="4">
        <v>42743</v>
      </c>
      <c r="B3219" s="5" t="s">
        <v>1416</v>
      </c>
      <c r="C3219" s="5" t="s">
        <v>18</v>
      </c>
      <c r="D3219" s="5" t="s">
        <v>2</v>
      </c>
      <c r="E3219" s="5" t="s">
        <v>9</v>
      </c>
      <c r="F3219" s="5" t="s">
        <v>1654</v>
      </c>
      <c r="G3219" s="5">
        <v>186.54</v>
      </c>
      <c r="H3219" s="5">
        <v>3</v>
      </c>
      <c r="I3219" s="6">
        <v>50.37</v>
      </c>
    </row>
    <row r="3220" spans="1:9" x14ac:dyDescent="0.3">
      <c r="A3220" s="1">
        <v>42802</v>
      </c>
      <c r="B3220" s="2" t="s">
        <v>1524</v>
      </c>
      <c r="C3220" s="2" t="s">
        <v>6</v>
      </c>
      <c r="D3220" s="2" t="s">
        <v>25</v>
      </c>
      <c r="E3220" s="2" t="s">
        <v>129</v>
      </c>
      <c r="F3220" s="2" t="s">
        <v>2245</v>
      </c>
      <c r="G3220" s="2">
        <v>183.37</v>
      </c>
      <c r="H3220" s="2">
        <v>2</v>
      </c>
      <c r="I3220" s="3">
        <v>-36.67</v>
      </c>
    </row>
    <row r="3221" spans="1:9" x14ac:dyDescent="0.3">
      <c r="A3221" s="4">
        <v>42802</v>
      </c>
      <c r="B3221" s="5" t="s">
        <v>1250</v>
      </c>
      <c r="C3221" s="5" t="s">
        <v>18</v>
      </c>
      <c r="D3221" s="5" t="s">
        <v>2</v>
      </c>
      <c r="E3221" s="5" t="s">
        <v>7</v>
      </c>
      <c r="F3221" s="5" t="s">
        <v>1709</v>
      </c>
      <c r="G3221" s="5">
        <v>51.75</v>
      </c>
      <c r="H3221" s="5">
        <v>5</v>
      </c>
      <c r="I3221" s="6">
        <v>24.84</v>
      </c>
    </row>
    <row r="3222" spans="1:9" x14ac:dyDescent="0.3">
      <c r="A3222" s="1">
        <v>42802</v>
      </c>
      <c r="B3222" s="2" t="s">
        <v>1250</v>
      </c>
      <c r="C3222" s="2" t="s">
        <v>18</v>
      </c>
      <c r="D3222" s="2" t="s">
        <v>25</v>
      </c>
      <c r="E3222" s="2" t="s">
        <v>38</v>
      </c>
      <c r="F3222" s="2" t="s">
        <v>347</v>
      </c>
      <c r="G3222" s="2">
        <v>123.96</v>
      </c>
      <c r="H3222" s="2">
        <v>3</v>
      </c>
      <c r="I3222" s="3">
        <v>11.16</v>
      </c>
    </row>
    <row r="3223" spans="1:9" x14ac:dyDescent="0.3">
      <c r="A3223" s="4">
        <v>42802</v>
      </c>
      <c r="B3223" s="5" t="s">
        <v>871</v>
      </c>
      <c r="C3223" s="5" t="s">
        <v>18</v>
      </c>
      <c r="D3223" s="5" t="s">
        <v>2</v>
      </c>
      <c r="E3223" s="5" t="s">
        <v>9</v>
      </c>
      <c r="F3223" s="5" t="s">
        <v>2246</v>
      </c>
      <c r="G3223" s="5">
        <v>99.87</v>
      </c>
      <c r="H3223" s="5">
        <v>3</v>
      </c>
      <c r="I3223" s="6">
        <v>23.97</v>
      </c>
    </row>
    <row r="3224" spans="1:9" x14ac:dyDescent="0.3">
      <c r="A3224" s="1">
        <v>42802</v>
      </c>
      <c r="B3224" s="2" t="s">
        <v>1502</v>
      </c>
      <c r="C3224" s="2" t="s">
        <v>6</v>
      </c>
      <c r="D3224" s="2" t="s">
        <v>30</v>
      </c>
      <c r="E3224" s="2" t="s">
        <v>43</v>
      </c>
      <c r="F3224" s="2" t="s">
        <v>1977</v>
      </c>
      <c r="G3224" s="2">
        <v>39.82</v>
      </c>
      <c r="H3224" s="2">
        <v>3</v>
      </c>
      <c r="I3224" s="3">
        <v>7.47</v>
      </c>
    </row>
    <row r="3225" spans="1:9" x14ac:dyDescent="0.3">
      <c r="A3225" s="4">
        <v>42802</v>
      </c>
      <c r="B3225" s="5" t="s">
        <v>1798</v>
      </c>
      <c r="C3225" s="5" t="s">
        <v>62</v>
      </c>
      <c r="D3225" s="5" t="s">
        <v>2</v>
      </c>
      <c r="E3225" s="5" t="s">
        <v>9</v>
      </c>
      <c r="F3225" s="5" t="s">
        <v>2247</v>
      </c>
      <c r="G3225" s="5">
        <v>16.059999999999999</v>
      </c>
      <c r="H3225" s="5">
        <v>1</v>
      </c>
      <c r="I3225" s="6">
        <v>4.18</v>
      </c>
    </row>
    <row r="3226" spans="1:9" x14ac:dyDescent="0.3">
      <c r="A3226" s="1">
        <v>42802</v>
      </c>
      <c r="B3226" s="2" t="s">
        <v>2248</v>
      </c>
      <c r="C3226" s="2" t="s">
        <v>127</v>
      </c>
      <c r="D3226" s="2" t="s">
        <v>2</v>
      </c>
      <c r="E3226" s="2" t="s">
        <v>7</v>
      </c>
      <c r="F3226" s="2" t="s">
        <v>1486</v>
      </c>
      <c r="G3226" s="2">
        <v>16.52</v>
      </c>
      <c r="H3226" s="2">
        <v>5</v>
      </c>
      <c r="I3226" s="3">
        <v>5.37</v>
      </c>
    </row>
    <row r="3227" spans="1:9" x14ac:dyDescent="0.3">
      <c r="A3227" s="4">
        <v>42833</v>
      </c>
      <c r="B3227" s="5" t="s">
        <v>1564</v>
      </c>
      <c r="C3227" s="5" t="s">
        <v>163</v>
      </c>
      <c r="D3227" s="5" t="s">
        <v>2</v>
      </c>
      <c r="E3227" s="5" t="s">
        <v>3</v>
      </c>
      <c r="F3227" s="5" t="s">
        <v>2249</v>
      </c>
      <c r="G3227" s="5">
        <v>7.97</v>
      </c>
      <c r="H3227" s="5">
        <v>2</v>
      </c>
      <c r="I3227" s="6">
        <v>2.89</v>
      </c>
    </row>
    <row r="3228" spans="1:9" x14ac:dyDescent="0.3">
      <c r="A3228" s="1">
        <v>42833</v>
      </c>
      <c r="B3228" s="2" t="s">
        <v>1564</v>
      </c>
      <c r="C3228" s="2" t="s">
        <v>163</v>
      </c>
      <c r="D3228" s="2" t="s">
        <v>2</v>
      </c>
      <c r="E3228" s="2" t="s">
        <v>114</v>
      </c>
      <c r="F3228" s="2" t="s">
        <v>1787</v>
      </c>
      <c r="G3228" s="2">
        <v>8.7799999999999994</v>
      </c>
      <c r="H3228" s="2">
        <v>1</v>
      </c>
      <c r="I3228" s="3">
        <v>3.18</v>
      </c>
    </row>
    <row r="3229" spans="1:9" x14ac:dyDescent="0.3">
      <c r="A3229" s="4">
        <v>42833</v>
      </c>
      <c r="B3229" s="5" t="s">
        <v>1564</v>
      </c>
      <c r="C3229" s="5" t="s">
        <v>1</v>
      </c>
      <c r="D3229" s="5" t="s">
        <v>2</v>
      </c>
      <c r="E3229" s="5" t="s">
        <v>11</v>
      </c>
      <c r="F3229" s="5" t="s">
        <v>64</v>
      </c>
      <c r="G3229" s="5">
        <v>3.32</v>
      </c>
      <c r="H3229" s="5">
        <v>3</v>
      </c>
      <c r="I3229" s="6">
        <v>-5.64</v>
      </c>
    </row>
    <row r="3230" spans="1:9" x14ac:dyDescent="0.3">
      <c r="A3230" s="1">
        <v>42863</v>
      </c>
      <c r="B3230" s="2" t="s">
        <v>1062</v>
      </c>
      <c r="C3230" s="2" t="s">
        <v>24</v>
      </c>
      <c r="D3230" s="2" t="s">
        <v>2</v>
      </c>
      <c r="E3230" s="2" t="s">
        <v>3</v>
      </c>
      <c r="F3230" s="2" t="s">
        <v>1603</v>
      </c>
      <c r="G3230" s="2">
        <v>13.76</v>
      </c>
      <c r="H3230" s="2">
        <v>2</v>
      </c>
      <c r="I3230" s="3">
        <v>6.33</v>
      </c>
    </row>
    <row r="3231" spans="1:9" x14ac:dyDescent="0.3">
      <c r="A3231" s="4">
        <v>42863</v>
      </c>
      <c r="B3231" s="5" t="s">
        <v>519</v>
      </c>
      <c r="C3231" s="5" t="s">
        <v>1</v>
      </c>
      <c r="D3231" s="5" t="s">
        <v>2</v>
      </c>
      <c r="E3231" s="5" t="s">
        <v>9</v>
      </c>
      <c r="F3231" s="5" t="s">
        <v>2250</v>
      </c>
      <c r="G3231" s="5">
        <v>151.06</v>
      </c>
      <c r="H3231" s="5">
        <v>9</v>
      </c>
      <c r="I3231" s="6">
        <v>7.55</v>
      </c>
    </row>
    <row r="3232" spans="1:9" x14ac:dyDescent="0.3">
      <c r="A3232" s="1">
        <v>42863</v>
      </c>
      <c r="B3232" s="2" t="s">
        <v>2251</v>
      </c>
      <c r="C3232" s="2" t="s">
        <v>283</v>
      </c>
      <c r="D3232" s="2" t="s">
        <v>2</v>
      </c>
      <c r="E3232" s="2" t="s">
        <v>11</v>
      </c>
      <c r="F3232" s="2" t="s">
        <v>1923</v>
      </c>
      <c r="G3232" s="2">
        <v>125.88</v>
      </c>
      <c r="H3232" s="2">
        <v>6</v>
      </c>
      <c r="I3232" s="3">
        <v>60.42</v>
      </c>
    </row>
    <row r="3233" spans="1:9" x14ac:dyDescent="0.3">
      <c r="A3233" s="4">
        <v>42863</v>
      </c>
      <c r="B3233" s="5" t="s">
        <v>2251</v>
      </c>
      <c r="C3233" s="5" t="s">
        <v>283</v>
      </c>
      <c r="D3233" s="5" t="s">
        <v>30</v>
      </c>
      <c r="E3233" s="5" t="s">
        <v>43</v>
      </c>
      <c r="F3233" s="5" t="s">
        <v>1635</v>
      </c>
      <c r="G3233" s="5">
        <v>79.78</v>
      </c>
      <c r="H3233" s="5">
        <v>2</v>
      </c>
      <c r="I3233" s="6">
        <v>29.52</v>
      </c>
    </row>
    <row r="3234" spans="1:9" x14ac:dyDescent="0.3">
      <c r="A3234" s="1">
        <v>42863</v>
      </c>
      <c r="B3234" s="2" t="s">
        <v>2251</v>
      </c>
      <c r="C3234" s="2" t="s">
        <v>283</v>
      </c>
      <c r="D3234" s="2" t="s">
        <v>2</v>
      </c>
      <c r="E3234" s="2" t="s">
        <v>7</v>
      </c>
      <c r="F3234" s="2" t="s">
        <v>814</v>
      </c>
      <c r="G3234" s="2">
        <v>133.19999999999999</v>
      </c>
      <c r="H3234" s="2">
        <v>9</v>
      </c>
      <c r="I3234" s="3">
        <v>66.599999999999994</v>
      </c>
    </row>
    <row r="3235" spans="1:9" x14ac:dyDescent="0.3">
      <c r="A3235" s="4">
        <v>42894</v>
      </c>
      <c r="B3235" s="5" t="s">
        <v>49</v>
      </c>
      <c r="C3235" s="5" t="s">
        <v>203</v>
      </c>
      <c r="D3235" s="5" t="s">
        <v>25</v>
      </c>
      <c r="E3235" s="5" t="s">
        <v>129</v>
      </c>
      <c r="F3235" s="5" t="s">
        <v>577</v>
      </c>
      <c r="G3235" s="5">
        <v>145.74</v>
      </c>
      <c r="H3235" s="5">
        <v>3</v>
      </c>
      <c r="I3235" s="6">
        <v>23.32</v>
      </c>
    </row>
    <row r="3236" spans="1:9" x14ac:dyDescent="0.3">
      <c r="A3236" s="1">
        <v>42894</v>
      </c>
      <c r="B3236" s="2" t="s">
        <v>49</v>
      </c>
      <c r="C3236" s="2" t="s">
        <v>203</v>
      </c>
      <c r="D3236" s="2" t="s">
        <v>25</v>
      </c>
      <c r="E3236" s="2" t="s">
        <v>38</v>
      </c>
      <c r="F3236" s="2" t="s">
        <v>1025</v>
      </c>
      <c r="G3236" s="2">
        <v>15.4</v>
      </c>
      <c r="H3236" s="2">
        <v>5</v>
      </c>
      <c r="I3236" s="3">
        <v>7.39</v>
      </c>
    </row>
    <row r="3237" spans="1:9" x14ac:dyDescent="0.3">
      <c r="A3237" s="4">
        <v>42894</v>
      </c>
      <c r="B3237" s="5" t="s">
        <v>2252</v>
      </c>
      <c r="C3237" s="5" t="s">
        <v>1</v>
      </c>
      <c r="D3237" s="5" t="s">
        <v>2</v>
      </c>
      <c r="E3237" s="5" t="s">
        <v>3</v>
      </c>
      <c r="F3237" s="5" t="s">
        <v>1908</v>
      </c>
      <c r="G3237" s="5">
        <v>115.3</v>
      </c>
      <c r="H3237" s="5">
        <v>3</v>
      </c>
      <c r="I3237" s="6">
        <v>40.35</v>
      </c>
    </row>
    <row r="3238" spans="1:9" x14ac:dyDescent="0.3">
      <c r="A3238" s="1">
        <v>42894</v>
      </c>
      <c r="B3238" s="2" t="s">
        <v>270</v>
      </c>
      <c r="C3238" s="2" t="s">
        <v>1558</v>
      </c>
      <c r="D3238" s="2" t="s">
        <v>30</v>
      </c>
      <c r="E3238" s="2" t="s">
        <v>31</v>
      </c>
      <c r="F3238" s="2" t="s">
        <v>1316</v>
      </c>
      <c r="G3238" s="2">
        <v>824.95</v>
      </c>
      <c r="H3238" s="2">
        <v>5</v>
      </c>
      <c r="I3238" s="3">
        <v>247.49</v>
      </c>
    </row>
    <row r="3239" spans="1:9" x14ac:dyDescent="0.3">
      <c r="A3239" s="4">
        <v>42894</v>
      </c>
      <c r="B3239" s="5" t="s">
        <v>270</v>
      </c>
      <c r="C3239" s="5" t="s">
        <v>1558</v>
      </c>
      <c r="D3239" s="5" t="s">
        <v>2</v>
      </c>
      <c r="E3239" s="5" t="s">
        <v>7</v>
      </c>
      <c r="F3239" s="5" t="s">
        <v>293</v>
      </c>
      <c r="G3239" s="5">
        <v>24.64</v>
      </c>
      <c r="H3239" s="5">
        <v>8</v>
      </c>
      <c r="I3239" s="6">
        <v>11.83</v>
      </c>
    </row>
    <row r="3240" spans="1:9" x14ac:dyDescent="0.3">
      <c r="A3240" s="1">
        <v>42894</v>
      </c>
      <c r="B3240" s="2" t="s">
        <v>270</v>
      </c>
      <c r="C3240" s="2" t="s">
        <v>1558</v>
      </c>
      <c r="D3240" s="2" t="s">
        <v>2</v>
      </c>
      <c r="E3240" s="2" t="s">
        <v>15</v>
      </c>
      <c r="F3240" s="2" t="s">
        <v>686</v>
      </c>
      <c r="G3240" s="2">
        <v>227.88</v>
      </c>
      <c r="H3240" s="2">
        <v>6</v>
      </c>
      <c r="I3240" s="3">
        <v>68.36</v>
      </c>
    </row>
    <row r="3241" spans="1:9" x14ac:dyDescent="0.3">
      <c r="A3241" s="4">
        <v>42894</v>
      </c>
      <c r="B3241" s="5" t="s">
        <v>828</v>
      </c>
      <c r="C3241" s="5" t="s">
        <v>80</v>
      </c>
      <c r="D3241" s="5" t="s">
        <v>2</v>
      </c>
      <c r="E3241" s="5" t="s">
        <v>144</v>
      </c>
      <c r="F3241" s="5" t="s">
        <v>1169</v>
      </c>
      <c r="G3241" s="5">
        <v>70.12</v>
      </c>
      <c r="H3241" s="5">
        <v>4</v>
      </c>
      <c r="I3241" s="6">
        <v>21.04</v>
      </c>
    </row>
    <row r="3242" spans="1:9" x14ac:dyDescent="0.3">
      <c r="A3242" s="1">
        <v>42924</v>
      </c>
      <c r="B3242" s="2" t="s">
        <v>1295</v>
      </c>
      <c r="C3242" s="2" t="s">
        <v>121</v>
      </c>
      <c r="D3242" s="2" t="s">
        <v>30</v>
      </c>
      <c r="E3242" s="2" t="s">
        <v>43</v>
      </c>
      <c r="F3242" s="2" t="s">
        <v>560</v>
      </c>
      <c r="G3242" s="2">
        <v>79.989999999999995</v>
      </c>
      <c r="H3242" s="2">
        <v>1</v>
      </c>
      <c r="I3242" s="3">
        <v>22</v>
      </c>
    </row>
    <row r="3243" spans="1:9" x14ac:dyDescent="0.3">
      <c r="A3243" s="4">
        <v>42924</v>
      </c>
      <c r="B3243" s="5" t="s">
        <v>2253</v>
      </c>
      <c r="C3243" s="5" t="s">
        <v>80</v>
      </c>
      <c r="D3243" s="5" t="s">
        <v>2</v>
      </c>
      <c r="E3243" s="5" t="s">
        <v>15</v>
      </c>
      <c r="F3243" s="5" t="s">
        <v>2254</v>
      </c>
      <c r="G3243" s="5">
        <v>11.68</v>
      </c>
      <c r="H3243" s="5">
        <v>2</v>
      </c>
      <c r="I3243" s="6">
        <v>5.49</v>
      </c>
    </row>
    <row r="3244" spans="1:9" x14ac:dyDescent="0.3">
      <c r="A3244" s="1">
        <v>42924</v>
      </c>
      <c r="B3244" s="2" t="s">
        <v>2253</v>
      </c>
      <c r="C3244" s="2" t="s">
        <v>80</v>
      </c>
      <c r="D3244" s="2" t="s">
        <v>2</v>
      </c>
      <c r="E3244" s="2" t="s">
        <v>15</v>
      </c>
      <c r="F3244" s="2" t="s">
        <v>1599</v>
      </c>
      <c r="G3244" s="2">
        <v>104.8</v>
      </c>
      <c r="H3244" s="2">
        <v>10</v>
      </c>
      <c r="I3244" s="3">
        <v>26.2</v>
      </c>
    </row>
    <row r="3245" spans="1:9" x14ac:dyDescent="0.3">
      <c r="A3245" s="4">
        <v>42924</v>
      </c>
      <c r="B3245" s="5" t="s">
        <v>263</v>
      </c>
      <c r="C3245" s="5" t="s">
        <v>18</v>
      </c>
      <c r="D3245" s="5" t="s">
        <v>30</v>
      </c>
      <c r="E3245" s="5" t="s">
        <v>31</v>
      </c>
      <c r="F3245" s="5" t="s">
        <v>501</v>
      </c>
      <c r="G3245" s="5">
        <v>159.96</v>
      </c>
      <c r="H3245" s="5">
        <v>5</v>
      </c>
      <c r="I3245" s="6">
        <v>18</v>
      </c>
    </row>
    <row r="3246" spans="1:9" x14ac:dyDescent="0.3">
      <c r="A3246" s="1">
        <v>42924</v>
      </c>
      <c r="B3246" s="2" t="s">
        <v>263</v>
      </c>
      <c r="C3246" s="2" t="s">
        <v>18</v>
      </c>
      <c r="D3246" s="2" t="s">
        <v>2</v>
      </c>
      <c r="E3246" s="2" t="s">
        <v>11</v>
      </c>
      <c r="F3246" s="2" t="s">
        <v>2255</v>
      </c>
      <c r="G3246" s="2">
        <v>13.76</v>
      </c>
      <c r="H3246" s="2">
        <v>2</v>
      </c>
      <c r="I3246" s="3">
        <v>4.6399999999999997</v>
      </c>
    </row>
    <row r="3247" spans="1:9" x14ac:dyDescent="0.3">
      <c r="A3247" s="4">
        <v>42924</v>
      </c>
      <c r="B3247" s="5" t="s">
        <v>1748</v>
      </c>
      <c r="C3247" s="5" t="s">
        <v>359</v>
      </c>
      <c r="D3247" s="5" t="s">
        <v>30</v>
      </c>
      <c r="E3247" s="5" t="s">
        <v>43</v>
      </c>
      <c r="F3247" s="5" t="s">
        <v>2200</v>
      </c>
      <c r="G3247" s="5">
        <v>63.96</v>
      </c>
      <c r="H3247" s="5">
        <v>4</v>
      </c>
      <c r="I3247" s="6">
        <v>19.829999999999998</v>
      </c>
    </row>
    <row r="3248" spans="1:9" x14ac:dyDescent="0.3">
      <c r="A3248" s="1">
        <v>42924</v>
      </c>
      <c r="B3248" s="2" t="s">
        <v>957</v>
      </c>
      <c r="C3248" s="2" t="s">
        <v>18</v>
      </c>
      <c r="D3248" s="2" t="s">
        <v>2</v>
      </c>
      <c r="E3248" s="2" t="s">
        <v>3</v>
      </c>
      <c r="F3248" s="2" t="s">
        <v>147</v>
      </c>
      <c r="G3248" s="2">
        <v>244.55</v>
      </c>
      <c r="H3248" s="2">
        <v>5</v>
      </c>
      <c r="I3248" s="3">
        <v>114.94</v>
      </c>
    </row>
    <row r="3249" spans="1:9" x14ac:dyDescent="0.3">
      <c r="A3249" s="4">
        <v>42924</v>
      </c>
      <c r="B3249" s="5" t="s">
        <v>166</v>
      </c>
      <c r="C3249" s="5" t="s">
        <v>1</v>
      </c>
      <c r="D3249" s="5" t="s">
        <v>30</v>
      </c>
      <c r="E3249" s="5" t="s">
        <v>43</v>
      </c>
      <c r="F3249" s="5" t="s">
        <v>1467</v>
      </c>
      <c r="G3249" s="5">
        <v>119.45</v>
      </c>
      <c r="H3249" s="5">
        <v>3</v>
      </c>
      <c r="I3249" s="6">
        <v>-13.44</v>
      </c>
    </row>
    <row r="3250" spans="1:9" x14ac:dyDescent="0.3">
      <c r="A3250" s="1">
        <v>42924</v>
      </c>
      <c r="B3250" s="2" t="s">
        <v>166</v>
      </c>
      <c r="C3250" s="2" t="s">
        <v>1</v>
      </c>
      <c r="D3250" s="2" t="s">
        <v>2</v>
      </c>
      <c r="E3250" s="2" t="s">
        <v>9</v>
      </c>
      <c r="F3250" s="2" t="s">
        <v>2256</v>
      </c>
      <c r="G3250" s="2">
        <v>118.16</v>
      </c>
      <c r="H3250" s="2">
        <v>2</v>
      </c>
      <c r="I3250" s="3">
        <v>-25.11</v>
      </c>
    </row>
    <row r="3251" spans="1:9" x14ac:dyDescent="0.3">
      <c r="A3251" s="4">
        <v>42924</v>
      </c>
      <c r="B3251" s="5" t="s">
        <v>1723</v>
      </c>
      <c r="C3251" s="5" t="s">
        <v>18</v>
      </c>
      <c r="D3251" s="5" t="s">
        <v>30</v>
      </c>
      <c r="E3251" s="5" t="s">
        <v>31</v>
      </c>
      <c r="F3251" s="5" t="s">
        <v>2257</v>
      </c>
      <c r="G3251" s="5">
        <v>707.88</v>
      </c>
      <c r="H3251" s="5">
        <v>3</v>
      </c>
      <c r="I3251" s="6">
        <v>44.24</v>
      </c>
    </row>
    <row r="3252" spans="1:9" x14ac:dyDescent="0.3">
      <c r="A3252" s="1">
        <v>42924</v>
      </c>
      <c r="B3252" s="2" t="s">
        <v>1723</v>
      </c>
      <c r="C3252" s="2" t="s">
        <v>18</v>
      </c>
      <c r="D3252" s="2" t="s">
        <v>2</v>
      </c>
      <c r="E3252" s="2" t="s">
        <v>11</v>
      </c>
      <c r="F3252" s="2" t="s">
        <v>440</v>
      </c>
      <c r="G3252" s="2">
        <v>11.95</v>
      </c>
      <c r="H3252" s="2">
        <v>3</v>
      </c>
      <c r="I3252" s="3">
        <v>4.18</v>
      </c>
    </row>
    <row r="3253" spans="1:9" x14ac:dyDescent="0.3">
      <c r="A3253" s="4">
        <v>42924</v>
      </c>
      <c r="B3253" s="5" t="s">
        <v>1723</v>
      </c>
      <c r="C3253" s="5" t="s">
        <v>18</v>
      </c>
      <c r="D3253" s="5" t="s">
        <v>2</v>
      </c>
      <c r="E3253" s="5" t="s">
        <v>11</v>
      </c>
      <c r="F3253" s="5" t="s">
        <v>2258</v>
      </c>
      <c r="G3253" s="5">
        <v>31.13</v>
      </c>
      <c r="H3253" s="5">
        <v>3</v>
      </c>
      <c r="I3253" s="6">
        <v>11.67</v>
      </c>
    </row>
    <row r="3254" spans="1:9" x14ac:dyDescent="0.3">
      <c r="A3254" s="1">
        <v>42924</v>
      </c>
      <c r="B3254" s="2" t="s">
        <v>1723</v>
      </c>
      <c r="C3254" s="2" t="s">
        <v>18</v>
      </c>
      <c r="D3254" s="2" t="s">
        <v>30</v>
      </c>
      <c r="E3254" s="2" t="s">
        <v>43</v>
      </c>
      <c r="F3254" s="2" t="s">
        <v>1864</v>
      </c>
      <c r="G3254" s="2">
        <v>55.76</v>
      </c>
      <c r="H3254" s="2">
        <v>4</v>
      </c>
      <c r="I3254" s="3">
        <v>7.81</v>
      </c>
    </row>
    <row r="3255" spans="1:9" x14ac:dyDescent="0.3">
      <c r="A3255" s="4">
        <v>42924</v>
      </c>
      <c r="B3255" s="5" t="s">
        <v>1723</v>
      </c>
      <c r="C3255" s="5" t="s">
        <v>18</v>
      </c>
      <c r="D3255" s="5" t="s">
        <v>2</v>
      </c>
      <c r="E3255" s="5" t="s">
        <v>3</v>
      </c>
      <c r="F3255" s="5" t="s">
        <v>493</v>
      </c>
      <c r="G3255" s="5">
        <v>24.56</v>
      </c>
      <c r="H3255" s="5">
        <v>2</v>
      </c>
      <c r="I3255" s="6">
        <v>11.54</v>
      </c>
    </row>
    <row r="3256" spans="1:9" x14ac:dyDescent="0.3">
      <c r="A3256" s="1">
        <v>42924</v>
      </c>
      <c r="B3256" s="2" t="s">
        <v>1723</v>
      </c>
      <c r="C3256" s="2" t="s">
        <v>18</v>
      </c>
      <c r="D3256" s="2" t="s">
        <v>25</v>
      </c>
      <c r="E3256" s="2" t="s">
        <v>38</v>
      </c>
      <c r="F3256" s="2" t="s">
        <v>1286</v>
      </c>
      <c r="G3256" s="2">
        <v>51.75</v>
      </c>
      <c r="H3256" s="2">
        <v>1</v>
      </c>
      <c r="I3256" s="3">
        <v>15.53</v>
      </c>
    </row>
    <row r="3257" spans="1:9" x14ac:dyDescent="0.3">
      <c r="A3257" s="4">
        <v>42924</v>
      </c>
      <c r="B3257" s="5" t="s">
        <v>1723</v>
      </c>
      <c r="C3257" s="5" t="s">
        <v>18</v>
      </c>
      <c r="D3257" s="5" t="s">
        <v>25</v>
      </c>
      <c r="E3257" s="5" t="s">
        <v>26</v>
      </c>
      <c r="F3257" s="5" t="s">
        <v>2259</v>
      </c>
      <c r="G3257" s="5">
        <v>207.18</v>
      </c>
      <c r="H3257" s="5">
        <v>1</v>
      </c>
      <c r="I3257" s="6">
        <v>25.9</v>
      </c>
    </row>
    <row r="3258" spans="1:9" x14ac:dyDescent="0.3">
      <c r="A3258" s="1">
        <v>42924</v>
      </c>
      <c r="B3258" s="2" t="s">
        <v>1723</v>
      </c>
      <c r="C3258" s="2" t="s">
        <v>18</v>
      </c>
      <c r="D3258" s="2" t="s">
        <v>2</v>
      </c>
      <c r="E3258" s="2" t="s">
        <v>133</v>
      </c>
      <c r="F3258" s="2" t="s">
        <v>134</v>
      </c>
      <c r="G3258" s="2">
        <v>1473.1</v>
      </c>
      <c r="H3258" s="2">
        <v>5</v>
      </c>
      <c r="I3258" s="3">
        <v>412.47</v>
      </c>
    </row>
    <row r="3259" spans="1:9" x14ac:dyDescent="0.3">
      <c r="A3259" s="4">
        <v>43016</v>
      </c>
      <c r="B3259" s="5" t="s">
        <v>515</v>
      </c>
      <c r="C3259" s="5" t="s">
        <v>283</v>
      </c>
      <c r="D3259" s="5" t="s">
        <v>2</v>
      </c>
      <c r="E3259" s="5" t="s">
        <v>114</v>
      </c>
      <c r="F3259" s="5" t="s">
        <v>115</v>
      </c>
      <c r="G3259" s="5">
        <v>70.08</v>
      </c>
      <c r="H3259" s="5">
        <v>6</v>
      </c>
      <c r="I3259" s="6">
        <v>35.04</v>
      </c>
    </row>
    <row r="3260" spans="1:9" x14ac:dyDescent="0.3">
      <c r="A3260" s="1">
        <v>43016</v>
      </c>
      <c r="B3260" s="2" t="s">
        <v>515</v>
      </c>
      <c r="C3260" s="2" t="s">
        <v>283</v>
      </c>
      <c r="D3260" s="2" t="s">
        <v>25</v>
      </c>
      <c r="E3260" s="2" t="s">
        <v>38</v>
      </c>
      <c r="F3260" s="2" t="s">
        <v>1441</v>
      </c>
      <c r="G3260" s="2">
        <v>121.3</v>
      </c>
      <c r="H3260" s="2">
        <v>2</v>
      </c>
      <c r="I3260" s="3">
        <v>25.47</v>
      </c>
    </row>
    <row r="3261" spans="1:9" x14ac:dyDescent="0.3">
      <c r="A3261" s="4">
        <v>43016</v>
      </c>
      <c r="B3261" s="5" t="s">
        <v>515</v>
      </c>
      <c r="C3261" s="5" t="s">
        <v>283</v>
      </c>
      <c r="D3261" s="5" t="s">
        <v>30</v>
      </c>
      <c r="E3261" s="5" t="s">
        <v>31</v>
      </c>
      <c r="F3261" s="5" t="s">
        <v>72</v>
      </c>
      <c r="G3261" s="5">
        <v>1454.49</v>
      </c>
      <c r="H3261" s="5">
        <v>9</v>
      </c>
      <c r="I3261" s="6">
        <v>378.17</v>
      </c>
    </row>
    <row r="3262" spans="1:9" x14ac:dyDescent="0.3">
      <c r="A3262" s="1">
        <v>43016</v>
      </c>
      <c r="B3262" s="2" t="s">
        <v>1536</v>
      </c>
      <c r="C3262" s="2" t="s">
        <v>283</v>
      </c>
      <c r="D3262" s="2" t="s">
        <v>2</v>
      </c>
      <c r="E3262" s="2" t="s">
        <v>3</v>
      </c>
      <c r="F3262" s="2" t="s">
        <v>1307</v>
      </c>
      <c r="G3262" s="2">
        <v>177.2</v>
      </c>
      <c r="H3262" s="2">
        <v>5</v>
      </c>
      <c r="I3262" s="3">
        <v>83.28</v>
      </c>
    </row>
    <row r="3263" spans="1:9" x14ac:dyDescent="0.3">
      <c r="A3263" s="4">
        <v>43047</v>
      </c>
      <c r="B3263" s="5" t="s">
        <v>1035</v>
      </c>
      <c r="C3263" s="5" t="s">
        <v>1</v>
      </c>
      <c r="D3263" s="5" t="s">
        <v>2</v>
      </c>
      <c r="E3263" s="5" t="s">
        <v>3</v>
      </c>
      <c r="F3263" s="5" t="s">
        <v>923</v>
      </c>
      <c r="G3263" s="5">
        <v>29.66</v>
      </c>
      <c r="H3263" s="5">
        <v>4</v>
      </c>
      <c r="I3263" s="6">
        <v>10.01</v>
      </c>
    </row>
    <row r="3264" spans="1:9" x14ac:dyDescent="0.3">
      <c r="A3264" s="1">
        <v>43047</v>
      </c>
      <c r="B3264" s="2" t="s">
        <v>1035</v>
      </c>
      <c r="C3264" s="2" t="s">
        <v>1</v>
      </c>
      <c r="D3264" s="2" t="s">
        <v>2</v>
      </c>
      <c r="E3264" s="2" t="s">
        <v>15</v>
      </c>
      <c r="F3264" s="2" t="s">
        <v>2260</v>
      </c>
      <c r="G3264" s="2">
        <v>9.18</v>
      </c>
      <c r="H3264" s="2">
        <v>7</v>
      </c>
      <c r="I3264" s="3">
        <v>2.87</v>
      </c>
    </row>
    <row r="3265" spans="1:9" x14ac:dyDescent="0.3">
      <c r="A3265" s="4">
        <v>43047</v>
      </c>
      <c r="B3265" s="5" t="s">
        <v>1035</v>
      </c>
      <c r="C3265" s="5" t="s">
        <v>1</v>
      </c>
      <c r="D3265" s="5" t="s">
        <v>30</v>
      </c>
      <c r="E3265" s="5" t="s">
        <v>31</v>
      </c>
      <c r="F3265" s="5" t="s">
        <v>278</v>
      </c>
      <c r="G3265" s="5">
        <v>153.58000000000001</v>
      </c>
      <c r="H3265" s="5">
        <v>2</v>
      </c>
      <c r="I3265" s="6">
        <v>13.44</v>
      </c>
    </row>
    <row r="3266" spans="1:9" x14ac:dyDescent="0.3">
      <c r="A3266" s="1">
        <v>43047</v>
      </c>
      <c r="B3266" s="2" t="s">
        <v>1035</v>
      </c>
      <c r="C3266" s="2" t="s">
        <v>1</v>
      </c>
      <c r="D3266" s="2" t="s">
        <v>2</v>
      </c>
      <c r="E3266" s="2" t="s">
        <v>11</v>
      </c>
      <c r="F3266" s="2" t="s">
        <v>220</v>
      </c>
      <c r="G3266" s="2">
        <v>12.86</v>
      </c>
      <c r="H3266" s="2">
        <v>8</v>
      </c>
      <c r="I3266" s="3">
        <v>-22.51</v>
      </c>
    </row>
    <row r="3267" spans="1:9" x14ac:dyDescent="0.3">
      <c r="A3267" s="4">
        <v>43047</v>
      </c>
      <c r="B3267" s="5" t="s">
        <v>1343</v>
      </c>
      <c r="C3267" s="5" t="s">
        <v>203</v>
      </c>
      <c r="D3267" s="5" t="s">
        <v>2</v>
      </c>
      <c r="E3267" s="5" t="s">
        <v>11</v>
      </c>
      <c r="F3267" s="5" t="s">
        <v>873</v>
      </c>
      <c r="G3267" s="5">
        <v>477.51</v>
      </c>
      <c r="H3267" s="5">
        <v>11</v>
      </c>
      <c r="I3267" s="6">
        <v>219.65</v>
      </c>
    </row>
    <row r="3268" spans="1:9" x14ac:dyDescent="0.3">
      <c r="A3268" s="1">
        <v>43047</v>
      </c>
      <c r="B3268" s="2" t="s">
        <v>1685</v>
      </c>
      <c r="C3268" s="2" t="s">
        <v>80</v>
      </c>
      <c r="D3268" s="2" t="s">
        <v>2</v>
      </c>
      <c r="E3268" s="2" t="s">
        <v>3</v>
      </c>
      <c r="F3268" s="2" t="s">
        <v>250</v>
      </c>
      <c r="G3268" s="2">
        <v>25.92</v>
      </c>
      <c r="H3268" s="2">
        <v>4</v>
      </c>
      <c r="I3268" s="3">
        <v>12.44</v>
      </c>
    </row>
    <row r="3269" spans="1:9" x14ac:dyDescent="0.3">
      <c r="A3269" s="4">
        <v>43077</v>
      </c>
      <c r="B3269" s="5" t="s">
        <v>2261</v>
      </c>
      <c r="C3269" s="5" t="s">
        <v>58</v>
      </c>
      <c r="D3269" s="5" t="s">
        <v>2</v>
      </c>
      <c r="E3269" s="5" t="s">
        <v>3</v>
      </c>
      <c r="F3269" s="5" t="s">
        <v>643</v>
      </c>
      <c r="G3269" s="5">
        <v>20.74</v>
      </c>
      <c r="H3269" s="5">
        <v>4</v>
      </c>
      <c r="I3269" s="6">
        <v>7.26</v>
      </c>
    </row>
    <row r="3270" spans="1:9" x14ac:dyDescent="0.3">
      <c r="A3270" s="1">
        <v>43077</v>
      </c>
      <c r="B3270" s="2" t="s">
        <v>617</v>
      </c>
      <c r="C3270" s="2" t="s">
        <v>18</v>
      </c>
      <c r="D3270" s="2" t="s">
        <v>2</v>
      </c>
      <c r="E3270" s="2" t="s">
        <v>133</v>
      </c>
      <c r="F3270" s="2" t="s">
        <v>1101</v>
      </c>
      <c r="G3270" s="2">
        <v>542.94000000000005</v>
      </c>
      <c r="H3270" s="2">
        <v>3</v>
      </c>
      <c r="I3270" s="3">
        <v>152.02000000000001</v>
      </c>
    </row>
    <row r="3271" spans="1:9" x14ac:dyDescent="0.3">
      <c r="A3271" s="4">
        <v>43077</v>
      </c>
      <c r="B3271" s="5" t="s">
        <v>617</v>
      </c>
      <c r="C3271" s="5" t="s">
        <v>18</v>
      </c>
      <c r="D3271" s="5" t="s">
        <v>25</v>
      </c>
      <c r="E3271" s="5" t="s">
        <v>38</v>
      </c>
      <c r="F3271" s="5" t="s">
        <v>301</v>
      </c>
      <c r="G3271" s="5">
        <v>54.92</v>
      </c>
      <c r="H3271" s="5">
        <v>4</v>
      </c>
      <c r="I3271" s="6">
        <v>19.77</v>
      </c>
    </row>
    <row r="3272" spans="1:9" x14ac:dyDescent="0.3">
      <c r="A3272" s="1">
        <v>43077</v>
      </c>
      <c r="B3272" s="2" t="s">
        <v>1212</v>
      </c>
      <c r="C3272" s="2" t="s">
        <v>958</v>
      </c>
      <c r="D3272" s="2" t="s">
        <v>2</v>
      </c>
      <c r="E3272" s="2" t="s">
        <v>15</v>
      </c>
      <c r="F3272" s="2" t="s">
        <v>42</v>
      </c>
      <c r="G3272" s="2">
        <v>17.52</v>
      </c>
      <c r="H3272" s="2">
        <v>3</v>
      </c>
      <c r="I3272" s="3">
        <v>5.26</v>
      </c>
    </row>
    <row r="3273" spans="1:9" x14ac:dyDescent="0.3">
      <c r="A3273" s="4">
        <v>43077</v>
      </c>
      <c r="B3273" s="5" t="s">
        <v>1212</v>
      </c>
      <c r="C3273" s="5" t="s">
        <v>958</v>
      </c>
      <c r="D3273" s="5" t="s">
        <v>25</v>
      </c>
      <c r="E3273" s="5" t="s">
        <v>26</v>
      </c>
      <c r="F3273" s="5" t="s">
        <v>2262</v>
      </c>
      <c r="G3273" s="5">
        <v>1779.9</v>
      </c>
      <c r="H3273" s="5">
        <v>5</v>
      </c>
      <c r="I3273" s="6">
        <v>373.78</v>
      </c>
    </row>
    <row r="3274" spans="1:9" x14ac:dyDescent="0.3">
      <c r="A3274" s="1">
        <v>43077</v>
      </c>
      <c r="B3274" s="2" t="s">
        <v>1212</v>
      </c>
      <c r="C3274" s="2" t="s">
        <v>958</v>
      </c>
      <c r="D3274" s="2" t="s">
        <v>2</v>
      </c>
      <c r="E3274" s="2" t="s">
        <v>15</v>
      </c>
      <c r="F3274" s="2" t="s">
        <v>427</v>
      </c>
      <c r="G3274" s="2">
        <v>219.9</v>
      </c>
      <c r="H3274" s="2">
        <v>5</v>
      </c>
      <c r="I3274" s="3">
        <v>59.37</v>
      </c>
    </row>
    <row r="3275" spans="1:9" x14ac:dyDescent="0.3">
      <c r="A3275" s="4">
        <v>43077</v>
      </c>
      <c r="B3275" s="5" t="s">
        <v>1109</v>
      </c>
      <c r="C3275" s="5" t="s">
        <v>62</v>
      </c>
      <c r="D3275" s="5" t="s">
        <v>30</v>
      </c>
      <c r="E3275" s="5" t="s">
        <v>290</v>
      </c>
      <c r="F3275" s="5" t="s">
        <v>1408</v>
      </c>
      <c r="G3275" s="5">
        <v>299.99</v>
      </c>
      <c r="H3275" s="5">
        <v>1</v>
      </c>
      <c r="I3275" s="6">
        <v>90</v>
      </c>
    </row>
    <row r="3276" spans="1:9" x14ac:dyDescent="0.3">
      <c r="A3276" s="1">
        <v>43077</v>
      </c>
      <c r="B3276" s="2" t="s">
        <v>1109</v>
      </c>
      <c r="C3276" s="2" t="s">
        <v>62</v>
      </c>
      <c r="D3276" s="2" t="s">
        <v>2</v>
      </c>
      <c r="E3276" s="2" t="s">
        <v>3</v>
      </c>
      <c r="F3276" s="2" t="s">
        <v>2263</v>
      </c>
      <c r="G3276" s="2">
        <v>192.16</v>
      </c>
      <c r="H3276" s="2">
        <v>4</v>
      </c>
      <c r="I3276" s="3">
        <v>92.24</v>
      </c>
    </row>
    <row r="3277" spans="1:9" x14ac:dyDescent="0.3">
      <c r="A3277" s="4">
        <v>43077</v>
      </c>
      <c r="B3277" s="5" t="s">
        <v>1109</v>
      </c>
      <c r="C3277" s="5" t="s">
        <v>62</v>
      </c>
      <c r="D3277" s="5" t="s">
        <v>30</v>
      </c>
      <c r="E3277" s="5" t="s">
        <v>31</v>
      </c>
      <c r="F3277" s="5" t="s">
        <v>1678</v>
      </c>
      <c r="G3277" s="5">
        <v>242.62</v>
      </c>
      <c r="H3277" s="5">
        <v>8</v>
      </c>
      <c r="I3277" s="6">
        <v>27.3</v>
      </c>
    </row>
    <row r="3278" spans="1:9" x14ac:dyDescent="0.3">
      <c r="A3278" s="1">
        <v>43077</v>
      </c>
      <c r="B3278" s="2" t="s">
        <v>1109</v>
      </c>
      <c r="C3278" s="2" t="s">
        <v>62</v>
      </c>
      <c r="D3278" s="2" t="s">
        <v>2</v>
      </c>
      <c r="E3278" s="2" t="s">
        <v>9</v>
      </c>
      <c r="F3278" s="2" t="s">
        <v>2208</v>
      </c>
      <c r="G3278" s="2">
        <v>46.74</v>
      </c>
      <c r="H3278" s="2">
        <v>3</v>
      </c>
      <c r="I3278" s="3">
        <v>11.69</v>
      </c>
    </row>
    <row r="3279" spans="1:9" x14ac:dyDescent="0.3">
      <c r="A3279" s="4">
        <v>43077</v>
      </c>
      <c r="B3279" s="5" t="s">
        <v>1109</v>
      </c>
      <c r="C3279" s="5" t="s">
        <v>62</v>
      </c>
      <c r="D3279" s="5" t="s">
        <v>30</v>
      </c>
      <c r="E3279" s="5" t="s">
        <v>43</v>
      </c>
      <c r="F3279" s="5" t="s">
        <v>2264</v>
      </c>
      <c r="G3279" s="5">
        <v>174.95</v>
      </c>
      <c r="H3279" s="5">
        <v>5</v>
      </c>
      <c r="I3279" s="6">
        <v>12.25</v>
      </c>
    </row>
    <row r="3280" spans="1:9" x14ac:dyDescent="0.3">
      <c r="A3280" s="1">
        <v>43077</v>
      </c>
      <c r="B3280" s="2" t="s">
        <v>1109</v>
      </c>
      <c r="C3280" s="2" t="s">
        <v>62</v>
      </c>
      <c r="D3280" s="2" t="s">
        <v>2</v>
      </c>
      <c r="E3280" s="2" t="s">
        <v>11</v>
      </c>
      <c r="F3280" s="2" t="s">
        <v>660</v>
      </c>
      <c r="G3280" s="2">
        <v>100.7</v>
      </c>
      <c r="H3280" s="2">
        <v>6</v>
      </c>
      <c r="I3280" s="3">
        <v>37.76</v>
      </c>
    </row>
    <row r="3281" spans="1:9" x14ac:dyDescent="0.3">
      <c r="A3281" s="4">
        <v>42744</v>
      </c>
      <c r="B3281" s="5" t="s">
        <v>2265</v>
      </c>
      <c r="C3281" s="5" t="s">
        <v>80</v>
      </c>
      <c r="D3281" s="5" t="s">
        <v>25</v>
      </c>
      <c r="E3281" s="5" t="s">
        <v>38</v>
      </c>
      <c r="F3281" s="5" t="s">
        <v>2266</v>
      </c>
      <c r="G3281" s="5">
        <v>114.9</v>
      </c>
      <c r="H3281" s="5">
        <v>5</v>
      </c>
      <c r="I3281" s="6">
        <v>39.07</v>
      </c>
    </row>
    <row r="3282" spans="1:9" x14ac:dyDescent="0.3">
      <c r="A3282" s="1">
        <v>42744</v>
      </c>
      <c r="B3282" s="2" t="s">
        <v>2267</v>
      </c>
      <c r="C3282" s="2" t="s">
        <v>62</v>
      </c>
      <c r="D3282" s="2" t="s">
        <v>30</v>
      </c>
      <c r="E3282" s="2" t="s">
        <v>43</v>
      </c>
      <c r="F3282" s="2" t="s">
        <v>1401</v>
      </c>
      <c r="G3282" s="2">
        <v>19.989999999999998</v>
      </c>
      <c r="H3282" s="2">
        <v>1</v>
      </c>
      <c r="I3282" s="3">
        <v>6.8</v>
      </c>
    </row>
    <row r="3283" spans="1:9" x14ac:dyDescent="0.3">
      <c r="A3283" s="4">
        <v>42744</v>
      </c>
      <c r="B3283" s="5" t="s">
        <v>2267</v>
      </c>
      <c r="C3283" s="5" t="s">
        <v>62</v>
      </c>
      <c r="D3283" s="5" t="s">
        <v>2</v>
      </c>
      <c r="E3283" s="5" t="s">
        <v>11</v>
      </c>
      <c r="F3283" s="5" t="s">
        <v>2268</v>
      </c>
      <c r="G3283" s="5">
        <v>22.92</v>
      </c>
      <c r="H3283" s="5">
        <v>5</v>
      </c>
      <c r="I3283" s="6">
        <v>8.02</v>
      </c>
    </row>
    <row r="3284" spans="1:9" x14ac:dyDescent="0.3">
      <c r="A3284" s="1">
        <v>42744</v>
      </c>
      <c r="B3284" s="2" t="s">
        <v>374</v>
      </c>
      <c r="C3284" s="2" t="s">
        <v>62</v>
      </c>
      <c r="D3284" s="2" t="s">
        <v>2</v>
      </c>
      <c r="E3284" s="2" t="s">
        <v>15</v>
      </c>
      <c r="F3284" s="2" t="s">
        <v>1599</v>
      </c>
      <c r="G3284" s="2">
        <v>7.58</v>
      </c>
      <c r="H3284" s="2">
        <v>1</v>
      </c>
      <c r="I3284" s="3">
        <v>2.96</v>
      </c>
    </row>
    <row r="3285" spans="1:9" x14ac:dyDescent="0.3">
      <c r="A3285" s="4">
        <v>42744</v>
      </c>
      <c r="B3285" s="5" t="s">
        <v>1617</v>
      </c>
      <c r="C3285" s="5" t="s">
        <v>160</v>
      </c>
      <c r="D3285" s="5" t="s">
        <v>25</v>
      </c>
      <c r="E3285" s="5" t="s">
        <v>26</v>
      </c>
      <c r="F3285" s="5" t="s">
        <v>1999</v>
      </c>
      <c r="G3285" s="5">
        <v>498.26</v>
      </c>
      <c r="H3285" s="5">
        <v>7</v>
      </c>
      <c r="I3285" s="6">
        <v>134.53</v>
      </c>
    </row>
    <row r="3286" spans="1:9" x14ac:dyDescent="0.3">
      <c r="A3286" s="1">
        <v>42744</v>
      </c>
      <c r="B3286" s="2" t="s">
        <v>1059</v>
      </c>
      <c r="C3286" s="2" t="s">
        <v>62</v>
      </c>
      <c r="D3286" s="2" t="s">
        <v>2</v>
      </c>
      <c r="E3286" s="2" t="s">
        <v>133</v>
      </c>
      <c r="F3286" s="2" t="s">
        <v>513</v>
      </c>
      <c r="G3286" s="2">
        <v>314.60000000000002</v>
      </c>
      <c r="H3286" s="2">
        <v>4</v>
      </c>
      <c r="I3286" s="3">
        <v>103.82</v>
      </c>
    </row>
    <row r="3287" spans="1:9" x14ac:dyDescent="0.3">
      <c r="A3287" s="4">
        <v>42744</v>
      </c>
      <c r="B3287" s="5" t="s">
        <v>1059</v>
      </c>
      <c r="C3287" s="5" t="s">
        <v>62</v>
      </c>
      <c r="D3287" s="5" t="s">
        <v>25</v>
      </c>
      <c r="E3287" s="5" t="s">
        <v>86</v>
      </c>
      <c r="F3287" s="5" t="s">
        <v>1326</v>
      </c>
      <c r="G3287" s="5">
        <v>283.56</v>
      </c>
      <c r="H3287" s="5">
        <v>4</v>
      </c>
      <c r="I3287" s="6">
        <v>45.37</v>
      </c>
    </row>
    <row r="3288" spans="1:9" x14ac:dyDescent="0.3">
      <c r="A3288" s="1">
        <v>42775</v>
      </c>
      <c r="B3288" s="2" t="s">
        <v>439</v>
      </c>
      <c r="C3288" s="2" t="s">
        <v>127</v>
      </c>
      <c r="D3288" s="2" t="s">
        <v>25</v>
      </c>
      <c r="E3288" s="2" t="s">
        <v>38</v>
      </c>
      <c r="F3288" s="2" t="s">
        <v>2186</v>
      </c>
      <c r="G3288" s="2">
        <v>15.07</v>
      </c>
      <c r="H3288" s="2">
        <v>3</v>
      </c>
      <c r="I3288" s="3">
        <v>4.1399999999999997</v>
      </c>
    </row>
    <row r="3289" spans="1:9" x14ac:dyDescent="0.3">
      <c r="A3289" s="4">
        <v>42775</v>
      </c>
      <c r="B3289" s="5" t="s">
        <v>2269</v>
      </c>
      <c r="C3289" s="5" t="s">
        <v>160</v>
      </c>
      <c r="D3289" s="5" t="s">
        <v>30</v>
      </c>
      <c r="E3289" s="5" t="s">
        <v>31</v>
      </c>
      <c r="F3289" s="5" t="s">
        <v>2270</v>
      </c>
      <c r="G3289" s="5">
        <v>1199.8</v>
      </c>
      <c r="H3289" s="5">
        <v>4</v>
      </c>
      <c r="I3289" s="6">
        <v>323.95</v>
      </c>
    </row>
    <row r="3290" spans="1:9" x14ac:dyDescent="0.3">
      <c r="A3290" s="1">
        <v>42775</v>
      </c>
      <c r="B3290" s="2" t="s">
        <v>2269</v>
      </c>
      <c r="C3290" s="2" t="s">
        <v>160</v>
      </c>
      <c r="D3290" s="2" t="s">
        <v>30</v>
      </c>
      <c r="E3290" s="2" t="s">
        <v>43</v>
      </c>
      <c r="F3290" s="2" t="s">
        <v>2271</v>
      </c>
      <c r="G3290" s="2">
        <v>1928.78</v>
      </c>
      <c r="H3290" s="2">
        <v>7</v>
      </c>
      <c r="I3290" s="3">
        <v>829.38</v>
      </c>
    </row>
    <row r="3291" spans="1:9" x14ac:dyDescent="0.3">
      <c r="A3291" s="4">
        <v>42775</v>
      </c>
      <c r="B3291" s="5" t="s">
        <v>2269</v>
      </c>
      <c r="C3291" s="5" t="s">
        <v>160</v>
      </c>
      <c r="D3291" s="5" t="s">
        <v>2</v>
      </c>
      <c r="E3291" s="5" t="s">
        <v>9</v>
      </c>
      <c r="F3291" s="5" t="s">
        <v>787</v>
      </c>
      <c r="G3291" s="5">
        <v>352.38</v>
      </c>
      <c r="H3291" s="5">
        <v>2</v>
      </c>
      <c r="I3291" s="6">
        <v>81.05</v>
      </c>
    </row>
    <row r="3292" spans="1:9" x14ac:dyDescent="0.3">
      <c r="A3292" s="1">
        <v>42775</v>
      </c>
      <c r="B3292" s="2" t="s">
        <v>1456</v>
      </c>
      <c r="C3292" s="2" t="s">
        <v>14</v>
      </c>
      <c r="D3292" s="2" t="s">
        <v>2</v>
      </c>
      <c r="E3292" s="2" t="s">
        <v>3</v>
      </c>
      <c r="F3292" s="2" t="s">
        <v>964</v>
      </c>
      <c r="G3292" s="2">
        <v>12.19</v>
      </c>
      <c r="H3292" s="2">
        <v>3</v>
      </c>
      <c r="I3292" s="3">
        <v>4.1100000000000003</v>
      </c>
    </row>
    <row r="3293" spans="1:9" x14ac:dyDescent="0.3">
      <c r="A3293" s="4">
        <v>42775</v>
      </c>
      <c r="B3293" s="5" t="s">
        <v>1975</v>
      </c>
      <c r="C3293" s="5" t="s">
        <v>18</v>
      </c>
      <c r="D3293" s="5" t="s">
        <v>2</v>
      </c>
      <c r="E3293" s="5" t="s">
        <v>15</v>
      </c>
      <c r="F3293" s="5" t="s">
        <v>2161</v>
      </c>
      <c r="G3293" s="5">
        <v>6.57</v>
      </c>
      <c r="H3293" s="5">
        <v>3</v>
      </c>
      <c r="I3293" s="6">
        <v>1.77</v>
      </c>
    </row>
    <row r="3294" spans="1:9" x14ac:dyDescent="0.3">
      <c r="A3294" s="1">
        <v>42775</v>
      </c>
      <c r="B3294" s="2" t="s">
        <v>2272</v>
      </c>
      <c r="C3294" s="2" t="s">
        <v>80</v>
      </c>
      <c r="D3294" s="2" t="s">
        <v>2</v>
      </c>
      <c r="E3294" s="2" t="s">
        <v>15</v>
      </c>
      <c r="F3294" s="2" t="s">
        <v>622</v>
      </c>
      <c r="G3294" s="2">
        <v>23.1</v>
      </c>
      <c r="H3294" s="2">
        <v>2</v>
      </c>
      <c r="I3294" s="3">
        <v>6.47</v>
      </c>
    </row>
    <row r="3295" spans="1:9" x14ac:dyDescent="0.3">
      <c r="A3295" s="4">
        <v>42775</v>
      </c>
      <c r="B3295" s="5" t="s">
        <v>2272</v>
      </c>
      <c r="C3295" s="5" t="s">
        <v>80</v>
      </c>
      <c r="D3295" s="5" t="s">
        <v>25</v>
      </c>
      <c r="E3295" s="5" t="s">
        <v>38</v>
      </c>
      <c r="F3295" s="5" t="s">
        <v>790</v>
      </c>
      <c r="G3295" s="5">
        <v>11.54</v>
      </c>
      <c r="H3295" s="5">
        <v>2</v>
      </c>
      <c r="I3295" s="6">
        <v>3.46</v>
      </c>
    </row>
    <row r="3296" spans="1:9" x14ac:dyDescent="0.3">
      <c r="A3296" s="1">
        <v>42775</v>
      </c>
      <c r="B3296" s="2" t="s">
        <v>2272</v>
      </c>
      <c r="C3296" s="2" t="s">
        <v>80</v>
      </c>
      <c r="D3296" s="2" t="s">
        <v>25</v>
      </c>
      <c r="E3296" s="2" t="s">
        <v>86</v>
      </c>
      <c r="F3296" s="2" t="s">
        <v>1049</v>
      </c>
      <c r="G3296" s="2">
        <v>254.53</v>
      </c>
      <c r="H3296" s="2">
        <v>1</v>
      </c>
      <c r="I3296" s="3">
        <v>-93.33</v>
      </c>
    </row>
    <row r="3297" spans="1:9" x14ac:dyDescent="0.3">
      <c r="A3297" s="4">
        <v>42775</v>
      </c>
      <c r="B3297" s="5" t="s">
        <v>2272</v>
      </c>
      <c r="C3297" s="5" t="s">
        <v>80</v>
      </c>
      <c r="D3297" s="5" t="s">
        <v>2</v>
      </c>
      <c r="E3297" s="5" t="s">
        <v>133</v>
      </c>
      <c r="F3297" s="5" t="s">
        <v>1917</v>
      </c>
      <c r="G3297" s="5">
        <v>12.98</v>
      </c>
      <c r="H3297" s="5">
        <v>1</v>
      </c>
      <c r="I3297" s="6">
        <v>3.76</v>
      </c>
    </row>
    <row r="3298" spans="1:9" x14ac:dyDescent="0.3">
      <c r="A3298" s="1">
        <v>42775</v>
      </c>
      <c r="B3298" s="2" t="s">
        <v>2272</v>
      </c>
      <c r="C3298" s="2" t="s">
        <v>80</v>
      </c>
      <c r="D3298" s="2" t="s">
        <v>2</v>
      </c>
      <c r="E3298" s="2" t="s">
        <v>11</v>
      </c>
      <c r="F3298" s="2" t="s">
        <v>879</v>
      </c>
      <c r="G3298" s="2">
        <v>26.43</v>
      </c>
      <c r="H3298" s="2">
        <v>8</v>
      </c>
      <c r="I3298" s="3">
        <v>8.92</v>
      </c>
    </row>
    <row r="3299" spans="1:9" x14ac:dyDescent="0.3">
      <c r="A3299" s="4">
        <v>42775</v>
      </c>
      <c r="B3299" s="5" t="s">
        <v>2272</v>
      </c>
      <c r="C3299" s="5" t="s">
        <v>80</v>
      </c>
      <c r="D3299" s="5" t="s">
        <v>30</v>
      </c>
      <c r="E3299" s="5" t="s">
        <v>31</v>
      </c>
      <c r="F3299" s="5" t="s">
        <v>485</v>
      </c>
      <c r="G3299" s="5">
        <v>197.97</v>
      </c>
      <c r="H3299" s="5">
        <v>3</v>
      </c>
      <c r="I3299" s="6">
        <v>57.41</v>
      </c>
    </row>
    <row r="3300" spans="1:9" x14ac:dyDescent="0.3">
      <c r="A3300" s="1">
        <v>42775</v>
      </c>
      <c r="B3300" s="2" t="s">
        <v>2272</v>
      </c>
      <c r="C3300" s="2" t="s">
        <v>80</v>
      </c>
      <c r="D3300" s="2" t="s">
        <v>2</v>
      </c>
      <c r="E3300" s="2" t="s">
        <v>7</v>
      </c>
      <c r="F3300" s="2" t="s">
        <v>196</v>
      </c>
      <c r="G3300" s="2">
        <v>18.899999999999999</v>
      </c>
      <c r="H3300" s="2">
        <v>6</v>
      </c>
      <c r="I3300" s="3">
        <v>9.07</v>
      </c>
    </row>
    <row r="3301" spans="1:9" x14ac:dyDescent="0.3">
      <c r="A3301" s="4">
        <v>42775</v>
      </c>
      <c r="B3301" s="5" t="s">
        <v>2272</v>
      </c>
      <c r="C3301" s="5" t="s">
        <v>80</v>
      </c>
      <c r="D3301" s="5" t="s">
        <v>25</v>
      </c>
      <c r="E3301" s="5" t="s">
        <v>26</v>
      </c>
      <c r="F3301" s="5" t="s">
        <v>486</v>
      </c>
      <c r="G3301" s="5">
        <v>1282.4100000000001</v>
      </c>
      <c r="H3301" s="5">
        <v>5</v>
      </c>
      <c r="I3301" s="6">
        <v>213.74</v>
      </c>
    </row>
    <row r="3302" spans="1:9" x14ac:dyDescent="0.3">
      <c r="A3302" s="1">
        <v>42775</v>
      </c>
      <c r="B3302" s="2" t="s">
        <v>2272</v>
      </c>
      <c r="C3302" s="2" t="s">
        <v>80</v>
      </c>
      <c r="D3302" s="2" t="s">
        <v>2</v>
      </c>
      <c r="E3302" s="2" t="s">
        <v>15</v>
      </c>
      <c r="F3302" s="2" t="s">
        <v>2260</v>
      </c>
      <c r="G3302" s="2">
        <v>4.92</v>
      </c>
      <c r="H3302" s="2">
        <v>3</v>
      </c>
      <c r="I3302" s="3">
        <v>2.21</v>
      </c>
    </row>
    <row r="3303" spans="1:9" x14ac:dyDescent="0.3">
      <c r="A3303" s="4">
        <v>42775</v>
      </c>
      <c r="B3303" s="5" t="s">
        <v>2272</v>
      </c>
      <c r="C3303" s="5" t="s">
        <v>80</v>
      </c>
      <c r="D3303" s="5" t="s">
        <v>30</v>
      </c>
      <c r="E3303" s="5" t="s">
        <v>43</v>
      </c>
      <c r="F3303" s="5" t="s">
        <v>616</v>
      </c>
      <c r="G3303" s="5">
        <v>238</v>
      </c>
      <c r="H3303" s="5">
        <v>2</v>
      </c>
      <c r="I3303" s="6">
        <v>38.08</v>
      </c>
    </row>
    <row r="3304" spans="1:9" x14ac:dyDescent="0.3">
      <c r="A3304" s="1">
        <v>42775</v>
      </c>
      <c r="B3304" s="2" t="s">
        <v>2272</v>
      </c>
      <c r="C3304" s="2" t="s">
        <v>80</v>
      </c>
      <c r="D3304" s="2" t="s">
        <v>30</v>
      </c>
      <c r="E3304" s="2" t="s">
        <v>43</v>
      </c>
      <c r="F3304" s="2" t="s">
        <v>328</v>
      </c>
      <c r="G3304" s="2">
        <v>167.97</v>
      </c>
      <c r="H3304" s="2">
        <v>3</v>
      </c>
      <c r="I3304" s="3">
        <v>40.31</v>
      </c>
    </row>
    <row r="3305" spans="1:9" x14ac:dyDescent="0.3">
      <c r="A3305" s="4">
        <v>42775</v>
      </c>
      <c r="B3305" s="5" t="s">
        <v>2272</v>
      </c>
      <c r="C3305" s="5" t="s">
        <v>80</v>
      </c>
      <c r="D3305" s="5" t="s">
        <v>2</v>
      </c>
      <c r="E3305" s="5" t="s">
        <v>3</v>
      </c>
      <c r="F3305" s="5" t="s">
        <v>1197</v>
      </c>
      <c r="G3305" s="5">
        <v>17.12</v>
      </c>
      <c r="H3305" s="5">
        <v>4</v>
      </c>
      <c r="I3305" s="6">
        <v>7.7</v>
      </c>
    </row>
    <row r="3306" spans="1:9" x14ac:dyDescent="0.3">
      <c r="A3306" s="1">
        <v>42775</v>
      </c>
      <c r="B3306" s="2" t="s">
        <v>2273</v>
      </c>
      <c r="C3306" s="2" t="s">
        <v>18</v>
      </c>
      <c r="D3306" s="2" t="s">
        <v>2</v>
      </c>
      <c r="E3306" s="2" t="s">
        <v>15</v>
      </c>
      <c r="F3306" s="2" t="s">
        <v>812</v>
      </c>
      <c r="G3306" s="2">
        <v>9.4</v>
      </c>
      <c r="H3306" s="2">
        <v>5</v>
      </c>
      <c r="I3306" s="3">
        <v>2.73</v>
      </c>
    </row>
    <row r="3307" spans="1:9" x14ac:dyDescent="0.3">
      <c r="A3307" s="4">
        <v>42775</v>
      </c>
      <c r="B3307" s="5" t="s">
        <v>2273</v>
      </c>
      <c r="C3307" s="5" t="s">
        <v>18</v>
      </c>
      <c r="D3307" s="5" t="s">
        <v>2</v>
      </c>
      <c r="E3307" s="5" t="s">
        <v>7</v>
      </c>
      <c r="F3307" s="5" t="s">
        <v>1027</v>
      </c>
      <c r="G3307" s="5">
        <v>74</v>
      </c>
      <c r="H3307" s="5">
        <v>5</v>
      </c>
      <c r="I3307" s="6">
        <v>37</v>
      </c>
    </row>
    <row r="3308" spans="1:9" x14ac:dyDescent="0.3">
      <c r="A3308" s="1">
        <v>42775</v>
      </c>
      <c r="B3308" s="2" t="s">
        <v>2273</v>
      </c>
      <c r="C3308" s="2" t="s">
        <v>18</v>
      </c>
      <c r="D3308" s="2" t="s">
        <v>30</v>
      </c>
      <c r="E3308" s="2" t="s">
        <v>31</v>
      </c>
      <c r="F3308" s="2" t="s">
        <v>2274</v>
      </c>
      <c r="G3308" s="2">
        <v>201.58</v>
      </c>
      <c r="H3308" s="2">
        <v>2</v>
      </c>
      <c r="I3308" s="3">
        <v>12.6</v>
      </c>
    </row>
    <row r="3309" spans="1:9" x14ac:dyDescent="0.3">
      <c r="A3309" s="4">
        <v>42775</v>
      </c>
      <c r="B3309" s="5" t="s">
        <v>2248</v>
      </c>
      <c r="C3309" s="5" t="s">
        <v>300</v>
      </c>
      <c r="D3309" s="5" t="s">
        <v>2</v>
      </c>
      <c r="E3309" s="5" t="s">
        <v>9</v>
      </c>
      <c r="F3309" s="5" t="s">
        <v>1897</v>
      </c>
      <c r="G3309" s="5">
        <v>10.9</v>
      </c>
      <c r="H3309" s="5">
        <v>1</v>
      </c>
      <c r="I3309" s="6">
        <v>2.83</v>
      </c>
    </row>
    <row r="3310" spans="1:9" x14ac:dyDescent="0.3">
      <c r="A3310" s="1">
        <v>42775</v>
      </c>
      <c r="B3310" s="2" t="s">
        <v>2248</v>
      </c>
      <c r="C3310" s="2" t="s">
        <v>300</v>
      </c>
      <c r="D3310" s="2" t="s">
        <v>2</v>
      </c>
      <c r="E3310" s="2" t="s">
        <v>3</v>
      </c>
      <c r="F3310" s="2" t="s">
        <v>1800</v>
      </c>
      <c r="G3310" s="2">
        <v>79.92</v>
      </c>
      <c r="H3310" s="2">
        <v>4</v>
      </c>
      <c r="I3310" s="3">
        <v>37.56</v>
      </c>
    </row>
    <row r="3311" spans="1:9" x14ac:dyDescent="0.3">
      <c r="A3311" s="4">
        <v>42775</v>
      </c>
      <c r="B3311" s="5" t="s">
        <v>2248</v>
      </c>
      <c r="C3311" s="5" t="s">
        <v>300</v>
      </c>
      <c r="D3311" s="5" t="s">
        <v>2</v>
      </c>
      <c r="E3311" s="5" t="s">
        <v>3</v>
      </c>
      <c r="F3311" s="5" t="s">
        <v>2275</v>
      </c>
      <c r="G3311" s="5">
        <v>146.82</v>
      </c>
      <c r="H3311" s="5">
        <v>3</v>
      </c>
      <c r="I3311" s="6">
        <v>73.41</v>
      </c>
    </row>
    <row r="3312" spans="1:9" x14ac:dyDescent="0.3">
      <c r="A3312" s="1">
        <v>42775</v>
      </c>
      <c r="B3312" s="2" t="s">
        <v>126</v>
      </c>
      <c r="C3312" s="2" t="s">
        <v>6</v>
      </c>
      <c r="D3312" s="2" t="s">
        <v>2</v>
      </c>
      <c r="E3312" s="2" t="s">
        <v>34</v>
      </c>
      <c r="F3312" s="2" t="s">
        <v>679</v>
      </c>
      <c r="G3312" s="2">
        <v>16</v>
      </c>
      <c r="H3312" s="2">
        <v>4</v>
      </c>
      <c r="I3312" s="3">
        <v>5.6</v>
      </c>
    </row>
    <row r="3313" spans="1:9" x14ac:dyDescent="0.3">
      <c r="A3313" s="4">
        <v>42775</v>
      </c>
      <c r="B3313" s="5" t="s">
        <v>126</v>
      </c>
      <c r="C3313" s="5" t="s">
        <v>6</v>
      </c>
      <c r="D3313" s="5" t="s">
        <v>2</v>
      </c>
      <c r="E3313" s="5" t="s">
        <v>133</v>
      </c>
      <c r="F3313" s="5" t="s">
        <v>1721</v>
      </c>
      <c r="G3313" s="5">
        <v>5.59</v>
      </c>
      <c r="H3313" s="5">
        <v>2</v>
      </c>
      <c r="I3313" s="6">
        <v>-15.09</v>
      </c>
    </row>
    <row r="3314" spans="1:9" x14ac:dyDescent="0.3">
      <c r="A3314" s="1">
        <v>42775</v>
      </c>
      <c r="B3314" s="2" t="s">
        <v>126</v>
      </c>
      <c r="C3314" s="2" t="s">
        <v>6</v>
      </c>
      <c r="D3314" s="2" t="s">
        <v>2</v>
      </c>
      <c r="E3314" s="2" t="s">
        <v>9</v>
      </c>
      <c r="F3314" s="2" t="s">
        <v>1391</v>
      </c>
      <c r="G3314" s="2">
        <v>235.92</v>
      </c>
      <c r="H3314" s="2">
        <v>5</v>
      </c>
      <c r="I3314" s="3">
        <v>-44.24</v>
      </c>
    </row>
    <row r="3315" spans="1:9" x14ac:dyDescent="0.3">
      <c r="A3315" s="4">
        <v>42775</v>
      </c>
      <c r="B3315" s="5" t="s">
        <v>1149</v>
      </c>
      <c r="C3315" s="5" t="s">
        <v>6</v>
      </c>
      <c r="D3315" s="5" t="s">
        <v>30</v>
      </c>
      <c r="E3315" s="5" t="s">
        <v>43</v>
      </c>
      <c r="F3315" s="5" t="s">
        <v>233</v>
      </c>
      <c r="G3315" s="5">
        <v>40.68</v>
      </c>
      <c r="H3315" s="5">
        <v>3</v>
      </c>
      <c r="I3315" s="6">
        <v>-7.12</v>
      </c>
    </row>
    <row r="3316" spans="1:9" x14ac:dyDescent="0.3">
      <c r="A3316" s="1">
        <v>42775</v>
      </c>
      <c r="B3316" s="2" t="s">
        <v>1797</v>
      </c>
      <c r="C3316" s="2" t="s">
        <v>18</v>
      </c>
      <c r="D3316" s="2" t="s">
        <v>2</v>
      </c>
      <c r="E3316" s="2" t="s">
        <v>11</v>
      </c>
      <c r="F3316" s="2" t="s">
        <v>608</v>
      </c>
      <c r="G3316" s="2">
        <v>18.72</v>
      </c>
      <c r="H3316" s="2">
        <v>5</v>
      </c>
      <c r="I3316" s="3">
        <v>6.55</v>
      </c>
    </row>
    <row r="3317" spans="1:9" x14ac:dyDescent="0.3">
      <c r="A3317" s="4">
        <v>42775</v>
      </c>
      <c r="B3317" s="5" t="s">
        <v>1797</v>
      </c>
      <c r="C3317" s="5" t="s">
        <v>18</v>
      </c>
      <c r="D3317" s="5" t="s">
        <v>25</v>
      </c>
      <c r="E3317" s="5" t="s">
        <v>86</v>
      </c>
      <c r="F3317" s="5" t="s">
        <v>2276</v>
      </c>
      <c r="G3317" s="5">
        <v>236.53</v>
      </c>
      <c r="H3317" s="5">
        <v>2</v>
      </c>
      <c r="I3317" s="6">
        <v>-2.96</v>
      </c>
    </row>
    <row r="3318" spans="1:9" x14ac:dyDescent="0.3">
      <c r="A3318" s="1">
        <v>42775</v>
      </c>
      <c r="B3318" s="2" t="s">
        <v>1570</v>
      </c>
      <c r="C3318" s="2" t="s">
        <v>62</v>
      </c>
      <c r="D3318" s="2" t="s">
        <v>25</v>
      </c>
      <c r="E3318" s="2" t="s">
        <v>26</v>
      </c>
      <c r="F3318" s="2" t="s">
        <v>1848</v>
      </c>
      <c r="G3318" s="2">
        <v>215.98</v>
      </c>
      <c r="H3318" s="2">
        <v>3</v>
      </c>
      <c r="I3318" s="3">
        <v>-2.7</v>
      </c>
    </row>
    <row r="3319" spans="1:9" x14ac:dyDescent="0.3">
      <c r="A3319" s="4">
        <v>42775</v>
      </c>
      <c r="B3319" s="5" t="s">
        <v>1535</v>
      </c>
      <c r="C3319" s="5" t="s">
        <v>24</v>
      </c>
      <c r="D3319" s="5" t="s">
        <v>2</v>
      </c>
      <c r="E3319" s="5" t="s">
        <v>11</v>
      </c>
      <c r="F3319" s="5" t="s">
        <v>1021</v>
      </c>
      <c r="G3319" s="5">
        <v>1577.94</v>
      </c>
      <c r="H3319" s="5">
        <v>3</v>
      </c>
      <c r="I3319" s="6">
        <v>757.41</v>
      </c>
    </row>
    <row r="3320" spans="1:9" x14ac:dyDescent="0.3">
      <c r="A3320" s="1">
        <v>42775</v>
      </c>
      <c r="B3320" s="2" t="s">
        <v>734</v>
      </c>
      <c r="C3320" s="2" t="s">
        <v>163</v>
      </c>
      <c r="D3320" s="2" t="s">
        <v>2</v>
      </c>
      <c r="E3320" s="2" t="s">
        <v>7</v>
      </c>
      <c r="F3320" s="2" t="s">
        <v>759</v>
      </c>
      <c r="G3320" s="2">
        <v>11.7</v>
      </c>
      <c r="H3320" s="2">
        <v>2</v>
      </c>
      <c r="I3320" s="3">
        <v>3.95</v>
      </c>
    </row>
    <row r="3321" spans="1:9" x14ac:dyDescent="0.3">
      <c r="A3321" s="4">
        <v>42775</v>
      </c>
      <c r="B3321" s="5" t="s">
        <v>2135</v>
      </c>
      <c r="C3321" s="5" t="s">
        <v>18</v>
      </c>
      <c r="D3321" s="5" t="s">
        <v>2</v>
      </c>
      <c r="E3321" s="5" t="s">
        <v>133</v>
      </c>
      <c r="F3321" s="5" t="s">
        <v>1314</v>
      </c>
      <c r="G3321" s="5">
        <v>43.1</v>
      </c>
      <c r="H3321" s="5">
        <v>5</v>
      </c>
      <c r="I3321" s="6">
        <v>11.21</v>
      </c>
    </row>
    <row r="3322" spans="1:9" x14ac:dyDescent="0.3">
      <c r="A3322" s="1">
        <v>42775</v>
      </c>
      <c r="B3322" s="2" t="s">
        <v>2135</v>
      </c>
      <c r="C3322" s="2" t="s">
        <v>18</v>
      </c>
      <c r="D3322" s="2" t="s">
        <v>25</v>
      </c>
      <c r="E3322" s="2" t="s">
        <v>38</v>
      </c>
      <c r="F3322" s="2" t="s">
        <v>2149</v>
      </c>
      <c r="G3322" s="2">
        <v>511.5</v>
      </c>
      <c r="H3322" s="2">
        <v>5</v>
      </c>
      <c r="I3322" s="3">
        <v>132.99</v>
      </c>
    </row>
    <row r="3323" spans="1:9" x14ac:dyDescent="0.3">
      <c r="A3323" s="4">
        <v>42775</v>
      </c>
      <c r="B3323" s="5" t="s">
        <v>2135</v>
      </c>
      <c r="C3323" s="5" t="s">
        <v>18</v>
      </c>
      <c r="D3323" s="5" t="s">
        <v>2</v>
      </c>
      <c r="E3323" s="5" t="s">
        <v>11</v>
      </c>
      <c r="F3323" s="5" t="s">
        <v>1714</v>
      </c>
      <c r="G3323" s="5">
        <v>147.91999999999999</v>
      </c>
      <c r="H3323" s="5">
        <v>5</v>
      </c>
      <c r="I3323" s="6">
        <v>46.23</v>
      </c>
    </row>
    <row r="3324" spans="1:9" x14ac:dyDescent="0.3">
      <c r="A3324" s="1">
        <v>42803</v>
      </c>
      <c r="B3324" s="2" t="s">
        <v>463</v>
      </c>
      <c r="C3324" s="2" t="s">
        <v>6</v>
      </c>
      <c r="D3324" s="2" t="s">
        <v>2</v>
      </c>
      <c r="E3324" s="2" t="s">
        <v>11</v>
      </c>
      <c r="F3324" s="2" t="s">
        <v>727</v>
      </c>
      <c r="G3324" s="2">
        <v>42.62</v>
      </c>
      <c r="H3324" s="2">
        <v>7</v>
      </c>
      <c r="I3324" s="3">
        <v>-68.19</v>
      </c>
    </row>
    <row r="3325" spans="1:9" x14ac:dyDescent="0.3">
      <c r="A3325" s="4">
        <v>42803</v>
      </c>
      <c r="B3325" s="5" t="s">
        <v>914</v>
      </c>
      <c r="C3325" s="5" t="s">
        <v>58</v>
      </c>
      <c r="D3325" s="5" t="s">
        <v>2</v>
      </c>
      <c r="E3325" s="5" t="s">
        <v>114</v>
      </c>
      <c r="F3325" s="5" t="s">
        <v>779</v>
      </c>
      <c r="G3325" s="5">
        <v>24.45</v>
      </c>
      <c r="H3325" s="5">
        <v>4</v>
      </c>
      <c r="I3325" s="6">
        <v>8.86</v>
      </c>
    </row>
    <row r="3326" spans="1:9" x14ac:dyDescent="0.3">
      <c r="A3326" s="1">
        <v>42803</v>
      </c>
      <c r="B3326" s="2" t="s">
        <v>2054</v>
      </c>
      <c r="C3326" s="2" t="s">
        <v>18</v>
      </c>
      <c r="D3326" s="2" t="s">
        <v>2</v>
      </c>
      <c r="E3326" s="2" t="s">
        <v>15</v>
      </c>
      <c r="F3326" s="2" t="s">
        <v>798</v>
      </c>
      <c r="G3326" s="2">
        <v>5.96</v>
      </c>
      <c r="H3326" s="2">
        <v>2</v>
      </c>
      <c r="I3326" s="3">
        <v>1.67</v>
      </c>
    </row>
    <row r="3327" spans="1:9" x14ac:dyDescent="0.3">
      <c r="A3327" s="4">
        <v>42803</v>
      </c>
      <c r="B3327" s="5" t="s">
        <v>2159</v>
      </c>
      <c r="C3327" s="5" t="s">
        <v>18</v>
      </c>
      <c r="D3327" s="5" t="s">
        <v>2</v>
      </c>
      <c r="E3327" s="5" t="s">
        <v>11</v>
      </c>
      <c r="F3327" s="5" t="s">
        <v>1922</v>
      </c>
      <c r="G3327" s="5">
        <v>82.56</v>
      </c>
      <c r="H3327" s="5">
        <v>5</v>
      </c>
      <c r="I3327" s="6">
        <v>28.9</v>
      </c>
    </row>
    <row r="3328" spans="1:9" x14ac:dyDescent="0.3">
      <c r="A3328" s="1">
        <v>42803</v>
      </c>
      <c r="B3328" s="2" t="s">
        <v>2159</v>
      </c>
      <c r="C3328" s="2" t="s">
        <v>18</v>
      </c>
      <c r="D3328" s="2" t="s">
        <v>30</v>
      </c>
      <c r="E3328" s="2" t="s">
        <v>43</v>
      </c>
      <c r="F3328" s="2" t="s">
        <v>2277</v>
      </c>
      <c r="G3328" s="2">
        <v>284.97000000000003</v>
      </c>
      <c r="H3328" s="2">
        <v>3</v>
      </c>
      <c r="I3328" s="3">
        <v>85.49</v>
      </c>
    </row>
    <row r="3329" spans="1:9" x14ac:dyDescent="0.3">
      <c r="A3329" s="4">
        <v>42803</v>
      </c>
      <c r="B3329" s="5" t="s">
        <v>2278</v>
      </c>
      <c r="C3329" s="5" t="s">
        <v>80</v>
      </c>
      <c r="D3329" s="5" t="s">
        <v>2</v>
      </c>
      <c r="E3329" s="5" t="s">
        <v>3</v>
      </c>
      <c r="F3329" s="5" t="s">
        <v>2101</v>
      </c>
      <c r="G3329" s="5">
        <v>419.4</v>
      </c>
      <c r="H3329" s="5">
        <v>4</v>
      </c>
      <c r="I3329" s="6">
        <v>201.31</v>
      </c>
    </row>
    <row r="3330" spans="1:9" x14ac:dyDescent="0.3">
      <c r="A3330" s="1">
        <v>42803</v>
      </c>
      <c r="B3330" s="2" t="s">
        <v>2278</v>
      </c>
      <c r="C3330" s="2" t="s">
        <v>80</v>
      </c>
      <c r="D3330" s="2" t="s">
        <v>25</v>
      </c>
      <c r="E3330" s="2" t="s">
        <v>26</v>
      </c>
      <c r="F3330" s="2" t="s">
        <v>2279</v>
      </c>
      <c r="G3330" s="2">
        <v>90.8</v>
      </c>
      <c r="H3330" s="2">
        <v>1</v>
      </c>
      <c r="I3330" s="3">
        <v>14.12</v>
      </c>
    </row>
    <row r="3331" spans="1:9" x14ac:dyDescent="0.3">
      <c r="A3331" s="4">
        <v>42803</v>
      </c>
      <c r="B3331" s="5" t="s">
        <v>2278</v>
      </c>
      <c r="C3331" s="5" t="s">
        <v>80</v>
      </c>
      <c r="D3331" s="5" t="s">
        <v>25</v>
      </c>
      <c r="E3331" s="5" t="s">
        <v>26</v>
      </c>
      <c r="F3331" s="5" t="s">
        <v>1578</v>
      </c>
      <c r="G3331" s="5">
        <v>181.76</v>
      </c>
      <c r="H3331" s="5">
        <v>2</v>
      </c>
      <c r="I3331" s="6">
        <v>-8.08</v>
      </c>
    </row>
    <row r="3332" spans="1:9" x14ac:dyDescent="0.3">
      <c r="A3332" s="1">
        <v>42803</v>
      </c>
      <c r="B3332" s="2" t="s">
        <v>2278</v>
      </c>
      <c r="C3332" s="2" t="s">
        <v>80</v>
      </c>
      <c r="D3332" s="2" t="s">
        <v>2</v>
      </c>
      <c r="E3332" s="2" t="s">
        <v>15</v>
      </c>
      <c r="F3332" s="2" t="s">
        <v>482</v>
      </c>
      <c r="G3332" s="2">
        <v>5.56</v>
      </c>
      <c r="H3332" s="2">
        <v>2</v>
      </c>
      <c r="I3332" s="3">
        <v>2.2200000000000002</v>
      </c>
    </row>
    <row r="3333" spans="1:9" x14ac:dyDescent="0.3">
      <c r="A3333" s="4">
        <v>42803</v>
      </c>
      <c r="B3333" s="5" t="s">
        <v>942</v>
      </c>
      <c r="C3333" s="5" t="s">
        <v>18</v>
      </c>
      <c r="D3333" s="5" t="s">
        <v>25</v>
      </c>
      <c r="E3333" s="5" t="s">
        <v>129</v>
      </c>
      <c r="F3333" s="5" t="s">
        <v>481</v>
      </c>
      <c r="G3333" s="5">
        <v>239.67</v>
      </c>
      <c r="H3333" s="5">
        <v>2</v>
      </c>
      <c r="I3333" s="6">
        <v>14.1</v>
      </c>
    </row>
    <row r="3334" spans="1:9" x14ac:dyDescent="0.3">
      <c r="A3334" s="1">
        <v>42803</v>
      </c>
      <c r="B3334" s="2" t="s">
        <v>1361</v>
      </c>
      <c r="C3334" s="2" t="s">
        <v>1</v>
      </c>
      <c r="D3334" s="2" t="s">
        <v>25</v>
      </c>
      <c r="E3334" s="2" t="s">
        <v>38</v>
      </c>
      <c r="F3334" s="2" t="s">
        <v>1131</v>
      </c>
      <c r="G3334" s="2">
        <v>108.4</v>
      </c>
      <c r="H3334" s="2">
        <v>5</v>
      </c>
      <c r="I3334" s="3">
        <v>-105.69</v>
      </c>
    </row>
    <row r="3335" spans="1:9" x14ac:dyDescent="0.3">
      <c r="A3335" s="4">
        <v>42803</v>
      </c>
      <c r="B3335" s="5" t="s">
        <v>1712</v>
      </c>
      <c r="C3335" s="5" t="s">
        <v>6</v>
      </c>
      <c r="D3335" s="5" t="s">
        <v>2</v>
      </c>
      <c r="E3335" s="5" t="s">
        <v>3</v>
      </c>
      <c r="F3335" s="5" t="s">
        <v>2280</v>
      </c>
      <c r="G3335" s="5">
        <v>8.9</v>
      </c>
      <c r="H3335" s="5">
        <v>3</v>
      </c>
      <c r="I3335" s="6">
        <v>3.34</v>
      </c>
    </row>
    <row r="3336" spans="1:9" x14ac:dyDescent="0.3">
      <c r="A3336" s="1">
        <v>42803</v>
      </c>
      <c r="B3336" s="2" t="s">
        <v>1712</v>
      </c>
      <c r="C3336" s="2" t="s">
        <v>6</v>
      </c>
      <c r="D3336" s="2" t="s">
        <v>30</v>
      </c>
      <c r="E3336" s="2" t="s">
        <v>43</v>
      </c>
      <c r="F3336" s="2" t="s">
        <v>119</v>
      </c>
      <c r="G3336" s="2">
        <v>100.8</v>
      </c>
      <c r="H3336" s="2">
        <v>2</v>
      </c>
      <c r="I3336" s="3">
        <v>21.42</v>
      </c>
    </row>
    <row r="3337" spans="1:9" x14ac:dyDescent="0.3">
      <c r="A3337" s="4">
        <v>42834</v>
      </c>
      <c r="B3337" s="5" t="s">
        <v>1129</v>
      </c>
      <c r="C3337" s="5" t="s">
        <v>1</v>
      </c>
      <c r="D3337" s="5" t="s">
        <v>2</v>
      </c>
      <c r="E3337" s="5" t="s">
        <v>15</v>
      </c>
      <c r="F3337" s="5" t="s">
        <v>1941</v>
      </c>
      <c r="G3337" s="5">
        <v>10.19</v>
      </c>
      <c r="H3337" s="5">
        <v>7</v>
      </c>
      <c r="I3337" s="6">
        <v>3.19</v>
      </c>
    </row>
    <row r="3338" spans="1:9" x14ac:dyDescent="0.3">
      <c r="A3338" s="1">
        <v>42834</v>
      </c>
      <c r="B3338" s="2" t="s">
        <v>1129</v>
      </c>
      <c r="C3338" s="2" t="s">
        <v>1</v>
      </c>
      <c r="D3338" s="2" t="s">
        <v>2</v>
      </c>
      <c r="E3338" s="2" t="s">
        <v>9</v>
      </c>
      <c r="F3338" s="2" t="s">
        <v>900</v>
      </c>
      <c r="G3338" s="2">
        <v>16.78</v>
      </c>
      <c r="H3338" s="2">
        <v>1</v>
      </c>
      <c r="I3338" s="3">
        <v>-0.21</v>
      </c>
    </row>
    <row r="3339" spans="1:9" x14ac:dyDescent="0.3">
      <c r="A3339" s="4">
        <v>42834</v>
      </c>
      <c r="B3339" s="5" t="s">
        <v>1129</v>
      </c>
      <c r="C3339" s="5" t="s">
        <v>1</v>
      </c>
      <c r="D3339" s="5" t="s">
        <v>2</v>
      </c>
      <c r="E3339" s="5" t="s">
        <v>15</v>
      </c>
      <c r="F3339" s="5" t="s">
        <v>2281</v>
      </c>
      <c r="G3339" s="5">
        <v>13.12</v>
      </c>
      <c r="H3339" s="5">
        <v>5</v>
      </c>
      <c r="I3339" s="6">
        <v>3.77</v>
      </c>
    </row>
    <row r="3340" spans="1:9" x14ac:dyDescent="0.3">
      <c r="A3340" s="1">
        <v>42834</v>
      </c>
      <c r="B3340" s="2" t="s">
        <v>141</v>
      </c>
      <c r="C3340" s="2" t="s">
        <v>80</v>
      </c>
      <c r="D3340" s="2" t="s">
        <v>30</v>
      </c>
      <c r="E3340" s="2" t="s">
        <v>43</v>
      </c>
      <c r="F3340" s="2" t="s">
        <v>1552</v>
      </c>
      <c r="G3340" s="2">
        <v>91.96</v>
      </c>
      <c r="H3340" s="2">
        <v>4</v>
      </c>
      <c r="I3340" s="3">
        <v>39.54</v>
      </c>
    </row>
    <row r="3341" spans="1:9" x14ac:dyDescent="0.3">
      <c r="A3341" s="4">
        <v>42834</v>
      </c>
      <c r="B3341" s="5" t="s">
        <v>210</v>
      </c>
      <c r="C3341" s="5" t="s">
        <v>18</v>
      </c>
      <c r="D3341" s="5" t="s">
        <v>25</v>
      </c>
      <c r="E3341" s="5" t="s">
        <v>86</v>
      </c>
      <c r="F3341" s="5" t="s">
        <v>2282</v>
      </c>
      <c r="G3341" s="5">
        <v>1322.35</v>
      </c>
      <c r="H3341" s="5">
        <v>3</v>
      </c>
      <c r="I3341" s="6">
        <v>-99.18</v>
      </c>
    </row>
    <row r="3342" spans="1:9" x14ac:dyDescent="0.3">
      <c r="A3342" s="1">
        <v>42834</v>
      </c>
      <c r="B3342" s="2" t="s">
        <v>2278</v>
      </c>
      <c r="C3342" s="2" t="s">
        <v>18</v>
      </c>
      <c r="D3342" s="2" t="s">
        <v>2</v>
      </c>
      <c r="E3342" s="2" t="s">
        <v>3</v>
      </c>
      <c r="F3342" s="2" t="s">
        <v>722</v>
      </c>
      <c r="G3342" s="2">
        <v>12.96</v>
      </c>
      <c r="H3342" s="2">
        <v>2</v>
      </c>
      <c r="I3342" s="3">
        <v>6.22</v>
      </c>
    </row>
    <row r="3343" spans="1:9" x14ac:dyDescent="0.3">
      <c r="A3343" s="4">
        <v>42834</v>
      </c>
      <c r="B3343" s="5" t="s">
        <v>2278</v>
      </c>
      <c r="C3343" s="5" t="s">
        <v>18</v>
      </c>
      <c r="D3343" s="5" t="s">
        <v>30</v>
      </c>
      <c r="E3343" s="5" t="s">
        <v>31</v>
      </c>
      <c r="F3343" s="5" t="s">
        <v>637</v>
      </c>
      <c r="G3343" s="5">
        <v>43.18</v>
      </c>
      <c r="H3343" s="5">
        <v>3</v>
      </c>
      <c r="I3343" s="6">
        <v>15.11</v>
      </c>
    </row>
    <row r="3344" spans="1:9" x14ac:dyDescent="0.3">
      <c r="A3344" s="1">
        <v>42834</v>
      </c>
      <c r="B3344" s="2" t="s">
        <v>2185</v>
      </c>
      <c r="C3344" s="2" t="s">
        <v>6</v>
      </c>
      <c r="D3344" s="2" t="s">
        <v>25</v>
      </c>
      <c r="E3344" s="2" t="s">
        <v>129</v>
      </c>
      <c r="F3344" s="2" t="s">
        <v>2283</v>
      </c>
      <c r="G3344" s="2">
        <v>825.17</v>
      </c>
      <c r="H3344" s="2">
        <v>9</v>
      </c>
      <c r="I3344" s="3">
        <v>-117.88</v>
      </c>
    </row>
    <row r="3345" spans="1:9" x14ac:dyDescent="0.3">
      <c r="A3345" s="4">
        <v>42834</v>
      </c>
      <c r="B3345" s="5" t="s">
        <v>2185</v>
      </c>
      <c r="C3345" s="5" t="s">
        <v>6</v>
      </c>
      <c r="D3345" s="5" t="s">
        <v>2</v>
      </c>
      <c r="E3345" s="5" t="s">
        <v>3</v>
      </c>
      <c r="F3345" s="5" t="s">
        <v>1043</v>
      </c>
      <c r="G3345" s="5">
        <v>17.760000000000002</v>
      </c>
      <c r="H3345" s="5">
        <v>3</v>
      </c>
      <c r="I3345" s="6">
        <v>5.55</v>
      </c>
    </row>
    <row r="3346" spans="1:9" x14ac:dyDescent="0.3">
      <c r="A3346" s="1">
        <v>42834</v>
      </c>
      <c r="B3346" s="2" t="s">
        <v>2185</v>
      </c>
      <c r="C3346" s="2" t="s">
        <v>6</v>
      </c>
      <c r="D3346" s="2" t="s">
        <v>2</v>
      </c>
      <c r="E3346" s="2" t="s">
        <v>15</v>
      </c>
      <c r="F3346" s="2" t="s">
        <v>1076</v>
      </c>
      <c r="G3346" s="2">
        <v>6.91</v>
      </c>
      <c r="H3346" s="2">
        <v>3</v>
      </c>
      <c r="I3346" s="3">
        <v>0.86</v>
      </c>
    </row>
    <row r="3347" spans="1:9" x14ac:dyDescent="0.3">
      <c r="A3347" s="4">
        <v>42834</v>
      </c>
      <c r="B3347" s="5" t="s">
        <v>865</v>
      </c>
      <c r="C3347" s="5" t="s">
        <v>127</v>
      </c>
      <c r="D3347" s="5" t="s">
        <v>2</v>
      </c>
      <c r="E3347" s="5" t="s">
        <v>15</v>
      </c>
      <c r="F3347" s="5" t="s">
        <v>434</v>
      </c>
      <c r="G3347" s="5">
        <v>8.26</v>
      </c>
      <c r="H3347" s="5">
        <v>4</v>
      </c>
      <c r="I3347" s="6">
        <v>0.62</v>
      </c>
    </row>
    <row r="3348" spans="1:9" x14ac:dyDescent="0.3">
      <c r="A3348" s="1">
        <v>42834</v>
      </c>
      <c r="B3348" s="2" t="s">
        <v>865</v>
      </c>
      <c r="C3348" s="2" t="s">
        <v>127</v>
      </c>
      <c r="D3348" s="2" t="s">
        <v>2</v>
      </c>
      <c r="E3348" s="2" t="s">
        <v>11</v>
      </c>
      <c r="F3348" s="2" t="s">
        <v>1279</v>
      </c>
      <c r="G3348" s="2">
        <v>25.56</v>
      </c>
      <c r="H3348" s="2">
        <v>5</v>
      </c>
      <c r="I3348" s="3">
        <v>-20.45</v>
      </c>
    </row>
    <row r="3349" spans="1:9" x14ac:dyDescent="0.3">
      <c r="A3349" s="4">
        <v>42834</v>
      </c>
      <c r="B3349" s="5" t="s">
        <v>865</v>
      </c>
      <c r="C3349" s="5" t="s">
        <v>127</v>
      </c>
      <c r="D3349" s="5" t="s">
        <v>2</v>
      </c>
      <c r="E3349" s="5" t="s">
        <v>11</v>
      </c>
      <c r="F3349" s="5" t="s">
        <v>1280</v>
      </c>
      <c r="G3349" s="5">
        <v>4.37</v>
      </c>
      <c r="H3349" s="5">
        <v>2</v>
      </c>
      <c r="I3349" s="6">
        <v>-3.06</v>
      </c>
    </row>
    <row r="3350" spans="1:9" x14ac:dyDescent="0.3">
      <c r="A3350" s="1">
        <v>42834</v>
      </c>
      <c r="B3350" s="2" t="s">
        <v>865</v>
      </c>
      <c r="C3350" s="2" t="s">
        <v>127</v>
      </c>
      <c r="D3350" s="2" t="s">
        <v>2</v>
      </c>
      <c r="E3350" s="2" t="s">
        <v>3</v>
      </c>
      <c r="F3350" s="2" t="s">
        <v>2284</v>
      </c>
      <c r="G3350" s="2">
        <v>11.52</v>
      </c>
      <c r="H3350" s="2">
        <v>4</v>
      </c>
      <c r="I3350" s="3">
        <v>3.74</v>
      </c>
    </row>
    <row r="3351" spans="1:9" x14ac:dyDescent="0.3">
      <c r="A3351" s="4">
        <v>42834</v>
      </c>
      <c r="B3351" s="5" t="s">
        <v>1867</v>
      </c>
      <c r="C3351" s="5" t="s">
        <v>18</v>
      </c>
      <c r="D3351" s="5" t="s">
        <v>2</v>
      </c>
      <c r="E3351" s="5" t="s">
        <v>11</v>
      </c>
      <c r="F3351" s="5" t="s">
        <v>28</v>
      </c>
      <c r="G3351" s="5">
        <v>487.98</v>
      </c>
      <c r="H3351" s="5">
        <v>2</v>
      </c>
      <c r="I3351" s="6">
        <v>152.5</v>
      </c>
    </row>
    <row r="3352" spans="1:9" x14ac:dyDescent="0.3">
      <c r="A3352" s="1">
        <v>42834</v>
      </c>
      <c r="B3352" s="2" t="s">
        <v>1867</v>
      </c>
      <c r="C3352" s="2" t="s">
        <v>18</v>
      </c>
      <c r="D3352" s="2" t="s">
        <v>30</v>
      </c>
      <c r="E3352" s="2" t="s">
        <v>31</v>
      </c>
      <c r="F3352" s="2" t="s">
        <v>2285</v>
      </c>
      <c r="G3352" s="2">
        <v>5.56</v>
      </c>
      <c r="H3352" s="2">
        <v>1</v>
      </c>
      <c r="I3352" s="3">
        <v>1.74</v>
      </c>
    </row>
    <row r="3353" spans="1:9" x14ac:dyDescent="0.3">
      <c r="A3353" s="4">
        <v>42834</v>
      </c>
      <c r="B3353" s="5" t="s">
        <v>1867</v>
      </c>
      <c r="C3353" s="5" t="s">
        <v>18</v>
      </c>
      <c r="D3353" s="5" t="s">
        <v>2</v>
      </c>
      <c r="E3353" s="5" t="s">
        <v>9</v>
      </c>
      <c r="F3353" s="5" t="s">
        <v>849</v>
      </c>
      <c r="G3353" s="5">
        <v>217.85</v>
      </c>
      <c r="H3353" s="5">
        <v>5</v>
      </c>
      <c r="I3353" s="6">
        <v>65.36</v>
      </c>
    </row>
    <row r="3354" spans="1:9" x14ac:dyDescent="0.3">
      <c r="A3354" s="1">
        <v>42834</v>
      </c>
      <c r="B3354" s="2" t="s">
        <v>1048</v>
      </c>
      <c r="C3354" s="2" t="s">
        <v>14</v>
      </c>
      <c r="D3354" s="2" t="s">
        <v>30</v>
      </c>
      <c r="E3354" s="2" t="s">
        <v>43</v>
      </c>
      <c r="F3354" s="2" t="s">
        <v>963</v>
      </c>
      <c r="G3354" s="2">
        <v>19.04</v>
      </c>
      <c r="H3354" s="2">
        <v>4</v>
      </c>
      <c r="I3354" s="3">
        <v>-1.43</v>
      </c>
    </row>
    <row r="3355" spans="1:9" x14ac:dyDescent="0.3">
      <c r="A3355" s="4">
        <v>42834</v>
      </c>
      <c r="B3355" s="5" t="s">
        <v>859</v>
      </c>
      <c r="C3355" s="5" t="s">
        <v>18</v>
      </c>
      <c r="D3355" s="5" t="s">
        <v>2</v>
      </c>
      <c r="E3355" s="5" t="s">
        <v>9</v>
      </c>
      <c r="F3355" s="5" t="s">
        <v>1163</v>
      </c>
      <c r="G3355" s="5">
        <v>54.32</v>
      </c>
      <c r="H3355" s="5">
        <v>4</v>
      </c>
      <c r="I3355" s="6">
        <v>0.54</v>
      </c>
    </row>
    <row r="3356" spans="1:9" x14ac:dyDescent="0.3">
      <c r="A3356" s="1">
        <v>42834</v>
      </c>
      <c r="B3356" s="2" t="s">
        <v>901</v>
      </c>
      <c r="C3356" s="2" t="s">
        <v>18</v>
      </c>
      <c r="D3356" s="2" t="s">
        <v>2</v>
      </c>
      <c r="E3356" s="2" t="s">
        <v>11</v>
      </c>
      <c r="F3356" s="2" t="s">
        <v>1119</v>
      </c>
      <c r="G3356" s="2">
        <v>13.34</v>
      </c>
      <c r="H3356" s="2">
        <v>6</v>
      </c>
      <c r="I3356" s="3">
        <v>4.34</v>
      </c>
    </row>
    <row r="3357" spans="1:9" x14ac:dyDescent="0.3">
      <c r="A3357" s="4">
        <v>42834</v>
      </c>
      <c r="B3357" s="5" t="s">
        <v>901</v>
      </c>
      <c r="C3357" s="5" t="s">
        <v>18</v>
      </c>
      <c r="D3357" s="5" t="s">
        <v>25</v>
      </c>
      <c r="E3357" s="5" t="s">
        <v>86</v>
      </c>
      <c r="F3357" s="5" t="s">
        <v>1814</v>
      </c>
      <c r="G3357" s="5">
        <v>1478.27</v>
      </c>
      <c r="H3357" s="5">
        <v>8</v>
      </c>
      <c r="I3357" s="6">
        <v>92.39</v>
      </c>
    </row>
    <row r="3358" spans="1:9" x14ac:dyDescent="0.3">
      <c r="A3358" s="1">
        <v>42834</v>
      </c>
      <c r="B3358" s="2" t="s">
        <v>1788</v>
      </c>
      <c r="C3358" s="2" t="s">
        <v>1558</v>
      </c>
      <c r="D3358" s="2" t="s">
        <v>2</v>
      </c>
      <c r="E3358" s="2" t="s">
        <v>34</v>
      </c>
      <c r="F3358" s="2" t="s">
        <v>56</v>
      </c>
      <c r="G3358" s="2">
        <v>14.82</v>
      </c>
      <c r="H3358" s="2">
        <v>6</v>
      </c>
      <c r="I3358" s="3">
        <v>6.97</v>
      </c>
    </row>
    <row r="3359" spans="1:9" x14ac:dyDescent="0.3">
      <c r="A3359" s="4">
        <v>42834</v>
      </c>
      <c r="B3359" s="5" t="s">
        <v>135</v>
      </c>
      <c r="C3359" s="5" t="s">
        <v>18</v>
      </c>
      <c r="D3359" s="5" t="s">
        <v>2</v>
      </c>
      <c r="E3359" s="5" t="s">
        <v>9</v>
      </c>
      <c r="F3359" s="5" t="s">
        <v>2207</v>
      </c>
      <c r="G3359" s="5">
        <v>421.1</v>
      </c>
      <c r="H3359" s="5">
        <v>2</v>
      </c>
      <c r="I3359" s="6">
        <v>105.28</v>
      </c>
    </row>
    <row r="3360" spans="1:9" x14ac:dyDescent="0.3">
      <c r="A3360" s="1">
        <v>42834</v>
      </c>
      <c r="B3360" s="2" t="s">
        <v>1501</v>
      </c>
      <c r="C3360" s="2" t="s">
        <v>58</v>
      </c>
      <c r="D3360" s="2" t="s">
        <v>25</v>
      </c>
      <c r="E3360" s="2" t="s">
        <v>26</v>
      </c>
      <c r="F3360" s="2" t="s">
        <v>544</v>
      </c>
      <c r="G3360" s="2">
        <v>97.18</v>
      </c>
      <c r="H3360" s="2">
        <v>2</v>
      </c>
      <c r="I3360" s="3">
        <v>6.07</v>
      </c>
    </row>
    <row r="3361" spans="1:9" x14ac:dyDescent="0.3">
      <c r="A3361" s="4">
        <v>42834</v>
      </c>
      <c r="B3361" s="5" t="s">
        <v>1501</v>
      </c>
      <c r="C3361" s="5" t="s">
        <v>58</v>
      </c>
      <c r="D3361" s="5" t="s">
        <v>2</v>
      </c>
      <c r="E3361" s="5" t="s">
        <v>3</v>
      </c>
      <c r="F3361" s="5" t="s">
        <v>284</v>
      </c>
      <c r="G3361" s="5">
        <v>10.37</v>
      </c>
      <c r="H3361" s="5">
        <v>2</v>
      </c>
      <c r="I3361" s="6">
        <v>3.63</v>
      </c>
    </row>
    <row r="3362" spans="1:9" x14ac:dyDescent="0.3">
      <c r="A3362" s="1">
        <v>42834</v>
      </c>
      <c r="B3362" s="2" t="s">
        <v>827</v>
      </c>
      <c r="C3362" s="2" t="s">
        <v>1</v>
      </c>
      <c r="D3362" s="2" t="s">
        <v>2</v>
      </c>
      <c r="E3362" s="2" t="s">
        <v>15</v>
      </c>
      <c r="F3362" s="2" t="s">
        <v>686</v>
      </c>
      <c r="G3362" s="2">
        <v>30.38</v>
      </c>
      <c r="H3362" s="2">
        <v>1</v>
      </c>
      <c r="I3362" s="3">
        <v>3.8</v>
      </c>
    </row>
    <row r="3363" spans="1:9" x14ac:dyDescent="0.3">
      <c r="A3363" s="4">
        <v>42834</v>
      </c>
      <c r="B3363" s="5" t="s">
        <v>1780</v>
      </c>
      <c r="C3363" s="5" t="s">
        <v>18</v>
      </c>
      <c r="D3363" s="5" t="s">
        <v>2</v>
      </c>
      <c r="E3363" s="5" t="s">
        <v>11</v>
      </c>
      <c r="F3363" s="5" t="s">
        <v>1421</v>
      </c>
      <c r="G3363" s="5">
        <v>11.81</v>
      </c>
      <c r="H3363" s="5">
        <v>3</v>
      </c>
      <c r="I3363" s="6">
        <v>4.13</v>
      </c>
    </row>
    <row r="3364" spans="1:9" x14ac:dyDescent="0.3">
      <c r="A3364" s="1">
        <v>42834</v>
      </c>
      <c r="B3364" s="2" t="s">
        <v>2089</v>
      </c>
      <c r="C3364" s="2" t="s">
        <v>713</v>
      </c>
      <c r="D3364" s="2" t="s">
        <v>2</v>
      </c>
      <c r="E3364" s="2" t="s">
        <v>11</v>
      </c>
      <c r="F3364" s="2" t="s">
        <v>2286</v>
      </c>
      <c r="G3364" s="2">
        <v>88.07</v>
      </c>
      <c r="H3364" s="2">
        <v>7</v>
      </c>
      <c r="I3364" s="3">
        <v>-58.72</v>
      </c>
    </row>
    <row r="3365" spans="1:9" x14ac:dyDescent="0.3">
      <c r="A3365" s="4">
        <v>42864</v>
      </c>
      <c r="B3365" s="5" t="s">
        <v>1420</v>
      </c>
      <c r="C3365" s="5" t="s">
        <v>62</v>
      </c>
      <c r="D3365" s="5" t="s">
        <v>2</v>
      </c>
      <c r="E3365" s="5" t="s">
        <v>15</v>
      </c>
      <c r="F3365" s="5" t="s">
        <v>1270</v>
      </c>
      <c r="G3365" s="5">
        <v>2.78</v>
      </c>
      <c r="H3365" s="5">
        <v>1</v>
      </c>
      <c r="I3365" s="6">
        <v>0.72</v>
      </c>
    </row>
    <row r="3366" spans="1:9" x14ac:dyDescent="0.3">
      <c r="A3366" s="1">
        <v>42864</v>
      </c>
      <c r="B3366" s="2" t="s">
        <v>1925</v>
      </c>
      <c r="C3366" s="2" t="s">
        <v>58</v>
      </c>
      <c r="D3366" s="2" t="s">
        <v>2</v>
      </c>
      <c r="E3366" s="2" t="s">
        <v>9</v>
      </c>
      <c r="F3366" s="2" t="s">
        <v>455</v>
      </c>
      <c r="G3366" s="2">
        <v>147.18</v>
      </c>
      <c r="H3366" s="2">
        <v>2</v>
      </c>
      <c r="I3366" s="3">
        <v>-29.44</v>
      </c>
    </row>
    <row r="3367" spans="1:9" x14ac:dyDescent="0.3">
      <c r="A3367" s="4">
        <v>42864</v>
      </c>
      <c r="B3367" s="5" t="s">
        <v>1806</v>
      </c>
      <c r="C3367" s="5" t="s">
        <v>411</v>
      </c>
      <c r="D3367" s="5" t="s">
        <v>30</v>
      </c>
      <c r="E3367" s="5" t="s">
        <v>43</v>
      </c>
      <c r="F3367" s="5" t="s">
        <v>2133</v>
      </c>
      <c r="G3367" s="5">
        <v>89.57</v>
      </c>
      <c r="H3367" s="5">
        <v>4</v>
      </c>
      <c r="I3367" s="6">
        <v>-1.1200000000000001</v>
      </c>
    </row>
    <row r="3368" spans="1:9" x14ac:dyDescent="0.3">
      <c r="A3368" s="1">
        <v>42864</v>
      </c>
      <c r="B3368" s="2" t="s">
        <v>1806</v>
      </c>
      <c r="C3368" s="2" t="s">
        <v>411</v>
      </c>
      <c r="D3368" s="2" t="s">
        <v>2</v>
      </c>
      <c r="E3368" s="2" t="s">
        <v>15</v>
      </c>
      <c r="F3368" s="2" t="s">
        <v>320</v>
      </c>
      <c r="G3368" s="2">
        <v>71.959999999999994</v>
      </c>
      <c r="H3368" s="2">
        <v>5</v>
      </c>
      <c r="I3368" s="3">
        <v>7.2</v>
      </c>
    </row>
    <row r="3369" spans="1:9" x14ac:dyDescent="0.3">
      <c r="A3369" s="4">
        <v>42864</v>
      </c>
      <c r="B3369" s="5" t="s">
        <v>1806</v>
      </c>
      <c r="C3369" s="5" t="s">
        <v>411</v>
      </c>
      <c r="D3369" s="5" t="s">
        <v>2</v>
      </c>
      <c r="E3369" s="5" t="s">
        <v>3</v>
      </c>
      <c r="F3369" s="5" t="s">
        <v>722</v>
      </c>
      <c r="G3369" s="5">
        <v>15.55</v>
      </c>
      <c r="H3369" s="5">
        <v>3</v>
      </c>
      <c r="I3369" s="6">
        <v>5.44</v>
      </c>
    </row>
    <row r="3370" spans="1:9" x14ac:dyDescent="0.3">
      <c r="A3370" s="1">
        <v>42925</v>
      </c>
      <c r="B3370" s="2" t="s">
        <v>1905</v>
      </c>
      <c r="C3370" s="2" t="s">
        <v>18</v>
      </c>
      <c r="D3370" s="2" t="s">
        <v>25</v>
      </c>
      <c r="E3370" s="2" t="s">
        <v>38</v>
      </c>
      <c r="F3370" s="2" t="s">
        <v>2039</v>
      </c>
      <c r="G3370" s="2">
        <v>47.94</v>
      </c>
      <c r="H3370" s="2">
        <v>3</v>
      </c>
      <c r="I3370" s="3">
        <v>2.4</v>
      </c>
    </row>
    <row r="3371" spans="1:9" x14ac:dyDescent="0.3">
      <c r="A3371" s="4">
        <v>42925</v>
      </c>
      <c r="B3371" s="5" t="s">
        <v>218</v>
      </c>
      <c r="C3371" s="5" t="s">
        <v>713</v>
      </c>
      <c r="D3371" s="5" t="s">
        <v>2</v>
      </c>
      <c r="E3371" s="5" t="s">
        <v>9</v>
      </c>
      <c r="F3371" s="5" t="s">
        <v>1487</v>
      </c>
      <c r="G3371" s="5">
        <v>37.68</v>
      </c>
      <c r="H3371" s="5">
        <v>3</v>
      </c>
      <c r="I3371" s="6">
        <v>2.36</v>
      </c>
    </row>
    <row r="3372" spans="1:9" x14ac:dyDescent="0.3">
      <c r="A3372" s="1">
        <v>42925</v>
      </c>
      <c r="B3372" s="2" t="s">
        <v>218</v>
      </c>
      <c r="C3372" s="2" t="s">
        <v>713</v>
      </c>
      <c r="D3372" s="2" t="s">
        <v>30</v>
      </c>
      <c r="E3372" s="2" t="s">
        <v>43</v>
      </c>
      <c r="F3372" s="2" t="s">
        <v>205</v>
      </c>
      <c r="G3372" s="2">
        <v>279.94</v>
      </c>
      <c r="H3372" s="2">
        <v>7</v>
      </c>
      <c r="I3372" s="3">
        <v>80.48</v>
      </c>
    </row>
    <row r="3373" spans="1:9" x14ac:dyDescent="0.3">
      <c r="A3373" s="4">
        <v>42925</v>
      </c>
      <c r="B3373" s="5" t="s">
        <v>681</v>
      </c>
      <c r="C3373" s="5" t="s">
        <v>80</v>
      </c>
      <c r="D3373" s="5" t="s">
        <v>2</v>
      </c>
      <c r="E3373" s="5" t="s">
        <v>9</v>
      </c>
      <c r="F3373" s="5" t="s">
        <v>1538</v>
      </c>
      <c r="G3373" s="5">
        <v>478.08</v>
      </c>
      <c r="H3373" s="5">
        <v>8</v>
      </c>
      <c r="I3373" s="6">
        <v>133.86000000000001</v>
      </c>
    </row>
    <row r="3374" spans="1:9" x14ac:dyDescent="0.3">
      <c r="A3374" s="1">
        <v>42925</v>
      </c>
      <c r="B3374" s="2" t="s">
        <v>707</v>
      </c>
      <c r="C3374" s="2" t="s">
        <v>6</v>
      </c>
      <c r="D3374" s="2" t="s">
        <v>2</v>
      </c>
      <c r="E3374" s="2" t="s">
        <v>3</v>
      </c>
      <c r="F3374" s="2" t="s">
        <v>315</v>
      </c>
      <c r="G3374" s="2">
        <v>73.010000000000005</v>
      </c>
      <c r="H3374" s="2">
        <v>9</v>
      </c>
      <c r="I3374" s="3">
        <v>26.47</v>
      </c>
    </row>
    <row r="3375" spans="1:9" x14ac:dyDescent="0.3">
      <c r="A3375" s="4">
        <v>42925</v>
      </c>
      <c r="B3375" s="5" t="s">
        <v>1162</v>
      </c>
      <c r="C3375" s="5" t="s">
        <v>90</v>
      </c>
      <c r="D3375" s="5" t="s">
        <v>2</v>
      </c>
      <c r="E3375" s="5" t="s">
        <v>11</v>
      </c>
      <c r="F3375" s="5" t="s">
        <v>1021</v>
      </c>
      <c r="G3375" s="5">
        <v>1577.94</v>
      </c>
      <c r="H3375" s="5">
        <v>3</v>
      </c>
      <c r="I3375" s="6">
        <v>757.41</v>
      </c>
    </row>
    <row r="3376" spans="1:9" x14ac:dyDescent="0.3">
      <c r="A3376" s="1">
        <v>42925</v>
      </c>
      <c r="B3376" s="2" t="s">
        <v>789</v>
      </c>
      <c r="C3376" s="2" t="s">
        <v>253</v>
      </c>
      <c r="D3376" s="2" t="s">
        <v>2</v>
      </c>
      <c r="E3376" s="2" t="s">
        <v>11</v>
      </c>
      <c r="F3376" s="2" t="s">
        <v>88</v>
      </c>
      <c r="G3376" s="2">
        <v>7.86</v>
      </c>
      <c r="H3376" s="2">
        <v>3</v>
      </c>
      <c r="I3376" s="3">
        <v>-6.02</v>
      </c>
    </row>
    <row r="3377" spans="1:9" x14ac:dyDescent="0.3">
      <c r="A3377" s="4">
        <v>42925</v>
      </c>
      <c r="B3377" s="5" t="s">
        <v>2102</v>
      </c>
      <c r="C3377" s="5" t="s">
        <v>14</v>
      </c>
      <c r="D3377" s="5" t="s">
        <v>2</v>
      </c>
      <c r="E3377" s="5" t="s">
        <v>7</v>
      </c>
      <c r="F3377" s="5" t="s">
        <v>759</v>
      </c>
      <c r="G3377" s="5">
        <v>29.24</v>
      </c>
      <c r="H3377" s="5">
        <v>5</v>
      </c>
      <c r="I3377" s="6">
        <v>9.8699999999999992</v>
      </c>
    </row>
    <row r="3378" spans="1:9" x14ac:dyDescent="0.3">
      <c r="A3378" s="1">
        <v>42925</v>
      </c>
      <c r="B3378" s="2" t="s">
        <v>2102</v>
      </c>
      <c r="C3378" s="2" t="s">
        <v>14</v>
      </c>
      <c r="D3378" s="2" t="s">
        <v>2</v>
      </c>
      <c r="E3378" s="2" t="s">
        <v>3</v>
      </c>
      <c r="F3378" s="2" t="s">
        <v>474</v>
      </c>
      <c r="G3378" s="2">
        <v>15.55</v>
      </c>
      <c r="H3378" s="2">
        <v>3</v>
      </c>
      <c r="I3378" s="3">
        <v>5.44</v>
      </c>
    </row>
    <row r="3379" spans="1:9" x14ac:dyDescent="0.3">
      <c r="A3379" s="4">
        <v>42925</v>
      </c>
      <c r="B3379" s="5" t="s">
        <v>2102</v>
      </c>
      <c r="C3379" s="5" t="s">
        <v>14</v>
      </c>
      <c r="D3379" s="5" t="s">
        <v>2</v>
      </c>
      <c r="E3379" s="5" t="s">
        <v>114</v>
      </c>
      <c r="F3379" s="5" t="s">
        <v>1531</v>
      </c>
      <c r="G3379" s="5">
        <v>4.9000000000000004</v>
      </c>
      <c r="H3379" s="5">
        <v>3</v>
      </c>
      <c r="I3379" s="6">
        <v>1.65</v>
      </c>
    </row>
    <row r="3380" spans="1:9" x14ac:dyDescent="0.3">
      <c r="A3380" s="1">
        <v>42925</v>
      </c>
      <c r="B3380" s="2" t="s">
        <v>1185</v>
      </c>
      <c r="C3380" s="2" t="s">
        <v>53</v>
      </c>
      <c r="D3380" s="2" t="s">
        <v>30</v>
      </c>
      <c r="E3380" s="2" t="s">
        <v>43</v>
      </c>
      <c r="F3380" s="2" t="s">
        <v>702</v>
      </c>
      <c r="G3380" s="2">
        <v>13.48</v>
      </c>
      <c r="H3380" s="2">
        <v>1</v>
      </c>
      <c r="I3380" s="3">
        <v>1.89</v>
      </c>
    </row>
    <row r="3381" spans="1:9" x14ac:dyDescent="0.3">
      <c r="A3381" s="4">
        <v>42925</v>
      </c>
      <c r="B3381" s="5" t="s">
        <v>617</v>
      </c>
      <c r="C3381" s="5" t="s">
        <v>375</v>
      </c>
      <c r="D3381" s="5" t="s">
        <v>25</v>
      </c>
      <c r="E3381" s="5" t="s">
        <v>38</v>
      </c>
      <c r="F3381" s="5" t="s">
        <v>2287</v>
      </c>
      <c r="G3381" s="5">
        <v>25.16</v>
      </c>
      <c r="H3381" s="5">
        <v>2</v>
      </c>
      <c r="I3381" s="6">
        <v>10.57</v>
      </c>
    </row>
    <row r="3382" spans="1:9" x14ac:dyDescent="0.3">
      <c r="A3382" s="1">
        <v>42925</v>
      </c>
      <c r="B3382" s="2" t="s">
        <v>617</v>
      </c>
      <c r="C3382" s="2" t="s">
        <v>375</v>
      </c>
      <c r="D3382" s="2" t="s">
        <v>30</v>
      </c>
      <c r="E3382" s="2" t="s">
        <v>31</v>
      </c>
      <c r="F3382" s="2" t="s">
        <v>2288</v>
      </c>
      <c r="G3382" s="2">
        <v>126.56</v>
      </c>
      <c r="H3382" s="2">
        <v>4</v>
      </c>
      <c r="I3382" s="3">
        <v>47.46</v>
      </c>
    </row>
    <row r="3383" spans="1:9" x14ac:dyDescent="0.3">
      <c r="A3383" s="4">
        <v>42925</v>
      </c>
      <c r="B3383" s="5" t="s">
        <v>629</v>
      </c>
      <c r="C3383" s="5" t="s">
        <v>18</v>
      </c>
      <c r="D3383" s="5" t="s">
        <v>25</v>
      </c>
      <c r="E3383" s="5" t="s">
        <v>38</v>
      </c>
      <c r="F3383" s="5" t="s">
        <v>1729</v>
      </c>
      <c r="G3383" s="5">
        <v>19.760000000000002</v>
      </c>
      <c r="H3383" s="5">
        <v>4</v>
      </c>
      <c r="I3383" s="6">
        <v>8.3000000000000007</v>
      </c>
    </row>
    <row r="3384" spans="1:9" x14ac:dyDescent="0.3">
      <c r="A3384" s="1">
        <v>42925</v>
      </c>
      <c r="B3384" s="2" t="s">
        <v>1225</v>
      </c>
      <c r="C3384" s="2" t="s">
        <v>90</v>
      </c>
      <c r="D3384" s="2" t="s">
        <v>30</v>
      </c>
      <c r="E3384" s="2" t="s">
        <v>43</v>
      </c>
      <c r="F3384" s="2" t="s">
        <v>540</v>
      </c>
      <c r="G3384" s="2">
        <v>113.52</v>
      </c>
      <c r="H3384" s="2">
        <v>4</v>
      </c>
      <c r="I3384" s="3">
        <v>46.54</v>
      </c>
    </row>
    <row r="3385" spans="1:9" x14ac:dyDescent="0.3">
      <c r="A3385" s="4">
        <v>42925</v>
      </c>
      <c r="B3385" s="5" t="s">
        <v>1225</v>
      </c>
      <c r="C3385" s="5" t="s">
        <v>90</v>
      </c>
      <c r="D3385" s="5" t="s">
        <v>25</v>
      </c>
      <c r="E3385" s="5" t="s">
        <v>38</v>
      </c>
      <c r="F3385" s="5" t="s">
        <v>1240</v>
      </c>
      <c r="G3385" s="5">
        <v>135.30000000000001</v>
      </c>
      <c r="H3385" s="5">
        <v>5</v>
      </c>
      <c r="I3385" s="6">
        <v>37.880000000000003</v>
      </c>
    </row>
    <row r="3386" spans="1:9" x14ac:dyDescent="0.3">
      <c r="A3386" s="1">
        <v>42925</v>
      </c>
      <c r="B3386" s="2" t="s">
        <v>928</v>
      </c>
      <c r="C3386" s="2" t="s">
        <v>18</v>
      </c>
      <c r="D3386" s="2" t="s">
        <v>25</v>
      </c>
      <c r="E3386" s="2" t="s">
        <v>26</v>
      </c>
      <c r="F3386" s="2" t="s">
        <v>1578</v>
      </c>
      <c r="G3386" s="2">
        <v>161.57</v>
      </c>
      <c r="H3386" s="2">
        <v>2</v>
      </c>
      <c r="I3386" s="3">
        <v>-28.27</v>
      </c>
    </row>
    <row r="3387" spans="1:9" x14ac:dyDescent="0.3">
      <c r="A3387" s="4">
        <v>42925</v>
      </c>
      <c r="B3387" s="5" t="s">
        <v>1005</v>
      </c>
      <c r="C3387" s="5" t="s">
        <v>411</v>
      </c>
      <c r="D3387" s="5" t="s">
        <v>2</v>
      </c>
      <c r="E3387" s="5" t="s">
        <v>133</v>
      </c>
      <c r="F3387" s="5" t="s">
        <v>539</v>
      </c>
      <c r="G3387" s="5">
        <v>81.569999999999993</v>
      </c>
      <c r="H3387" s="5">
        <v>2</v>
      </c>
      <c r="I3387" s="6">
        <v>7.14</v>
      </c>
    </row>
    <row r="3388" spans="1:9" x14ac:dyDescent="0.3">
      <c r="A3388" s="1">
        <v>42925</v>
      </c>
      <c r="B3388" s="2" t="s">
        <v>1975</v>
      </c>
      <c r="C3388" s="2" t="s">
        <v>62</v>
      </c>
      <c r="D3388" s="2" t="s">
        <v>25</v>
      </c>
      <c r="E3388" s="2" t="s">
        <v>38</v>
      </c>
      <c r="F3388" s="2" t="s">
        <v>2289</v>
      </c>
      <c r="G3388" s="2">
        <v>80.959999999999994</v>
      </c>
      <c r="H3388" s="2">
        <v>4</v>
      </c>
      <c r="I3388" s="3">
        <v>34.81</v>
      </c>
    </row>
    <row r="3389" spans="1:9" x14ac:dyDescent="0.3">
      <c r="A3389" s="4">
        <v>42925</v>
      </c>
      <c r="B3389" s="5" t="s">
        <v>1975</v>
      </c>
      <c r="C3389" s="5" t="s">
        <v>62</v>
      </c>
      <c r="D3389" s="5" t="s">
        <v>30</v>
      </c>
      <c r="E3389" s="5" t="s">
        <v>31</v>
      </c>
      <c r="F3389" s="5" t="s">
        <v>423</v>
      </c>
      <c r="G3389" s="5">
        <v>455.71</v>
      </c>
      <c r="H3389" s="5">
        <v>2</v>
      </c>
      <c r="I3389" s="6">
        <v>34.18</v>
      </c>
    </row>
    <row r="3390" spans="1:9" x14ac:dyDescent="0.3">
      <c r="A3390" s="1">
        <v>42925</v>
      </c>
      <c r="B3390" s="2" t="s">
        <v>1975</v>
      </c>
      <c r="C3390" s="2" t="s">
        <v>62</v>
      </c>
      <c r="D3390" s="2" t="s">
        <v>2</v>
      </c>
      <c r="E3390" s="2" t="s">
        <v>15</v>
      </c>
      <c r="F3390" s="2" t="s">
        <v>2290</v>
      </c>
      <c r="G3390" s="2">
        <v>25.98</v>
      </c>
      <c r="H3390" s="2">
        <v>1</v>
      </c>
      <c r="I3390" s="3">
        <v>7.27</v>
      </c>
    </row>
    <row r="3391" spans="1:9" x14ac:dyDescent="0.3">
      <c r="A3391" s="4">
        <v>42925</v>
      </c>
      <c r="B3391" s="5" t="s">
        <v>1056</v>
      </c>
      <c r="C3391" s="5" t="s">
        <v>1300</v>
      </c>
      <c r="D3391" s="5" t="s">
        <v>2</v>
      </c>
      <c r="E3391" s="5" t="s">
        <v>3</v>
      </c>
      <c r="F3391" s="5" t="s">
        <v>1458</v>
      </c>
      <c r="G3391" s="5">
        <v>16.899999999999999</v>
      </c>
      <c r="H3391" s="5">
        <v>5</v>
      </c>
      <c r="I3391" s="6">
        <v>7.77</v>
      </c>
    </row>
    <row r="3392" spans="1:9" x14ac:dyDescent="0.3">
      <c r="A3392" s="1">
        <v>42925</v>
      </c>
      <c r="B3392" s="2" t="s">
        <v>1056</v>
      </c>
      <c r="C3392" s="2" t="s">
        <v>1300</v>
      </c>
      <c r="D3392" s="2" t="s">
        <v>2</v>
      </c>
      <c r="E3392" s="2" t="s">
        <v>3</v>
      </c>
      <c r="F3392" s="2" t="s">
        <v>1800</v>
      </c>
      <c r="G3392" s="2">
        <v>39.96</v>
      </c>
      <c r="H3392" s="2">
        <v>2</v>
      </c>
      <c r="I3392" s="3">
        <v>18.78</v>
      </c>
    </row>
    <row r="3393" spans="1:9" x14ac:dyDescent="0.3">
      <c r="A3393" s="4">
        <v>42956</v>
      </c>
      <c r="B3393" s="5" t="s">
        <v>272</v>
      </c>
      <c r="C3393" s="5" t="s">
        <v>6</v>
      </c>
      <c r="D3393" s="5" t="s">
        <v>25</v>
      </c>
      <c r="E3393" s="5" t="s">
        <v>86</v>
      </c>
      <c r="F3393" s="5" t="s">
        <v>524</v>
      </c>
      <c r="G3393" s="5">
        <v>765.63</v>
      </c>
      <c r="H3393" s="5">
        <v>7</v>
      </c>
      <c r="I3393" s="6">
        <v>-566.55999999999995</v>
      </c>
    </row>
    <row r="3394" spans="1:9" x14ac:dyDescent="0.3">
      <c r="A3394" s="1">
        <v>42956</v>
      </c>
      <c r="B3394" s="2" t="s">
        <v>1541</v>
      </c>
      <c r="C3394" s="2" t="s">
        <v>14</v>
      </c>
      <c r="D3394" s="2" t="s">
        <v>30</v>
      </c>
      <c r="E3394" s="2" t="s">
        <v>31</v>
      </c>
      <c r="F3394" s="2" t="s">
        <v>1475</v>
      </c>
      <c r="G3394" s="2">
        <v>258.52999999999997</v>
      </c>
      <c r="H3394" s="2">
        <v>2</v>
      </c>
      <c r="I3394" s="3">
        <v>-47.4</v>
      </c>
    </row>
    <row r="3395" spans="1:9" x14ac:dyDescent="0.3">
      <c r="A3395" s="4">
        <v>42956</v>
      </c>
      <c r="B3395" s="5" t="s">
        <v>795</v>
      </c>
      <c r="C3395" s="5" t="s">
        <v>127</v>
      </c>
      <c r="D3395" s="5" t="s">
        <v>30</v>
      </c>
      <c r="E3395" s="5" t="s">
        <v>43</v>
      </c>
      <c r="F3395" s="5" t="s">
        <v>2291</v>
      </c>
      <c r="G3395" s="5">
        <v>9.1</v>
      </c>
      <c r="H3395" s="5">
        <v>1</v>
      </c>
      <c r="I3395" s="6">
        <v>1.71</v>
      </c>
    </row>
    <row r="3396" spans="1:9" x14ac:dyDescent="0.3">
      <c r="A3396" s="1">
        <v>42956</v>
      </c>
      <c r="B3396" s="2" t="s">
        <v>246</v>
      </c>
      <c r="C3396" s="2" t="s">
        <v>127</v>
      </c>
      <c r="D3396" s="2" t="s">
        <v>30</v>
      </c>
      <c r="E3396" s="2" t="s">
        <v>43</v>
      </c>
      <c r="F3396" s="2" t="s">
        <v>868</v>
      </c>
      <c r="G3396" s="2">
        <v>116.83</v>
      </c>
      <c r="H3396" s="2">
        <v>4</v>
      </c>
      <c r="I3396" s="3">
        <v>33.590000000000003</v>
      </c>
    </row>
    <row r="3397" spans="1:9" x14ac:dyDescent="0.3">
      <c r="A3397" s="4">
        <v>42956</v>
      </c>
      <c r="B3397" s="5" t="s">
        <v>1395</v>
      </c>
      <c r="C3397" s="5" t="s">
        <v>1</v>
      </c>
      <c r="D3397" s="5" t="s">
        <v>30</v>
      </c>
      <c r="E3397" s="5" t="s">
        <v>43</v>
      </c>
      <c r="F3397" s="5" t="s">
        <v>2292</v>
      </c>
      <c r="G3397" s="5">
        <v>85.2</v>
      </c>
      <c r="H3397" s="5">
        <v>6</v>
      </c>
      <c r="I3397" s="6">
        <v>20.239999999999998</v>
      </c>
    </row>
    <row r="3398" spans="1:9" x14ac:dyDescent="0.3">
      <c r="A3398" s="1">
        <v>42956</v>
      </c>
      <c r="B3398" s="2" t="s">
        <v>1845</v>
      </c>
      <c r="C3398" s="2" t="s">
        <v>1</v>
      </c>
      <c r="D3398" s="2" t="s">
        <v>2</v>
      </c>
      <c r="E3398" s="2" t="s">
        <v>11</v>
      </c>
      <c r="F3398" s="2" t="s">
        <v>727</v>
      </c>
      <c r="G3398" s="2">
        <v>42.62</v>
      </c>
      <c r="H3398" s="2">
        <v>7</v>
      </c>
      <c r="I3398" s="3">
        <v>-68.19</v>
      </c>
    </row>
    <row r="3399" spans="1:9" x14ac:dyDescent="0.3">
      <c r="A3399" s="4">
        <v>42956</v>
      </c>
      <c r="B3399" s="5" t="s">
        <v>1845</v>
      </c>
      <c r="C3399" s="5" t="s">
        <v>1</v>
      </c>
      <c r="D3399" s="5" t="s">
        <v>30</v>
      </c>
      <c r="E3399" s="5" t="s">
        <v>290</v>
      </c>
      <c r="F3399" s="5" t="s">
        <v>1161</v>
      </c>
      <c r="G3399" s="5">
        <v>319.98</v>
      </c>
      <c r="H3399" s="5">
        <v>2</v>
      </c>
      <c r="I3399" s="6">
        <v>107.99</v>
      </c>
    </row>
    <row r="3400" spans="1:9" x14ac:dyDescent="0.3">
      <c r="A3400" s="1">
        <v>42956</v>
      </c>
      <c r="B3400" s="2" t="s">
        <v>1845</v>
      </c>
      <c r="C3400" s="2" t="s">
        <v>1</v>
      </c>
      <c r="D3400" s="2" t="s">
        <v>2</v>
      </c>
      <c r="E3400" s="2" t="s">
        <v>34</v>
      </c>
      <c r="F3400" s="2" t="s">
        <v>594</v>
      </c>
      <c r="G3400" s="2">
        <v>45.92</v>
      </c>
      <c r="H3400" s="2">
        <v>5</v>
      </c>
      <c r="I3400" s="3">
        <v>15.5</v>
      </c>
    </row>
    <row r="3401" spans="1:9" x14ac:dyDescent="0.3">
      <c r="A3401" s="4">
        <v>42956</v>
      </c>
      <c r="B3401" s="5" t="s">
        <v>1845</v>
      </c>
      <c r="C3401" s="5" t="s">
        <v>1</v>
      </c>
      <c r="D3401" s="5" t="s">
        <v>25</v>
      </c>
      <c r="E3401" s="5" t="s">
        <v>38</v>
      </c>
      <c r="F3401" s="5" t="s">
        <v>108</v>
      </c>
      <c r="G3401" s="5">
        <v>21.18</v>
      </c>
      <c r="H3401" s="5">
        <v>2</v>
      </c>
      <c r="I3401" s="6">
        <v>-11.65</v>
      </c>
    </row>
    <row r="3402" spans="1:9" x14ac:dyDescent="0.3">
      <c r="A3402" s="1">
        <v>42956</v>
      </c>
      <c r="B3402" s="2" t="s">
        <v>1845</v>
      </c>
      <c r="C3402" s="2" t="s">
        <v>1</v>
      </c>
      <c r="D3402" s="2" t="s">
        <v>2</v>
      </c>
      <c r="E3402" s="2" t="s">
        <v>3</v>
      </c>
      <c r="F3402" s="2" t="s">
        <v>363</v>
      </c>
      <c r="G3402" s="2">
        <v>20.74</v>
      </c>
      <c r="H3402" s="2">
        <v>4</v>
      </c>
      <c r="I3402" s="3">
        <v>7.26</v>
      </c>
    </row>
    <row r="3403" spans="1:9" x14ac:dyDescent="0.3">
      <c r="A3403" s="4">
        <v>42956</v>
      </c>
      <c r="B3403" s="5" t="s">
        <v>1845</v>
      </c>
      <c r="C3403" s="5" t="s">
        <v>1</v>
      </c>
      <c r="D3403" s="5" t="s">
        <v>25</v>
      </c>
      <c r="E3403" s="5" t="s">
        <v>26</v>
      </c>
      <c r="F3403" s="5" t="s">
        <v>1469</v>
      </c>
      <c r="G3403" s="5">
        <v>213.43</v>
      </c>
      <c r="H3403" s="5">
        <v>5</v>
      </c>
      <c r="I3403" s="6">
        <v>-39.64</v>
      </c>
    </row>
    <row r="3404" spans="1:9" x14ac:dyDescent="0.3">
      <c r="A3404" s="1">
        <v>42956</v>
      </c>
      <c r="B3404" s="2" t="s">
        <v>1605</v>
      </c>
      <c r="C3404" s="2" t="s">
        <v>58</v>
      </c>
      <c r="D3404" s="2" t="s">
        <v>2</v>
      </c>
      <c r="E3404" s="2" t="s">
        <v>9</v>
      </c>
      <c r="F3404" s="2" t="s">
        <v>887</v>
      </c>
      <c r="G3404" s="2">
        <v>61.68</v>
      </c>
      <c r="H3404" s="2">
        <v>5</v>
      </c>
      <c r="I3404" s="3">
        <v>5.4</v>
      </c>
    </row>
    <row r="3405" spans="1:9" x14ac:dyDescent="0.3">
      <c r="A3405" s="4">
        <v>42956</v>
      </c>
      <c r="B3405" s="5" t="s">
        <v>1605</v>
      </c>
      <c r="C3405" s="5" t="s">
        <v>58</v>
      </c>
      <c r="D3405" s="5" t="s">
        <v>30</v>
      </c>
      <c r="E3405" s="5" t="s">
        <v>31</v>
      </c>
      <c r="F3405" s="5" t="s">
        <v>831</v>
      </c>
      <c r="G3405" s="5">
        <v>158.38</v>
      </c>
      <c r="H3405" s="5">
        <v>3</v>
      </c>
      <c r="I3405" s="6">
        <v>13.86</v>
      </c>
    </row>
    <row r="3406" spans="1:9" x14ac:dyDescent="0.3">
      <c r="A3406" s="1">
        <v>42956</v>
      </c>
      <c r="B3406" s="2" t="s">
        <v>1315</v>
      </c>
      <c r="C3406" s="2" t="s">
        <v>80</v>
      </c>
      <c r="D3406" s="2" t="s">
        <v>2</v>
      </c>
      <c r="E3406" s="2" t="s">
        <v>9</v>
      </c>
      <c r="F3406" s="2" t="s">
        <v>217</v>
      </c>
      <c r="G3406" s="2">
        <v>65.12</v>
      </c>
      <c r="H3406" s="2">
        <v>4</v>
      </c>
      <c r="I3406" s="3">
        <v>16.93</v>
      </c>
    </row>
    <row r="3407" spans="1:9" x14ac:dyDescent="0.3">
      <c r="A3407" s="4">
        <v>42987</v>
      </c>
      <c r="B3407" s="5" t="s">
        <v>681</v>
      </c>
      <c r="C3407" s="5" t="s">
        <v>14</v>
      </c>
      <c r="D3407" s="5" t="s">
        <v>25</v>
      </c>
      <c r="E3407" s="5" t="s">
        <v>26</v>
      </c>
      <c r="F3407" s="5" t="s">
        <v>1578</v>
      </c>
      <c r="G3407" s="5">
        <v>141.37</v>
      </c>
      <c r="H3407" s="5">
        <v>2</v>
      </c>
      <c r="I3407" s="6">
        <v>-48.47</v>
      </c>
    </row>
    <row r="3408" spans="1:9" x14ac:dyDescent="0.3">
      <c r="A3408" s="1">
        <v>42987</v>
      </c>
      <c r="B3408" s="2" t="s">
        <v>681</v>
      </c>
      <c r="C3408" s="2" t="s">
        <v>14</v>
      </c>
      <c r="D3408" s="2" t="s">
        <v>2</v>
      </c>
      <c r="E3408" s="2" t="s">
        <v>11</v>
      </c>
      <c r="F3408" s="2" t="s">
        <v>1061</v>
      </c>
      <c r="G3408" s="2">
        <v>3.04</v>
      </c>
      <c r="H3408" s="2">
        <v>2</v>
      </c>
      <c r="I3408" s="3">
        <v>-2.33</v>
      </c>
    </row>
    <row r="3409" spans="1:9" x14ac:dyDescent="0.3">
      <c r="A3409" s="4">
        <v>42987</v>
      </c>
      <c r="B3409" s="5" t="s">
        <v>681</v>
      </c>
      <c r="C3409" s="5" t="s">
        <v>14</v>
      </c>
      <c r="D3409" s="5" t="s">
        <v>2</v>
      </c>
      <c r="E3409" s="5" t="s">
        <v>11</v>
      </c>
      <c r="F3409" s="5" t="s">
        <v>1739</v>
      </c>
      <c r="G3409" s="5">
        <v>4.5</v>
      </c>
      <c r="H3409" s="5">
        <v>1</v>
      </c>
      <c r="I3409" s="6">
        <v>-3.6</v>
      </c>
    </row>
    <row r="3410" spans="1:9" x14ac:dyDescent="0.3">
      <c r="A3410" s="1">
        <v>42987</v>
      </c>
      <c r="B3410" s="2" t="s">
        <v>681</v>
      </c>
      <c r="C3410" s="2" t="s">
        <v>14</v>
      </c>
      <c r="D3410" s="2" t="s">
        <v>2</v>
      </c>
      <c r="E3410" s="2" t="s">
        <v>15</v>
      </c>
      <c r="F3410" s="2" t="s">
        <v>2254</v>
      </c>
      <c r="G3410" s="2">
        <v>4.67</v>
      </c>
      <c r="H3410" s="2">
        <v>1</v>
      </c>
      <c r="I3410" s="3">
        <v>1.58</v>
      </c>
    </row>
    <row r="3411" spans="1:9" x14ac:dyDescent="0.3">
      <c r="A3411" s="4">
        <v>42987</v>
      </c>
      <c r="B3411" s="5" t="s">
        <v>681</v>
      </c>
      <c r="C3411" s="5" t="s">
        <v>14</v>
      </c>
      <c r="D3411" s="5" t="s">
        <v>30</v>
      </c>
      <c r="E3411" s="5" t="s">
        <v>43</v>
      </c>
      <c r="F3411" s="5" t="s">
        <v>1106</v>
      </c>
      <c r="G3411" s="5">
        <v>95.88</v>
      </c>
      <c r="H3411" s="5">
        <v>3</v>
      </c>
      <c r="I3411" s="6">
        <v>28.76</v>
      </c>
    </row>
    <row r="3412" spans="1:9" x14ac:dyDescent="0.3">
      <c r="A3412" s="1">
        <v>42987</v>
      </c>
      <c r="B3412" s="2" t="s">
        <v>681</v>
      </c>
      <c r="C3412" s="2" t="s">
        <v>14</v>
      </c>
      <c r="D3412" s="2" t="s">
        <v>25</v>
      </c>
      <c r="E3412" s="2" t="s">
        <v>38</v>
      </c>
      <c r="F3412" s="2" t="s">
        <v>894</v>
      </c>
      <c r="G3412" s="2">
        <v>17.02</v>
      </c>
      <c r="H3412" s="2">
        <v>2</v>
      </c>
      <c r="I3412" s="3">
        <v>1.7</v>
      </c>
    </row>
    <row r="3413" spans="1:9" x14ac:dyDescent="0.3">
      <c r="A3413" s="4">
        <v>42987</v>
      </c>
      <c r="B3413" s="5" t="s">
        <v>681</v>
      </c>
      <c r="C3413" s="5" t="s">
        <v>14</v>
      </c>
      <c r="D3413" s="5" t="s">
        <v>30</v>
      </c>
      <c r="E3413" s="5" t="s">
        <v>43</v>
      </c>
      <c r="F3413" s="5" t="s">
        <v>1799</v>
      </c>
      <c r="G3413" s="5">
        <v>258.7</v>
      </c>
      <c r="H3413" s="5">
        <v>3</v>
      </c>
      <c r="I3413" s="6">
        <v>64.67</v>
      </c>
    </row>
    <row r="3414" spans="1:9" x14ac:dyDescent="0.3">
      <c r="A3414" s="1">
        <v>42987</v>
      </c>
      <c r="B3414" s="2" t="s">
        <v>681</v>
      </c>
      <c r="C3414" s="2" t="s">
        <v>14</v>
      </c>
      <c r="D3414" s="2" t="s">
        <v>30</v>
      </c>
      <c r="E3414" s="2" t="s">
        <v>31</v>
      </c>
      <c r="F3414" s="2" t="s">
        <v>2293</v>
      </c>
      <c r="G3414" s="2">
        <v>1931.96</v>
      </c>
      <c r="H3414" s="2">
        <v>7</v>
      </c>
      <c r="I3414" s="3">
        <v>-386.39</v>
      </c>
    </row>
    <row r="3415" spans="1:9" x14ac:dyDescent="0.3">
      <c r="A3415" s="4">
        <v>42987</v>
      </c>
      <c r="B3415" s="5" t="s">
        <v>329</v>
      </c>
      <c r="C3415" s="5" t="s">
        <v>138</v>
      </c>
      <c r="D3415" s="5" t="s">
        <v>2</v>
      </c>
      <c r="E3415" s="5" t="s">
        <v>9</v>
      </c>
      <c r="F3415" s="5" t="s">
        <v>2213</v>
      </c>
      <c r="G3415" s="5">
        <v>628.80999999999995</v>
      </c>
      <c r="H3415" s="5">
        <v>7</v>
      </c>
      <c r="I3415" s="6">
        <v>12.58</v>
      </c>
    </row>
    <row r="3416" spans="1:9" x14ac:dyDescent="0.3">
      <c r="A3416" s="1">
        <v>42987</v>
      </c>
      <c r="B3416" s="2" t="s">
        <v>329</v>
      </c>
      <c r="C3416" s="2" t="s">
        <v>138</v>
      </c>
      <c r="D3416" s="2" t="s">
        <v>2</v>
      </c>
      <c r="E3416" s="2" t="s">
        <v>9</v>
      </c>
      <c r="F3416" s="2" t="s">
        <v>878</v>
      </c>
      <c r="G3416" s="2">
        <v>56.45</v>
      </c>
      <c r="H3416" s="2">
        <v>5</v>
      </c>
      <c r="I3416" s="3">
        <v>14.68</v>
      </c>
    </row>
    <row r="3417" spans="1:9" x14ac:dyDescent="0.3">
      <c r="A3417" s="4">
        <v>42987</v>
      </c>
      <c r="B3417" s="5" t="s">
        <v>1450</v>
      </c>
      <c r="C3417" s="5" t="s">
        <v>411</v>
      </c>
      <c r="D3417" s="5" t="s">
        <v>2</v>
      </c>
      <c r="E3417" s="5" t="s">
        <v>144</v>
      </c>
      <c r="F3417" s="5" t="s">
        <v>429</v>
      </c>
      <c r="G3417" s="5">
        <v>8.83</v>
      </c>
      <c r="H3417" s="5">
        <v>3</v>
      </c>
      <c r="I3417" s="6">
        <v>-1.99</v>
      </c>
    </row>
    <row r="3418" spans="1:9" x14ac:dyDescent="0.3">
      <c r="A3418" s="1">
        <v>42987</v>
      </c>
      <c r="B3418" s="2" t="s">
        <v>1450</v>
      </c>
      <c r="C3418" s="2" t="s">
        <v>411</v>
      </c>
      <c r="D3418" s="2" t="s">
        <v>2</v>
      </c>
      <c r="E3418" s="2" t="s">
        <v>3</v>
      </c>
      <c r="F3418" s="2" t="s">
        <v>2294</v>
      </c>
      <c r="G3418" s="2">
        <v>177.54</v>
      </c>
      <c r="H3418" s="2">
        <v>4</v>
      </c>
      <c r="I3418" s="3">
        <v>62.14</v>
      </c>
    </row>
    <row r="3419" spans="1:9" x14ac:dyDescent="0.3">
      <c r="A3419" s="4">
        <v>42987</v>
      </c>
      <c r="B3419" s="5" t="s">
        <v>1450</v>
      </c>
      <c r="C3419" s="5" t="s">
        <v>411</v>
      </c>
      <c r="D3419" s="5" t="s">
        <v>2</v>
      </c>
      <c r="E3419" s="5" t="s">
        <v>9</v>
      </c>
      <c r="F3419" s="5" t="s">
        <v>1219</v>
      </c>
      <c r="G3419" s="5">
        <v>258.48</v>
      </c>
      <c r="H3419" s="5">
        <v>2</v>
      </c>
      <c r="I3419" s="6">
        <v>-3.23</v>
      </c>
    </row>
    <row r="3420" spans="1:9" x14ac:dyDescent="0.3">
      <c r="A3420" s="1">
        <v>42987</v>
      </c>
      <c r="B3420" s="2" t="s">
        <v>1450</v>
      </c>
      <c r="C3420" s="2" t="s">
        <v>411</v>
      </c>
      <c r="D3420" s="2" t="s">
        <v>25</v>
      </c>
      <c r="E3420" s="2" t="s">
        <v>38</v>
      </c>
      <c r="F3420" s="2" t="s">
        <v>167</v>
      </c>
      <c r="G3420" s="2">
        <v>14.14</v>
      </c>
      <c r="H3420" s="2">
        <v>3</v>
      </c>
      <c r="I3420" s="3">
        <v>4.24</v>
      </c>
    </row>
    <row r="3421" spans="1:9" x14ac:dyDescent="0.3">
      <c r="A3421" s="4">
        <v>42987</v>
      </c>
      <c r="B3421" s="5" t="s">
        <v>1643</v>
      </c>
      <c r="C3421" s="5" t="s">
        <v>160</v>
      </c>
      <c r="D3421" s="5" t="s">
        <v>2</v>
      </c>
      <c r="E3421" s="5" t="s">
        <v>114</v>
      </c>
      <c r="F3421" s="5" t="s">
        <v>401</v>
      </c>
      <c r="G3421" s="5">
        <v>17.48</v>
      </c>
      <c r="H3421" s="5">
        <v>2</v>
      </c>
      <c r="I3421" s="6">
        <v>8.2200000000000006</v>
      </c>
    </row>
    <row r="3422" spans="1:9" x14ac:dyDescent="0.3">
      <c r="A3422" s="1">
        <v>42987</v>
      </c>
      <c r="B3422" s="2" t="s">
        <v>333</v>
      </c>
      <c r="C3422" s="2" t="s">
        <v>253</v>
      </c>
      <c r="D3422" s="2" t="s">
        <v>2</v>
      </c>
      <c r="E3422" s="2" t="s">
        <v>3</v>
      </c>
      <c r="F3422" s="2" t="s">
        <v>2295</v>
      </c>
      <c r="G3422" s="2">
        <v>6.37</v>
      </c>
      <c r="H3422" s="2">
        <v>2</v>
      </c>
      <c r="I3422" s="3">
        <v>2.39</v>
      </c>
    </row>
    <row r="3423" spans="1:9" x14ac:dyDescent="0.3">
      <c r="A3423" s="4">
        <v>42987</v>
      </c>
      <c r="B3423" s="5" t="s">
        <v>823</v>
      </c>
      <c r="C3423" s="5" t="s">
        <v>18</v>
      </c>
      <c r="D3423" s="5" t="s">
        <v>2</v>
      </c>
      <c r="E3423" s="5" t="s">
        <v>15</v>
      </c>
      <c r="F3423" s="5" t="s">
        <v>2296</v>
      </c>
      <c r="G3423" s="5">
        <v>6.56</v>
      </c>
      <c r="H3423" s="5">
        <v>2</v>
      </c>
      <c r="I3423" s="6">
        <v>1.9</v>
      </c>
    </row>
    <row r="3424" spans="1:9" x14ac:dyDescent="0.3">
      <c r="A3424" s="1">
        <v>42987</v>
      </c>
      <c r="B3424" s="2" t="s">
        <v>823</v>
      </c>
      <c r="C3424" s="2" t="s">
        <v>18</v>
      </c>
      <c r="D3424" s="2" t="s">
        <v>25</v>
      </c>
      <c r="E3424" s="2" t="s">
        <v>26</v>
      </c>
      <c r="F3424" s="2" t="s">
        <v>1288</v>
      </c>
      <c r="G3424" s="2">
        <v>243.92</v>
      </c>
      <c r="H3424" s="2">
        <v>5</v>
      </c>
      <c r="I3424" s="3">
        <v>-15.25</v>
      </c>
    </row>
    <row r="3425" spans="1:9" x14ac:dyDescent="0.3">
      <c r="A3425" s="4">
        <v>42987</v>
      </c>
      <c r="B3425" s="5" t="s">
        <v>823</v>
      </c>
      <c r="C3425" s="5" t="s">
        <v>18</v>
      </c>
      <c r="D3425" s="5" t="s">
        <v>2</v>
      </c>
      <c r="E3425" s="5" t="s">
        <v>3</v>
      </c>
      <c r="F3425" s="5" t="s">
        <v>1007</v>
      </c>
      <c r="G3425" s="5">
        <v>47.52</v>
      </c>
      <c r="H3425" s="5">
        <v>9</v>
      </c>
      <c r="I3425" s="6">
        <v>22.81</v>
      </c>
    </row>
    <row r="3426" spans="1:9" x14ac:dyDescent="0.3">
      <c r="A3426" s="1">
        <v>42987</v>
      </c>
      <c r="B3426" s="2" t="s">
        <v>1517</v>
      </c>
      <c r="C3426" s="2" t="s">
        <v>18</v>
      </c>
      <c r="D3426" s="2" t="s">
        <v>2</v>
      </c>
      <c r="E3426" s="2" t="s">
        <v>9</v>
      </c>
      <c r="F3426" s="2" t="s">
        <v>2246</v>
      </c>
      <c r="G3426" s="2">
        <v>99.87</v>
      </c>
      <c r="H3426" s="2">
        <v>3</v>
      </c>
      <c r="I3426" s="3">
        <v>23.97</v>
      </c>
    </row>
    <row r="3427" spans="1:9" x14ac:dyDescent="0.3">
      <c r="A3427" s="4">
        <v>42987</v>
      </c>
      <c r="B3427" s="5" t="s">
        <v>2297</v>
      </c>
      <c r="C3427" s="5" t="s">
        <v>1</v>
      </c>
      <c r="D3427" s="5" t="s">
        <v>2</v>
      </c>
      <c r="E3427" s="5" t="s">
        <v>7</v>
      </c>
      <c r="F3427" s="5" t="s">
        <v>1962</v>
      </c>
      <c r="G3427" s="5">
        <v>9.86</v>
      </c>
      <c r="H3427" s="5">
        <v>4</v>
      </c>
      <c r="I3427" s="6">
        <v>3.45</v>
      </c>
    </row>
    <row r="3428" spans="1:9" x14ac:dyDescent="0.3">
      <c r="A3428" s="1">
        <v>42987</v>
      </c>
      <c r="B3428" s="2" t="s">
        <v>700</v>
      </c>
      <c r="C3428" s="2" t="s">
        <v>127</v>
      </c>
      <c r="D3428" s="2" t="s">
        <v>2</v>
      </c>
      <c r="E3428" s="2" t="s">
        <v>15</v>
      </c>
      <c r="F3428" s="2" t="s">
        <v>140</v>
      </c>
      <c r="G3428" s="2">
        <v>25.92</v>
      </c>
      <c r="H3428" s="2">
        <v>5</v>
      </c>
      <c r="I3428" s="3">
        <v>3.89</v>
      </c>
    </row>
    <row r="3429" spans="1:9" x14ac:dyDescent="0.3">
      <c r="A3429" s="4">
        <v>42987</v>
      </c>
      <c r="B3429" s="5" t="s">
        <v>700</v>
      </c>
      <c r="C3429" s="5" t="s">
        <v>127</v>
      </c>
      <c r="D3429" s="5" t="s">
        <v>25</v>
      </c>
      <c r="E3429" s="5" t="s">
        <v>38</v>
      </c>
      <c r="F3429" s="5" t="s">
        <v>347</v>
      </c>
      <c r="G3429" s="5">
        <v>66.11</v>
      </c>
      <c r="H3429" s="5">
        <v>2</v>
      </c>
      <c r="I3429" s="6">
        <v>-9.09</v>
      </c>
    </row>
    <row r="3430" spans="1:9" x14ac:dyDescent="0.3">
      <c r="A3430" s="1">
        <v>42987</v>
      </c>
      <c r="B3430" s="2" t="s">
        <v>945</v>
      </c>
      <c r="C3430" s="2" t="s">
        <v>18</v>
      </c>
      <c r="D3430" s="2" t="s">
        <v>30</v>
      </c>
      <c r="E3430" s="2" t="s">
        <v>43</v>
      </c>
      <c r="F3430" s="2" t="s">
        <v>2298</v>
      </c>
      <c r="G3430" s="2">
        <v>159.96</v>
      </c>
      <c r="H3430" s="2">
        <v>4</v>
      </c>
      <c r="I3430" s="3">
        <v>51.19</v>
      </c>
    </row>
    <row r="3431" spans="1:9" x14ac:dyDescent="0.3">
      <c r="A3431" s="4">
        <v>42987</v>
      </c>
      <c r="B3431" s="5" t="s">
        <v>1073</v>
      </c>
      <c r="C3431" s="5" t="s">
        <v>713</v>
      </c>
      <c r="D3431" s="5" t="s">
        <v>2</v>
      </c>
      <c r="E3431" s="5" t="s">
        <v>3</v>
      </c>
      <c r="F3431" s="5" t="s">
        <v>1624</v>
      </c>
      <c r="G3431" s="5">
        <v>31.1</v>
      </c>
      <c r="H3431" s="5">
        <v>6</v>
      </c>
      <c r="I3431" s="6">
        <v>11.28</v>
      </c>
    </row>
    <row r="3432" spans="1:9" x14ac:dyDescent="0.3">
      <c r="A3432" s="1">
        <v>42987</v>
      </c>
      <c r="B3432" s="2" t="s">
        <v>1073</v>
      </c>
      <c r="C3432" s="2" t="s">
        <v>713</v>
      </c>
      <c r="D3432" s="2" t="s">
        <v>2</v>
      </c>
      <c r="E3432" s="2" t="s">
        <v>133</v>
      </c>
      <c r="F3432" s="2" t="s">
        <v>1721</v>
      </c>
      <c r="G3432" s="2">
        <v>11.18</v>
      </c>
      <c r="H3432" s="2">
        <v>1</v>
      </c>
      <c r="I3432" s="3">
        <v>0.84</v>
      </c>
    </row>
    <row r="3433" spans="1:9" x14ac:dyDescent="0.3">
      <c r="A3433" s="4">
        <v>42987</v>
      </c>
      <c r="B3433" s="5" t="s">
        <v>758</v>
      </c>
      <c r="C3433" s="5" t="s">
        <v>127</v>
      </c>
      <c r="D3433" s="5" t="s">
        <v>2</v>
      </c>
      <c r="E3433" s="5" t="s">
        <v>7</v>
      </c>
      <c r="F3433" s="5" t="s">
        <v>606</v>
      </c>
      <c r="G3433" s="5">
        <v>17.71</v>
      </c>
      <c r="H3433" s="5">
        <v>6</v>
      </c>
      <c r="I3433" s="6">
        <v>5.98</v>
      </c>
    </row>
    <row r="3434" spans="1:9" x14ac:dyDescent="0.3">
      <c r="A3434" s="1">
        <v>42987</v>
      </c>
      <c r="B3434" s="2" t="s">
        <v>758</v>
      </c>
      <c r="C3434" s="2" t="s">
        <v>127</v>
      </c>
      <c r="D3434" s="2" t="s">
        <v>2</v>
      </c>
      <c r="E3434" s="2" t="s">
        <v>11</v>
      </c>
      <c r="F3434" s="2" t="s">
        <v>1287</v>
      </c>
      <c r="G3434" s="2">
        <v>4.8600000000000003</v>
      </c>
      <c r="H3434" s="2">
        <v>3</v>
      </c>
      <c r="I3434" s="3">
        <v>-3.56</v>
      </c>
    </row>
    <row r="3435" spans="1:9" x14ac:dyDescent="0.3">
      <c r="A3435" s="4">
        <v>42987</v>
      </c>
      <c r="B3435" s="5" t="s">
        <v>758</v>
      </c>
      <c r="C3435" s="5" t="s">
        <v>127</v>
      </c>
      <c r="D3435" s="5" t="s">
        <v>2</v>
      </c>
      <c r="E3435" s="5" t="s">
        <v>11</v>
      </c>
      <c r="F3435" s="5" t="s">
        <v>2299</v>
      </c>
      <c r="G3435" s="5">
        <v>6.26</v>
      </c>
      <c r="H3435" s="5">
        <v>2</v>
      </c>
      <c r="I3435" s="6">
        <v>-5.22</v>
      </c>
    </row>
    <row r="3436" spans="1:9" x14ac:dyDescent="0.3">
      <c r="A3436" s="1">
        <v>43017</v>
      </c>
      <c r="B3436" s="2" t="s">
        <v>1868</v>
      </c>
      <c r="C3436" s="2" t="s">
        <v>6</v>
      </c>
      <c r="D3436" s="2" t="s">
        <v>30</v>
      </c>
      <c r="E3436" s="2" t="s">
        <v>31</v>
      </c>
      <c r="F3436" s="2" t="s">
        <v>847</v>
      </c>
      <c r="G3436" s="2">
        <v>147.16999999999999</v>
      </c>
      <c r="H3436" s="2">
        <v>4</v>
      </c>
      <c r="I3436" s="3">
        <v>16.559999999999999</v>
      </c>
    </row>
    <row r="3437" spans="1:9" x14ac:dyDescent="0.3">
      <c r="A3437" s="4">
        <v>43017</v>
      </c>
      <c r="B3437" s="5" t="s">
        <v>239</v>
      </c>
      <c r="C3437" s="5" t="s">
        <v>18</v>
      </c>
      <c r="D3437" s="5" t="s">
        <v>25</v>
      </c>
      <c r="E3437" s="5" t="s">
        <v>26</v>
      </c>
      <c r="F3437" s="5" t="s">
        <v>845</v>
      </c>
      <c r="G3437" s="5">
        <v>362.35</v>
      </c>
      <c r="H3437" s="5">
        <v>3</v>
      </c>
      <c r="I3437" s="6">
        <v>27.18</v>
      </c>
    </row>
    <row r="3438" spans="1:9" x14ac:dyDescent="0.3">
      <c r="A3438" s="1">
        <v>43017</v>
      </c>
      <c r="B3438" s="2" t="s">
        <v>239</v>
      </c>
      <c r="C3438" s="2" t="s">
        <v>18</v>
      </c>
      <c r="D3438" s="2" t="s">
        <v>2</v>
      </c>
      <c r="E3438" s="2" t="s">
        <v>11</v>
      </c>
      <c r="F3438" s="2" t="s">
        <v>201</v>
      </c>
      <c r="G3438" s="2">
        <v>7.18</v>
      </c>
      <c r="H3438" s="2">
        <v>2</v>
      </c>
      <c r="I3438" s="3">
        <v>2.25</v>
      </c>
    </row>
    <row r="3439" spans="1:9" x14ac:dyDescent="0.3">
      <c r="A3439" s="4">
        <v>43017</v>
      </c>
      <c r="B3439" s="5" t="s">
        <v>2300</v>
      </c>
      <c r="C3439" s="5" t="s">
        <v>90</v>
      </c>
      <c r="D3439" s="5" t="s">
        <v>2</v>
      </c>
      <c r="E3439" s="5" t="s">
        <v>11</v>
      </c>
      <c r="F3439" s="5" t="s">
        <v>1287</v>
      </c>
      <c r="G3439" s="5">
        <v>16.2</v>
      </c>
      <c r="H3439" s="5">
        <v>3</v>
      </c>
      <c r="I3439" s="6">
        <v>7.78</v>
      </c>
    </row>
    <row r="3440" spans="1:9" x14ac:dyDescent="0.3">
      <c r="A3440" s="1">
        <v>43017</v>
      </c>
      <c r="B3440" s="2" t="s">
        <v>2300</v>
      </c>
      <c r="C3440" s="2" t="s">
        <v>90</v>
      </c>
      <c r="D3440" s="2" t="s">
        <v>2</v>
      </c>
      <c r="E3440" s="2" t="s">
        <v>133</v>
      </c>
      <c r="F3440" s="2" t="s">
        <v>675</v>
      </c>
      <c r="G3440" s="2">
        <v>33.99</v>
      </c>
      <c r="H3440" s="2">
        <v>3</v>
      </c>
      <c r="I3440" s="3">
        <v>14.62</v>
      </c>
    </row>
    <row r="3441" spans="1:9" x14ac:dyDescent="0.3">
      <c r="A3441" s="4">
        <v>43017</v>
      </c>
      <c r="B3441" s="5" t="s">
        <v>2300</v>
      </c>
      <c r="C3441" s="5" t="s">
        <v>90</v>
      </c>
      <c r="D3441" s="5" t="s">
        <v>30</v>
      </c>
      <c r="E3441" s="5" t="s">
        <v>43</v>
      </c>
      <c r="F3441" s="5" t="s">
        <v>751</v>
      </c>
      <c r="G3441" s="5">
        <v>296.85000000000002</v>
      </c>
      <c r="H3441" s="5">
        <v>5</v>
      </c>
      <c r="I3441" s="6">
        <v>53.43</v>
      </c>
    </row>
    <row r="3442" spans="1:9" x14ac:dyDescent="0.3">
      <c r="A3442" s="1">
        <v>43017</v>
      </c>
      <c r="B3442" s="2" t="s">
        <v>2300</v>
      </c>
      <c r="C3442" s="2" t="s">
        <v>90</v>
      </c>
      <c r="D3442" s="2" t="s">
        <v>30</v>
      </c>
      <c r="E3442" s="2" t="s">
        <v>43</v>
      </c>
      <c r="F3442" s="2" t="s">
        <v>1629</v>
      </c>
      <c r="G3442" s="2">
        <v>112.8</v>
      </c>
      <c r="H3442" s="2">
        <v>6</v>
      </c>
      <c r="I3442" s="3">
        <v>6.77</v>
      </c>
    </row>
    <row r="3443" spans="1:9" x14ac:dyDescent="0.3">
      <c r="A3443" s="4">
        <v>43017</v>
      </c>
      <c r="B3443" s="5" t="s">
        <v>2300</v>
      </c>
      <c r="C3443" s="5" t="s">
        <v>90</v>
      </c>
      <c r="D3443" s="5" t="s">
        <v>2</v>
      </c>
      <c r="E3443" s="5" t="s">
        <v>11</v>
      </c>
      <c r="F3443" s="5" t="s">
        <v>494</v>
      </c>
      <c r="G3443" s="5">
        <v>13.71</v>
      </c>
      <c r="H3443" s="5">
        <v>3</v>
      </c>
      <c r="I3443" s="6">
        <v>6.58</v>
      </c>
    </row>
    <row r="3444" spans="1:9" x14ac:dyDescent="0.3">
      <c r="A3444" s="1">
        <v>43017</v>
      </c>
      <c r="B3444" s="2" t="s">
        <v>2300</v>
      </c>
      <c r="C3444" s="2" t="s">
        <v>90</v>
      </c>
      <c r="D3444" s="2" t="s">
        <v>2</v>
      </c>
      <c r="E3444" s="2" t="s">
        <v>3</v>
      </c>
      <c r="F3444" s="2" t="s">
        <v>1575</v>
      </c>
      <c r="G3444" s="2">
        <v>24.9</v>
      </c>
      <c r="H3444" s="2">
        <v>5</v>
      </c>
      <c r="I3444" s="3">
        <v>11.7</v>
      </c>
    </row>
    <row r="3445" spans="1:9" x14ac:dyDescent="0.3">
      <c r="A3445" s="4">
        <v>43017</v>
      </c>
      <c r="B3445" s="5" t="s">
        <v>2300</v>
      </c>
      <c r="C3445" s="5" t="s">
        <v>90</v>
      </c>
      <c r="D3445" s="5" t="s">
        <v>2</v>
      </c>
      <c r="E3445" s="5" t="s">
        <v>9</v>
      </c>
      <c r="F3445" s="5" t="s">
        <v>2165</v>
      </c>
      <c r="G3445" s="5">
        <v>286.29000000000002</v>
      </c>
      <c r="H3445" s="5">
        <v>3</v>
      </c>
      <c r="I3445" s="6">
        <v>17.18</v>
      </c>
    </row>
    <row r="3446" spans="1:9" x14ac:dyDescent="0.3">
      <c r="A3446" s="1">
        <v>43017</v>
      </c>
      <c r="B3446" s="2" t="s">
        <v>2300</v>
      </c>
      <c r="C3446" s="2" t="s">
        <v>90</v>
      </c>
      <c r="D3446" s="2" t="s">
        <v>2</v>
      </c>
      <c r="E3446" s="2" t="s">
        <v>133</v>
      </c>
      <c r="F3446" s="2" t="s">
        <v>2301</v>
      </c>
      <c r="G3446" s="2">
        <v>24.18</v>
      </c>
      <c r="H3446" s="2">
        <v>2</v>
      </c>
      <c r="I3446" s="3">
        <v>7.25</v>
      </c>
    </row>
    <row r="3447" spans="1:9" x14ac:dyDescent="0.3">
      <c r="A3447" s="4">
        <v>43017</v>
      </c>
      <c r="B3447" s="5" t="s">
        <v>1404</v>
      </c>
      <c r="C3447" s="5" t="s">
        <v>6</v>
      </c>
      <c r="D3447" s="5" t="s">
        <v>2</v>
      </c>
      <c r="E3447" s="5" t="s">
        <v>11</v>
      </c>
      <c r="F3447" s="5" t="s">
        <v>921</v>
      </c>
      <c r="G3447" s="5">
        <v>762.59</v>
      </c>
      <c r="H3447" s="5">
        <v>3</v>
      </c>
      <c r="I3447" s="6">
        <v>-1143.8900000000001</v>
      </c>
    </row>
    <row r="3448" spans="1:9" x14ac:dyDescent="0.3">
      <c r="A3448" s="1">
        <v>43017</v>
      </c>
      <c r="B3448" s="2" t="s">
        <v>828</v>
      </c>
      <c r="C3448" s="2" t="s">
        <v>80</v>
      </c>
      <c r="D3448" s="2" t="s">
        <v>2</v>
      </c>
      <c r="E3448" s="2" t="s">
        <v>3</v>
      </c>
      <c r="F3448" s="2" t="s">
        <v>2302</v>
      </c>
      <c r="G3448" s="2">
        <v>18.760000000000002</v>
      </c>
      <c r="H3448" s="2">
        <v>2</v>
      </c>
      <c r="I3448" s="3">
        <v>9</v>
      </c>
    </row>
    <row r="3449" spans="1:9" x14ac:dyDescent="0.3">
      <c r="A3449" s="4">
        <v>43017</v>
      </c>
      <c r="B3449" s="5" t="s">
        <v>1395</v>
      </c>
      <c r="C3449" s="5" t="s">
        <v>181</v>
      </c>
      <c r="D3449" s="5" t="s">
        <v>2</v>
      </c>
      <c r="E3449" s="5" t="s">
        <v>15</v>
      </c>
      <c r="F3449" s="5" t="s">
        <v>1931</v>
      </c>
      <c r="G3449" s="5">
        <v>14.88</v>
      </c>
      <c r="H3449" s="5">
        <v>2</v>
      </c>
      <c r="I3449" s="6">
        <v>3.72</v>
      </c>
    </row>
    <row r="3450" spans="1:9" x14ac:dyDescent="0.3">
      <c r="A3450" s="1">
        <v>43017</v>
      </c>
      <c r="B3450" s="2" t="s">
        <v>807</v>
      </c>
      <c r="C3450" s="2" t="s">
        <v>127</v>
      </c>
      <c r="D3450" s="2" t="s">
        <v>2</v>
      </c>
      <c r="E3450" s="2" t="s">
        <v>3</v>
      </c>
      <c r="F3450" s="2" t="s">
        <v>1307</v>
      </c>
      <c r="G3450" s="2">
        <v>85.06</v>
      </c>
      <c r="H3450" s="2">
        <v>3</v>
      </c>
      <c r="I3450" s="3">
        <v>28.71</v>
      </c>
    </row>
    <row r="3451" spans="1:9" x14ac:dyDescent="0.3">
      <c r="A3451" s="4">
        <v>43017</v>
      </c>
      <c r="B3451" s="5" t="s">
        <v>661</v>
      </c>
      <c r="C3451" s="5" t="s">
        <v>21</v>
      </c>
      <c r="D3451" s="5" t="s">
        <v>2</v>
      </c>
      <c r="E3451" s="5" t="s">
        <v>11</v>
      </c>
      <c r="F3451" s="5" t="s">
        <v>2303</v>
      </c>
      <c r="G3451" s="5">
        <v>2.78</v>
      </c>
      <c r="H3451" s="5">
        <v>1</v>
      </c>
      <c r="I3451" s="6">
        <v>1.36</v>
      </c>
    </row>
    <row r="3452" spans="1:9" x14ac:dyDescent="0.3">
      <c r="A3452" s="1">
        <v>43017</v>
      </c>
      <c r="B3452" s="2" t="s">
        <v>1506</v>
      </c>
      <c r="C3452" s="2" t="s">
        <v>127</v>
      </c>
      <c r="D3452" s="2" t="s">
        <v>30</v>
      </c>
      <c r="E3452" s="2" t="s">
        <v>43</v>
      </c>
      <c r="F3452" s="2" t="s">
        <v>1069</v>
      </c>
      <c r="G3452" s="2">
        <v>37.06</v>
      </c>
      <c r="H3452" s="2">
        <v>4</v>
      </c>
      <c r="I3452" s="3">
        <v>8.8000000000000007</v>
      </c>
    </row>
    <row r="3453" spans="1:9" x14ac:dyDescent="0.3">
      <c r="A3453" s="4">
        <v>43017</v>
      </c>
      <c r="B3453" s="5" t="s">
        <v>1506</v>
      </c>
      <c r="C3453" s="5" t="s">
        <v>127</v>
      </c>
      <c r="D3453" s="5" t="s">
        <v>30</v>
      </c>
      <c r="E3453" s="5" t="s">
        <v>31</v>
      </c>
      <c r="F3453" s="5" t="s">
        <v>1479</v>
      </c>
      <c r="G3453" s="5">
        <v>259.89999999999998</v>
      </c>
      <c r="H3453" s="5">
        <v>2</v>
      </c>
      <c r="I3453" s="6">
        <v>-56.31</v>
      </c>
    </row>
    <row r="3454" spans="1:9" x14ac:dyDescent="0.3">
      <c r="A3454" s="1">
        <v>43048</v>
      </c>
      <c r="B3454" s="2" t="s">
        <v>982</v>
      </c>
      <c r="C3454" s="2" t="s">
        <v>58</v>
      </c>
      <c r="D3454" s="2" t="s">
        <v>25</v>
      </c>
      <c r="E3454" s="2" t="s">
        <v>38</v>
      </c>
      <c r="F3454" s="2" t="s">
        <v>469</v>
      </c>
      <c r="G3454" s="2">
        <v>34.5</v>
      </c>
      <c r="H3454" s="2">
        <v>1</v>
      </c>
      <c r="I3454" s="3">
        <v>6.04</v>
      </c>
    </row>
    <row r="3455" spans="1:9" x14ac:dyDescent="0.3">
      <c r="A3455" s="4">
        <v>43048</v>
      </c>
      <c r="B3455" s="5" t="s">
        <v>1710</v>
      </c>
      <c r="C3455" s="5" t="s">
        <v>21</v>
      </c>
      <c r="D3455" s="5" t="s">
        <v>2</v>
      </c>
      <c r="E3455" s="5" t="s">
        <v>3</v>
      </c>
      <c r="F3455" s="5" t="s">
        <v>1559</v>
      </c>
      <c r="G3455" s="5">
        <v>184.66</v>
      </c>
      <c r="H3455" s="5">
        <v>7</v>
      </c>
      <c r="I3455" s="6">
        <v>84.94</v>
      </c>
    </row>
    <row r="3456" spans="1:9" x14ac:dyDescent="0.3">
      <c r="A3456" s="1">
        <v>43048</v>
      </c>
      <c r="B3456" s="2" t="s">
        <v>1694</v>
      </c>
      <c r="C3456" s="2" t="s">
        <v>18</v>
      </c>
      <c r="D3456" s="2" t="s">
        <v>2</v>
      </c>
      <c r="E3456" s="2" t="s">
        <v>3</v>
      </c>
      <c r="F3456" s="2" t="s">
        <v>2015</v>
      </c>
      <c r="G3456" s="2">
        <v>12.96</v>
      </c>
      <c r="H3456" s="2">
        <v>2</v>
      </c>
      <c r="I3456" s="3">
        <v>6.22</v>
      </c>
    </row>
    <row r="3457" spans="1:9" x14ac:dyDescent="0.3">
      <c r="A3457" s="4">
        <v>43048</v>
      </c>
      <c r="B3457" s="5" t="s">
        <v>1694</v>
      </c>
      <c r="C3457" s="5" t="s">
        <v>18</v>
      </c>
      <c r="D3457" s="5" t="s">
        <v>2</v>
      </c>
      <c r="E3457" s="5" t="s">
        <v>114</v>
      </c>
      <c r="F3457" s="5" t="s">
        <v>1728</v>
      </c>
      <c r="G3457" s="5">
        <v>22.18</v>
      </c>
      <c r="H3457" s="5">
        <v>2</v>
      </c>
      <c r="I3457" s="6">
        <v>10.87</v>
      </c>
    </row>
    <row r="3458" spans="1:9" x14ac:dyDescent="0.3">
      <c r="A3458" s="1">
        <v>43048</v>
      </c>
      <c r="B3458" s="2" t="s">
        <v>1694</v>
      </c>
      <c r="C3458" s="2" t="s">
        <v>18</v>
      </c>
      <c r="D3458" s="2" t="s">
        <v>25</v>
      </c>
      <c r="E3458" s="2" t="s">
        <v>26</v>
      </c>
      <c r="F3458" s="2" t="s">
        <v>343</v>
      </c>
      <c r="G3458" s="2">
        <v>2054.27</v>
      </c>
      <c r="H3458" s="2">
        <v>8</v>
      </c>
      <c r="I3458" s="3">
        <v>256.77999999999997</v>
      </c>
    </row>
    <row r="3459" spans="1:9" x14ac:dyDescent="0.3">
      <c r="A3459" s="4">
        <v>43048</v>
      </c>
      <c r="B3459" s="5" t="s">
        <v>792</v>
      </c>
      <c r="C3459" s="5" t="s">
        <v>6</v>
      </c>
      <c r="D3459" s="5" t="s">
        <v>2</v>
      </c>
      <c r="E3459" s="5" t="s">
        <v>34</v>
      </c>
      <c r="F3459" s="5" t="s">
        <v>662</v>
      </c>
      <c r="G3459" s="5">
        <v>10.53</v>
      </c>
      <c r="H3459" s="5">
        <v>4</v>
      </c>
      <c r="I3459" s="6">
        <v>3.29</v>
      </c>
    </row>
    <row r="3460" spans="1:9" x14ac:dyDescent="0.3">
      <c r="A3460" s="1">
        <v>43048</v>
      </c>
      <c r="B3460" s="2" t="s">
        <v>792</v>
      </c>
      <c r="C3460" s="2" t="s">
        <v>6</v>
      </c>
      <c r="D3460" s="2" t="s">
        <v>2</v>
      </c>
      <c r="E3460" s="2" t="s">
        <v>3</v>
      </c>
      <c r="F3460" s="2" t="s">
        <v>2176</v>
      </c>
      <c r="G3460" s="2">
        <v>20.54</v>
      </c>
      <c r="H3460" s="2">
        <v>6</v>
      </c>
      <c r="I3460" s="3">
        <v>6.42</v>
      </c>
    </row>
    <row r="3461" spans="1:9" x14ac:dyDescent="0.3">
      <c r="A3461" s="4">
        <v>43048</v>
      </c>
      <c r="B3461" s="5" t="s">
        <v>2102</v>
      </c>
      <c r="C3461" s="5" t="s">
        <v>18</v>
      </c>
      <c r="D3461" s="5" t="s">
        <v>25</v>
      </c>
      <c r="E3461" s="5" t="s">
        <v>38</v>
      </c>
      <c r="F3461" s="5" t="s">
        <v>1903</v>
      </c>
      <c r="G3461" s="5">
        <v>32.36</v>
      </c>
      <c r="H3461" s="5">
        <v>4</v>
      </c>
      <c r="I3461" s="6">
        <v>11.65</v>
      </c>
    </row>
    <row r="3462" spans="1:9" x14ac:dyDescent="0.3">
      <c r="A3462" s="1">
        <v>43048</v>
      </c>
      <c r="B3462" s="2" t="s">
        <v>2102</v>
      </c>
      <c r="C3462" s="2" t="s">
        <v>18</v>
      </c>
      <c r="D3462" s="2" t="s">
        <v>2</v>
      </c>
      <c r="E3462" s="2" t="s">
        <v>133</v>
      </c>
      <c r="F3462" s="2" t="s">
        <v>1157</v>
      </c>
      <c r="G3462" s="2">
        <v>406.6</v>
      </c>
      <c r="H3462" s="2">
        <v>5</v>
      </c>
      <c r="I3462" s="3">
        <v>113.85</v>
      </c>
    </row>
    <row r="3463" spans="1:9" x14ac:dyDescent="0.3">
      <c r="A3463" s="4">
        <v>43048</v>
      </c>
      <c r="B3463" s="5" t="s">
        <v>1140</v>
      </c>
      <c r="C3463" s="5" t="s">
        <v>62</v>
      </c>
      <c r="D3463" s="5" t="s">
        <v>25</v>
      </c>
      <c r="E3463" s="5" t="s">
        <v>26</v>
      </c>
      <c r="F3463" s="5" t="s">
        <v>1953</v>
      </c>
      <c r="G3463" s="5">
        <v>177.57</v>
      </c>
      <c r="H3463" s="5">
        <v>2</v>
      </c>
      <c r="I3463" s="6">
        <v>8.8800000000000008</v>
      </c>
    </row>
    <row r="3464" spans="1:9" x14ac:dyDescent="0.3">
      <c r="A3464" s="1">
        <v>43048</v>
      </c>
      <c r="B3464" s="2" t="s">
        <v>1140</v>
      </c>
      <c r="C3464" s="2" t="s">
        <v>62</v>
      </c>
      <c r="D3464" s="2" t="s">
        <v>2</v>
      </c>
      <c r="E3464" s="2" t="s">
        <v>3</v>
      </c>
      <c r="F3464" s="2" t="s">
        <v>19</v>
      </c>
      <c r="G3464" s="2">
        <v>19.440000000000001</v>
      </c>
      <c r="H3464" s="2">
        <v>3</v>
      </c>
      <c r="I3464" s="3">
        <v>9.33</v>
      </c>
    </row>
    <row r="3465" spans="1:9" x14ac:dyDescent="0.3">
      <c r="A3465" s="4">
        <v>43048</v>
      </c>
      <c r="B3465" s="5" t="s">
        <v>1140</v>
      </c>
      <c r="C3465" s="5" t="s">
        <v>62</v>
      </c>
      <c r="D3465" s="5" t="s">
        <v>2</v>
      </c>
      <c r="E3465" s="5" t="s">
        <v>3</v>
      </c>
      <c r="F3465" s="5" t="s">
        <v>1448</v>
      </c>
      <c r="G3465" s="5">
        <v>71.28</v>
      </c>
      <c r="H3465" s="5">
        <v>11</v>
      </c>
      <c r="I3465" s="6">
        <v>34.21</v>
      </c>
    </row>
    <row r="3466" spans="1:9" x14ac:dyDescent="0.3">
      <c r="A3466" s="1">
        <v>43048</v>
      </c>
      <c r="B3466" s="2" t="s">
        <v>1140</v>
      </c>
      <c r="C3466" s="2" t="s">
        <v>62</v>
      </c>
      <c r="D3466" s="2" t="s">
        <v>2</v>
      </c>
      <c r="E3466" s="2" t="s">
        <v>11</v>
      </c>
      <c r="F3466" s="2" t="s">
        <v>586</v>
      </c>
      <c r="G3466" s="2">
        <v>1471.96</v>
      </c>
      <c r="H3466" s="2">
        <v>5</v>
      </c>
      <c r="I3466" s="3">
        <v>459.99</v>
      </c>
    </row>
    <row r="3467" spans="1:9" x14ac:dyDescent="0.3">
      <c r="A3467" s="4">
        <v>43048</v>
      </c>
      <c r="B3467" s="5" t="s">
        <v>1140</v>
      </c>
      <c r="C3467" s="5" t="s">
        <v>62</v>
      </c>
      <c r="D3467" s="5" t="s">
        <v>30</v>
      </c>
      <c r="E3467" s="5" t="s">
        <v>31</v>
      </c>
      <c r="F3467" s="5" t="s">
        <v>2304</v>
      </c>
      <c r="G3467" s="5">
        <v>79.959999999999994</v>
      </c>
      <c r="H3467" s="5">
        <v>5</v>
      </c>
      <c r="I3467" s="6">
        <v>-17.989999999999998</v>
      </c>
    </row>
    <row r="3468" spans="1:9" x14ac:dyDescent="0.3">
      <c r="A3468" s="1">
        <v>43048</v>
      </c>
      <c r="B3468" s="2" t="s">
        <v>1748</v>
      </c>
      <c r="C3468" s="2" t="s">
        <v>1</v>
      </c>
      <c r="D3468" s="2" t="s">
        <v>2</v>
      </c>
      <c r="E3468" s="2" t="s">
        <v>3</v>
      </c>
      <c r="F3468" s="2" t="s">
        <v>1198</v>
      </c>
      <c r="G3468" s="2">
        <v>10.27</v>
      </c>
      <c r="H3468" s="2">
        <v>3</v>
      </c>
      <c r="I3468" s="3">
        <v>3.21</v>
      </c>
    </row>
    <row r="3469" spans="1:9" x14ac:dyDescent="0.3">
      <c r="A3469" s="4">
        <v>43048</v>
      </c>
      <c r="B3469" s="5" t="s">
        <v>1748</v>
      </c>
      <c r="C3469" s="5" t="s">
        <v>1</v>
      </c>
      <c r="D3469" s="5" t="s">
        <v>25</v>
      </c>
      <c r="E3469" s="5" t="s">
        <v>86</v>
      </c>
      <c r="F3469" s="5" t="s">
        <v>1528</v>
      </c>
      <c r="G3469" s="5">
        <v>512.19000000000005</v>
      </c>
      <c r="H3469" s="5">
        <v>5</v>
      </c>
      <c r="I3469" s="6">
        <v>-65.849999999999994</v>
      </c>
    </row>
    <row r="3470" spans="1:9" x14ac:dyDescent="0.3">
      <c r="A3470" s="1">
        <v>43048</v>
      </c>
      <c r="B3470" s="2" t="s">
        <v>1748</v>
      </c>
      <c r="C3470" s="2" t="s">
        <v>1</v>
      </c>
      <c r="D3470" s="2" t="s">
        <v>2</v>
      </c>
      <c r="E3470" s="2" t="s">
        <v>133</v>
      </c>
      <c r="F3470" s="2" t="s">
        <v>391</v>
      </c>
      <c r="G3470" s="2">
        <v>1.56</v>
      </c>
      <c r="H3470" s="2">
        <v>2</v>
      </c>
      <c r="I3470" s="3">
        <v>-4.2</v>
      </c>
    </row>
    <row r="3471" spans="1:9" x14ac:dyDescent="0.3">
      <c r="A3471" s="4">
        <v>43048</v>
      </c>
      <c r="B3471" s="5" t="s">
        <v>807</v>
      </c>
      <c r="C3471" s="5" t="s">
        <v>18</v>
      </c>
      <c r="D3471" s="5" t="s">
        <v>30</v>
      </c>
      <c r="E3471" s="5" t="s">
        <v>31</v>
      </c>
      <c r="F3471" s="5" t="s">
        <v>1843</v>
      </c>
      <c r="G3471" s="5">
        <v>143.94999999999999</v>
      </c>
      <c r="H3471" s="5">
        <v>6</v>
      </c>
      <c r="I3471" s="6">
        <v>17.989999999999998</v>
      </c>
    </row>
    <row r="3472" spans="1:9" x14ac:dyDescent="0.3">
      <c r="A3472" s="1">
        <v>43048</v>
      </c>
      <c r="B3472" s="2" t="s">
        <v>807</v>
      </c>
      <c r="C3472" s="2" t="s">
        <v>18</v>
      </c>
      <c r="D3472" s="2" t="s">
        <v>2</v>
      </c>
      <c r="E3472" s="2" t="s">
        <v>3</v>
      </c>
      <c r="F3472" s="2" t="s">
        <v>1147</v>
      </c>
      <c r="G3472" s="2">
        <v>19.440000000000001</v>
      </c>
      <c r="H3472" s="2">
        <v>3</v>
      </c>
      <c r="I3472" s="3">
        <v>9.33</v>
      </c>
    </row>
    <row r="3473" spans="1:9" x14ac:dyDescent="0.3">
      <c r="A3473" s="4">
        <v>43048</v>
      </c>
      <c r="B3473" s="5" t="s">
        <v>2102</v>
      </c>
      <c r="C3473" s="5" t="s">
        <v>46</v>
      </c>
      <c r="D3473" s="5" t="s">
        <v>2</v>
      </c>
      <c r="E3473" s="5" t="s">
        <v>133</v>
      </c>
      <c r="F3473" s="5" t="s">
        <v>2091</v>
      </c>
      <c r="G3473" s="5">
        <v>67.900000000000006</v>
      </c>
      <c r="H3473" s="5">
        <v>5</v>
      </c>
      <c r="I3473" s="6">
        <v>20.37</v>
      </c>
    </row>
    <row r="3474" spans="1:9" x14ac:dyDescent="0.3">
      <c r="A3474" s="1">
        <v>43048</v>
      </c>
      <c r="B3474" s="2" t="s">
        <v>661</v>
      </c>
      <c r="C3474" s="2" t="s">
        <v>24</v>
      </c>
      <c r="D3474" s="2" t="s">
        <v>2</v>
      </c>
      <c r="E3474" s="2" t="s">
        <v>133</v>
      </c>
      <c r="F3474" s="2" t="s">
        <v>172</v>
      </c>
      <c r="G3474" s="2">
        <v>195.68</v>
      </c>
      <c r="H3474" s="2">
        <v>4</v>
      </c>
      <c r="I3474" s="3">
        <v>50.88</v>
      </c>
    </row>
    <row r="3475" spans="1:9" x14ac:dyDescent="0.3">
      <c r="A3475" s="4">
        <v>43048</v>
      </c>
      <c r="B3475" s="5" t="s">
        <v>661</v>
      </c>
      <c r="C3475" s="5" t="s">
        <v>24</v>
      </c>
      <c r="D3475" s="5" t="s">
        <v>2</v>
      </c>
      <c r="E3475" s="5" t="s">
        <v>34</v>
      </c>
      <c r="F3475" s="5" t="s">
        <v>518</v>
      </c>
      <c r="G3475" s="5">
        <v>14.2</v>
      </c>
      <c r="H3475" s="5">
        <v>4</v>
      </c>
      <c r="I3475" s="6">
        <v>6.67</v>
      </c>
    </row>
    <row r="3476" spans="1:9" x14ac:dyDescent="0.3">
      <c r="A3476" s="1">
        <v>43078</v>
      </c>
      <c r="B3476" s="2" t="s">
        <v>2305</v>
      </c>
      <c r="C3476" s="2" t="s">
        <v>18</v>
      </c>
      <c r="D3476" s="2" t="s">
        <v>25</v>
      </c>
      <c r="E3476" s="2" t="s">
        <v>38</v>
      </c>
      <c r="F3476" s="2" t="s">
        <v>1023</v>
      </c>
      <c r="G3476" s="2">
        <v>8.36</v>
      </c>
      <c r="H3476" s="2">
        <v>2</v>
      </c>
      <c r="I3476" s="3">
        <v>3.01</v>
      </c>
    </row>
    <row r="3477" spans="1:9" x14ac:dyDescent="0.3">
      <c r="A3477" s="4">
        <v>43078</v>
      </c>
      <c r="B3477" s="5" t="s">
        <v>2306</v>
      </c>
      <c r="C3477" s="5" t="s">
        <v>958</v>
      </c>
      <c r="D3477" s="5" t="s">
        <v>2</v>
      </c>
      <c r="E3477" s="5" t="s">
        <v>3</v>
      </c>
      <c r="F3477" s="5" t="s">
        <v>361</v>
      </c>
      <c r="G3477" s="5">
        <v>39.9</v>
      </c>
      <c r="H3477" s="5">
        <v>5</v>
      </c>
      <c r="I3477" s="6">
        <v>19.95</v>
      </c>
    </row>
    <row r="3478" spans="1:9" x14ac:dyDescent="0.3">
      <c r="A3478" s="1">
        <v>43078</v>
      </c>
      <c r="B3478" s="2" t="s">
        <v>2306</v>
      </c>
      <c r="C3478" s="2" t="s">
        <v>958</v>
      </c>
      <c r="D3478" s="2" t="s">
        <v>2</v>
      </c>
      <c r="E3478" s="2" t="s">
        <v>133</v>
      </c>
      <c r="F3478" s="2" t="s">
        <v>1917</v>
      </c>
      <c r="G3478" s="2">
        <v>90.86</v>
      </c>
      <c r="H3478" s="2">
        <v>7</v>
      </c>
      <c r="I3478" s="3">
        <v>26.35</v>
      </c>
    </row>
    <row r="3479" spans="1:9" x14ac:dyDescent="0.3">
      <c r="A3479" s="4">
        <v>43078</v>
      </c>
      <c r="B3479" s="5" t="s">
        <v>2306</v>
      </c>
      <c r="C3479" s="5" t="s">
        <v>958</v>
      </c>
      <c r="D3479" s="5" t="s">
        <v>2</v>
      </c>
      <c r="E3479" s="5" t="s">
        <v>3</v>
      </c>
      <c r="F3479" s="5" t="s">
        <v>1720</v>
      </c>
      <c r="G3479" s="5">
        <v>94.85</v>
      </c>
      <c r="H3479" s="5">
        <v>5</v>
      </c>
      <c r="I3479" s="6">
        <v>45.53</v>
      </c>
    </row>
    <row r="3480" spans="1:9" x14ac:dyDescent="0.3">
      <c r="A3480" s="1">
        <v>43078</v>
      </c>
      <c r="B3480" s="2" t="s">
        <v>2108</v>
      </c>
      <c r="C3480" s="2" t="s">
        <v>1300</v>
      </c>
      <c r="D3480" s="2" t="s">
        <v>2</v>
      </c>
      <c r="E3480" s="2" t="s">
        <v>3</v>
      </c>
      <c r="F3480" s="2" t="s">
        <v>206</v>
      </c>
      <c r="G3480" s="2">
        <v>45.36</v>
      </c>
      <c r="H3480" s="2">
        <v>7</v>
      </c>
      <c r="I3480" s="3">
        <v>21.77</v>
      </c>
    </row>
    <row r="3481" spans="1:9" x14ac:dyDescent="0.3">
      <c r="A3481" s="4">
        <v>43078</v>
      </c>
      <c r="B3481" s="5" t="s">
        <v>2108</v>
      </c>
      <c r="C3481" s="5" t="s">
        <v>1300</v>
      </c>
      <c r="D3481" s="5" t="s">
        <v>2</v>
      </c>
      <c r="E3481" s="5" t="s">
        <v>11</v>
      </c>
      <c r="F3481" s="5" t="s">
        <v>1128</v>
      </c>
      <c r="G3481" s="5">
        <v>45.78</v>
      </c>
      <c r="H3481" s="5">
        <v>3</v>
      </c>
      <c r="I3481" s="6">
        <v>22.89</v>
      </c>
    </row>
    <row r="3482" spans="1:9" x14ac:dyDescent="0.3">
      <c r="A3482" s="1">
        <v>43078</v>
      </c>
      <c r="B3482" s="2" t="s">
        <v>2037</v>
      </c>
      <c r="C3482" s="2" t="s">
        <v>18</v>
      </c>
      <c r="D3482" s="2" t="s">
        <v>2</v>
      </c>
      <c r="E3482" s="2" t="s">
        <v>3</v>
      </c>
      <c r="F3482" s="2" t="s">
        <v>209</v>
      </c>
      <c r="G3482" s="2">
        <v>166.44</v>
      </c>
      <c r="H3482" s="2">
        <v>3</v>
      </c>
      <c r="I3482" s="3">
        <v>79.89</v>
      </c>
    </row>
    <row r="3483" spans="1:9" x14ac:dyDescent="0.3">
      <c r="A3483" s="4">
        <v>42745</v>
      </c>
      <c r="B3483" s="5" t="s">
        <v>807</v>
      </c>
      <c r="C3483" s="5" t="s">
        <v>1</v>
      </c>
      <c r="D3483" s="5" t="s">
        <v>2</v>
      </c>
      <c r="E3483" s="5" t="s">
        <v>15</v>
      </c>
      <c r="F3483" s="5" t="s">
        <v>2307</v>
      </c>
      <c r="G3483" s="5">
        <v>6.67</v>
      </c>
      <c r="H3483" s="5">
        <v>6</v>
      </c>
      <c r="I3483" s="6">
        <v>0.5</v>
      </c>
    </row>
    <row r="3484" spans="1:9" x14ac:dyDescent="0.3">
      <c r="A3484" s="1">
        <v>42745</v>
      </c>
      <c r="B3484" s="2" t="s">
        <v>2049</v>
      </c>
      <c r="C3484" s="2" t="s">
        <v>62</v>
      </c>
      <c r="D3484" s="2" t="s">
        <v>2</v>
      </c>
      <c r="E3484" s="2" t="s">
        <v>3</v>
      </c>
      <c r="F3484" s="2" t="s">
        <v>2308</v>
      </c>
      <c r="G3484" s="2">
        <v>91.84</v>
      </c>
      <c r="H3484" s="2">
        <v>8</v>
      </c>
      <c r="I3484" s="3">
        <v>45</v>
      </c>
    </row>
    <row r="3485" spans="1:9" x14ac:dyDescent="0.3">
      <c r="A3485" s="4">
        <v>42745</v>
      </c>
      <c r="B3485" s="5" t="s">
        <v>2049</v>
      </c>
      <c r="C3485" s="5" t="s">
        <v>62</v>
      </c>
      <c r="D3485" s="5" t="s">
        <v>2</v>
      </c>
      <c r="E3485" s="5" t="s">
        <v>11</v>
      </c>
      <c r="F3485" s="5" t="s">
        <v>1569</v>
      </c>
      <c r="G3485" s="5">
        <v>81.09</v>
      </c>
      <c r="H3485" s="5">
        <v>7</v>
      </c>
      <c r="I3485" s="6">
        <v>27.37</v>
      </c>
    </row>
    <row r="3486" spans="1:9" x14ac:dyDescent="0.3">
      <c r="A3486" s="1">
        <v>42745</v>
      </c>
      <c r="B3486" s="2" t="s">
        <v>2049</v>
      </c>
      <c r="C3486" s="2" t="s">
        <v>62</v>
      </c>
      <c r="D3486" s="2" t="s">
        <v>2</v>
      </c>
      <c r="E3486" s="2" t="s">
        <v>3</v>
      </c>
      <c r="F3486" s="2" t="s">
        <v>1232</v>
      </c>
      <c r="G3486" s="2">
        <v>19.440000000000001</v>
      </c>
      <c r="H3486" s="2">
        <v>3</v>
      </c>
      <c r="I3486" s="3">
        <v>9.33</v>
      </c>
    </row>
    <row r="3487" spans="1:9" x14ac:dyDescent="0.3">
      <c r="A3487" s="4">
        <v>42745</v>
      </c>
      <c r="B3487" s="5" t="s">
        <v>2049</v>
      </c>
      <c r="C3487" s="5" t="s">
        <v>62</v>
      </c>
      <c r="D3487" s="5" t="s">
        <v>25</v>
      </c>
      <c r="E3487" s="5" t="s">
        <v>26</v>
      </c>
      <c r="F3487" s="5" t="s">
        <v>899</v>
      </c>
      <c r="G3487" s="5">
        <v>451.15</v>
      </c>
      <c r="H3487" s="5">
        <v>3</v>
      </c>
      <c r="I3487" s="6">
        <v>0</v>
      </c>
    </row>
    <row r="3488" spans="1:9" x14ac:dyDescent="0.3">
      <c r="A3488" s="1">
        <v>42745</v>
      </c>
      <c r="B3488" s="2" t="s">
        <v>2309</v>
      </c>
      <c r="C3488" s="2" t="s">
        <v>18</v>
      </c>
      <c r="D3488" s="2" t="s">
        <v>2</v>
      </c>
      <c r="E3488" s="2" t="s">
        <v>11</v>
      </c>
      <c r="F3488" s="2" t="s">
        <v>2087</v>
      </c>
      <c r="G3488" s="2">
        <v>1.44</v>
      </c>
      <c r="H3488" s="2">
        <v>1</v>
      </c>
      <c r="I3488" s="3">
        <v>0.5</v>
      </c>
    </row>
    <row r="3489" spans="1:9" x14ac:dyDescent="0.3">
      <c r="A3489" s="4">
        <v>42745</v>
      </c>
      <c r="B3489" s="5" t="s">
        <v>2309</v>
      </c>
      <c r="C3489" s="5" t="s">
        <v>18</v>
      </c>
      <c r="D3489" s="5" t="s">
        <v>2</v>
      </c>
      <c r="E3489" s="5" t="s">
        <v>11</v>
      </c>
      <c r="F3489" s="5" t="s">
        <v>314</v>
      </c>
      <c r="G3489" s="5">
        <v>61.78</v>
      </c>
      <c r="H3489" s="5">
        <v>13</v>
      </c>
      <c r="I3489" s="6">
        <v>20.85</v>
      </c>
    </row>
    <row r="3490" spans="1:9" x14ac:dyDescent="0.3">
      <c r="A3490" s="1">
        <v>42745</v>
      </c>
      <c r="B3490" s="2" t="s">
        <v>2309</v>
      </c>
      <c r="C3490" s="2" t="s">
        <v>18</v>
      </c>
      <c r="D3490" s="2" t="s">
        <v>2</v>
      </c>
      <c r="E3490" s="2" t="s">
        <v>133</v>
      </c>
      <c r="F3490" s="2" t="s">
        <v>1484</v>
      </c>
      <c r="G3490" s="2">
        <v>241.96</v>
      </c>
      <c r="H3490" s="2">
        <v>2</v>
      </c>
      <c r="I3490" s="3">
        <v>60.49</v>
      </c>
    </row>
    <row r="3491" spans="1:9" x14ac:dyDescent="0.3">
      <c r="A3491" s="4">
        <v>42745</v>
      </c>
      <c r="B3491" s="5" t="s">
        <v>2309</v>
      </c>
      <c r="C3491" s="5" t="s">
        <v>18</v>
      </c>
      <c r="D3491" s="5" t="s">
        <v>25</v>
      </c>
      <c r="E3491" s="5" t="s">
        <v>26</v>
      </c>
      <c r="F3491" s="5" t="s">
        <v>1379</v>
      </c>
      <c r="G3491" s="5">
        <v>108.61</v>
      </c>
      <c r="H3491" s="5">
        <v>4</v>
      </c>
      <c r="I3491" s="6">
        <v>9.5</v>
      </c>
    </row>
    <row r="3492" spans="1:9" x14ac:dyDescent="0.3">
      <c r="A3492" s="1">
        <v>42745</v>
      </c>
      <c r="B3492" s="2" t="s">
        <v>1478</v>
      </c>
      <c r="C3492" s="2" t="s">
        <v>80</v>
      </c>
      <c r="D3492" s="2" t="s">
        <v>30</v>
      </c>
      <c r="E3492" s="2" t="s">
        <v>625</v>
      </c>
      <c r="F3492" s="2" t="s">
        <v>1276</v>
      </c>
      <c r="G3492" s="2">
        <v>1704.89</v>
      </c>
      <c r="H3492" s="2">
        <v>11</v>
      </c>
      <c r="I3492" s="3">
        <v>767.2</v>
      </c>
    </row>
    <row r="3493" spans="1:9" x14ac:dyDescent="0.3">
      <c r="A3493" s="4">
        <v>42745</v>
      </c>
      <c r="B3493" s="5" t="s">
        <v>1089</v>
      </c>
      <c r="C3493" s="5" t="s">
        <v>767</v>
      </c>
      <c r="D3493" s="5" t="s">
        <v>2</v>
      </c>
      <c r="E3493" s="5" t="s">
        <v>3</v>
      </c>
      <c r="F3493" s="5" t="s">
        <v>2051</v>
      </c>
      <c r="G3493" s="5">
        <v>104.85</v>
      </c>
      <c r="H3493" s="5">
        <v>1</v>
      </c>
      <c r="I3493" s="6">
        <v>50.33</v>
      </c>
    </row>
    <row r="3494" spans="1:9" x14ac:dyDescent="0.3">
      <c r="A3494" s="1">
        <v>42745</v>
      </c>
      <c r="B3494" s="2" t="s">
        <v>778</v>
      </c>
      <c r="C3494" s="2" t="s">
        <v>18</v>
      </c>
      <c r="D3494" s="2" t="s">
        <v>30</v>
      </c>
      <c r="E3494" s="2" t="s">
        <v>43</v>
      </c>
      <c r="F3494" s="2" t="s">
        <v>2310</v>
      </c>
      <c r="G3494" s="2">
        <v>104.75</v>
      </c>
      <c r="H3494" s="2">
        <v>5</v>
      </c>
      <c r="I3494" s="3">
        <v>22</v>
      </c>
    </row>
    <row r="3495" spans="1:9" x14ac:dyDescent="0.3">
      <c r="A3495" s="4">
        <v>42776</v>
      </c>
      <c r="B3495" s="5" t="s">
        <v>557</v>
      </c>
      <c r="C3495" s="5" t="s">
        <v>160</v>
      </c>
      <c r="D3495" s="5" t="s">
        <v>2</v>
      </c>
      <c r="E3495" s="5" t="s">
        <v>11</v>
      </c>
      <c r="F3495" s="5" t="s">
        <v>2099</v>
      </c>
      <c r="G3495" s="5">
        <v>58.05</v>
      </c>
      <c r="H3495" s="5">
        <v>3</v>
      </c>
      <c r="I3495" s="6">
        <v>26.7</v>
      </c>
    </row>
    <row r="3496" spans="1:9" x14ac:dyDescent="0.3">
      <c r="A3496" s="1">
        <v>42776</v>
      </c>
      <c r="B3496" s="2" t="s">
        <v>557</v>
      </c>
      <c r="C3496" s="2" t="s">
        <v>160</v>
      </c>
      <c r="D3496" s="2" t="s">
        <v>25</v>
      </c>
      <c r="E3496" s="2" t="s">
        <v>38</v>
      </c>
      <c r="F3496" s="2" t="s">
        <v>2311</v>
      </c>
      <c r="G3496" s="2">
        <v>157.74</v>
      </c>
      <c r="H3496" s="2">
        <v>11</v>
      </c>
      <c r="I3496" s="3">
        <v>56.79</v>
      </c>
    </row>
    <row r="3497" spans="1:9" x14ac:dyDescent="0.3">
      <c r="A3497" s="4">
        <v>42776</v>
      </c>
      <c r="B3497" s="5" t="s">
        <v>557</v>
      </c>
      <c r="C3497" s="5" t="s">
        <v>160</v>
      </c>
      <c r="D3497" s="5" t="s">
        <v>2</v>
      </c>
      <c r="E3497" s="5" t="s">
        <v>15</v>
      </c>
      <c r="F3497" s="5" t="s">
        <v>16</v>
      </c>
      <c r="G3497" s="5">
        <v>56.98</v>
      </c>
      <c r="H3497" s="5">
        <v>7</v>
      </c>
      <c r="I3497" s="6">
        <v>22.79</v>
      </c>
    </row>
    <row r="3498" spans="1:9" x14ac:dyDescent="0.3">
      <c r="A3498" s="1">
        <v>42776</v>
      </c>
      <c r="B3498" s="2" t="s">
        <v>557</v>
      </c>
      <c r="C3498" s="2" t="s">
        <v>160</v>
      </c>
      <c r="D3498" s="2" t="s">
        <v>2</v>
      </c>
      <c r="E3498" s="2" t="s">
        <v>11</v>
      </c>
      <c r="F3498" s="2" t="s">
        <v>443</v>
      </c>
      <c r="G3498" s="2">
        <v>2.88</v>
      </c>
      <c r="H3498" s="2">
        <v>1</v>
      </c>
      <c r="I3498" s="3">
        <v>1.41</v>
      </c>
    </row>
    <row r="3499" spans="1:9" x14ac:dyDescent="0.3">
      <c r="A3499" s="4">
        <v>42776</v>
      </c>
      <c r="B3499" s="5" t="s">
        <v>1210</v>
      </c>
      <c r="C3499" s="5" t="s">
        <v>80</v>
      </c>
      <c r="D3499" s="5" t="s">
        <v>2</v>
      </c>
      <c r="E3499" s="5" t="s">
        <v>3</v>
      </c>
      <c r="F3499" s="5" t="s">
        <v>2084</v>
      </c>
      <c r="G3499" s="5">
        <v>49.12</v>
      </c>
      <c r="H3499" s="5">
        <v>4</v>
      </c>
      <c r="I3499" s="6">
        <v>23.09</v>
      </c>
    </row>
    <row r="3500" spans="1:9" x14ac:dyDescent="0.3">
      <c r="A3500" s="1">
        <v>42776</v>
      </c>
      <c r="B3500" s="2" t="s">
        <v>1677</v>
      </c>
      <c r="C3500" s="2" t="s">
        <v>80</v>
      </c>
      <c r="D3500" s="2" t="s">
        <v>30</v>
      </c>
      <c r="E3500" s="2" t="s">
        <v>31</v>
      </c>
      <c r="F3500" s="2" t="s">
        <v>2312</v>
      </c>
      <c r="G3500" s="2">
        <v>65.989999999999995</v>
      </c>
      <c r="H3500" s="2">
        <v>1</v>
      </c>
      <c r="I3500" s="3">
        <v>17.16</v>
      </c>
    </row>
    <row r="3501" spans="1:9" x14ac:dyDescent="0.3">
      <c r="A3501" s="4">
        <v>42776</v>
      </c>
      <c r="B3501" s="5" t="s">
        <v>2239</v>
      </c>
      <c r="C3501" s="5" t="s">
        <v>62</v>
      </c>
      <c r="D3501" s="5" t="s">
        <v>2</v>
      </c>
      <c r="E3501" s="5" t="s">
        <v>34</v>
      </c>
      <c r="F3501" s="5" t="s">
        <v>56</v>
      </c>
      <c r="G3501" s="5">
        <v>8.94</v>
      </c>
      <c r="H3501" s="5">
        <v>3</v>
      </c>
      <c r="I3501" s="6">
        <v>4.1100000000000003</v>
      </c>
    </row>
    <row r="3502" spans="1:9" x14ac:dyDescent="0.3">
      <c r="A3502" s="1">
        <v>42776</v>
      </c>
      <c r="B3502" s="2" t="s">
        <v>2239</v>
      </c>
      <c r="C3502" s="2" t="s">
        <v>62</v>
      </c>
      <c r="D3502" s="2" t="s">
        <v>30</v>
      </c>
      <c r="E3502" s="2" t="s">
        <v>31</v>
      </c>
      <c r="F3502" s="2" t="s">
        <v>2313</v>
      </c>
      <c r="G3502" s="2">
        <v>84.78</v>
      </c>
      <c r="H3502" s="2">
        <v>2</v>
      </c>
      <c r="I3502" s="3">
        <v>-20.14</v>
      </c>
    </row>
    <row r="3503" spans="1:9" x14ac:dyDescent="0.3">
      <c r="A3503" s="4">
        <v>42776</v>
      </c>
      <c r="B3503" s="5" t="s">
        <v>507</v>
      </c>
      <c r="C3503" s="5" t="s">
        <v>18</v>
      </c>
      <c r="D3503" s="5" t="s">
        <v>2</v>
      </c>
      <c r="E3503" s="5" t="s">
        <v>11</v>
      </c>
      <c r="F3503" s="5" t="s">
        <v>598</v>
      </c>
      <c r="G3503" s="5">
        <v>112.12</v>
      </c>
      <c r="H3503" s="5">
        <v>5</v>
      </c>
      <c r="I3503" s="6">
        <v>42.05</v>
      </c>
    </row>
    <row r="3504" spans="1:9" x14ac:dyDescent="0.3">
      <c r="A3504" s="1">
        <v>42776</v>
      </c>
      <c r="B3504" s="2" t="s">
        <v>507</v>
      </c>
      <c r="C3504" s="2" t="s">
        <v>18</v>
      </c>
      <c r="D3504" s="2" t="s">
        <v>2</v>
      </c>
      <c r="E3504" s="2" t="s">
        <v>9</v>
      </c>
      <c r="F3504" s="2" t="s">
        <v>866</v>
      </c>
      <c r="G3504" s="2">
        <v>1575.14</v>
      </c>
      <c r="H3504" s="2">
        <v>7</v>
      </c>
      <c r="I3504" s="3">
        <v>204.77</v>
      </c>
    </row>
    <row r="3505" spans="1:9" x14ac:dyDescent="0.3">
      <c r="A3505" s="4">
        <v>42776</v>
      </c>
      <c r="B3505" s="5" t="s">
        <v>789</v>
      </c>
      <c r="C3505" s="5" t="s">
        <v>411</v>
      </c>
      <c r="D3505" s="5" t="s">
        <v>25</v>
      </c>
      <c r="E3505" s="5" t="s">
        <v>38</v>
      </c>
      <c r="F3505" s="5" t="s">
        <v>1304</v>
      </c>
      <c r="G3505" s="5">
        <v>11.81</v>
      </c>
      <c r="H3505" s="5">
        <v>2</v>
      </c>
      <c r="I3505" s="6">
        <v>1.33</v>
      </c>
    </row>
    <row r="3506" spans="1:9" x14ac:dyDescent="0.3">
      <c r="A3506" s="1">
        <v>42776</v>
      </c>
      <c r="B3506" s="2" t="s">
        <v>789</v>
      </c>
      <c r="C3506" s="2" t="s">
        <v>411</v>
      </c>
      <c r="D3506" s="2" t="s">
        <v>25</v>
      </c>
      <c r="E3506" s="2" t="s">
        <v>38</v>
      </c>
      <c r="F3506" s="2" t="s">
        <v>1859</v>
      </c>
      <c r="G3506" s="2">
        <v>9.66</v>
      </c>
      <c r="H3506" s="2">
        <v>1</v>
      </c>
      <c r="I3506" s="3">
        <v>1.57</v>
      </c>
    </row>
    <row r="3507" spans="1:9" x14ac:dyDescent="0.3">
      <c r="A3507" s="4">
        <v>42776</v>
      </c>
      <c r="B3507" s="5" t="s">
        <v>789</v>
      </c>
      <c r="C3507" s="5" t="s">
        <v>411</v>
      </c>
      <c r="D3507" s="5" t="s">
        <v>2</v>
      </c>
      <c r="E3507" s="5" t="s">
        <v>3</v>
      </c>
      <c r="F3507" s="5" t="s">
        <v>2015</v>
      </c>
      <c r="G3507" s="5">
        <v>20.74</v>
      </c>
      <c r="H3507" s="5">
        <v>4</v>
      </c>
      <c r="I3507" s="6">
        <v>7.26</v>
      </c>
    </row>
    <row r="3508" spans="1:9" x14ac:dyDescent="0.3">
      <c r="A3508" s="1">
        <v>42776</v>
      </c>
      <c r="B3508" s="2" t="s">
        <v>789</v>
      </c>
      <c r="C3508" s="2" t="s">
        <v>411</v>
      </c>
      <c r="D3508" s="2" t="s">
        <v>2</v>
      </c>
      <c r="E3508" s="2" t="s">
        <v>11</v>
      </c>
      <c r="F3508" s="2" t="s">
        <v>1955</v>
      </c>
      <c r="G3508" s="2">
        <v>27.36</v>
      </c>
      <c r="H3508" s="2">
        <v>3</v>
      </c>
      <c r="I3508" s="3">
        <v>-21.89</v>
      </c>
    </row>
    <row r="3509" spans="1:9" x14ac:dyDescent="0.3">
      <c r="A3509" s="4">
        <v>42776</v>
      </c>
      <c r="B3509" s="5" t="s">
        <v>789</v>
      </c>
      <c r="C3509" s="5" t="s">
        <v>411</v>
      </c>
      <c r="D3509" s="5" t="s">
        <v>25</v>
      </c>
      <c r="E3509" s="5" t="s">
        <v>86</v>
      </c>
      <c r="F3509" s="5" t="s">
        <v>2282</v>
      </c>
      <c r="G3509" s="5">
        <v>2314.12</v>
      </c>
      <c r="H3509" s="5">
        <v>7</v>
      </c>
      <c r="I3509" s="6">
        <v>-1002.78</v>
      </c>
    </row>
    <row r="3510" spans="1:9" x14ac:dyDescent="0.3">
      <c r="A3510" s="1">
        <v>42776</v>
      </c>
      <c r="B3510" s="2" t="s">
        <v>789</v>
      </c>
      <c r="C3510" s="2" t="s">
        <v>411</v>
      </c>
      <c r="D3510" s="2" t="s">
        <v>2</v>
      </c>
      <c r="E3510" s="2" t="s">
        <v>11</v>
      </c>
      <c r="F3510" s="2" t="s">
        <v>2314</v>
      </c>
      <c r="G3510" s="2">
        <v>34.24</v>
      </c>
      <c r="H3510" s="2">
        <v>4</v>
      </c>
      <c r="I3510" s="3">
        <v>-26.25</v>
      </c>
    </row>
    <row r="3511" spans="1:9" x14ac:dyDescent="0.3">
      <c r="A3511" s="4">
        <v>42776</v>
      </c>
      <c r="B3511" s="5" t="s">
        <v>789</v>
      </c>
      <c r="C3511" s="5" t="s">
        <v>411</v>
      </c>
      <c r="D3511" s="5" t="s">
        <v>25</v>
      </c>
      <c r="E3511" s="5" t="s">
        <v>38</v>
      </c>
      <c r="F3511" s="5" t="s">
        <v>592</v>
      </c>
      <c r="G3511" s="5">
        <v>19.760000000000002</v>
      </c>
      <c r="H3511" s="5">
        <v>2</v>
      </c>
      <c r="I3511" s="6">
        <v>5.93</v>
      </c>
    </row>
    <row r="3512" spans="1:9" x14ac:dyDescent="0.3">
      <c r="A3512" s="1">
        <v>42776</v>
      </c>
      <c r="B3512" s="2" t="s">
        <v>2315</v>
      </c>
      <c r="C3512" s="2" t="s">
        <v>244</v>
      </c>
      <c r="D3512" s="2" t="s">
        <v>25</v>
      </c>
      <c r="E3512" s="2" t="s">
        <v>38</v>
      </c>
      <c r="F3512" s="2" t="s">
        <v>2316</v>
      </c>
      <c r="G3512" s="2">
        <v>10.16</v>
      </c>
      <c r="H3512" s="2">
        <v>2</v>
      </c>
      <c r="I3512" s="3">
        <v>3.45</v>
      </c>
    </row>
    <row r="3513" spans="1:9" x14ac:dyDescent="0.3">
      <c r="A3513" s="4">
        <v>42776</v>
      </c>
      <c r="B3513" s="5" t="s">
        <v>2317</v>
      </c>
      <c r="C3513" s="5" t="s">
        <v>713</v>
      </c>
      <c r="D3513" s="5" t="s">
        <v>25</v>
      </c>
      <c r="E3513" s="5" t="s">
        <v>129</v>
      </c>
      <c r="F3513" s="5" t="s">
        <v>130</v>
      </c>
      <c r="G3513" s="5">
        <v>217.76</v>
      </c>
      <c r="H3513" s="5">
        <v>6</v>
      </c>
      <c r="I3513" s="6">
        <v>-384.72</v>
      </c>
    </row>
    <row r="3514" spans="1:9" x14ac:dyDescent="0.3">
      <c r="A3514" s="1">
        <v>42776</v>
      </c>
      <c r="B3514" s="2" t="s">
        <v>2317</v>
      </c>
      <c r="C3514" s="2" t="s">
        <v>713</v>
      </c>
      <c r="D3514" s="2" t="s">
        <v>2</v>
      </c>
      <c r="E3514" s="2" t="s">
        <v>144</v>
      </c>
      <c r="F3514" s="2" t="s">
        <v>1844</v>
      </c>
      <c r="G3514" s="2">
        <v>39.07</v>
      </c>
      <c r="H3514" s="2">
        <v>6</v>
      </c>
      <c r="I3514" s="3">
        <v>4.4000000000000004</v>
      </c>
    </row>
    <row r="3515" spans="1:9" x14ac:dyDescent="0.3">
      <c r="A3515" s="4">
        <v>42776</v>
      </c>
      <c r="B3515" s="5" t="s">
        <v>2317</v>
      </c>
      <c r="C3515" s="5" t="s">
        <v>713</v>
      </c>
      <c r="D3515" s="5" t="s">
        <v>2</v>
      </c>
      <c r="E3515" s="5" t="s">
        <v>11</v>
      </c>
      <c r="F3515" s="5" t="s">
        <v>69</v>
      </c>
      <c r="G3515" s="5">
        <v>22.64</v>
      </c>
      <c r="H3515" s="5">
        <v>7</v>
      </c>
      <c r="I3515" s="6">
        <v>-16.600000000000001</v>
      </c>
    </row>
    <row r="3516" spans="1:9" x14ac:dyDescent="0.3">
      <c r="A3516" s="1">
        <v>42776</v>
      </c>
      <c r="B3516" s="2" t="s">
        <v>2317</v>
      </c>
      <c r="C3516" s="2" t="s">
        <v>713</v>
      </c>
      <c r="D3516" s="2" t="s">
        <v>2</v>
      </c>
      <c r="E3516" s="2" t="s">
        <v>15</v>
      </c>
      <c r="F3516" s="2" t="s">
        <v>1675</v>
      </c>
      <c r="G3516" s="2">
        <v>95.14</v>
      </c>
      <c r="H3516" s="2">
        <v>7</v>
      </c>
      <c r="I3516" s="3">
        <v>10.7</v>
      </c>
    </row>
    <row r="3517" spans="1:9" x14ac:dyDescent="0.3">
      <c r="A3517" s="4">
        <v>42776</v>
      </c>
      <c r="B3517" s="5" t="s">
        <v>2318</v>
      </c>
      <c r="C3517" s="5" t="s">
        <v>18</v>
      </c>
      <c r="D3517" s="5" t="s">
        <v>25</v>
      </c>
      <c r="E3517" s="5" t="s">
        <v>38</v>
      </c>
      <c r="F3517" s="5" t="s">
        <v>1829</v>
      </c>
      <c r="G3517" s="5">
        <v>17.46</v>
      </c>
      <c r="H3517" s="5">
        <v>2</v>
      </c>
      <c r="I3517" s="6">
        <v>5.94</v>
      </c>
    </row>
    <row r="3518" spans="1:9" x14ac:dyDescent="0.3">
      <c r="A3518" s="1">
        <v>42776</v>
      </c>
      <c r="B3518" s="2" t="s">
        <v>2318</v>
      </c>
      <c r="C3518" s="2" t="s">
        <v>18</v>
      </c>
      <c r="D3518" s="2" t="s">
        <v>30</v>
      </c>
      <c r="E3518" s="2" t="s">
        <v>625</v>
      </c>
      <c r="F3518" s="2" t="s">
        <v>2319</v>
      </c>
      <c r="G3518" s="2">
        <v>369.16</v>
      </c>
      <c r="H3518" s="2">
        <v>11</v>
      </c>
      <c r="I3518" s="3">
        <v>32.299999999999997</v>
      </c>
    </row>
    <row r="3519" spans="1:9" x14ac:dyDescent="0.3">
      <c r="A3519" s="4">
        <v>42776</v>
      </c>
      <c r="B3519" s="5" t="s">
        <v>1536</v>
      </c>
      <c r="C3519" s="5" t="s">
        <v>1</v>
      </c>
      <c r="D3519" s="5" t="s">
        <v>2</v>
      </c>
      <c r="E3519" s="5" t="s">
        <v>133</v>
      </c>
      <c r="F3519" s="5" t="s">
        <v>562</v>
      </c>
      <c r="G3519" s="5">
        <v>15.22</v>
      </c>
      <c r="H3519" s="5">
        <v>2</v>
      </c>
      <c r="I3519" s="6">
        <v>-38.82</v>
      </c>
    </row>
    <row r="3520" spans="1:9" x14ac:dyDescent="0.3">
      <c r="A3520" s="1">
        <v>42776</v>
      </c>
      <c r="B3520" s="2" t="s">
        <v>1536</v>
      </c>
      <c r="C3520" s="2" t="s">
        <v>1</v>
      </c>
      <c r="D3520" s="2" t="s">
        <v>2</v>
      </c>
      <c r="E3520" s="2" t="s">
        <v>133</v>
      </c>
      <c r="F3520" s="2" t="s">
        <v>2320</v>
      </c>
      <c r="G3520" s="2">
        <v>21.98</v>
      </c>
      <c r="H3520" s="2">
        <v>6</v>
      </c>
      <c r="I3520" s="3">
        <v>-56.06</v>
      </c>
    </row>
    <row r="3521" spans="1:9" x14ac:dyDescent="0.3">
      <c r="A3521" s="4">
        <v>42804</v>
      </c>
      <c r="B3521" s="5" t="s">
        <v>1512</v>
      </c>
      <c r="C3521" s="5" t="s">
        <v>359</v>
      </c>
      <c r="D3521" s="5" t="s">
        <v>2</v>
      </c>
      <c r="E3521" s="5" t="s">
        <v>11</v>
      </c>
      <c r="F3521" s="5" t="s">
        <v>627</v>
      </c>
      <c r="G3521" s="5">
        <v>1793.98</v>
      </c>
      <c r="H3521" s="5">
        <v>2</v>
      </c>
      <c r="I3521" s="6">
        <v>843.17</v>
      </c>
    </row>
    <row r="3522" spans="1:9" x14ac:dyDescent="0.3">
      <c r="A3522" s="1">
        <v>42804</v>
      </c>
      <c r="B3522" s="2" t="s">
        <v>356</v>
      </c>
      <c r="C3522" s="2" t="s">
        <v>80</v>
      </c>
      <c r="D3522" s="2" t="s">
        <v>2</v>
      </c>
      <c r="E3522" s="2" t="s">
        <v>9</v>
      </c>
      <c r="F3522" s="2" t="s">
        <v>878</v>
      </c>
      <c r="G3522" s="2">
        <v>22.58</v>
      </c>
      <c r="H3522" s="2">
        <v>2</v>
      </c>
      <c r="I3522" s="3">
        <v>5.87</v>
      </c>
    </row>
    <row r="3523" spans="1:9" x14ac:dyDescent="0.3">
      <c r="A3523" s="4">
        <v>42804</v>
      </c>
      <c r="B3523" s="5" t="s">
        <v>2089</v>
      </c>
      <c r="C3523" s="5" t="s">
        <v>18</v>
      </c>
      <c r="D3523" s="5" t="s">
        <v>25</v>
      </c>
      <c r="E3523" s="5" t="s">
        <v>86</v>
      </c>
      <c r="F3523" s="5" t="s">
        <v>1291</v>
      </c>
      <c r="G3523" s="5">
        <v>171.29</v>
      </c>
      <c r="H3523" s="5">
        <v>3</v>
      </c>
      <c r="I3523" s="6">
        <v>-6.42</v>
      </c>
    </row>
    <row r="3524" spans="1:9" x14ac:dyDescent="0.3">
      <c r="A3524" s="1">
        <v>42804</v>
      </c>
      <c r="B3524" s="2" t="s">
        <v>822</v>
      </c>
      <c r="C3524" s="2" t="s">
        <v>58</v>
      </c>
      <c r="D3524" s="2" t="s">
        <v>2</v>
      </c>
      <c r="E3524" s="2" t="s">
        <v>3</v>
      </c>
      <c r="F3524" s="2" t="s">
        <v>1407</v>
      </c>
      <c r="G3524" s="2">
        <v>15.55</v>
      </c>
      <c r="H3524" s="2">
        <v>3</v>
      </c>
      <c r="I3524" s="3">
        <v>5.44</v>
      </c>
    </row>
    <row r="3525" spans="1:9" x14ac:dyDescent="0.3">
      <c r="A3525" s="4">
        <v>42804</v>
      </c>
      <c r="B3525" s="5" t="s">
        <v>822</v>
      </c>
      <c r="C3525" s="5" t="s">
        <v>58</v>
      </c>
      <c r="D3525" s="5" t="s">
        <v>2</v>
      </c>
      <c r="E3525" s="5" t="s">
        <v>133</v>
      </c>
      <c r="F3525" s="5" t="s">
        <v>2321</v>
      </c>
      <c r="G3525" s="5">
        <v>17.920000000000002</v>
      </c>
      <c r="H3525" s="5">
        <v>5</v>
      </c>
      <c r="I3525" s="6">
        <v>1.1200000000000001</v>
      </c>
    </row>
    <row r="3526" spans="1:9" x14ac:dyDescent="0.3">
      <c r="A3526" s="1">
        <v>42804</v>
      </c>
      <c r="B3526" s="2" t="s">
        <v>1372</v>
      </c>
      <c r="C3526" s="2" t="s">
        <v>80</v>
      </c>
      <c r="D3526" s="2" t="s">
        <v>25</v>
      </c>
      <c r="E3526" s="2" t="s">
        <v>38</v>
      </c>
      <c r="F3526" s="2" t="s">
        <v>2028</v>
      </c>
      <c r="G3526" s="2">
        <v>83.92</v>
      </c>
      <c r="H3526" s="2">
        <v>4</v>
      </c>
      <c r="I3526" s="3">
        <v>21.82</v>
      </c>
    </row>
    <row r="3527" spans="1:9" x14ac:dyDescent="0.3">
      <c r="A3527" s="4">
        <v>42804</v>
      </c>
      <c r="B3527" s="5" t="s">
        <v>1372</v>
      </c>
      <c r="C3527" s="5" t="s">
        <v>80</v>
      </c>
      <c r="D3527" s="5" t="s">
        <v>2</v>
      </c>
      <c r="E3527" s="5" t="s">
        <v>15</v>
      </c>
      <c r="F3527" s="5" t="s">
        <v>2236</v>
      </c>
      <c r="G3527" s="5">
        <v>6.63</v>
      </c>
      <c r="H3527" s="5">
        <v>3</v>
      </c>
      <c r="I3527" s="6">
        <v>3.12</v>
      </c>
    </row>
    <row r="3528" spans="1:9" x14ac:dyDescent="0.3">
      <c r="A3528" s="1">
        <v>42804</v>
      </c>
      <c r="B3528" s="2" t="s">
        <v>1372</v>
      </c>
      <c r="C3528" s="2" t="s">
        <v>80</v>
      </c>
      <c r="D3528" s="2" t="s">
        <v>30</v>
      </c>
      <c r="E3528" s="2" t="s">
        <v>43</v>
      </c>
      <c r="F3528" s="2" t="s">
        <v>1359</v>
      </c>
      <c r="G3528" s="2">
        <v>371.97</v>
      </c>
      <c r="H3528" s="2">
        <v>3</v>
      </c>
      <c r="I3528" s="3">
        <v>66.95</v>
      </c>
    </row>
    <row r="3529" spans="1:9" x14ac:dyDescent="0.3">
      <c r="A3529" s="4">
        <v>42804</v>
      </c>
      <c r="B3529" s="5" t="s">
        <v>441</v>
      </c>
      <c r="C3529" s="5" t="s">
        <v>1</v>
      </c>
      <c r="D3529" s="5" t="s">
        <v>2</v>
      </c>
      <c r="E3529" s="5" t="s">
        <v>15</v>
      </c>
      <c r="F3529" s="5" t="s">
        <v>1258</v>
      </c>
      <c r="G3529" s="5">
        <v>20.64</v>
      </c>
      <c r="H3529" s="5">
        <v>5</v>
      </c>
      <c r="I3529" s="6">
        <v>2.3199999999999998</v>
      </c>
    </row>
    <row r="3530" spans="1:9" x14ac:dyDescent="0.3">
      <c r="A3530" s="1">
        <v>42835</v>
      </c>
      <c r="B3530" s="2" t="s">
        <v>1194</v>
      </c>
      <c r="C3530" s="2" t="s">
        <v>958</v>
      </c>
      <c r="D3530" s="2" t="s">
        <v>25</v>
      </c>
      <c r="E3530" s="2" t="s">
        <v>38</v>
      </c>
      <c r="F3530" s="2" t="s">
        <v>1248</v>
      </c>
      <c r="G3530" s="2">
        <v>19.98</v>
      </c>
      <c r="H3530" s="2">
        <v>1</v>
      </c>
      <c r="I3530" s="3">
        <v>8.59</v>
      </c>
    </row>
    <row r="3531" spans="1:9" x14ac:dyDescent="0.3">
      <c r="A3531" s="4">
        <v>42865</v>
      </c>
      <c r="B3531" s="5" t="s">
        <v>5</v>
      </c>
      <c r="C3531" s="5" t="s">
        <v>80</v>
      </c>
      <c r="D3531" s="5" t="s">
        <v>30</v>
      </c>
      <c r="E3531" s="5" t="s">
        <v>31</v>
      </c>
      <c r="F3531" s="5" t="s">
        <v>2068</v>
      </c>
      <c r="G3531" s="5">
        <v>160.93</v>
      </c>
      <c r="H3531" s="5">
        <v>7</v>
      </c>
      <c r="I3531" s="6">
        <v>3.22</v>
      </c>
    </row>
    <row r="3532" spans="1:9" x14ac:dyDescent="0.3">
      <c r="A3532" s="1">
        <v>42865</v>
      </c>
      <c r="B3532" s="2" t="s">
        <v>5</v>
      </c>
      <c r="C3532" s="2" t="s">
        <v>80</v>
      </c>
      <c r="D3532" s="2" t="s">
        <v>2</v>
      </c>
      <c r="E3532" s="2" t="s">
        <v>11</v>
      </c>
      <c r="F3532" s="2" t="s">
        <v>1292</v>
      </c>
      <c r="G3532" s="2">
        <v>75.790000000000006</v>
      </c>
      <c r="H3532" s="2">
        <v>3</v>
      </c>
      <c r="I3532" s="3">
        <v>25.58</v>
      </c>
    </row>
    <row r="3533" spans="1:9" x14ac:dyDescent="0.3">
      <c r="A3533" s="4">
        <v>42865</v>
      </c>
      <c r="B3533" s="5" t="s">
        <v>1585</v>
      </c>
      <c r="C3533" s="5" t="s">
        <v>18</v>
      </c>
      <c r="D3533" s="5" t="s">
        <v>2</v>
      </c>
      <c r="E3533" s="5" t="s">
        <v>11</v>
      </c>
      <c r="F3533" s="5" t="s">
        <v>1960</v>
      </c>
      <c r="G3533" s="5">
        <v>39.92</v>
      </c>
      <c r="H3533" s="5">
        <v>5</v>
      </c>
      <c r="I3533" s="6">
        <v>13.47</v>
      </c>
    </row>
    <row r="3534" spans="1:9" x14ac:dyDescent="0.3">
      <c r="A3534" s="1">
        <v>42865</v>
      </c>
      <c r="B3534" s="2" t="s">
        <v>1585</v>
      </c>
      <c r="C3534" s="2" t="s">
        <v>18</v>
      </c>
      <c r="D3534" s="2" t="s">
        <v>2</v>
      </c>
      <c r="E3534" s="2" t="s">
        <v>3</v>
      </c>
      <c r="F3534" s="2" t="s">
        <v>1218</v>
      </c>
      <c r="G3534" s="2">
        <v>61.96</v>
      </c>
      <c r="H3534" s="2">
        <v>2</v>
      </c>
      <c r="I3534" s="3">
        <v>27.88</v>
      </c>
    </row>
    <row r="3535" spans="1:9" x14ac:dyDescent="0.3">
      <c r="A3535" s="4">
        <v>42865</v>
      </c>
      <c r="B3535" s="5" t="s">
        <v>1585</v>
      </c>
      <c r="C3535" s="5" t="s">
        <v>18</v>
      </c>
      <c r="D3535" s="5" t="s">
        <v>2</v>
      </c>
      <c r="E3535" s="5" t="s">
        <v>11</v>
      </c>
      <c r="F3535" s="5" t="s">
        <v>591</v>
      </c>
      <c r="G3535" s="5">
        <v>19.940000000000001</v>
      </c>
      <c r="H3535" s="5">
        <v>4</v>
      </c>
      <c r="I3535" s="6">
        <v>7.23</v>
      </c>
    </row>
    <row r="3536" spans="1:9" x14ac:dyDescent="0.3">
      <c r="A3536" s="1">
        <v>42865</v>
      </c>
      <c r="B3536" s="2" t="s">
        <v>1290</v>
      </c>
      <c r="C3536" s="2" t="s">
        <v>80</v>
      </c>
      <c r="D3536" s="2" t="s">
        <v>30</v>
      </c>
      <c r="E3536" s="2" t="s">
        <v>31</v>
      </c>
      <c r="F3536" s="2" t="s">
        <v>997</v>
      </c>
      <c r="G3536" s="2">
        <v>87.8</v>
      </c>
      <c r="H3536" s="2">
        <v>4</v>
      </c>
      <c r="I3536" s="3">
        <v>43.9</v>
      </c>
    </row>
    <row r="3537" spans="1:9" x14ac:dyDescent="0.3">
      <c r="A3537" s="4">
        <v>42865</v>
      </c>
      <c r="B3537" s="5" t="s">
        <v>1290</v>
      </c>
      <c r="C3537" s="5" t="s">
        <v>80</v>
      </c>
      <c r="D3537" s="5" t="s">
        <v>25</v>
      </c>
      <c r="E3537" s="5" t="s">
        <v>26</v>
      </c>
      <c r="F3537" s="5" t="s">
        <v>468</v>
      </c>
      <c r="G3537" s="5">
        <v>221.38</v>
      </c>
      <c r="H3537" s="5">
        <v>2</v>
      </c>
      <c r="I3537" s="6">
        <v>2.46</v>
      </c>
    </row>
    <row r="3538" spans="1:9" x14ac:dyDescent="0.3">
      <c r="A3538" s="1">
        <v>42865</v>
      </c>
      <c r="B3538" s="2" t="s">
        <v>1290</v>
      </c>
      <c r="C3538" s="2" t="s">
        <v>80</v>
      </c>
      <c r="D3538" s="2" t="s">
        <v>30</v>
      </c>
      <c r="E3538" s="2" t="s">
        <v>625</v>
      </c>
      <c r="F3538" s="2" t="s">
        <v>2322</v>
      </c>
      <c r="G3538" s="2">
        <v>5199.96</v>
      </c>
      <c r="H3538" s="2">
        <v>4</v>
      </c>
      <c r="I3538" s="3">
        <v>1351.99</v>
      </c>
    </row>
    <row r="3539" spans="1:9" x14ac:dyDescent="0.3">
      <c r="A3539" s="4">
        <v>42865</v>
      </c>
      <c r="B3539" s="5" t="s">
        <v>382</v>
      </c>
      <c r="C3539" s="5" t="s">
        <v>163</v>
      </c>
      <c r="D3539" s="5" t="s">
        <v>30</v>
      </c>
      <c r="E3539" s="5" t="s">
        <v>43</v>
      </c>
      <c r="F3539" s="5" t="s">
        <v>1635</v>
      </c>
      <c r="G3539" s="5">
        <v>63.82</v>
      </c>
      <c r="H3539" s="5">
        <v>2</v>
      </c>
      <c r="I3539" s="6">
        <v>13.56</v>
      </c>
    </row>
    <row r="3540" spans="1:9" x14ac:dyDescent="0.3">
      <c r="A3540" s="1">
        <v>42865</v>
      </c>
      <c r="B3540" s="2" t="s">
        <v>1135</v>
      </c>
      <c r="C3540" s="2" t="s">
        <v>18</v>
      </c>
      <c r="D3540" s="2" t="s">
        <v>25</v>
      </c>
      <c r="E3540" s="2" t="s">
        <v>26</v>
      </c>
      <c r="F3540" s="2" t="s">
        <v>1976</v>
      </c>
      <c r="G3540" s="2">
        <v>435.17</v>
      </c>
      <c r="H3540" s="2">
        <v>4</v>
      </c>
      <c r="I3540" s="3">
        <v>-59.84</v>
      </c>
    </row>
    <row r="3541" spans="1:9" x14ac:dyDescent="0.3">
      <c r="A3541" s="4">
        <v>42865</v>
      </c>
      <c r="B3541" s="5" t="s">
        <v>1135</v>
      </c>
      <c r="C3541" s="5" t="s">
        <v>18</v>
      </c>
      <c r="D3541" s="5" t="s">
        <v>2</v>
      </c>
      <c r="E3541" s="5" t="s">
        <v>34</v>
      </c>
      <c r="F3541" s="5" t="s">
        <v>56</v>
      </c>
      <c r="G3541" s="5">
        <v>14.9</v>
      </c>
      <c r="H3541" s="5">
        <v>5</v>
      </c>
      <c r="I3541" s="6">
        <v>6.85</v>
      </c>
    </row>
    <row r="3542" spans="1:9" x14ac:dyDescent="0.3">
      <c r="A3542" s="1">
        <v>42865</v>
      </c>
      <c r="B3542" s="2" t="s">
        <v>1135</v>
      </c>
      <c r="C3542" s="2" t="s">
        <v>18</v>
      </c>
      <c r="D3542" s="2" t="s">
        <v>2</v>
      </c>
      <c r="E3542" s="2" t="s">
        <v>133</v>
      </c>
      <c r="F3542" s="2" t="s">
        <v>2323</v>
      </c>
      <c r="G3542" s="2">
        <v>15.8</v>
      </c>
      <c r="H3542" s="2">
        <v>4</v>
      </c>
      <c r="I3542" s="3">
        <v>4.1100000000000003</v>
      </c>
    </row>
    <row r="3543" spans="1:9" x14ac:dyDescent="0.3">
      <c r="A3543" s="4">
        <v>42865</v>
      </c>
      <c r="B3543" s="5" t="s">
        <v>1135</v>
      </c>
      <c r="C3543" s="5" t="s">
        <v>18</v>
      </c>
      <c r="D3543" s="5" t="s">
        <v>25</v>
      </c>
      <c r="E3543" s="5" t="s">
        <v>38</v>
      </c>
      <c r="F3543" s="5" t="s">
        <v>1233</v>
      </c>
      <c r="G3543" s="5">
        <v>72.900000000000006</v>
      </c>
      <c r="H3543" s="5">
        <v>5</v>
      </c>
      <c r="I3543" s="6">
        <v>26.97</v>
      </c>
    </row>
    <row r="3544" spans="1:9" x14ac:dyDescent="0.3">
      <c r="A3544" s="1">
        <v>42865</v>
      </c>
      <c r="B3544" s="2" t="s">
        <v>1135</v>
      </c>
      <c r="C3544" s="2" t="s">
        <v>18</v>
      </c>
      <c r="D3544" s="2" t="s">
        <v>25</v>
      </c>
      <c r="E3544" s="2" t="s">
        <v>86</v>
      </c>
      <c r="F3544" s="2" t="s">
        <v>229</v>
      </c>
      <c r="G3544" s="2">
        <v>206.35</v>
      </c>
      <c r="H3544" s="2">
        <v>3</v>
      </c>
      <c r="I3544" s="3">
        <v>5.16</v>
      </c>
    </row>
    <row r="3545" spans="1:9" x14ac:dyDescent="0.3">
      <c r="A3545" s="4">
        <v>42865</v>
      </c>
      <c r="B3545" s="5" t="s">
        <v>1135</v>
      </c>
      <c r="C3545" s="5" t="s">
        <v>18</v>
      </c>
      <c r="D3545" s="5" t="s">
        <v>30</v>
      </c>
      <c r="E3545" s="5" t="s">
        <v>31</v>
      </c>
      <c r="F3545" s="5" t="s">
        <v>2223</v>
      </c>
      <c r="G3545" s="5">
        <v>7.99</v>
      </c>
      <c r="H3545" s="5">
        <v>1</v>
      </c>
      <c r="I3545" s="6">
        <v>2.7</v>
      </c>
    </row>
    <row r="3546" spans="1:9" x14ac:dyDescent="0.3">
      <c r="A3546" s="1">
        <v>42896</v>
      </c>
      <c r="B3546" s="2" t="s">
        <v>519</v>
      </c>
      <c r="C3546" s="2" t="s">
        <v>268</v>
      </c>
      <c r="D3546" s="2" t="s">
        <v>25</v>
      </c>
      <c r="E3546" s="2" t="s">
        <v>38</v>
      </c>
      <c r="F3546" s="2" t="s">
        <v>1097</v>
      </c>
      <c r="G3546" s="2">
        <v>41.96</v>
      </c>
      <c r="H3546" s="2">
        <v>2</v>
      </c>
      <c r="I3546" s="3">
        <v>2.94</v>
      </c>
    </row>
    <row r="3547" spans="1:9" x14ac:dyDescent="0.3">
      <c r="A3547" s="4">
        <v>42896</v>
      </c>
      <c r="B3547" s="5" t="s">
        <v>519</v>
      </c>
      <c r="C3547" s="5" t="s">
        <v>268</v>
      </c>
      <c r="D3547" s="5" t="s">
        <v>2</v>
      </c>
      <c r="E3547" s="5" t="s">
        <v>133</v>
      </c>
      <c r="F3547" s="5" t="s">
        <v>1321</v>
      </c>
      <c r="G3547" s="5">
        <v>227.84</v>
      </c>
      <c r="H3547" s="5">
        <v>4</v>
      </c>
      <c r="I3547" s="6">
        <v>66.069999999999993</v>
      </c>
    </row>
    <row r="3548" spans="1:9" x14ac:dyDescent="0.3">
      <c r="A3548" s="1">
        <v>42896</v>
      </c>
      <c r="B3548" s="2" t="s">
        <v>519</v>
      </c>
      <c r="C3548" s="2" t="s">
        <v>268</v>
      </c>
      <c r="D3548" s="2" t="s">
        <v>2</v>
      </c>
      <c r="E3548" s="2" t="s">
        <v>3</v>
      </c>
      <c r="F3548" s="2" t="s">
        <v>1419</v>
      </c>
      <c r="G3548" s="2">
        <v>37.94</v>
      </c>
      <c r="H3548" s="2">
        <v>2</v>
      </c>
      <c r="I3548" s="3">
        <v>18.21</v>
      </c>
    </row>
    <row r="3549" spans="1:9" x14ac:dyDescent="0.3">
      <c r="A3549" s="4">
        <v>42896</v>
      </c>
      <c r="B3549" s="5" t="s">
        <v>2324</v>
      </c>
      <c r="C3549" s="5" t="s">
        <v>80</v>
      </c>
      <c r="D3549" s="5" t="s">
        <v>30</v>
      </c>
      <c r="E3549" s="5" t="s">
        <v>43</v>
      </c>
      <c r="F3549" s="5" t="s">
        <v>2325</v>
      </c>
      <c r="G3549" s="5">
        <v>319.95999999999998</v>
      </c>
      <c r="H3549" s="5">
        <v>4</v>
      </c>
      <c r="I3549" s="6">
        <v>115.19</v>
      </c>
    </row>
    <row r="3550" spans="1:9" x14ac:dyDescent="0.3">
      <c r="A3550" s="1">
        <v>42896</v>
      </c>
      <c r="B3550" s="2" t="s">
        <v>2324</v>
      </c>
      <c r="C3550" s="2" t="s">
        <v>80</v>
      </c>
      <c r="D3550" s="2" t="s">
        <v>2</v>
      </c>
      <c r="E3550" s="2" t="s">
        <v>3</v>
      </c>
      <c r="F3550" s="2" t="s">
        <v>2202</v>
      </c>
      <c r="G3550" s="2">
        <v>17.04</v>
      </c>
      <c r="H3550" s="2">
        <v>3</v>
      </c>
      <c r="I3550" s="3">
        <v>7.67</v>
      </c>
    </row>
    <row r="3551" spans="1:9" x14ac:dyDescent="0.3">
      <c r="A3551" s="4">
        <v>42896</v>
      </c>
      <c r="B3551" s="5" t="s">
        <v>2324</v>
      </c>
      <c r="C3551" s="5" t="s">
        <v>80</v>
      </c>
      <c r="D3551" s="5" t="s">
        <v>2</v>
      </c>
      <c r="E3551" s="5" t="s">
        <v>9</v>
      </c>
      <c r="F3551" s="5" t="s">
        <v>222</v>
      </c>
      <c r="G3551" s="5">
        <v>344.91</v>
      </c>
      <c r="H3551" s="5">
        <v>3</v>
      </c>
      <c r="I3551" s="6">
        <v>10.35</v>
      </c>
    </row>
    <row r="3552" spans="1:9" x14ac:dyDescent="0.3">
      <c r="A3552" s="1">
        <v>42896</v>
      </c>
      <c r="B3552" s="2" t="s">
        <v>2211</v>
      </c>
      <c r="C3552" s="2" t="s">
        <v>80</v>
      </c>
      <c r="D3552" s="2" t="s">
        <v>2</v>
      </c>
      <c r="E3552" s="2" t="s">
        <v>3</v>
      </c>
      <c r="F3552" s="2" t="s">
        <v>911</v>
      </c>
      <c r="G3552" s="2">
        <v>40.99</v>
      </c>
      <c r="H3552" s="2">
        <v>1</v>
      </c>
      <c r="I3552" s="3">
        <v>20.09</v>
      </c>
    </row>
    <row r="3553" spans="1:9" x14ac:dyDescent="0.3">
      <c r="A3553" s="4">
        <v>42896</v>
      </c>
      <c r="B3553" s="5" t="s">
        <v>764</v>
      </c>
      <c r="C3553" s="5" t="s">
        <v>77</v>
      </c>
      <c r="D3553" s="5" t="s">
        <v>2</v>
      </c>
      <c r="E3553" s="5" t="s">
        <v>3</v>
      </c>
      <c r="F3553" s="5" t="s">
        <v>1329</v>
      </c>
      <c r="G3553" s="5">
        <v>143.69999999999999</v>
      </c>
      <c r="H3553" s="5">
        <v>3</v>
      </c>
      <c r="I3553" s="6">
        <v>68.98</v>
      </c>
    </row>
    <row r="3554" spans="1:9" x14ac:dyDescent="0.3">
      <c r="A3554" s="1">
        <v>42896</v>
      </c>
      <c r="B3554" s="2" t="s">
        <v>764</v>
      </c>
      <c r="C3554" s="2" t="s">
        <v>77</v>
      </c>
      <c r="D3554" s="2" t="s">
        <v>2</v>
      </c>
      <c r="E3554" s="2" t="s">
        <v>3</v>
      </c>
      <c r="F3554" s="2" t="s">
        <v>2326</v>
      </c>
      <c r="G3554" s="2">
        <v>6.48</v>
      </c>
      <c r="H3554" s="2">
        <v>1</v>
      </c>
      <c r="I3554" s="3">
        <v>3.11</v>
      </c>
    </row>
    <row r="3555" spans="1:9" x14ac:dyDescent="0.3">
      <c r="A3555" s="4">
        <v>42896</v>
      </c>
      <c r="B3555" s="5" t="s">
        <v>492</v>
      </c>
      <c r="C3555" s="5" t="s">
        <v>6</v>
      </c>
      <c r="D3555" s="5" t="s">
        <v>2</v>
      </c>
      <c r="E3555" s="5" t="s">
        <v>9</v>
      </c>
      <c r="F3555" s="5" t="s">
        <v>829</v>
      </c>
      <c r="G3555" s="5">
        <v>290.33999999999997</v>
      </c>
      <c r="H3555" s="5">
        <v>2</v>
      </c>
      <c r="I3555" s="6">
        <v>32.659999999999997</v>
      </c>
    </row>
    <row r="3556" spans="1:9" x14ac:dyDescent="0.3">
      <c r="A3556" s="1">
        <v>42896</v>
      </c>
      <c r="B3556" s="2" t="s">
        <v>492</v>
      </c>
      <c r="C3556" s="2" t="s">
        <v>6</v>
      </c>
      <c r="D3556" s="2" t="s">
        <v>2</v>
      </c>
      <c r="E3556" s="2" t="s">
        <v>15</v>
      </c>
      <c r="F3556" s="2" t="s">
        <v>1599</v>
      </c>
      <c r="G3556" s="2">
        <v>19.149999999999999</v>
      </c>
      <c r="H3556" s="2">
        <v>2</v>
      </c>
      <c r="I3556" s="3">
        <v>1.2</v>
      </c>
    </row>
    <row r="3557" spans="1:9" x14ac:dyDescent="0.3">
      <c r="A3557" s="4">
        <v>42896</v>
      </c>
      <c r="B3557" s="5" t="s">
        <v>120</v>
      </c>
      <c r="C3557" s="5" t="s">
        <v>253</v>
      </c>
      <c r="D3557" s="5" t="s">
        <v>2</v>
      </c>
      <c r="E3557" s="5" t="s">
        <v>15</v>
      </c>
      <c r="F3557" s="5" t="s">
        <v>1445</v>
      </c>
      <c r="G3557" s="5">
        <v>9.34</v>
      </c>
      <c r="H3557" s="5">
        <v>2</v>
      </c>
      <c r="I3557" s="6">
        <v>1.87</v>
      </c>
    </row>
    <row r="3558" spans="1:9" x14ac:dyDescent="0.3">
      <c r="A3558" s="1">
        <v>42926</v>
      </c>
      <c r="B3558" s="2" t="s">
        <v>2016</v>
      </c>
      <c r="C3558" s="2" t="s">
        <v>18</v>
      </c>
      <c r="D3558" s="2" t="s">
        <v>25</v>
      </c>
      <c r="E3558" s="2" t="s">
        <v>129</v>
      </c>
      <c r="F3558" s="2" t="s">
        <v>1308</v>
      </c>
      <c r="G3558" s="2">
        <v>307.67</v>
      </c>
      <c r="H3558" s="2">
        <v>2</v>
      </c>
      <c r="I3558" s="3">
        <v>-14.48</v>
      </c>
    </row>
    <row r="3559" spans="1:9" x14ac:dyDescent="0.3">
      <c r="A3559" s="4">
        <v>42926</v>
      </c>
      <c r="B3559" s="5" t="s">
        <v>1347</v>
      </c>
      <c r="C3559" s="5" t="s">
        <v>18</v>
      </c>
      <c r="D3559" s="5" t="s">
        <v>30</v>
      </c>
      <c r="E3559" s="5" t="s">
        <v>43</v>
      </c>
      <c r="F3559" s="5" t="s">
        <v>1359</v>
      </c>
      <c r="G3559" s="5">
        <v>1115.9100000000001</v>
      </c>
      <c r="H3559" s="5">
        <v>9</v>
      </c>
      <c r="I3559" s="6">
        <v>200.86</v>
      </c>
    </row>
    <row r="3560" spans="1:9" x14ac:dyDescent="0.3">
      <c r="A3560" s="1">
        <v>42926</v>
      </c>
      <c r="B3560" s="2" t="s">
        <v>1347</v>
      </c>
      <c r="C3560" s="2" t="s">
        <v>18</v>
      </c>
      <c r="D3560" s="2" t="s">
        <v>30</v>
      </c>
      <c r="E3560" s="2" t="s">
        <v>31</v>
      </c>
      <c r="F3560" s="2" t="s">
        <v>2068</v>
      </c>
      <c r="G3560" s="2">
        <v>128.74</v>
      </c>
      <c r="H3560" s="2">
        <v>7</v>
      </c>
      <c r="I3560" s="3">
        <v>-28.97</v>
      </c>
    </row>
    <row r="3561" spans="1:9" x14ac:dyDescent="0.3">
      <c r="A3561" s="4">
        <v>42926</v>
      </c>
      <c r="B3561" s="5" t="s">
        <v>1347</v>
      </c>
      <c r="C3561" s="5" t="s">
        <v>18</v>
      </c>
      <c r="D3561" s="5" t="s">
        <v>30</v>
      </c>
      <c r="E3561" s="5" t="s">
        <v>31</v>
      </c>
      <c r="F3561" s="5" t="s">
        <v>2223</v>
      </c>
      <c r="G3561" s="5">
        <v>79.92</v>
      </c>
      <c r="H3561" s="5">
        <v>10</v>
      </c>
      <c r="I3561" s="6">
        <v>26.97</v>
      </c>
    </row>
    <row r="3562" spans="1:9" x14ac:dyDescent="0.3">
      <c r="A3562" s="1">
        <v>42926</v>
      </c>
      <c r="B3562" s="2" t="s">
        <v>789</v>
      </c>
      <c r="C3562" s="2" t="s">
        <v>121</v>
      </c>
      <c r="D3562" s="2" t="s">
        <v>2</v>
      </c>
      <c r="E3562" s="2" t="s">
        <v>9</v>
      </c>
      <c r="F3562" s="2" t="s">
        <v>829</v>
      </c>
      <c r="G3562" s="2">
        <v>580.66999999999996</v>
      </c>
      <c r="H3562" s="2">
        <v>4</v>
      </c>
      <c r="I3562" s="3">
        <v>65.33</v>
      </c>
    </row>
    <row r="3563" spans="1:9" x14ac:dyDescent="0.3">
      <c r="A3563" s="4">
        <v>42926</v>
      </c>
      <c r="B3563" s="5" t="s">
        <v>789</v>
      </c>
      <c r="C3563" s="5" t="s">
        <v>121</v>
      </c>
      <c r="D3563" s="5" t="s">
        <v>2</v>
      </c>
      <c r="E3563" s="5" t="s">
        <v>34</v>
      </c>
      <c r="F3563" s="5" t="s">
        <v>56</v>
      </c>
      <c r="G3563" s="5">
        <v>18.940000000000001</v>
      </c>
      <c r="H3563" s="5">
        <v>3</v>
      </c>
      <c r="I3563" s="6">
        <v>5.92</v>
      </c>
    </row>
    <row r="3564" spans="1:9" x14ac:dyDescent="0.3">
      <c r="A3564" s="1">
        <v>42926</v>
      </c>
      <c r="B3564" s="2" t="s">
        <v>789</v>
      </c>
      <c r="C3564" s="2" t="s">
        <v>121</v>
      </c>
      <c r="D3564" s="2" t="s">
        <v>30</v>
      </c>
      <c r="E3564" s="2" t="s">
        <v>31</v>
      </c>
      <c r="F3564" s="2" t="s">
        <v>883</v>
      </c>
      <c r="G3564" s="2">
        <v>222.38</v>
      </c>
      <c r="H3564" s="2">
        <v>2</v>
      </c>
      <c r="I3564" s="3">
        <v>16.68</v>
      </c>
    </row>
    <row r="3565" spans="1:9" x14ac:dyDescent="0.3">
      <c r="A3565" s="4">
        <v>42926</v>
      </c>
      <c r="B3565" s="5" t="s">
        <v>789</v>
      </c>
      <c r="C3565" s="5" t="s">
        <v>121</v>
      </c>
      <c r="D3565" s="5" t="s">
        <v>2</v>
      </c>
      <c r="E3565" s="5" t="s">
        <v>11</v>
      </c>
      <c r="F3565" s="5" t="s">
        <v>598</v>
      </c>
      <c r="G3565" s="5">
        <v>50.45</v>
      </c>
      <c r="H3565" s="5">
        <v>6</v>
      </c>
      <c r="I3565" s="6">
        <v>-33.64</v>
      </c>
    </row>
    <row r="3566" spans="1:9" x14ac:dyDescent="0.3">
      <c r="A3566" s="1">
        <v>42926</v>
      </c>
      <c r="B3566" s="2" t="s">
        <v>789</v>
      </c>
      <c r="C3566" s="2" t="s">
        <v>121</v>
      </c>
      <c r="D3566" s="2" t="s">
        <v>25</v>
      </c>
      <c r="E3566" s="2" t="s">
        <v>86</v>
      </c>
      <c r="F3566" s="2" t="s">
        <v>229</v>
      </c>
      <c r="G3566" s="2">
        <v>154.76</v>
      </c>
      <c r="H3566" s="2">
        <v>3</v>
      </c>
      <c r="I3566" s="3">
        <v>-36.11</v>
      </c>
    </row>
    <row r="3567" spans="1:9" x14ac:dyDescent="0.3">
      <c r="A3567" s="4">
        <v>42926</v>
      </c>
      <c r="B3567" s="5" t="s">
        <v>942</v>
      </c>
      <c r="C3567" s="5" t="s">
        <v>1</v>
      </c>
      <c r="D3567" s="5" t="s">
        <v>2</v>
      </c>
      <c r="E3567" s="5" t="s">
        <v>11</v>
      </c>
      <c r="F3567" s="5" t="s">
        <v>2327</v>
      </c>
      <c r="G3567" s="5">
        <v>4.24</v>
      </c>
      <c r="H3567" s="5">
        <v>5</v>
      </c>
      <c r="I3567" s="6">
        <v>-6.36</v>
      </c>
    </row>
    <row r="3568" spans="1:9" x14ac:dyDescent="0.3">
      <c r="A3568" s="1">
        <v>42926</v>
      </c>
      <c r="B3568" s="2" t="s">
        <v>1813</v>
      </c>
      <c r="C3568" s="2" t="s">
        <v>160</v>
      </c>
      <c r="D3568" s="2" t="s">
        <v>2</v>
      </c>
      <c r="E3568" s="2" t="s">
        <v>9</v>
      </c>
      <c r="F3568" s="2" t="s">
        <v>1032</v>
      </c>
      <c r="G3568" s="2">
        <v>85.52</v>
      </c>
      <c r="H3568" s="2">
        <v>2</v>
      </c>
      <c r="I3568" s="3">
        <v>22.24</v>
      </c>
    </row>
    <row r="3569" spans="1:9" x14ac:dyDescent="0.3">
      <c r="A3569" s="4">
        <v>42957</v>
      </c>
      <c r="B3569" s="5" t="s">
        <v>79</v>
      </c>
      <c r="C3569" s="5" t="s">
        <v>18</v>
      </c>
      <c r="D3569" s="5" t="s">
        <v>30</v>
      </c>
      <c r="E3569" s="5" t="s">
        <v>31</v>
      </c>
      <c r="F3569" s="5" t="s">
        <v>1202</v>
      </c>
      <c r="G3569" s="5">
        <v>103.19</v>
      </c>
      <c r="H3569" s="5">
        <v>1</v>
      </c>
      <c r="I3569" s="6">
        <v>11.61</v>
      </c>
    </row>
    <row r="3570" spans="1:9" x14ac:dyDescent="0.3">
      <c r="A3570" s="1">
        <v>42957</v>
      </c>
      <c r="B3570" s="2" t="s">
        <v>79</v>
      </c>
      <c r="C3570" s="2" t="s">
        <v>18</v>
      </c>
      <c r="D3570" s="2" t="s">
        <v>30</v>
      </c>
      <c r="E3570" s="2" t="s">
        <v>43</v>
      </c>
      <c r="F3570" s="2" t="s">
        <v>1385</v>
      </c>
      <c r="G3570" s="2">
        <v>36</v>
      </c>
      <c r="H3570" s="2">
        <v>2</v>
      </c>
      <c r="I3570" s="3">
        <v>6.48</v>
      </c>
    </row>
    <row r="3571" spans="1:9" x14ac:dyDescent="0.3">
      <c r="A3571" s="4">
        <v>42957</v>
      </c>
      <c r="B3571" s="5" t="s">
        <v>79</v>
      </c>
      <c r="C3571" s="5" t="s">
        <v>18</v>
      </c>
      <c r="D3571" s="5" t="s">
        <v>30</v>
      </c>
      <c r="E3571" s="5" t="s">
        <v>43</v>
      </c>
      <c r="F3571" s="5" t="s">
        <v>1873</v>
      </c>
      <c r="G3571" s="5">
        <v>239.96</v>
      </c>
      <c r="H3571" s="5">
        <v>4</v>
      </c>
      <c r="I3571" s="6">
        <v>115.18</v>
      </c>
    </row>
    <row r="3572" spans="1:9" x14ac:dyDescent="0.3">
      <c r="A3572" s="1">
        <v>42957</v>
      </c>
      <c r="B3572" s="2" t="s">
        <v>79</v>
      </c>
      <c r="C3572" s="2" t="s">
        <v>18</v>
      </c>
      <c r="D3572" s="2" t="s">
        <v>2</v>
      </c>
      <c r="E3572" s="2" t="s">
        <v>9</v>
      </c>
      <c r="F3572" s="2" t="s">
        <v>2096</v>
      </c>
      <c r="G3572" s="2">
        <v>40.68</v>
      </c>
      <c r="H3572" s="2">
        <v>2</v>
      </c>
      <c r="I3572" s="3">
        <v>0.41</v>
      </c>
    </row>
    <row r="3573" spans="1:9" x14ac:dyDescent="0.3">
      <c r="A3573" s="4">
        <v>42957</v>
      </c>
      <c r="B3573" s="5" t="s">
        <v>800</v>
      </c>
      <c r="C3573" s="5" t="s">
        <v>1300</v>
      </c>
      <c r="D3573" s="5" t="s">
        <v>2</v>
      </c>
      <c r="E3573" s="5" t="s">
        <v>9</v>
      </c>
      <c r="F3573" s="5" t="s">
        <v>1032</v>
      </c>
      <c r="G3573" s="5">
        <v>42.76</v>
      </c>
      <c r="H3573" s="5">
        <v>1</v>
      </c>
      <c r="I3573" s="6">
        <v>11.12</v>
      </c>
    </row>
    <row r="3574" spans="1:9" x14ac:dyDescent="0.3">
      <c r="A3574" s="1">
        <v>42957</v>
      </c>
      <c r="B3574" s="2" t="s">
        <v>2046</v>
      </c>
      <c r="C3574" s="2" t="s">
        <v>80</v>
      </c>
      <c r="D3574" s="2" t="s">
        <v>25</v>
      </c>
      <c r="E3574" s="2" t="s">
        <v>26</v>
      </c>
      <c r="F3574" s="2" t="s">
        <v>1353</v>
      </c>
      <c r="G3574" s="2">
        <v>145.76</v>
      </c>
      <c r="H3574" s="2">
        <v>2</v>
      </c>
      <c r="I3574" s="3">
        <v>3.24</v>
      </c>
    </row>
    <row r="3575" spans="1:9" x14ac:dyDescent="0.3">
      <c r="A3575" s="4">
        <v>42988</v>
      </c>
      <c r="B3575" s="5" t="s">
        <v>1123</v>
      </c>
      <c r="C3575" s="5" t="s">
        <v>121</v>
      </c>
      <c r="D3575" s="5" t="s">
        <v>2</v>
      </c>
      <c r="E3575" s="5" t="s">
        <v>3</v>
      </c>
      <c r="F3575" s="5" t="s">
        <v>1458</v>
      </c>
      <c r="G3575" s="5">
        <v>10.82</v>
      </c>
      <c r="H3575" s="5">
        <v>4</v>
      </c>
      <c r="I3575" s="6">
        <v>3.52</v>
      </c>
    </row>
    <row r="3576" spans="1:9" x14ac:dyDescent="0.3">
      <c r="A3576" s="1">
        <v>42988</v>
      </c>
      <c r="B3576" s="2" t="s">
        <v>76</v>
      </c>
      <c r="C3576" s="2" t="s">
        <v>6</v>
      </c>
      <c r="D3576" s="2" t="s">
        <v>25</v>
      </c>
      <c r="E3576" s="2" t="s">
        <v>86</v>
      </c>
      <c r="F3576" s="2" t="s">
        <v>136</v>
      </c>
      <c r="G3576" s="2">
        <v>652.45000000000005</v>
      </c>
      <c r="H3576" s="2">
        <v>5</v>
      </c>
      <c r="I3576" s="3">
        <v>-430.62</v>
      </c>
    </row>
    <row r="3577" spans="1:9" x14ac:dyDescent="0.3">
      <c r="A3577" s="4">
        <v>42988</v>
      </c>
      <c r="B3577" s="5" t="s">
        <v>76</v>
      </c>
      <c r="C3577" s="5" t="s">
        <v>6</v>
      </c>
      <c r="D3577" s="5" t="s">
        <v>25</v>
      </c>
      <c r="E3577" s="5" t="s">
        <v>86</v>
      </c>
      <c r="F3577" s="5" t="s">
        <v>1766</v>
      </c>
      <c r="G3577" s="5">
        <v>66.650000000000006</v>
      </c>
      <c r="H3577" s="5">
        <v>3</v>
      </c>
      <c r="I3577" s="6">
        <v>-42.65</v>
      </c>
    </row>
    <row r="3578" spans="1:9" x14ac:dyDescent="0.3">
      <c r="A3578" s="1">
        <v>42988</v>
      </c>
      <c r="B3578" s="2" t="s">
        <v>968</v>
      </c>
      <c r="C3578" s="2" t="s">
        <v>127</v>
      </c>
      <c r="D3578" s="2" t="s">
        <v>25</v>
      </c>
      <c r="E3578" s="2" t="s">
        <v>38</v>
      </c>
      <c r="F3578" s="2" t="s">
        <v>2311</v>
      </c>
      <c r="G3578" s="2">
        <v>45.89</v>
      </c>
      <c r="H3578" s="2">
        <v>4</v>
      </c>
      <c r="I3578" s="3">
        <v>9.18</v>
      </c>
    </row>
    <row r="3579" spans="1:9" x14ac:dyDescent="0.3">
      <c r="A3579" s="4">
        <v>42988</v>
      </c>
      <c r="B3579" s="5" t="s">
        <v>2328</v>
      </c>
      <c r="C3579" s="5" t="s">
        <v>80</v>
      </c>
      <c r="D3579" s="5" t="s">
        <v>2</v>
      </c>
      <c r="E3579" s="5" t="s">
        <v>11</v>
      </c>
      <c r="F3579" s="5" t="s">
        <v>1588</v>
      </c>
      <c r="G3579" s="5">
        <v>12.82</v>
      </c>
      <c r="H3579" s="5">
        <v>3</v>
      </c>
      <c r="I3579" s="6">
        <v>4.33</v>
      </c>
    </row>
    <row r="3580" spans="1:9" x14ac:dyDescent="0.3">
      <c r="A3580" s="1">
        <v>42988</v>
      </c>
      <c r="B3580" s="2" t="s">
        <v>2328</v>
      </c>
      <c r="C3580" s="2" t="s">
        <v>80</v>
      </c>
      <c r="D3580" s="2" t="s">
        <v>25</v>
      </c>
      <c r="E3580" s="2" t="s">
        <v>129</v>
      </c>
      <c r="F3580" s="2" t="s">
        <v>2245</v>
      </c>
      <c r="G3580" s="2">
        <v>314.35000000000002</v>
      </c>
      <c r="H3580" s="2">
        <v>3</v>
      </c>
      <c r="I3580" s="3">
        <v>-15.72</v>
      </c>
    </row>
    <row r="3581" spans="1:9" x14ac:dyDescent="0.3">
      <c r="A3581" s="4">
        <v>42988</v>
      </c>
      <c r="B3581" s="5" t="s">
        <v>2328</v>
      </c>
      <c r="C3581" s="5" t="s">
        <v>80</v>
      </c>
      <c r="D3581" s="5" t="s">
        <v>2</v>
      </c>
      <c r="E3581" s="5" t="s">
        <v>3</v>
      </c>
      <c r="F3581" s="5" t="s">
        <v>2329</v>
      </c>
      <c r="G3581" s="5">
        <v>18.98</v>
      </c>
      <c r="H3581" s="5">
        <v>2</v>
      </c>
      <c r="I3581" s="6">
        <v>8.92</v>
      </c>
    </row>
    <row r="3582" spans="1:9" x14ac:dyDescent="0.3">
      <c r="A3582" s="1">
        <v>42988</v>
      </c>
      <c r="B3582" s="2" t="s">
        <v>2328</v>
      </c>
      <c r="C3582" s="2" t="s">
        <v>80</v>
      </c>
      <c r="D3582" s="2" t="s">
        <v>2</v>
      </c>
      <c r="E3582" s="2" t="s">
        <v>11</v>
      </c>
      <c r="F3582" s="2" t="s">
        <v>1262</v>
      </c>
      <c r="G3582" s="2">
        <v>18.239999999999998</v>
      </c>
      <c r="H3582" s="2">
        <v>6</v>
      </c>
      <c r="I3582" s="3">
        <v>6.16</v>
      </c>
    </row>
    <row r="3583" spans="1:9" x14ac:dyDescent="0.3">
      <c r="A3583" s="4">
        <v>42988</v>
      </c>
      <c r="B3583" s="5" t="s">
        <v>566</v>
      </c>
      <c r="C3583" s="5" t="s">
        <v>1</v>
      </c>
      <c r="D3583" s="5" t="s">
        <v>2</v>
      </c>
      <c r="E3583" s="5" t="s">
        <v>15</v>
      </c>
      <c r="F3583" s="5" t="s">
        <v>603</v>
      </c>
      <c r="G3583" s="5">
        <v>67.14</v>
      </c>
      <c r="H3583" s="5">
        <v>7</v>
      </c>
      <c r="I3583" s="6">
        <v>5.88</v>
      </c>
    </row>
    <row r="3584" spans="1:9" x14ac:dyDescent="0.3">
      <c r="A3584" s="1">
        <v>42988</v>
      </c>
      <c r="B3584" s="2" t="s">
        <v>566</v>
      </c>
      <c r="C3584" s="2" t="s">
        <v>1</v>
      </c>
      <c r="D3584" s="2" t="s">
        <v>25</v>
      </c>
      <c r="E3584" s="2" t="s">
        <v>26</v>
      </c>
      <c r="F3584" s="2" t="s">
        <v>2330</v>
      </c>
      <c r="G3584" s="2">
        <v>254.06</v>
      </c>
      <c r="H3584" s="2">
        <v>3</v>
      </c>
      <c r="I3584" s="3">
        <v>-32.659999999999997</v>
      </c>
    </row>
    <row r="3585" spans="1:9" x14ac:dyDescent="0.3">
      <c r="A3585" s="4">
        <v>42988</v>
      </c>
      <c r="B3585" s="5" t="s">
        <v>764</v>
      </c>
      <c r="C3585" s="5" t="s">
        <v>18</v>
      </c>
      <c r="D3585" s="5" t="s">
        <v>2</v>
      </c>
      <c r="E3585" s="5" t="s">
        <v>3</v>
      </c>
      <c r="F3585" s="5" t="s">
        <v>2331</v>
      </c>
      <c r="G3585" s="5">
        <v>35.200000000000003</v>
      </c>
      <c r="H3585" s="5">
        <v>5</v>
      </c>
      <c r="I3585" s="6">
        <v>16.54</v>
      </c>
    </row>
    <row r="3586" spans="1:9" x14ac:dyDescent="0.3">
      <c r="A3586" s="1">
        <v>43018</v>
      </c>
      <c r="B3586" s="2" t="s">
        <v>1468</v>
      </c>
      <c r="C3586" s="2" t="s">
        <v>6</v>
      </c>
      <c r="D3586" s="2" t="s">
        <v>25</v>
      </c>
      <c r="E3586" s="2" t="s">
        <v>26</v>
      </c>
      <c r="F3586" s="2" t="s">
        <v>1463</v>
      </c>
      <c r="G3586" s="2">
        <v>239.36</v>
      </c>
      <c r="H3586" s="2">
        <v>3</v>
      </c>
      <c r="I3586" s="3">
        <v>-47.87</v>
      </c>
    </row>
    <row r="3587" spans="1:9" x14ac:dyDescent="0.3">
      <c r="A3587" s="4">
        <v>43079</v>
      </c>
      <c r="B3587" s="5" t="s">
        <v>318</v>
      </c>
      <c r="C3587" s="5" t="s">
        <v>6</v>
      </c>
      <c r="D3587" s="5" t="s">
        <v>25</v>
      </c>
      <c r="E3587" s="5" t="s">
        <v>26</v>
      </c>
      <c r="F3587" s="5" t="s">
        <v>1751</v>
      </c>
      <c r="G3587" s="5">
        <v>254.6</v>
      </c>
      <c r="H3587" s="5">
        <v>14</v>
      </c>
      <c r="I3587" s="6">
        <v>-18.190000000000001</v>
      </c>
    </row>
    <row r="3588" spans="1:9" x14ac:dyDescent="0.3">
      <c r="A3588" s="1">
        <v>43079</v>
      </c>
      <c r="B3588" s="2" t="s">
        <v>2237</v>
      </c>
      <c r="C3588" s="2" t="s">
        <v>121</v>
      </c>
      <c r="D3588" s="2" t="s">
        <v>2</v>
      </c>
      <c r="E3588" s="2" t="s">
        <v>3</v>
      </c>
      <c r="F3588" s="2" t="s">
        <v>2332</v>
      </c>
      <c r="G3588" s="2">
        <v>7.97</v>
      </c>
      <c r="H3588" s="2">
        <v>2</v>
      </c>
      <c r="I3588" s="3">
        <v>2.69</v>
      </c>
    </row>
    <row r="3589" spans="1:9" x14ac:dyDescent="0.3">
      <c r="A3589" s="4">
        <v>43079</v>
      </c>
      <c r="B3589" s="5" t="s">
        <v>2193</v>
      </c>
      <c r="C3589" s="5" t="s">
        <v>784</v>
      </c>
      <c r="D3589" s="5" t="s">
        <v>30</v>
      </c>
      <c r="E3589" s="5" t="s">
        <v>43</v>
      </c>
      <c r="F3589" s="5" t="s">
        <v>616</v>
      </c>
      <c r="G3589" s="5">
        <v>595</v>
      </c>
      <c r="H3589" s="5">
        <v>5</v>
      </c>
      <c r="I3589" s="6">
        <v>95.2</v>
      </c>
    </row>
    <row r="3590" spans="1:9" x14ac:dyDescent="0.3">
      <c r="A3590" s="1">
        <v>43079</v>
      </c>
      <c r="B3590" s="2" t="s">
        <v>2193</v>
      </c>
      <c r="C3590" s="2" t="s">
        <v>784</v>
      </c>
      <c r="D3590" s="2" t="s">
        <v>2</v>
      </c>
      <c r="E3590" s="2" t="s">
        <v>11</v>
      </c>
      <c r="F3590" s="2" t="s">
        <v>1852</v>
      </c>
      <c r="G3590" s="2">
        <v>79.87</v>
      </c>
      <c r="H3590" s="2">
        <v>3</v>
      </c>
      <c r="I3590" s="3">
        <v>29.95</v>
      </c>
    </row>
    <row r="3591" spans="1:9" x14ac:dyDescent="0.3">
      <c r="A3591" s="4">
        <v>43079</v>
      </c>
      <c r="B3591" s="5" t="s">
        <v>2333</v>
      </c>
      <c r="C3591" s="5" t="s">
        <v>18</v>
      </c>
      <c r="D3591" s="5" t="s">
        <v>30</v>
      </c>
      <c r="E3591" s="5" t="s">
        <v>43</v>
      </c>
      <c r="F3591" s="5" t="s">
        <v>2334</v>
      </c>
      <c r="G3591" s="5">
        <v>0.99</v>
      </c>
      <c r="H3591" s="5">
        <v>1</v>
      </c>
      <c r="I3591" s="6">
        <v>0.44</v>
      </c>
    </row>
    <row r="3592" spans="1:9" x14ac:dyDescent="0.3">
      <c r="A3592" s="1">
        <v>43079</v>
      </c>
      <c r="B3592" s="2" t="s">
        <v>2333</v>
      </c>
      <c r="C3592" s="2" t="s">
        <v>18</v>
      </c>
      <c r="D3592" s="2" t="s">
        <v>2</v>
      </c>
      <c r="E3592" s="2" t="s">
        <v>11</v>
      </c>
      <c r="F3592" s="2" t="s">
        <v>2019</v>
      </c>
      <c r="G3592" s="2">
        <v>101.84</v>
      </c>
      <c r="H3592" s="2">
        <v>5</v>
      </c>
      <c r="I3592" s="3">
        <v>36.92</v>
      </c>
    </row>
    <row r="3593" spans="1:9" x14ac:dyDescent="0.3">
      <c r="A3593" s="4">
        <v>43079</v>
      </c>
      <c r="B3593" s="5" t="s">
        <v>2300</v>
      </c>
      <c r="C3593" s="5" t="s">
        <v>18</v>
      </c>
      <c r="D3593" s="5" t="s">
        <v>30</v>
      </c>
      <c r="E3593" s="5" t="s">
        <v>43</v>
      </c>
      <c r="F3593" s="5" t="s">
        <v>345</v>
      </c>
      <c r="G3593" s="5">
        <v>435.84</v>
      </c>
      <c r="H3593" s="5">
        <v>12</v>
      </c>
      <c r="I3593" s="6">
        <v>130.75</v>
      </c>
    </row>
    <row r="3594" spans="1:9" x14ac:dyDescent="0.3">
      <c r="A3594" s="1">
        <v>43079</v>
      </c>
      <c r="B3594" s="2" t="s">
        <v>2300</v>
      </c>
      <c r="C3594" s="2" t="s">
        <v>18</v>
      </c>
      <c r="D3594" s="2" t="s">
        <v>2</v>
      </c>
      <c r="E3594" s="2" t="s">
        <v>15</v>
      </c>
      <c r="F3594" s="2" t="s">
        <v>860</v>
      </c>
      <c r="G3594" s="2">
        <v>5.88</v>
      </c>
      <c r="H3594" s="2">
        <v>2</v>
      </c>
      <c r="I3594" s="3">
        <v>1.59</v>
      </c>
    </row>
    <row r="3595" spans="1:9" x14ac:dyDescent="0.3">
      <c r="A3595" s="4">
        <v>43079</v>
      </c>
      <c r="B3595" s="5" t="s">
        <v>1366</v>
      </c>
      <c r="C3595" s="5" t="s">
        <v>1</v>
      </c>
      <c r="D3595" s="5" t="s">
        <v>30</v>
      </c>
      <c r="E3595" s="5" t="s">
        <v>43</v>
      </c>
      <c r="F3595" s="5" t="s">
        <v>670</v>
      </c>
      <c r="G3595" s="5">
        <v>39.979999999999997</v>
      </c>
      <c r="H3595" s="5">
        <v>2</v>
      </c>
      <c r="I3595" s="6">
        <v>-1.5</v>
      </c>
    </row>
    <row r="3596" spans="1:9" x14ac:dyDescent="0.3">
      <c r="A3596" s="1">
        <v>43079</v>
      </c>
      <c r="B3596" s="2" t="s">
        <v>2335</v>
      </c>
      <c r="C3596" s="2" t="s">
        <v>77</v>
      </c>
      <c r="D3596" s="2" t="s">
        <v>30</v>
      </c>
      <c r="E3596" s="2" t="s">
        <v>43</v>
      </c>
      <c r="F3596" s="2" t="s">
        <v>1429</v>
      </c>
      <c r="G3596" s="2">
        <v>45</v>
      </c>
      <c r="H3596" s="2">
        <v>3</v>
      </c>
      <c r="I3596" s="3">
        <v>4.95</v>
      </c>
    </row>
    <row r="3597" spans="1:9" x14ac:dyDescent="0.3">
      <c r="A3597" s="4">
        <v>43079</v>
      </c>
      <c r="B3597" s="5" t="s">
        <v>2335</v>
      </c>
      <c r="C3597" s="5" t="s">
        <v>77</v>
      </c>
      <c r="D3597" s="5" t="s">
        <v>2</v>
      </c>
      <c r="E3597" s="5" t="s">
        <v>34</v>
      </c>
      <c r="F3597" s="5" t="s">
        <v>1987</v>
      </c>
      <c r="G3597" s="5">
        <v>17.899999999999999</v>
      </c>
      <c r="H3597" s="5">
        <v>5</v>
      </c>
      <c r="I3597" s="6">
        <v>8.77</v>
      </c>
    </row>
    <row r="3598" spans="1:9" x14ac:dyDescent="0.3">
      <c r="A3598" s="1">
        <v>43079</v>
      </c>
      <c r="B3598" s="2" t="s">
        <v>2335</v>
      </c>
      <c r="C3598" s="2" t="s">
        <v>77</v>
      </c>
      <c r="D3598" s="2" t="s">
        <v>25</v>
      </c>
      <c r="E3598" s="2" t="s">
        <v>38</v>
      </c>
      <c r="F3598" s="2" t="s">
        <v>2289</v>
      </c>
      <c r="G3598" s="2">
        <v>40.479999999999997</v>
      </c>
      <c r="H3598" s="2">
        <v>2</v>
      </c>
      <c r="I3598" s="3">
        <v>17.41</v>
      </c>
    </row>
    <row r="3599" spans="1:9" x14ac:dyDescent="0.3">
      <c r="A3599" s="4">
        <v>43079</v>
      </c>
      <c r="B3599" s="5" t="s">
        <v>2335</v>
      </c>
      <c r="C3599" s="5" t="s">
        <v>77</v>
      </c>
      <c r="D3599" s="5" t="s">
        <v>25</v>
      </c>
      <c r="E3599" s="5" t="s">
        <v>129</v>
      </c>
      <c r="F3599" s="5" t="s">
        <v>2336</v>
      </c>
      <c r="G3599" s="5">
        <v>2154.9</v>
      </c>
      <c r="H3599" s="5">
        <v>5</v>
      </c>
      <c r="I3599" s="6">
        <v>129.29</v>
      </c>
    </row>
    <row r="3600" spans="1:9" x14ac:dyDescent="0.3">
      <c r="A3600" s="1">
        <v>43079</v>
      </c>
      <c r="B3600" s="2" t="s">
        <v>582</v>
      </c>
      <c r="C3600" s="2" t="s">
        <v>1</v>
      </c>
      <c r="D3600" s="2" t="s">
        <v>30</v>
      </c>
      <c r="E3600" s="2" t="s">
        <v>31</v>
      </c>
      <c r="F3600" s="2" t="s">
        <v>2337</v>
      </c>
      <c r="G3600" s="2">
        <v>369.54</v>
      </c>
      <c r="H3600" s="2">
        <v>7</v>
      </c>
      <c r="I3600" s="3">
        <v>27.72</v>
      </c>
    </row>
    <row r="3601" spans="1:9" x14ac:dyDescent="0.3">
      <c r="A3601" s="4">
        <v>43079</v>
      </c>
      <c r="B3601" s="5" t="s">
        <v>582</v>
      </c>
      <c r="C3601" s="5" t="s">
        <v>1</v>
      </c>
      <c r="D3601" s="5" t="s">
        <v>2</v>
      </c>
      <c r="E3601" s="5" t="s">
        <v>3</v>
      </c>
      <c r="F3601" s="5" t="s">
        <v>1684</v>
      </c>
      <c r="G3601" s="5">
        <v>10.37</v>
      </c>
      <c r="H3601" s="5">
        <v>2</v>
      </c>
      <c r="I3601" s="6">
        <v>3.76</v>
      </c>
    </row>
    <row r="3602" spans="1:9" x14ac:dyDescent="0.3">
      <c r="A3602" s="1">
        <v>43079</v>
      </c>
      <c r="B3602" s="2" t="s">
        <v>582</v>
      </c>
      <c r="C3602" s="2" t="s">
        <v>1</v>
      </c>
      <c r="D3602" s="2" t="s">
        <v>30</v>
      </c>
      <c r="E3602" s="2" t="s">
        <v>43</v>
      </c>
      <c r="F3602" s="2" t="s">
        <v>2229</v>
      </c>
      <c r="G3602" s="2">
        <v>791.88</v>
      </c>
      <c r="H3602" s="2">
        <v>3</v>
      </c>
      <c r="I3602" s="3">
        <v>128.68</v>
      </c>
    </row>
    <row r="3603" spans="1:9" x14ac:dyDescent="0.3">
      <c r="A3603" s="4">
        <v>43079</v>
      </c>
      <c r="B3603" s="5" t="s">
        <v>85</v>
      </c>
      <c r="C3603" s="5" t="s">
        <v>2338</v>
      </c>
      <c r="D3603" s="5" t="s">
        <v>25</v>
      </c>
      <c r="E3603" s="5" t="s">
        <v>86</v>
      </c>
      <c r="F3603" s="5" t="s">
        <v>1875</v>
      </c>
      <c r="G3603" s="5">
        <v>673.34</v>
      </c>
      <c r="H3603" s="5">
        <v>3</v>
      </c>
      <c r="I3603" s="6">
        <v>-76.95</v>
      </c>
    </row>
    <row r="3604" spans="1:9" x14ac:dyDescent="0.3">
      <c r="A3604" s="1">
        <v>43079</v>
      </c>
      <c r="B3604" s="2" t="s">
        <v>1656</v>
      </c>
      <c r="C3604" s="2" t="s">
        <v>80</v>
      </c>
      <c r="D3604" s="2" t="s">
        <v>2</v>
      </c>
      <c r="E3604" s="2" t="s">
        <v>3</v>
      </c>
      <c r="F3604" s="2" t="s">
        <v>1389</v>
      </c>
      <c r="G3604" s="2">
        <v>9.9600000000000009</v>
      </c>
      <c r="H3604" s="2">
        <v>2</v>
      </c>
      <c r="I3604" s="3">
        <v>4.68</v>
      </c>
    </row>
    <row r="3605" spans="1:9" x14ac:dyDescent="0.3">
      <c r="A3605" s="4">
        <v>42746</v>
      </c>
      <c r="B3605" s="5" t="s">
        <v>1093</v>
      </c>
      <c r="C3605" s="5" t="s">
        <v>62</v>
      </c>
      <c r="D3605" s="5" t="s">
        <v>2</v>
      </c>
      <c r="E3605" s="5" t="s">
        <v>11</v>
      </c>
      <c r="F3605" s="5" t="s">
        <v>1237</v>
      </c>
      <c r="G3605" s="5">
        <v>25.12</v>
      </c>
      <c r="H3605" s="5">
        <v>5</v>
      </c>
      <c r="I3605" s="6">
        <v>7.85</v>
      </c>
    </row>
    <row r="3606" spans="1:9" x14ac:dyDescent="0.3">
      <c r="A3606" s="1">
        <v>42746</v>
      </c>
      <c r="B3606" s="2" t="s">
        <v>1093</v>
      </c>
      <c r="C3606" s="2" t="s">
        <v>62</v>
      </c>
      <c r="D3606" s="2" t="s">
        <v>25</v>
      </c>
      <c r="E3606" s="2" t="s">
        <v>86</v>
      </c>
      <c r="F3606" s="2" t="s">
        <v>2070</v>
      </c>
      <c r="G3606" s="2">
        <v>2665.62</v>
      </c>
      <c r="H3606" s="2">
        <v>9</v>
      </c>
      <c r="I3606" s="3">
        <v>239.91</v>
      </c>
    </row>
    <row r="3607" spans="1:9" x14ac:dyDescent="0.3">
      <c r="A3607" s="4">
        <v>42746</v>
      </c>
      <c r="B3607" s="5" t="s">
        <v>716</v>
      </c>
      <c r="C3607" s="5" t="s">
        <v>181</v>
      </c>
      <c r="D3607" s="5" t="s">
        <v>2</v>
      </c>
      <c r="E3607" s="5" t="s">
        <v>3</v>
      </c>
      <c r="F3607" s="5" t="s">
        <v>1720</v>
      </c>
      <c r="G3607" s="5">
        <v>189.7</v>
      </c>
      <c r="H3607" s="5">
        <v>10</v>
      </c>
      <c r="I3607" s="6">
        <v>91.06</v>
      </c>
    </row>
    <row r="3608" spans="1:9" x14ac:dyDescent="0.3">
      <c r="A3608" s="1">
        <v>42746</v>
      </c>
      <c r="B3608" s="2" t="s">
        <v>716</v>
      </c>
      <c r="C3608" s="2" t="s">
        <v>181</v>
      </c>
      <c r="D3608" s="2" t="s">
        <v>2</v>
      </c>
      <c r="E3608" s="2" t="s">
        <v>3</v>
      </c>
      <c r="F3608" s="2" t="s">
        <v>911</v>
      </c>
      <c r="G3608" s="2">
        <v>40.99</v>
      </c>
      <c r="H3608" s="2">
        <v>1</v>
      </c>
      <c r="I3608" s="3">
        <v>20.09</v>
      </c>
    </row>
    <row r="3609" spans="1:9" x14ac:dyDescent="0.3">
      <c r="A3609" s="4">
        <v>42777</v>
      </c>
      <c r="B3609" s="5" t="s">
        <v>807</v>
      </c>
      <c r="C3609" s="5" t="s">
        <v>62</v>
      </c>
      <c r="D3609" s="5" t="s">
        <v>2</v>
      </c>
      <c r="E3609" s="5" t="s">
        <v>3</v>
      </c>
      <c r="F3609" s="5" t="s">
        <v>1074</v>
      </c>
      <c r="G3609" s="5">
        <v>23.85</v>
      </c>
      <c r="H3609" s="5">
        <v>5</v>
      </c>
      <c r="I3609" s="6">
        <v>10.73</v>
      </c>
    </row>
    <row r="3610" spans="1:9" x14ac:dyDescent="0.3">
      <c r="A3610" s="1">
        <v>42777</v>
      </c>
      <c r="B3610" s="2" t="s">
        <v>1265</v>
      </c>
      <c r="C3610" s="2" t="s">
        <v>729</v>
      </c>
      <c r="D3610" s="2" t="s">
        <v>2</v>
      </c>
      <c r="E3610" s="2" t="s">
        <v>34</v>
      </c>
      <c r="F3610" s="2" t="s">
        <v>56</v>
      </c>
      <c r="G3610" s="2">
        <v>18.239999999999998</v>
      </c>
      <c r="H3610" s="2">
        <v>3</v>
      </c>
      <c r="I3610" s="3">
        <v>9.1199999999999992</v>
      </c>
    </row>
    <row r="3611" spans="1:9" x14ac:dyDescent="0.3">
      <c r="A3611" s="4">
        <v>42777</v>
      </c>
      <c r="B3611" s="5" t="s">
        <v>1265</v>
      </c>
      <c r="C3611" s="5" t="s">
        <v>729</v>
      </c>
      <c r="D3611" s="5" t="s">
        <v>2</v>
      </c>
      <c r="E3611" s="5" t="s">
        <v>15</v>
      </c>
      <c r="F3611" s="5" t="s">
        <v>221</v>
      </c>
      <c r="G3611" s="5">
        <v>27.78</v>
      </c>
      <c r="H3611" s="5">
        <v>6</v>
      </c>
      <c r="I3611" s="6">
        <v>9.17</v>
      </c>
    </row>
    <row r="3612" spans="1:9" x14ac:dyDescent="0.3">
      <c r="A3612" s="1">
        <v>42777</v>
      </c>
      <c r="B3612" s="2" t="s">
        <v>2339</v>
      </c>
      <c r="C3612" s="2" t="s">
        <v>18</v>
      </c>
      <c r="D3612" s="2" t="s">
        <v>2</v>
      </c>
      <c r="E3612" s="2" t="s">
        <v>114</v>
      </c>
      <c r="F3612" s="2" t="s">
        <v>1349</v>
      </c>
      <c r="G3612" s="2">
        <v>76.58</v>
      </c>
      <c r="H3612" s="2">
        <v>7</v>
      </c>
      <c r="I3612" s="3">
        <v>38.29</v>
      </c>
    </row>
    <row r="3613" spans="1:9" x14ac:dyDescent="0.3">
      <c r="A3613" s="4">
        <v>42777</v>
      </c>
      <c r="B3613" s="5" t="s">
        <v>2339</v>
      </c>
      <c r="C3613" s="5" t="s">
        <v>18</v>
      </c>
      <c r="D3613" s="5" t="s">
        <v>2</v>
      </c>
      <c r="E3613" s="5" t="s">
        <v>15</v>
      </c>
      <c r="F3613" s="5" t="s">
        <v>692</v>
      </c>
      <c r="G3613" s="5">
        <v>8.8000000000000007</v>
      </c>
      <c r="H3613" s="5">
        <v>5</v>
      </c>
      <c r="I3613" s="6">
        <v>4.22</v>
      </c>
    </row>
    <row r="3614" spans="1:9" x14ac:dyDescent="0.3">
      <c r="A3614" s="1">
        <v>42777</v>
      </c>
      <c r="B3614" s="2" t="s">
        <v>2339</v>
      </c>
      <c r="C3614" s="2" t="s">
        <v>18</v>
      </c>
      <c r="D3614" s="2" t="s">
        <v>2</v>
      </c>
      <c r="E3614" s="2" t="s">
        <v>11</v>
      </c>
      <c r="F3614" s="2" t="s">
        <v>1554</v>
      </c>
      <c r="G3614" s="2">
        <v>590.35</v>
      </c>
      <c r="H3614" s="2">
        <v>6</v>
      </c>
      <c r="I3614" s="3">
        <v>206.62</v>
      </c>
    </row>
    <row r="3615" spans="1:9" x14ac:dyDescent="0.3">
      <c r="A3615" s="4">
        <v>42777</v>
      </c>
      <c r="B3615" s="5" t="s">
        <v>2339</v>
      </c>
      <c r="C3615" s="5" t="s">
        <v>18</v>
      </c>
      <c r="D3615" s="5" t="s">
        <v>2</v>
      </c>
      <c r="E3615" s="5" t="s">
        <v>34</v>
      </c>
      <c r="F3615" s="5" t="s">
        <v>590</v>
      </c>
      <c r="G3615" s="5">
        <v>5.58</v>
      </c>
      <c r="H3615" s="5">
        <v>3</v>
      </c>
      <c r="I3615" s="6">
        <v>0.17</v>
      </c>
    </row>
    <row r="3616" spans="1:9" x14ac:dyDescent="0.3">
      <c r="A3616" s="1">
        <v>42777</v>
      </c>
      <c r="B3616" s="2" t="s">
        <v>2339</v>
      </c>
      <c r="C3616" s="2" t="s">
        <v>18</v>
      </c>
      <c r="D3616" s="2" t="s">
        <v>25</v>
      </c>
      <c r="E3616" s="2" t="s">
        <v>38</v>
      </c>
      <c r="F3616" s="2" t="s">
        <v>2340</v>
      </c>
      <c r="G3616" s="2">
        <v>25.02</v>
      </c>
      <c r="H3616" s="2">
        <v>3</v>
      </c>
      <c r="I3616" s="3">
        <v>10.51</v>
      </c>
    </row>
    <row r="3617" spans="1:9" x14ac:dyDescent="0.3">
      <c r="A3617" s="4">
        <v>42777</v>
      </c>
      <c r="B3617" s="5" t="s">
        <v>2339</v>
      </c>
      <c r="C3617" s="5" t="s">
        <v>18</v>
      </c>
      <c r="D3617" s="5" t="s">
        <v>2</v>
      </c>
      <c r="E3617" s="5" t="s">
        <v>9</v>
      </c>
      <c r="F3617" s="5" t="s">
        <v>2341</v>
      </c>
      <c r="G3617" s="5">
        <v>452.55</v>
      </c>
      <c r="H3617" s="5">
        <v>7</v>
      </c>
      <c r="I3617" s="6">
        <v>22.63</v>
      </c>
    </row>
    <row r="3618" spans="1:9" x14ac:dyDescent="0.3">
      <c r="A3618" s="1">
        <v>42777</v>
      </c>
      <c r="B3618" s="2" t="s">
        <v>993</v>
      </c>
      <c r="C3618" s="2" t="s">
        <v>24</v>
      </c>
      <c r="D3618" s="2" t="s">
        <v>2</v>
      </c>
      <c r="E3618" s="2" t="s">
        <v>114</v>
      </c>
      <c r="F3618" s="2" t="s">
        <v>741</v>
      </c>
      <c r="G3618" s="2">
        <v>5.32</v>
      </c>
      <c r="H3618" s="2">
        <v>2</v>
      </c>
      <c r="I3618" s="3">
        <v>2.61</v>
      </c>
    </row>
    <row r="3619" spans="1:9" x14ac:dyDescent="0.3">
      <c r="A3619" s="4">
        <v>42777</v>
      </c>
      <c r="B3619" s="5" t="s">
        <v>993</v>
      </c>
      <c r="C3619" s="5" t="s">
        <v>24</v>
      </c>
      <c r="D3619" s="5" t="s">
        <v>25</v>
      </c>
      <c r="E3619" s="5" t="s">
        <v>26</v>
      </c>
      <c r="F3619" s="5" t="s">
        <v>685</v>
      </c>
      <c r="G3619" s="5">
        <v>975.92</v>
      </c>
      <c r="H3619" s="5">
        <v>4</v>
      </c>
      <c r="I3619" s="6">
        <v>292.77999999999997</v>
      </c>
    </row>
    <row r="3620" spans="1:9" x14ac:dyDescent="0.3">
      <c r="A3620" s="1">
        <v>42777</v>
      </c>
      <c r="B3620" s="2" t="s">
        <v>993</v>
      </c>
      <c r="C3620" s="2" t="s">
        <v>24</v>
      </c>
      <c r="D3620" s="2" t="s">
        <v>30</v>
      </c>
      <c r="E3620" s="2" t="s">
        <v>43</v>
      </c>
      <c r="F3620" s="2" t="s">
        <v>1881</v>
      </c>
      <c r="G3620" s="2">
        <v>2249.91</v>
      </c>
      <c r="H3620" s="2">
        <v>9</v>
      </c>
      <c r="I3620" s="3">
        <v>517.48</v>
      </c>
    </row>
    <row r="3621" spans="1:9" x14ac:dyDescent="0.3">
      <c r="A3621" s="4">
        <v>42777</v>
      </c>
      <c r="B3621" s="5" t="s">
        <v>993</v>
      </c>
      <c r="C3621" s="5" t="s">
        <v>24</v>
      </c>
      <c r="D3621" s="5" t="s">
        <v>2</v>
      </c>
      <c r="E3621" s="5" t="s">
        <v>9</v>
      </c>
      <c r="F3621" s="5" t="s">
        <v>1749</v>
      </c>
      <c r="G3621" s="5">
        <v>59.92</v>
      </c>
      <c r="H3621" s="5">
        <v>4</v>
      </c>
      <c r="I3621" s="6">
        <v>16.78</v>
      </c>
    </row>
    <row r="3622" spans="1:9" x14ac:dyDescent="0.3">
      <c r="A3622" s="1">
        <v>42777</v>
      </c>
      <c r="B3622" s="2" t="s">
        <v>1856</v>
      </c>
      <c r="C3622" s="2" t="s">
        <v>14</v>
      </c>
      <c r="D3622" s="2" t="s">
        <v>25</v>
      </c>
      <c r="E3622" s="2" t="s">
        <v>38</v>
      </c>
      <c r="F3622" s="2" t="s">
        <v>2342</v>
      </c>
      <c r="G3622" s="2">
        <v>3.31</v>
      </c>
      <c r="H3622" s="2">
        <v>1</v>
      </c>
      <c r="I3622" s="3">
        <v>0.66</v>
      </c>
    </row>
    <row r="3623" spans="1:9" x14ac:dyDescent="0.3">
      <c r="A3623" s="4">
        <v>42777</v>
      </c>
      <c r="B3623" s="5" t="s">
        <v>1856</v>
      </c>
      <c r="C3623" s="5" t="s">
        <v>14</v>
      </c>
      <c r="D3623" s="5" t="s">
        <v>2</v>
      </c>
      <c r="E3623" s="5" t="s">
        <v>133</v>
      </c>
      <c r="F3623" s="5" t="s">
        <v>682</v>
      </c>
      <c r="G3623" s="5">
        <v>20.14</v>
      </c>
      <c r="H3623" s="5">
        <v>3</v>
      </c>
      <c r="I3623" s="6">
        <v>1.26</v>
      </c>
    </row>
    <row r="3624" spans="1:9" x14ac:dyDescent="0.3">
      <c r="A3624" s="1">
        <v>42777</v>
      </c>
      <c r="B3624" s="2" t="s">
        <v>1856</v>
      </c>
      <c r="C3624" s="2" t="s">
        <v>14</v>
      </c>
      <c r="D3624" s="2" t="s">
        <v>2</v>
      </c>
      <c r="E3624" s="2" t="s">
        <v>114</v>
      </c>
      <c r="F3624" s="2" t="s">
        <v>2343</v>
      </c>
      <c r="G3624" s="2">
        <v>8.86</v>
      </c>
      <c r="H3624" s="2">
        <v>3</v>
      </c>
      <c r="I3624" s="3">
        <v>2.88</v>
      </c>
    </row>
    <row r="3625" spans="1:9" x14ac:dyDescent="0.3">
      <c r="A3625" s="4">
        <v>42777</v>
      </c>
      <c r="B3625" s="5" t="s">
        <v>1856</v>
      </c>
      <c r="C3625" s="5" t="s">
        <v>14</v>
      </c>
      <c r="D3625" s="5" t="s">
        <v>30</v>
      </c>
      <c r="E3625" s="5" t="s">
        <v>31</v>
      </c>
      <c r="F3625" s="5" t="s">
        <v>341</v>
      </c>
      <c r="G3625" s="5">
        <v>859.2</v>
      </c>
      <c r="H3625" s="5">
        <v>4</v>
      </c>
      <c r="I3625" s="6">
        <v>-186.16</v>
      </c>
    </row>
    <row r="3626" spans="1:9" x14ac:dyDescent="0.3">
      <c r="A3626" s="1">
        <v>42777</v>
      </c>
      <c r="B3626" s="2" t="s">
        <v>1643</v>
      </c>
      <c r="C3626" s="2" t="s">
        <v>375</v>
      </c>
      <c r="D3626" s="2" t="s">
        <v>2</v>
      </c>
      <c r="E3626" s="2" t="s">
        <v>3</v>
      </c>
      <c r="F3626" s="2" t="s">
        <v>722</v>
      </c>
      <c r="G3626" s="2">
        <v>19.440000000000001</v>
      </c>
      <c r="H3626" s="2">
        <v>3</v>
      </c>
      <c r="I3626" s="3">
        <v>9.33</v>
      </c>
    </row>
    <row r="3627" spans="1:9" x14ac:dyDescent="0.3">
      <c r="A3627" s="4">
        <v>42777</v>
      </c>
      <c r="B3627" s="5" t="s">
        <v>1114</v>
      </c>
      <c r="C3627" s="5" t="s">
        <v>127</v>
      </c>
      <c r="D3627" s="5" t="s">
        <v>2</v>
      </c>
      <c r="E3627" s="5" t="s">
        <v>144</v>
      </c>
      <c r="F3627" s="5" t="s">
        <v>1718</v>
      </c>
      <c r="G3627" s="5">
        <v>384.59</v>
      </c>
      <c r="H3627" s="5">
        <v>2</v>
      </c>
      <c r="I3627" s="6">
        <v>-81.73</v>
      </c>
    </row>
    <row r="3628" spans="1:9" x14ac:dyDescent="0.3">
      <c r="A3628" s="1">
        <v>42777</v>
      </c>
      <c r="B3628" s="2" t="s">
        <v>1196</v>
      </c>
      <c r="C3628" s="2" t="s">
        <v>18</v>
      </c>
      <c r="D3628" s="2" t="s">
        <v>2</v>
      </c>
      <c r="E3628" s="2" t="s">
        <v>133</v>
      </c>
      <c r="F3628" s="2" t="s">
        <v>2241</v>
      </c>
      <c r="G3628" s="2">
        <v>168.1</v>
      </c>
      <c r="H3628" s="2">
        <v>5</v>
      </c>
      <c r="I3628" s="3">
        <v>43.71</v>
      </c>
    </row>
    <row r="3629" spans="1:9" x14ac:dyDescent="0.3">
      <c r="A3629" s="4">
        <v>42777</v>
      </c>
      <c r="B3629" s="5" t="s">
        <v>1135</v>
      </c>
      <c r="C3629" s="5" t="s">
        <v>6</v>
      </c>
      <c r="D3629" s="5" t="s">
        <v>2</v>
      </c>
      <c r="E3629" s="5" t="s">
        <v>15</v>
      </c>
      <c r="F3629" s="5" t="s">
        <v>1952</v>
      </c>
      <c r="G3629" s="5">
        <v>54.34</v>
      </c>
      <c r="H3629" s="5">
        <v>4</v>
      </c>
      <c r="I3629" s="6">
        <v>5.43</v>
      </c>
    </row>
    <row r="3630" spans="1:9" x14ac:dyDescent="0.3">
      <c r="A3630" s="1">
        <v>42777</v>
      </c>
      <c r="B3630" s="2" t="s">
        <v>2335</v>
      </c>
      <c r="C3630" s="2" t="s">
        <v>90</v>
      </c>
      <c r="D3630" s="2" t="s">
        <v>2</v>
      </c>
      <c r="E3630" s="2" t="s">
        <v>133</v>
      </c>
      <c r="F3630" s="2" t="s">
        <v>682</v>
      </c>
      <c r="G3630" s="2">
        <v>83.9</v>
      </c>
      <c r="H3630" s="2">
        <v>10</v>
      </c>
      <c r="I3630" s="3">
        <v>20.98</v>
      </c>
    </row>
    <row r="3631" spans="1:9" x14ac:dyDescent="0.3">
      <c r="A3631" s="4">
        <v>42777</v>
      </c>
      <c r="B3631" s="5" t="s">
        <v>2335</v>
      </c>
      <c r="C3631" s="5" t="s">
        <v>90</v>
      </c>
      <c r="D3631" s="5" t="s">
        <v>2</v>
      </c>
      <c r="E3631" s="5" t="s">
        <v>3</v>
      </c>
      <c r="F3631" s="5" t="s">
        <v>739</v>
      </c>
      <c r="G3631" s="5">
        <v>11.76</v>
      </c>
      <c r="H3631" s="5">
        <v>2</v>
      </c>
      <c r="I3631" s="6">
        <v>5.76</v>
      </c>
    </row>
    <row r="3632" spans="1:9" x14ac:dyDescent="0.3">
      <c r="A3632" s="1">
        <v>42777</v>
      </c>
      <c r="B3632" s="2" t="s">
        <v>2344</v>
      </c>
      <c r="C3632" s="2" t="s">
        <v>127</v>
      </c>
      <c r="D3632" s="2" t="s">
        <v>25</v>
      </c>
      <c r="E3632" s="2" t="s">
        <v>26</v>
      </c>
      <c r="F3632" s="2" t="s">
        <v>1302</v>
      </c>
      <c r="G3632" s="2">
        <v>155.37</v>
      </c>
      <c r="H3632" s="2">
        <v>2</v>
      </c>
      <c r="I3632" s="3">
        <v>-35.51</v>
      </c>
    </row>
    <row r="3633" spans="1:9" x14ac:dyDescent="0.3">
      <c r="A3633" s="4">
        <v>42777</v>
      </c>
      <c r="B3633" s="5" t="s">
        <v>869</v>
      </c>
      <c r="C3633" s="5" t="s">
        <v>46</v>
      </c>
      <c r="D3633" s="5" t="s">
        <v>2</v>
      </c>
      <c r="E3633" s="5" t="s">
        <v>15</v>
      </c>
      <c r="F3633" s="5" t="s">
        <v>2072</v>
      </c>
      <c r="G3633" s="5">
        <v>5.56</v>
      </c>
      <c r="H3633" s="5">
        <v>2</v>
      </c>
      <c r="I3633" s="6">
        <v>1.45</v>
      </c>
    </row>
    <row r="3634" spans="1:9" x14ac:dyDescent="0.3">
      <c r="A3634" s="1">
        <v>42805</v>
      </c>
      <c r="B3634" s="2" t="s">
        <v>2108</v>
      </c>
      <c r="C3634" s="2" t="s">
        <v>411</v>
      </c>
      <c r="D3634" s="2" t="s">
        <v>25</v>
      </c>
      <c r="E3634" s="2" t="s">
        <v>38</v>
      </c>
      <c r="F3634" s="2" t="s">
        <v>635</v>
      </c>
      <c r="G3634" s="2">
        <v>15.99</v>
      </c>
      <c r="H3634" s="2">
        <v>1</v>
      </c>
      <c r="I3634" s="3">
        <v>1</v>
      </c>
    </row>
    <row r="3635" spans="1:9" x14ac:dyDescent="0.3">
      <c r="A3635" s="4">
        <v>42805</v>
      </c>
      <c r="B3635" s="5" t="s">
        <v>2345</v>
      </c>
      <c r="C3635" s="5" t="s">
        <v>62</v>
      </c>
      <c r="D3635" s="5" t="s">
        <v>2</v>
      </c>
      <c r="E3635" s="5" t="s">
        <v>3</v>
      </c>
      <c r="F3635" s="5" t="s">
        <v>1800</v>
      </c>
      <c r="G3635" s="5">
        <v>139.86000000000001</v>
      </c>
      <c r="H3635" s="5">
        <v>7</v>
      </c>
      <c r="I3635" s="6">
        <v>65.73</v>
      </c>
    </row>
    <row r="3636" spans="1:9" x14ac:dyDescent="0.3">
      <c r="A3636" s="1">
        <v>42805</v>
      </c>
      <c r="B3636" s="2" t="s">
        <v>2345</v>
      </c>
      <c r="C3636" s="2" t="s">
        <v>62</v>
      </c>
      <c r="D3636" s="2" t="s">
        <v>25</v>
      </c>
      <c r="E3636" s="2" t="s">
        <v>26</v>
      </c>
      <c r="F3636" s="2" t="s">
        <v>2346</v>
      </c>
      <c r="G3636" s="2">
        <v>307.14</v>
      </c>
      <c r="H3636" s="2">
        <v>4</v>
      </c>
      <c r="I3636" s="3">
        <v>26.87</v>
      </c>
    </row>
    <row r="3637" spans="1:9" x14ac:dyDescent="0.3">
      <c r="A3637" s="4">
        <v>42805</v>
      </c>
      <c r="B3637" s="5" t="s">
        <v>1345</v>
      </c>
      <c r="C3637" s="5" t="s">
        <v>21</v>
      </c>
      <c r="D3637" s="5" t="s">
        <v>2</v>
      </c>
      <c r="E3637" s="5" t="s">
        <v>7</v>
      </c>
      <c r="F3637" s="5" t="s">
        <v>1486</v>
      </c>
      <c r="G3637" s="5">
        <v>12.39</v>
      </c>
      <c r="H3637" s="5">
        <v>3</v>
      </c>
      <c r="I3637" s="6">
        <v>5.7</v>
      </c>
    </row>
    <row r="3638" spans="1:9" x14ac:dyDescent="0.3">
      <c r="A3638" s="1">
        <v>42805</v>
      </c>
      <c r="B3638" s="2" t="s">
        <v>2347</v>
      </c>
      <c r="C3638" s="2" t="s">
        <v>784</v>
      </c>
      <c r="D3638" s="2" t="s">
        <v>25</v>
      </c>
      <c r="E3638" s="2" t="s">
        <v>38</v>
      </c>
      <c r="F3638" s="2" t="s">
        <v>487</v>
      </c>
      <c r="G3638" s="2">
        <v>41.37</v>
      </c>
      <c r="H3638" s="2">
        <v>3</v>
      </c>
      <c r="I3638" s="3">
        <v>17.38</v>
      </c>
    </row>
    <row r="3639" spans="1:9" x14ac:dyDescent="0.3">
      <c r="A3639" s="4">
        <v>42805</v>
      </c>
      <c r="B3639" s="5" t="s">
        <v>705</v>
      </c>
      <c r="C3639" s="5" t="s">
        <v>359</v>
      </c>
      <c r="D3639" s="5" t="s">
        <v>2</v>
      </c>
      <c r="E3639" s="5" t="s">
        <v>3</v>
      </c>
      <c r="F3639" s="5" t="s">
        <v>118</v>
      </c>
      <c r="G3639" s="5">
        <v>8.56</v>
      </c>
      <c r="H3639" s="5">
        <v>2</v>
      </c>
      <c r="I3639" s="6">
        <v>3.85</v>
      </c>
    </row>
    <row r="3640" spans="1:9" x14ac:dyDescent="0.3">
      <c r="A3640" s="1">
        <v>42805</v>
      </c>
      <c r="B3640" s="2" t="s">
        <v>705</v>
      </c>
      <c r="C3640" s="2" t="s">
        <v>359</v>
      </c>
      <c r="D3640" s="2" t="s">
        <v>2</v>
      </c>
      <c r="E3640" s="2" t="s">
        <v>9</v>
      </c>
      <c r="F3640" s="2" t="s">
        <v>1350</v>
      </c>
      <c r="G3640" s="2">
        <v>52.4</v>
      </c>
      <c r="H3640" s="2">
        <v>5</v>
      </c>
      <c r="I3640" s="3">
        <v>14.15</v>
      </c>
    </row>
    <row r="3641" spans="1:9" x14ac:dyDescent="0.3">
      <c r="A3641" s="4">
        <v>42805</v>
      </c>
      <c r="B3641" s="5" t="s">
        <v>705</v>
      </c>
      <c r="C3641" s="5" t="s">
        <v>359</v>
      </c>
      <c r="D3641" s="5" t="s">
        <v>2</v>
      </c>
      <c r="E3641" s="5" t="s">
        <v>7</v>
      </c>
      <c r="F3641" s="5" t="s">
        <v>385</v>
      </c>
      <c r="G3641" s="5">
        <v>14.94</v>
      </c>
      <c r="H3641" s="5">
        <v>3</v>
      </c>
      <c r="I3641" s="6">
        <v>6.87</v>
      </c>
    </row>
    <row r="3642" spans="1:9" x14ac:dyDescent="0.3">
      <c r="A3642" s="1">
        <v>42805</v>
      </c>
      <c r="B3642" s="2" t="s">
        <v>1271</v>
      </c>
      <c r="C3642" s="2" t="s">
        <v>14</v>
      </c>
      <c r="D3642" s="2" t="s">
        <v>2</v>
      </c>
      <c r="E3642" s="2" t="s">
        <v>11</v>
      </c>
      <c r="F3642" s="2" t="s">
        <v>2258</v>
      </c>
      <c r="G3642" s="2">
        <v>11.67</v>
      </c>
      <c r="H3642" s="2">
        <v>3</v>
      </c>
      <c r="I3642" s="3">
        <v>-7.78</v>
      </c>
    </row>
    <row r="3643" spans="1:9" x14ac:dyDescent="0.3">
      <c r="A3643" s="4">
        <v>42805</v>
      </c>
      <c r="B3643" s="5" t="s">
        <v>135</v>
      </c>
      <c r="C3643" s="5" t="s">
        <v>62</v>
      </c>
      <c r="D3643" s="5" t="s">
        <v>30</v>
      </c>
      <c r="E3643" s="5" t="s">
        <v>43</v>
      </c>
      <c r="F3643" s="5" t="s">
        <v>1264</v>
      </c>
      <c r="G3643" s="5">
        <v>43.5</v>
      </c>
      <c r="H3643" s="5">
        <v>3</v>
      </c>
      <c r="I3643" s="6">
        <v>10.88</v>
      </c>
    </row>
    <row r="3644" spans="1:9" x14ac:dyDescent="0.3">
      <c r="A3644" s="1">
        <v>42805</v>
      </c>
      <c r="B3644" s="2" t="s">
        <v>1761</v>
      </c>
      <c r="C3644" s="2" t="s">
        <v>24</v>
      </c>
      <c r="D3644" s="2" t="s">
        <v>2</v>
      </c>
      <c r="E3644" s="2" t="s">
        <v>3</v>
      </c>
      <c r="F3644" s="2" t="s">
        <v>1223</v>
      </c>
      <c r="G3644" s="2">
        <v>26.4</v>
      </c>
      <c r="H3644" s="2">
        <v>5</v>
      </c>
      <c r="I3644" s="3">
        <v>11.88</v>
      </c>
    </row>
    <row r="3645" spans="1:9" x14ac:dyDescent="0.3">
      <c r="A3645" s="4">
        <v>42805</v>
      </c>
      <c r="B3645" s="5" t="s">
        <v>344</v>
      </c>
      <c r="C3645" s="5" t="s">
        <v>18</v>
      </c>
      <c r="D3645" s="5" t="s">
        <v>2</v>
      </c>
      <c r="E3645" s="5" t="s">
        <v>3</v>
      </c>
      <c r="F3645" s="5" t="s">
        <v>2348</v>
      </c>
      <c r="G3645" s="5">
        <v>35.880000000000003</v>
      </c>
      <c r="H3645" s="5">
        <v>6</v>
      </c>
      <c r="I3645" s="6">
        <v>17.579999999999998</v>
      </c>
    </row>
    <row r="3646" spans="1:9" x14ac:dyDescent="0.3">
      <c r="A3646" s="1">
        <v>42805</v>
      </c>
      <c r="B3646" s="2" t="s">
        <v>2240</v>
      </c>
      <c r="C3646" s="2" t="s">
        <v>58</v>
      </c>
      <c r="D3646" s="2" t="s">
        <v>30</v>
      </c>
      <c r="E3646" s="2" t="s">
        <v>31</v>
      </c>
      <c r="F3646" s="2" t="s">
        <v>704</v>
      </c>
      <c r="G3646" s="2">
        <v>361.38</v>
      </c>
      <c r="H3646" s="2">
        <v>2</v>
      </c>
      <c r="I3646" s="3">
        <v>27.1</v>
      </c>
    </row>
    <row r="3647" spans="1:9" x14ac:dyDescent="0.3">
      <c r="A3647" s="4">
        <v>42805</v>
      </c>
      <c r="B3647" s="5" t="s">
        <v>2349</v>
      </c>
      <c r="C3647" s="5" t="s">
        <v>14</v>
      </c>
      <c r="D3647" s="5" t="s">
        <v>30</v>
      </c>
      <c r="E3647" s="5" t="s">
        <v>43</v>
      </c>
      <c r="F3647" s="5" t="s">
        <v>1601</v>
      </c>
      <c r="G3647" s="5">
        <v>40.78</v>
      </c>
      <c r="H3647" s="5">
        <v>3</v>
      </c>
      <c r="I3647" s="6">
        <v>0.51</v>
      </c>
    </row>
    <row r="3648" spans="1:9" x14ac:dyDescent="0.3">
      <c r="A3648" s="1">
        <v>42805</v>
      </c>
      <c r="B3648" s="2" t="s">
        <v>2350</v>
      </c>
      <c r="C3648" s="2" t="s">
        <v>18</v>
      </c>
      <c r="D3648" s="2" t="s">
        <v>30</v>
      </c>
      <c r="E3648" s="2" t="s">
        <v>43</v>
      </c>
      <c r="F3648" s="2" t="s">
        <v>1106</v>
      </c>
      <c r="G3648" s="2">
        <v>199.75</v>
      </c>
      <c r="H3648" s="2">
        <v>5</v>
      </c>
      <c r="I3648" s="3">
        <v>87.89</v>
      </c>
    </row>
    <row r="3649" spans="1:9" x14ac:dyDescent="0.3">
      <c r="A3649" s="4">
        <v>42805</v>
      </c>
      <c r="B3649" s="5" t="s">
        <v>2350</v>
      </c>
      <c r="C3649" s="5" t="s">
        <v>18</v>
      </c>
      <c r="D3649" s="5" t="s">
        <v>25</v>
      </c>
      <c r="E3649" s="5" t="s">
        <v>86</v>
      </c>
      <c r="F3649" s="5" t="s">
        <v>1186</v>
      </c>
      <c r="G3649" s="5">
        <v>1673.18</v>
      </c>
      <c r="H3649" s="5">
        <v>12</v>
      </c>
      <c r="I3649" s="6">
        <v>20.91</v>
      </c>
    </row>
    <row r="3650" spans="1:9" x14ac:dyDescent="0.3">
      <c r="A3650" s="1">
        <v>42805</v>
      </c>
      <c r="B3650" s="2" t="s">
        <v>617</v>
      </c>
      <c r="C3650" s="2" t="s">
        <v>121</v>
      </c>
      <c r="D3650" s="2" t="s">
        <v>2</v>
      </c>
      <c r="E3650" s="2" t="s">
        <v>3</v>
      </c>
      <c r="F3650" s="2" t="s">
        <v>2351</v>
      </c>
      <c r="G3650" s="2">
        <v>16.27</v>
      </c>
      <c r="H3650" s="2">
        <v>3</v>
      </c>
      <c r="I3650" s="3">
        <v>5.29</v>
      </c>
    </row>
    <row r="3651" spans="1:9" x14ac:dyDescent="0.3">
      <c r="A3651" s="4">
        <v>42805</v>
      </c>
      <c r="B3651" s="5" t="s">
        <v>20</v>
      </c>
      <c r="C3651" s="5" t="s">
        <v>62</v>
      </c>
      <c r="D3651" s="5" t="s">
        <v>2</v>
      </c>
      <c r="E3651" s="5" t="s">
        <v>11</v>
      </c>
      <c r="F3651" s="5" t="s">
        <v>1527</v>
      </c>
      <c r="G3651" s="5">
        <v>18.37</v>
      </c>
      <c r="H3651" s="5">
        <v>4</v>
      </c>
      <c r="I3651" s="6">
        <v>5.97</v>
      </c>
    </row>
    <row r="3652" spans="1:9" x14ac:dyDescent="0.3">
      <c r="A3652" s="1">
        <v>42805</v>
      </c>
      <c r="B3652" s="2" t="s">
        <v>1919</v>
      </c>
      <c r="C3652" s="2" t="s">
        <v>18</v>
      </c>
      <c r="D3652" s="2" t="s">
        <v>25</v>
      </c>
      <c r="E3652" s="2" t="s">
        <v>86</v>
      </c>
      <c r="F3652" s="2" t="s">
        <v>257</v>
      </c>
      <c r="G3652" s="2">
        <v>486.37</v>
      </c>
      <c r="H3652" s="2">
        <v>4</v>
      </c>
      <c r="I3652" s="3">
        <v>36.479999999999997</v>
      </c>
    </row>
    <row r="3653" spans="1:9" x14ac:dyDescent="0.3">
      <c r="A3653" s="4">
        <v>42805</v>
      </c>
      <c r="B3653" s="5" t="s">
        <v>1089</v>
      </c>
      <c r="C3653" s="5" t="s">
        <v>58</v>
      </c>
      <c r="D3653" s="5" t="s">
        <v>30</v>
      </c>
      <c r="E3653" s="5" t="s">
        <v>290</v>
      </c>
      <c r="F3653" s="5" t="s">
        <v>2352</v>
      </c>
      <c r="G3653" s="5">
        <v>959.98</v>
      </c>
      <c r="H3653" s="5">
        <v>2</v>
      </c>
      <c r="I3653" s="6">
        <v>311.99</v>
      </c>
    </row>
    <row r="3654" spans="1:9" x14ac:dyDescent="0.3">
      <c r="A3654" s="1">
        <v>42805</v>
      </c>
      <c r="B3654" s="2" t="s">
        <v>1089</v>
      </c>
      <c r="C3654" s="2" t="s">
        <v>58</v>
      </c>
      <c r="D3654" s="2" t="s">
        <v>2</v>
      </c>
      <c r="E3654" s="2" t="s">
        <v>11</v>
      </c>
      <c r="F3654" s="2" t="s">
        <v>839</v>
      </c>
      <c r="G3654" s="2">
        <v>4.09</v>
      </c>
      <c r="H3654" s="2">
        <v>2</v>
      </c>
      <c r="I3654" s="3">
        <v>-3</v>
      </c>
    </row>
    <row r="3655" spans="1:9" x14ac:dyDescent="0.3">
      <c r="A3655" s="4">
        <v>42805</v>
      </c>
      <c r="B3655" s="5" t="s">
        <v>1089</v>
      </c>
      <c r="C3655" s="5" t="s">
        <v>58</v>
      </c>
      <c r="D3655" s="5" t="s">
        <v>2</v>
      </c>
      <c r="E3655" s="5" t="s">
        <v>15</v>
      </c>
      <c r="F3655" s="5" t="s">
        <v>749</v>
      </c>
      <c r="G3655" s="5">
        <v>55.98</v>
      </c>
      <c r="H3655" s="5">
        <v>2</v>
      </c>
      <c r="I3655" s="6">
        <v>4.2</v>
      </c>
    </row>
    <row r="3656" spans="1:9" x14ac:dyDescent="0.3">
      <c r="A3656" s="1">
        <v>42805</v>
      </c>
      <c r="B3656" s="2" t="s">
        <v>1089</v>
      </c>
      <c r="C3656" s="2" t="s">
        <v>58</v>
      </c>
      <c r="D3656" s="2" t="s">
        <v>2</v>
      </c>
      <c r="E3656" s="2" t="s">
        <v>3</v>
      </c>
      <c r="F3656" s="2" t="s">
        <v>1725</v>
      </c>
      <c r="G3656" s="2">
        <v>10.69</v>
      </c>
      <c r="H3656" s="2">
        <v>2</v>
      </c>
      <c r="I3656" s="3">
        <v>3.74</v>
      </c>
    </row>
    <row r="3657" spans="1:9" x14ac:dyDescent="0.3">
      <c r="A3657" s="4">
        <v>42836</v>
      </c>
      <c r="B3657" s="5" t="s">
        <v>396</v>
      </c>
      <c r="C3657" s="5" t="s">
        <v>121</v>
      </c>
      <c r="D3657" s="5" t="s">
        <v>30</v>
      </c>
      <c r="E3657" s="5" t="s">
        <v>625</v>
      </c>
      <c r="F3657" s="5" t="s">
        <v>2353</v>
      </c>
      <c r="G3657" s="5">
        <v>7999.98</v>
      </c>
      <c r="H3657" s="5">
        <v>4</v>
      </c>
      <c r="I3657" s="6">
        <v>-3839.99</v>
      </c>
    </row>
    <row r="3658" spans="1:9" x14ac:dyDescent="0.3">
      <c r="A3658" s="1">
        <v>42836</v>
      </c>
      <c r="B3658" s="2" t="s">
        <v>396</v>
      </c>
      <c r="C3658" s="2" t="s">
        <v>121</v>
      </c>
      <c r="D3658" s="2" t="s">
        <v>2</v>
      </c>
      <c r="E3658" s="2" t="s">
        <v>133</v>
      </c>
      <c r="F3658" s="2" t="s">
        <v>1888</v>
      </c>
      <c r="G3658" s="2">
        <v>167.44</v>
      </c>
      <c r="H3658" s="2">
        <v>2</v>
      </c>
      <c r="I3658" s="3">
        <v>14.65</v>
      </c>
    </row>
    <row r="3659" spans="1:9" x14ac:dyDescent="0.3">
      <c r="A3659" s="4">
        <v>42836</v>
      </c>
      <c r="B3659" s="5" t="s">
        <v>1042</v>
      </c>
      <c r="C3659" s="5" t="s">
        <v>411</v>
      </c>
      <c r="D3659" s="5" t="s">
        <v>2</v>
      </c>
      <c r="E3659" s="5" t="s">
        <v>3</v>
      </c>
      <c r="F3659" s="5" t="s">
        <v>2354</v>
      </c>
      <c r="G3659" s="5">
        <v>9.66</v>
      </c>
      <c r="H3659" s="5">
        <v>2</v>
      </c>
      <c r="I3659" s="6">
        <v>3.26</v>
      </c>
    </row>
    <row r="3660" spans="1:9" x14ac:dyDescent="0.3">
      <c r="A3660" s="1">
        <v>42836</v>
      </c>
      <c r="B3660" s="2" t="s">
        <v>648</v>
      </c>
      <c r="C3660" s="2" t="s">
        <v>1</v>
      </c>
      <c r="D3660" s="2" t="s">
        <v>2</v>
      </c>
      <c r="E3660" s="2" t="s">
        <v>7</v>
      </c>
      <c r="F3660" s="2" t="s">
        <v>696</v>
      </c>
      <c r="G3660" s="2">
        <v>23.68</v>
      </c>
      <c r="H3660" s="2">
        <v>2</v>
      </c>
      <c r="I3660" s="3">
        <v>8.8800000000000008</v>
      </c>
    </row>
    <row r="3661" spans="1:9" x14ac:dyDescent="0.3">
      <c r="A3661" s="4">
        <v>42836</v>
      </c>
      <c r="B3661" s="5" t="s">
        <v>2002</v>
      </c>
      <c r="C3661" s="5" t="s">
        <v>121</v>
      </c>
      <c r="D3661" s="5" t="s">
        <v>25</v>
      </c>
      <c r="E3661" s="5" t="s">
        <v>86</v>
      </c>
      <c r="F3661" s="5" t="s">
        <v>499</v>
      </c>
      <c r="G3661" s="5">
        <v>523.76</v>
      </c>
      <c r="H3661" s="5">
        <v>3</v>
      </c>
      <c r="I3661" s="6">
        <v>-192.05</v>
      </c>
    </row>
    <row r="3662" spans="1:9" x14ac:dyDescent="0.3">
      <c r="A3662" s="1">
        <v>42836</v>
      </c>
      <c r="B3662" s="2" t="s">
        <v>2002</v>
      </c>
      <c r="C3662" s="2" t="s">
        <v>121</v>
      </c>
      <c r="D3662" s="2" t="s">
        <v>30</v>
      </c>
      <c r="E3662" s="2" t="s">
        <v>31</v>
      </c>
      <c r="F3662" s="2" t="s">
        <v>2355</v>
      </c>
      <c r="G3662" s="2">
        <v>1359.96</v>
      </c>
      <c r="H3662" s="2">
        <v>5</v>
      </c>
      <c r="I3662" s="3">
        <v>119</v>
      </c>
    </row>
    <row r="3663" spans="1:9" x14ac:dyDescent="0.3">
      <c r="A3663" s="4">
        <v>42836</v>
      </c>
      <c r="B3663" s="5" t="s">
        <v>1656</v>
      </c>
      <c r="C3663" s="5" t="s">
        <v>411</v>
      </c>
      <c r="D3663" s="5" t="s">
        <v>30</v>
      </c>
      <c r="E3663" s="5" t="s">
        <v>43</v>
      </c>
      <c r="F3663" s="5" t="s">
        <v>426</v>
      </c>
      <c r="G3663" s="5">
        <v>95.98</v>
      </c>
      <c r="H3663" s="5">
        <v>3</v>
      </c>
      <c r="I3663" s="6">
        <v>15.6</v>
      </c>
    </row>
    <row r="3664" spans="1:9" x14ac:dyDescent="0.3">
      <c r="A3664" s="1">
        <v>42836</v>
      </c>
      <c r="B3664" s="2" t="s">
        <v>1656</v>
      </c>
      <c r="C3664" s="2" t="s">
        <v>411</v>
      </c>
      <c r="D3664" s="2" t="s">
        <v>30</v>
      </c>
      <c r="E3664" s="2" t="s">
        <v>31</v>
      </c>
      <c r="F3664" s="2" t="s">
        <v>2304</v>
      </c>
      <c r="G3664" s="2">
        <v>143.93</v>
      </c>
      <c r="H3664" s="2">
        <v>9</v>
      </c>
      <c r="I3664" s="3">
        <v>-32.380000000000003</v>
      </c>
    </row>
    <row r="3665" spans="1:9" x14ac:dyDescent="0.3">
      <c r="A3665" s="4">
        <v>42836</v>
      </c>
      <c r="B3665" s="5" t="s">
        <v>1656</v>
      </c>
      <c r="C3665" s="5" t="s">
        <v>411</v>
      </c>
      <c r="D3665" s="5" t="s">
        <v>2</v>
      </c>
      <c r="E3665" s="5" t="s">
        <v>11</v>
      </c>
      <c r="F3665" s="5" t="s">
        <v>314</v>
      </c>
      <c r="G3665" s="5">
        <v>3.56</v>
      </c>
      <c r="H3665" s="5">
        <v>2</v>
      </c>
      <c r="I3665" s="6">
        <v>-2.97</v>
      </c>
    </row>
    <row r="3666" spans="1:9" x14ac:dyDescent="0.3">
      <c r="A3666" s="1">
        <v>42836</v>
      </c>
      <c r="B3666" s="2" t="s">
        <v>1656</v>
      </c>
      <c r="C3666" s="2" t="s">
        <v>411</v>
      </c>
      <c r="D3666" s="2" t="s">
        <v>2</v>
      </c>
      <c r="E3666" s="2" t="s">
        <v>7</v>
      </c>
      <c r="F3666" s="2" t="s">
        <v>293</v>
      </c>
      <c r="G3666" s="2">
        <v>4.93</v>
      </c>
      <c r="H3666" s="2">
        <v>2</v>
      </c>
      <c r="I3666" s="3">
        <v>1.72</v>
      </c>
    </row>
    <row r="3667" spans="1:9" x14ac:dyDescent="0.3">
      <c r="A3667" s="4">
        <v>42836</v>
      </c>
      <c r="B3667" s="5" t="s">
        <v>1145</v>
      </c>
      <c r="C3667" s="5" t="s">
        <v>1</v>
      </c>
      <c r="D3667" s="5" t="s">
        <v>2</v>
      </c>
      <c r="E3667" s="5" t="s">
        <v>11</v>
      </c>
      <c r="F3667" s="5" t="s">
        <v>1237</v>
      </c>
      <c r="G3667" s="5">
        <v>7.54</v>
      </c>
      <c r="H3667" s="5">
        <v>6</v>
      </c>
      <c r="I3667" s="6">
        <v>-13.19</v>
      </c>
    </row>
    <row r="3668" spans="1:9" x14ac:dyDescent="0.3">
      <c r="A3668" s="1">
        <v>42836</v>
      </c>
      <c r="B3668" s="2" t="s">
        <v>1145</v>
      </c>
      <c r="C3668" s="2" t="s">
        <v>1</v>
      </c>
      <c r="D3668" s="2" t="s">
        <v>2</v>
      </c>
      <c r="E3668" s="2" t="s">
        <v>11</v>
      </c>
      <c r="F3668" s="2" t="s">
        <v>503</v>
      </c>
      <c r="G3668" s="2">
        <v>1.41</v>
      </c>
      <c r="H3668" s="2">
        <v>2</v>
      </c>
      <c r="I3668" s="3">
        <v>-2.3199999999999998</v>
      </c>
    </row>
    <row r="3669" spans="1:9" x14ac:dyDescent="0.3">
      <c r="A3669" s="4">
        <v>42836</v>
      </c>
      <c r="B3669" s="5" t="s">
        <v>1145</v>
      </c>
      <c r="C3669" s="5" t="s">
        <v>1</v>
      </c>
      <c r="D3669" s="5" t="s">
        <v>2</v>
      </c>
      <c r="E3669" s="5" t="s">
        <v>11</v>
      </c>
      <c r="F3669" s="5" t="s">
        <v>726</v>
      </c>
      <c r="G3669" s="5">
        <v>4.1399999999999997</v>
      </c>
      <c r="H3669" s="5">
        <v>4</v>
      </c>
      <c r="I3669" s="6">
        <v>-6.42</v>
      </c>
    </row>
    <row r="3670" spans="1:9" x14ac:dyDescent="0.3">
      <c r="A3670" s="1">
        <v>42836</v>
      </c>
      <c r="B3670" s="2" t="s">
        <v>1145</v>
      </c>
      <c r="C3670" s="2" t="s">
        <v>1</v>
      </c>
      <c r="D3670" s="2" t="s">
        <v>2</v>
      </c>
      <c r="E3670" s="2" t="s">
        <v>9</v>
      </c>
      <c r="F3670" s="2" t="s">
        <v>987</v>
      </c>
      <c r="G3670" s="2">
        <v>52.75</v>
      </c>
      <c r="H3670" s="2">
        <v>3</v>
      </c>
      <c r="I3670" s="3">
        <v>-12.53</v>
      </c>
    </row>
    <row r="3671" spans="1:9" x14ac:dyDescent="0.3">
      <c r="A3671" s="4">
        <v>42836</v>
      </c>
      <c r="B3671" s="5" t="s">
        <v>1595</v>
      </c>
      <c r="C3671" s="5" t="s">
        <v>127</v>
      </c>
      <c r="D3671" s="5" t="s">
        <v>30</v>
      </c>
      <c r="E3671" s="5" t="s">
        <v>43</v>
      </c>
      <c r="F3671" s="5" t="s">
        <v>1428</v>
      </c>
      <c r="G3671" s="5">
        <v>70.72</v>
      </c>
      <c r="H3671" s="5">
        <v>4</v>
      </c>
      <c r="I3671" s="6">
        <v>-6.19</v>
      </c>
    </row>
    <row r="3672" spans="1:9" x14ac:dyDescent="0.3">
      <c r="A3672" s="1">
        <v>42836</v>
      </c>
      <c r="B3672" s="2" t="s">
        <v>1595</v>
      </c>
      <c r="C3672" s="2" t="s">
        <v>127</v>
      </c>
      <c r="D3672" s="2" t="s">
        <v>2</v>
      </c>
      <c r="E3672" s="2" t="s">
        <v>9</v>
      </c>
      <c r="F3672" s="2" t="s">
        <v>151</v>
      </c>
      <c r="G3672" s="2">
        <v>194.35</v>
      </c>
      <c r="H3672" s="2">
        <v>3</v>
      </c>
      <c r="I3672" s="3">
        <v>-43.73</v>
      </c>
    </row>
    <row r="3673" spans="1:9" x14ac:dyDescent="0.3">
      <c r="A3673" s="4">
        <v>42836</v>
      </c>
      <c r="B3673" s="5" t="s">
        <v>1579</v>
      </c>
      <c r="C3673" s="5" t="s">
        <v>368</v>
      </c>
      <c r="D3673" s="5" t="s">
        <v>2</v>
      </c>
      <c r="E3673" s="5" t="s">
        <v>15</v>
      </c>
      <c r="F3673" s="5" t="s">
        <v>1273</v>
      </c>
      <c r="G3673" s="5">
        <v>4.3</v>
      </c>
      <c r="H3673" s="5">
        <v>2</v>
      </c>
      <c r="I3673" s="6">
        <v>1.42</v>
      </c>
    </row>
    <row r="3674" spans="1:9" x14ac:dyDescent="0.3">
      <c r="A3674" s="1">
        <v>42866</v>
      </c>
      <c r="B3674" s="2" t="s">
        <v>1933</v>
      </c>
      <c r="C3674" s="2" t="s">
        <v>253</v>
      </c>
      <c r="D3674" s="2" t="s">
        <v>2</v>
      </c>
      <c r="E3674" s="2" t="s">
        <v>11</v>
      </c>
      <c r="F3674" s="2" t="s">
        <v>1354</v>
      </c>
      <c r="G3674" s="2">
        <v>2.39</v>
      </c>
      <c r="H3674" s="2">
        <v>2</v>
      </c>
      <c r="I3674" s="3">
        <v>-1.83</v>
      </c>
    </row>
    <row r="3675" spans="1:9" x14ac:dyDescent="0.3">
      <c r="A3675" s="4">
        <v>42866</v>
      </c>
      <c r="B3675" s="5" t="s">
        <v>1933</v>
      </c>
      <c r="C3675" s="5" t="s">
        <v>253</v>
      </c>
      <c r="D3675" s="5" t="s">
        <v>2</v>
      </c>
      <c r="E3675" s="5" t="s">
        <v>9</v>
      </c>
      <c r="F3675" s="5" t="s">
        <v>849</v>
      </c>
      <c r="G3675" s="5">
        <v>243.99</v>
      </c>
      <c r="H3675" s="5">
        <v>7</v>
      </c>
      <c r="I3675" s="6">
        <v>30.5</v>
      </c>
    </row>
    <row r="3676" spans="1:9" x14ac:dyDescent="0.3">
      <c r="A3676" s="1">
        <v>42866</v>
      </c>
      <c r="B3676" s="2" t="s">
        <v>256</v>
      </c>
      <c r="C3676" s="2" t="s">
        <v>784</v>
      </c>
      <c r="D3676" s="2" t="s">
        <v>30</v>
      </c>
      <c r="E3676" s="2" t="s">
        <v>43</v>
      </c>
      <c r="F3676" s="2" t="s">
        <v>451</v>
      </c>
      <c r="G3676" s="2">
        <v>159.99</v>
      </c>
      <c r="H3676" s="2">
        <v>1</v>
      </c>
      <c r="I3676" s="3">
        <v>54.4</v>
      </c>
    </row>
    <row r="3677" spans="1:9" x14ac:dyDescent="0.3">
      <c r="A3677" s="4">
        <v>42866</v>
      </c>
      <c r="B3677" s="5" t="s">
        <v>2356</v>
      </c>
      <c r="C3677" s="5" t="s">
        <v>80</v>
      </c>
      <c r="D3677" s="5" t="s">
        <v>30</v>
      </c>
      <c r="E3677" s="5" t="s">
        <v>43</v>
      </c>
      <c r="F3677" s="5" t="s">
        <v>54</v>
      </c>
      <c r="G3677" s="5">
        <v>390.75</v>
      </c>
      <c r="H3677" s="5">
        <v>5</v>
      </c>
      <c r="I3677" s="6">
        <v>171.93</v>
      </c>
    </row>
    <row r="3678" spans="1:9" x14ac:dyDescent="0.3">
      <c r="A3678" s="1">
        <v>42866</v>
      </c>
      <c r="B3678" s="2" t="s">
        <v>1096</v>
      </c>
      <c r="C3678" s="2" t="s">
        <v>6</v>
      </c>
      <c r="D3678" s="2" t="s">
        <v>2</v>
      </c>
      <c r="E3678" s="2" t="s">
        <v>11</v>
      </c>
      <c r="F3678" s="2" t="s">
        <v>655</v>
      </c>
      <c r="G3678" s="2">
        <v>16.03</v>
      </c>
      <c r="H3678" s="2">
        <v>5</v>
      </c>
      <c r="I3678" s="3">
        <v>-25.65</v>
      </c>
    </row>
    <row r="3679" spans="1:9" x14ac:dyDescent="0.3">
      <c r="A3679" s="4">
        <v>42866</v>
      </c>
      <c r="B3679" s="5" t="s">
        <v>962</v>
      </c>
      <c r="C3679" s="5" t="s">
        <v>1</v>
      </c>
      <c r="D3679" s="5" t="s">
        <v>30</v>
      </c>
      <c r="E3679" s="5" t="s">
        <v>31</v>
      </c>
      <c r="F3679" s="5" t="s">
        <v>1112</v>
      </c>
      <c r="G3679" s="5">
        <v>492.77</v>
      </c>
      <c r="H3679" s="5">
        <v>4</v>
      </c>
      <c r="I3679" s="6">
        <v>55.44</v>
      </c>
    </row>
    <row r="3680" spans="1:9" x14ac:dyDescent="0.3">
      <c r="A3680" s="1">
        <v>42866</v>
      </c>
      <c r="B3680" s="2" t="s">
        <v>947</v>
      </c>
      <c r="C3680" s="2" t="s">
        <v>18</v>
      </c>
      <c r="D3680" s="2" t="s">
        <v>2</v>
      </c>
      <c r="E3680" s="2" t="s">
        <v>3</v>
      </c>
      <c r="F3680" s="2" t="s">
        <v>2015</v>
      </c>
      <c r="G3680" s="2">
        <v>12.96</v>
      </c>
      <c r="H3680" s="2">
        <v>2</v>
      </c>
      <c r="I3680" s="3">
        <v>6.22</v>
      </c>
    </row>
    <row r="3681" spans="1:9" x14ac:dyDescent="0.3">
      <c r="A3681" s="4">
        <v>42866</v>
      </c>
      <c r="B3681" s="5" t="s">
        <v>2357</v>
      </c>
      <c r="C3681" s="5" t="s">
        <v>80</v>
      </c>
      <c r="D3681" s="5" t="s">
        <v>2</v>
      </c>
      <c r="E3681" s="5" t="s">
        <v>11</v>
      </c>
      <c r="F3681" s="5" t="s">
        <v>1132</v>
      </c>
      <c r="G3681" s="5">
        <v>164.69</v>
      </c>
      <c r="H3681" s="5">
        <v>6</v>
      </c>
      <c r="I3681" s="6">
        <v>55.58</v>
      </c>
    </row>
    <row r="3682" spans="1:9" x14ac:dyDescent="0.3">
      <c r="A3682" s="1">
        <v>42866</v>
      </c>
      <c r="B3682" s="2" t="s">
        <v>2357</v>
      </c>
      <c r="C3682" s="2" t="s">
        <v>80</v>
      </c>
      <c r="D3682" s="2" t="s">
        <v>25</v>
      </c>
      <c r="E3682" s="2" t="s">
        <v>86</v>
      </c>
      <c r="F3682" s="2" t="s">
        <v>323</v>
      </c>
      <c r="G3682" s="2">
        <v>166.5</v>
      </c>
      <c r="H3682" s="2">
        <v>2</v>
      </c>
      <c r="I3682" s="3">
        <v>-66.599999999999994</v>
      </c>
    </row>
    <row r="3683" spans="1:9" x14ac:dyDescent="0.3">
      <c r="A3683" s="4">
        <v>42866</v>
      </c>
      <c r="B3683" s="5" t="s">
        <v>2357</v>
      </c>
      <c r="C3683" s="5" t="s">
        <v>80</v>
      </c>
      <c r="D3683" s="5" t="s">
        <v>2</v>
      </c>
      <c r="E3683" s="5" t="s">
        <v>3</v>
      </c>
      <c r="F3683" s="5" t="s">
        <v>1426</v>
      </c>
      <c r="G3683" s="5">
        <v>12.96</v>
      </c>
      <c r="H3683" s="5">
        <v>2</v>
      </c>
      <c r="I3683" s="6">
        <v>6.22</v>
      </c>
    </row>
    <row r="3684" spans="1:9" x14ac:dyDescent="0.3">
      <c r="A3684" s="1">
        <v>42866</v>
      </c>
      <c r="B3684" s="2" t="s">
        <v>2357</v>
      </c>
      <c r="C3684" s="2" t="s">
        <v>80</v>
      </c>
      <c r="D3684" s="2" t="s">
        <v>2</v>
      </c>
      <c r="E3684" s="2" t="s">
        <v>3</v>
      </c>
      <c r="F3684" s="2" t="s">
        <v>209</v>
      </c>
      <c r="G3684" s="2">
        <v>110.96</v>
      </c>
      <c r="H3684" s="2">
        <v>2</v>
      </c>
      <c r="I3684" s="3">
        <v>53.26</v>
      </c>
    </row>
    <row r="3685" spans="1:9" x14ac:dyDescent="0.3">
      <c r="A3685" s="4">
        <v>42866</v>
      </c>
      <c r="B3685" s="5" t="s">
        <v>2357</v>
      </c>
      <c r="C3685" s="5" t="s">
        <v>80</v>
      </c>
      <c r="D3685" s="5" t="s">
        <v>30</v>
      </c>
      <c r="E3685" s="5" t="s">
        <v>31</v>
      </c>
      <c r="F3685" s="5" t="s">
        <v>1655</v>
      </c>
      <c r="G3685" s="5">
        <v>99.98</v>
      </c>
      <c r="H3685" s="5">
        <v>2</v>
      </c>
      <c r="I3685" s="6">
        <v>4</v>
      </c>
    </row>
    <row r="3686" spans="1:9" x14ac:dyDescent="0.3">
      <c r="A3686" s="1">
        <v>42866</v>
      </c>
      <c r="B3686" s="2" t="s">
        <v>2357</v>
      </c>
      <c r="C3686" s="2" t="s">
        <v>80</v>
      </c>
      <c r="D3686" s="2" t="s">
        <v>2</v>
      </c>
      <c r="E3686" s="2" t="s">
        <v>11</v>
      </c>
      <c r="F3686" s="2" t="s">
        <v>1116</v>
      </c>
      <c r="G3686" s="2">
        <v>11.42</v>
      </c>
      <c r="H3686" s="2">
        <v>1</v>
      </c>
      <c r="I3686" s="3">
        <v>3.71</v>
      </c>
    </row>
    <row r="3687" spans="1:9" x14ac:dyDescent="0.3">
      <c r="A3687" s="4">
        <v>42866</v>
      </c>
      <c r="B3687" s="5" t="s">
        <v>2357</v>
      </c>
      <c r="C3687" s="5" t="s">
        <v>80</v>
      </c>
      <c r="D3687" s="5" t="s">
        <v>25</v>
      </c>
      <c r="E3687" s="5" t="s">
        <v>26</v>
      </c>
      <c r="F3687" s="5" t="s">
        <v>1999</v>
      </c>
      <c r="G3687" s="5">
        <v>128.12</v>
      </c>
      <c r="H3687" s="5">
        <v>2</v>
      </c>
      <c r="I3687" s="6">
        <v>24.2</v>
      </c>
    </row>
    <row r="3688" spans="1:9" x14ac:dyDescent="0.3">
      <c r="A3688" s="1">
        <v>42866</v>
      </c>
      <c r="B3688" s="2" t="s">
        <v>2357</v>
      </c>
      <c r="C3688" s="2" t="s">
        <v>80</v>
      </c>
      <c r="D3688" s="2" t="s">
        <v>25</v>
      </c>
      <c r="E3688" s="2" t="s">
        <v>38</v>
      </c>
      <c r="F3688" s="2" t="s">
        <v>2166</v>
      </c>
      <c r="G3688" s="2">
        <v>101.4</v>
      </c>
      <c r="H3688" s="2">
        <v>5</v>
      </c>
      <c r="I3688" s="3">
        <v>38.53</v>
      </c>
    </row>
    <row r="3689" spans="1:9" x14ac:dyDescent="0.3">
      <c r="A3689" s="4">
        <v>42866</v>
      </c>
      <c r="B3689" s="5" t="s">
        <v>1884</v>
      </c>
      <c r="C3689" s="5" t="s">
        <v>283</v>
      </c>
      <c r="D3689" s="5" t="s">
        <v>2</v>
      </c>
      <c r="E3689" s="5" t="s">
        <v>3</v>
      </c>
      <c r="F3689" s="5" t="s">
        <v>1930</v>
      </c>
      <c r="G3689" s="5">
        <v>4.41</v>
      </c>
      <c r="H3689" s="5">
        <v>1</v>
      </c>
      <c r="I3689" s="6">
        <v>2.0299999999999998</v>
      </c>
    </row>
    <row r="3690" spans="1:9" x14ac:dyDescent="0.3">
      <c r="A3690" s="1">
        <v>42866</v>
      </c>
      <c r="B3690" s="2" t="s">
        <v>1884</v>
      </c>
      <c r="C3690" s="2" t="s">
        <v>283</v>
      </c>
      <c r="D3690" s="2" t="s">
        <v>2</v>
      </c>
      <c r="E3690" s="2" t="s">
        <v>3</v>
      </c>
      <c r="F3690" s="2" t="s">
        <v>315</v>
      </c>
      <c r="G3690" s="2">
        <v>167.94</v>
      </c>
      <c r="H3690" s="2">
        <v>3</v>
      </c>
      <c r="I3690" s="3">
        <v>82.29</v>
      </c>
    </row>
    <row r="3691" spans="1:9" x14ac:dyDescent="0.3">
      <c r="A3691" s="4">
        <v>42866</v>
      </c>
      <c r="B3691" s="5" t="s">
        <v>1884</v>
      </c>
      <c r="C3691" s="5" t="s">
        <v>283</v>
      </c>
      <c r="D3691" s="5" t="s">
        <v>2</v>
      </c>
      <c r="E3691" s="5" t="s">
        <v>3</v>
      </c>
      <c r="F3691" s="5" t="s">
        <v>2351</v>
      </c>
      <c r="G3691" s="5">
        <v>67.8</v>
      </c>
      <c r="H3691" s="5">
        <v>10</v>
      </c>
      <c r="I3691" s="6">
        <v>31.19</v>
      </c>
    </row>
    <row r="3692" spans="1:9" x14ac:dyDescent="0.3">
      <c r="A3692" s="1">
        <v>42897</v>
      </c>
      <c r="B3692" s="2" t="s">
        <v>2358</v>
      </c>
      <c r="C3692" s="2" t="s">
        <v>713</v>
      </c>
      <c r="D3692" s="2" t="s">
        <v>2</v>
      </c>
      <c r="E3692" s="2" t="s">
        <v>11</v>
      </c>
      <c r="F3692" s="2" t="s">
        <v>2160</v>
      </c>
      <c r="G3692" s="2">
        <v>5.68</v>
      </c>
      <c r="H3692" s="2">
        <v>1</v>
      </c>
      <c r="I3692" s="3">
        <v>-3.79</v>
      </c>
    </row>
    <row r="3693" spans="1:9" x14ac:dyDescent="0.3">
      <c r="A3693" s="4">
        <v>42897</v>
      </c>
      <c r="B3693" s="5" t="s">
        <v>249</v>
      </c>
      <c r="C3693" s="5" t="s">
        <v>77</v>
      </c>
      <c r="D3693" s="5" t="s">
        <v>2</v>
      </c>
      <c r="E3693" s="5" t="s">
        <v>9</v>
      </c>
      <c r="F3693" s="5" t="s">
        <v>2359</v>
      </c>
      <c r="G3693" s="5">
        <v>46.26</v>
      </c>
      <c r="H3693" s="5">
        <v>3</v>
      </c>
      <c r="I3693" s="6">
        <v>12.03</v>
      </c>
    </row>
    <row r="3694" spans="1:9" x14ac:dyDescent="0.3">
      <c r="A3694" s="1">
        <v>42897</v>
      </c>
      <c r="B3694" s="2" t="s">
        <v>2125</v>
      </c>
      <c r="C3694" s="2" t="s">
        <v>24</v>
      </c>
      <c r="D3694" s="2" t="s">
        <v>2</v>
      </c>
      <c r="E3694" s="2" t="s">
        <v>3</v>
      </c>
      <c r="F3694" s="2" t="s">
        <v>1004</v>
      </c>
      <c r="G3694" s="2">
        <v>5.78</v>
      </c>
      <c r="H3694" s="2">
        <v>1</v>
      </c>
      <c r="I3694" s="3">
        <v>2.83</v>
      </c>
    </row>
    <row r="3695" spans="1:9" x14ac:dyDescent="0.3">
      <c r="A3695" s="4">
        <v>42897</v>
      </c>
      <c r="B3695" s="5" t="s">
        <v>1682</v>
      </c>
      <c r="C3695" s="5" t="s">
        <v>18</v>
      </c>
      <c r="D3695" s="5" t="s">
        <v>2</v>
      </c>
      <c r="E3695" s="5" t="s">
        <v>114</v>
      </c>
      <c r="F3695" s="5" t="s">
        <v>779</v>
      </c>
      <c r="G3695" s="5">
        <v>15.28</v>
      </c>
      <c r="H3695" s="5">
        <v>2</v>
      </c>
      <c r="I3695" s="6">
        <v>7.49</v>
      </c>
    </row>
    <row r="3696" spans="1:9" x14ac:dyDescent="0.3">
      <c r="A3696" s="1">
        <v>42897</v>
      </c>
      <c r="B3696" s="2" t="s">
        <v>1682</v>
      </c>
      <c r="C3696" s="2" t="s">
        <v>18</v>
      </c>
      <c r="D3696" s="2" t="s">
        <v>25</v>
      </c>
      <c r="E3696" s="2" t="s">
        <v>38</v>
      </c>
      <c r="F3696" s="2" t="s">
        <v>1829</v>
      </c>
      <c r="G3696" s="2">
        <v>8.73</v>
      </c>
      <c r="H3696" s="2">
        <v>1</v>
      </c>
      <c r="I3696" s="3">
        <v>2.97</v>
      </c>
    </row>
    <row r="3697" spans="1:9" x14ac:dyDescent="0.3">
      <c r="A3697" s="4">
        <v>42897</v>
      </c>
      <c r="B3697" s="5" t="s">
        <v>1682</v>
      </c>
      <c r="C3697" s="5" t="s">
        <v>18</v>
      </c>
      <c r="D3697" s="5" t="s">
        <v>2</v>
      </c>
      <c r="E3697" s="5" t="s">
        <v>15</v>
      </c>
      <c r="F3697" s="5" t="s">
        <v>1066</v>
      </c>
      <c r="G3697" s="5">
        <v>5.68</v>
      </c>
      <c r="H3697" s="5">
        <v>2</v>
      </c>
      <c r="I3697" s="6">
        <v>1.76</v>
      </c>
    </row>
    <row r="3698" spans="1:9" x14ac:dyDescent="0.3">
      <c r="A3698" s="1">
        <v>42897</v>
      </c>
      <c r="B3698" s="2" t="s">
        <v>786</v>
      </c>
      <c r="C3698" s="2" t="s">
        <v>121</v>
      </c>
      <c r="D3698" s="2" t="s">
        <v>2</v>
      </c>
      <c r="E3698" s="2" t="s">
        <v>133</v>
      </c>
      <c r="F3698" s="2" t="s">
        <v>1822</v>
      </c>
      <c r="G3698" s="2">
        <v>499.58</v>
      </c>
      <c r="H3698" s="2">
        <v>3</v>
      </c>
      <c r="I3698" s="3">
        <v>43.71</v>
      </c>
    </row>
    <row r="3699" spans="1:9" x14ac:dyDescent="0.3">
      <c r="A3699" s="4">
        <v>42897</v>
      </c>
      <c r="B3699" s="5" t="s">
        <v>786</v>
      </c>
      <c r="C3699" s="5" t="s">
        <v>121</v>
      </c>
      <c r="D3699" s="5" t="s">
        <v>2</v>
      </c>
      <c r="E3699" s="5" t="s">
        <v>3</v>
      </c>
      <c r="F3699" s="5" t="s">
        <v>722</v>
      </c>
      <c r="G3699" s="5">
        <v>31.1</v>
      </c>
      <c r="H3699" s="5">
        <v>6</v>
      </c>
      <c r="I3699" s="6">
        <v>10.89</v>
      </c>
    </row>
    <row r="3700" spans="1:9" x14ac:dyDescent="0.3">
      <c r="A3700" s="1">
        <v>42897</v>
      </c>
      <c r="B3700" s="2" t="s">
        <v>786</v>
      </c>
      <c r="C3700" s="2" t="s">
        <v>121</v>
      </c>
      <c r="D3700" s="2" t="s">
        <v>2</v>
      </c>
      <c r="E3700" s="2" t="s">
        <v>11</v>
      </c>
      <c r="F3700" s="2" t="s">
        <v>64</v>
      </c>
      <c r="G3700" s="2">
        <v>13.27</v>
      </c>
      <c r="H3700" s="2">
        <v>8</v>
      </c>
      <c r="I3700" s="3">
        <v>-10.62</v>
      </c>
    </row>
    <row r="3701" spans="1:9" x14ac:dyDescent="0.3">
      <c r="A3701" s="4">
        <v>42897</v>
      </c>
      <c r="B3701" s="5" t="s">
        <v>786</v>
      </c>
      <c r="C3701" s="5" t="s">
        <v>121</v>
      </c>
      <c r="D3701" s="5" t="s">
        <v>25</v>
      </c>
      <c r="E3701" s="5" t="s">
        <v>38</v>
      </c>
      <c r="F3701" s="5" t="s">
        <v>853</v>
      </c>
      <c r="G3701" s="5">
        <v>28.27</v>
      </c>
      <c r="H3701" s="5">
        <v>2</v>
      </c>
      <c r="I3701" s="6">
        <v>6.36</v>
      </c>
    </row>
    <row r="3702" spans="1:9" x14ac:dyDescent="0.3">
      <c r="A3702" s="1">
        <v>42897</v>
      </c>
      <c r="B3702" s="2" t="s">
        <v>786</v>
      </c>
      <c r="C3702" s="2" t="s">
        <v>121</v>
      </c>
      <c r="D3702" s="2" t="s">
        <v>2</v>
      </c>
      <c r="E3702" s="2" t="s">
        <v>9</v>
      </c>
      <c r="F3702" s="2" t="s">
        <v>687</v>
      </c>
      <c r="G3702" s="2">
        <v>259.14</v>
      </c>
      <c r="H3702" s="2">
        <v>4</v>
      </c>
      <c r="I3702" s="3">
        <v>-51.83</v>
      </c>
    </row>
    <row r="3703" spans="1:9" x14ac:dyDescent="0.3">
      <c r="A3703" s="4">
        <v>42897</v>
      </c>
      <c r="B3703" s="5" t="s">
        <v>1372</v>
      </c>
      <c r="C3703" s="5" t="s">
        <v>359</v>
      </c>
      <c r="D3703" s="5" t="s">
        <v>2</v>
      </c>
      <c r="E3703" s="5" t="s">
        <v>15</v>
      </c>
      <c r="F3703" s="5" t="s">
        <v>2360</v>
      </c>
      <c r="G3703" s="5">
        <v>13.9</v>
      </c>
      <c r="H3703" s="5">
        <v>5</v>
      </c>
      <c r="I3703" s="6">
        <v>3.61</v>
      </c>
    </row>
    <row r="3704" spans="1:9" x14ac:dyDescent="0.3">
      <c r="A3704" s="1">
        <v>42897</v>
      </c>
      <c r="B3704" s="2" t="s">
        <v>1372</v>
      </c>
      <c r="C3704" s="2" t="s">
        <v>359</v>
      </c>
      <c r="D3704" s="2" t="s">
        <v>2</v>
      </c>
      <c r="E3704" s="2" t="s">
        <v>3</v>
      </c>
      <c r="F3704" s="2" t="s">
        <v>315</v>
      </c>
      <c r="G3704" s="2">
        <v>26.38</v>
      </c>
      <c r="H3704" s="2">
        <v>1</v>
      </c>
      <c r="I3704" s="3">
        <v>12.13</v>
      </c>
    </row>
    <row r="3705" spans="1:9" x14ac:dyDescent="0.3">
      <c r="A3705" s="4">
        <v>42897</v>
      </c>
      <c r="B3705" s="5" t="s">
        <v>2361</v>
      </c>
      <c r="C3705" s="5" t="s">
        <v>14</v>
      </c>
      <c r="D3705" s="5" t="s">
        <v>25</v>
      </c>
      <c r="E3705" s="5" t="s">
        <v>26</v>
      </c>
      <c r="F3705" s="5" t="s">
        <v>1245</v>
      </c>
      <c r="G3705" s="5">
        <v>127.37</v>
      </c>
      <c r="H3705" s="5">
        <v>2</v>
      </c>
      <c r="I3705" s="6">
        <v>-30.93</v>
      </c>
    </row>
    <row r="3706" spans="1:9" x14ac:dyDescent="0.3">
      <c r="A3706" s="1">
        <v>42897</v>
      </c>
      <c r="B3706" s="2" t="s">
        <v>2361</v>
      </c>
      <c r="C3706" s="2" t="s">
        <v>14</v>
      </c>
      <c r="D3706" s="2" t="s">
        <v>2</v>
      </c>
      <c r="E3706" s="2" t="s">
        <v>3</v>
      </c>
      <c r="F3706" s="2" t="s">
        <v>1800</v>
      </c>
      <c r="G3706" s="2">
        <v>47.95</v>
      </c>
      <c r="H3706" s="2">
        <v>3</v>
      </c>
      <c r="I3706" s="3">
        <v>16.18</v>
      </c>
    </row>
    <row r="3707" spans="1:9" x14ac:dyDescent="0.3">
      <c r="A3707" s="4">
        <v>42897</v>
      </c>
      <c r="B3707" s="5" t="s">
        <v>1145</v>
      </c>
      <c r="C3707" s="5" t="s">
        <v>18</v>
      </c>
      <c r="D3707" s="5" t="s">
        <v>2</v>
      </c>
      <c r="E3707" s="5" t="s">
        <v>3</v>
      </c>
      <c r="F3707" s="5" t="s">
        <v>1800</v>
      </c>
      <c r="G3707" s="5">
        <v>59.94</v>
      </c>
      <c r="H3707" s="5">
        <v>3</v>
      </c>
      <c r="I3707" s="6">
        <v>28.17</v>
      </c>
    </row>
    <row r="3708" spans="1:9" x14ac:dyDescent="0.3">
      <c r="A3708" s="1">
        <v>42897</v>
      </c>
      <c r="B3708" s="2" t="s">
        <v>1145</v>
      </c>
      <c r="C3708" s="2" t="s">
        <v>18</v>
      </c>
      <c r="D3708" s="2" t="s">
        <v>2</v>
      </c>
      <c r="E3708" s="2" t="s">
        <v>3</v>
      </c>
      <c r="F3708" s="2" t="s">
        <v>315</v>
      </c>
      <c r="G3708" s="2">
        <v>45.36</v>
      </c>
      <c r="H3708" s="2">
        <v>4</v>
      </c>
      <c r="I3708" s="3">
        <v>22.23</v>
      </c>
    </row>
    <row r="3709" spans="1:9" x14ac:dyDescent="0.3">
      <c r="A3709" s="4">
        <v>42897</v>
      </c>
      <c r="B3709" s="5" t="s">
        <v>1145</v>
      </c>
      <c r="C3709" s="5" t="s">
        <v>18</v>
      </c>
      <c r="D3709" s="5" t="s">
        <v>2</v>
      </c>
      <c r="E3709" s="5" t="s">
        <v>3</v>
      </c>
      <c r="F3709" s="5" t="s">
        <v>1007</v>
      </c>
      <c r="G3709" s="5">
        <v>26.4</v>
      </c>
      <c r="H3709" s="5">
        <v>5</v>
      </c>
      <c r="I3709" s="6">
        <v>12.67</v>
      </c>
    </row>
    <row r="3710" spans="1:9" x14ac:dyDescent="0.3">
      <c r="A3710" s="1">
        <v>42897</v>
      </c>
      <c r="B3710" s="2" t="s">
        <v>1145</v>
      </c>
      <c r="C3710" s="2" t="s">
        <v>18</v>
      </c>
      <c r="D3710" s="2" t="s">
        <v>2</v>
      </c>
      <c r="E3710" s="2" t="s">
        <v>7</v>
      </c>
      <c r="F3710" s="2" t="s">
        <v>1405</v>
      </c>
      <c r="G3710" s="2">
        <v>41.4</v>
      </c>
      <c r="H3710" s="2">
        <v>4</v>
      </c>
      <c r="I3710" s="3">
        <v>19.87</v>
      </c>
    </row>
    <row r="3711" spans="1:9" x14ac:dyDescent="0.3">
      <c r="A3711" s="4">
        <v>42897</v>
      </c>
      <c r="B3711" s="5" t="s">
        <v>1145</v>
      </c>
      <c r="C3711" s="5" t="s">
        <v>18</v>
      </c>
      <c r="D3711" s="5" t="s">
        <v>30</v>
      </c>
      <c r="E3711" s="5" t="s">
        <v>43</v>
      </c>
      <c r="F3711" s="5" t="s">
        <v>233</v>
      </c>
      <c r="G3711" s="5">
        <v>16.95</v>
      </c>
      <c r="H3711" s="5">
        <v>1</v>
      </c>
      <c r="I3711" s="6">
        <v>1.02</v>
      </c>
    </row>
    <row r="3712" spans="1:9" x14ac:dyDescent="0.3">
      <c r="A3712" s="1">
        <v>42897</v>
      </c>
      <c r="B3712" s="2" t="s">
        <v>2362</v>
      </c>
      <c r="C3712" s="2" t="s">
        <v>80</v>
      </c>
      <c r="D3712" s="2" t="s">
        <v>2</v>
      </c>
      <c r="E3712" s="2" t="s">
        <v>3</v>
      </c>
      <c r="F3712" s="2" t="s">
        <v>1307</v>
      </c>
      <c r="G3712" s="2">
        <v>318.95999999999998</v>
      </c>
      <c r="H3712" s="2">
        <v>9</v>
      </c>
      <c r="I3712" s="3">
        <v>149.91</v>
      </c>
    </row>
    <row r="3713" spans="1:9" x14ac:dyDescent="0.3">
      <c r="A3713" s="4">
        <v>42897</v>
      </c>
      <c r="B3713" s="5" t="s">
        <v>1884</v>
      </c>
      <c r="C3713" s="5" t="s">
        <v>62</v>
      </c>
      <c r="D3713" s="5" t="s">
        <v>25</v>
      </c>
      <c r="E3713" s="5" t="s">
        <v>86</v>
      </c>
      <c r="F3713" s="5" t="s">
        <v>499</v>
      </c>
      <c r="G3713" s="5">
        <v>2036.86</v>
      </c>
      <c r="H3713" s="5">
        <v>7</v>
      </c>
      <c r="I3713" s="6">
        <v>366.63</v>
      </c>
    </row>
    <row r="3714" spans="1:9" x14ac:dyDescent="0.3">
      <c r="A3714" s="1">
        <v>42897</v>
      </c>
      <c r="B3714" s="2" t="s">
        <v>1884</v>
      </c>
      <c r="C3714" s="2" t="s">
        <v>62</v>
      </c>
      <c r="D3714" s="2" t="s">
        <v>25</v>
      </c>
      <c r="E3714" s="2" t="s">
        <v>26</v>
      </c>
      <c r="F3714" s="2" t="s">
        <v>1235</v>
      </c>
      <c r="G3714" s="2">
        <v>449.57</v>
      </c>
      <c r="H3714" s="2">
        <v>2</v>
      </c>
      <c r="I3714" s="3">
        <v>-73.05</v>
      </c>
    </row>
    <row r="3715" spans="1:9" x14ac:dyDescent="0.3">
      <c r="A3715" s="4">
        <v>42897</v>
      </c>
      <c r="B3715" s="5" t="s">
        <v>1884</v>
      </c>
      <c r="C3715" s="5" t="s">
        <v>62</v>
      </c>
      <c r="D3715" s="5" t="s">
        <v>30</v>
      </c>
      <c r="E3715" s="5" t="s">
        <v>43</v>
      </c>
      <c r="F3715" s="5" t="s">
        <v>345</v>
      </c>
      <c r="G3715" s="5">
        <v>108.96</v>
      </c>
      <c r="H3715" s="5">
        <v>3</v>
      </c>
      <c r="I3715" s="6">
        <v>32.69</v>
      </c>
    </row>
    <row r="3716" spans="1:9" x14ac:dyDescent="0.3">
      <c r="A3716" s="1">
        <v>42897</v>
      </c>
      <c r="B3716" s="2" t="s">
        <v>823</v>
      </c>
      <c r="C3716" s="2" t="s">
        <v>1</v>
      </c>
      <c r="D3716" s="2" t="s">
        <v>25</v>
      </c>
      <c r="E3716" s="2" t="s">
        <v>38</v>
      </c>
      <c r="F3716" s="2" t="s">
        <v>948</v>
      </c>
      <c r="G3716" s="2">
        <v>30.56</v>
      </c>
      <c r="H3716" s="2">
        <v>5</v>
      </c>
      <c r="I3716" s="3">
        <v>-19.86</v>
      </c>
    </row>
    <row r="3717" spans="1:9" x14ac:dyDescent="0.3">
      <c r="A3717" s="4">
        <v>42897</v>
      </c>
      <c r="B3717" s="5" t="s">
        <v>1847</v>
      </c>
      <c r="C3717" s="5" t="s">
        <v>1</v>
      </c>
      <c r="D3717" s="5" t="s">
        <v>2</v>
      </c>
      <c r="E3717" s="5" t="s">
        <v>11</v>
      </c>
      <c r="F3717" s="5" t="s">
        <v>183</v>
      </c>
      <c r="G3717" s="5">
        <v>1.25</v>
      </c>
      <c r="H3717" s="5">
        <v>2</v>
      </c>
      <c r="I3717" s="6">
        <v>-1.93</v>
      </c>
    </row>
    <row r="3718" spans="1:9" x14ac:dyDescent="0.3">
      <c r="A3718" s="1">
        <v>42897</v>
      </c>
      <c r="B3718" s="2" t="s">
        <v>2328</v>
      </c>
      <c r="C3718" s="2" t="s">
        <v>1</v>
      </c>
      <c r="D3718" s="2" t="s">
        <v>2</v>
      </c>
      <c r="E3718" s="2" t="s">
        <v>9</v>
      </c>
      <c r="F3718" s="2" t="s">
        <v>2071</v>
      </c>
      <c r="G3718" s="2">
        <v>18.16</v>
      </c>
      <c r="H3718" s="2">
        <v>2</v>
      </c>
      <c r="I3718" s="3">
        <v>1.82</v>
      </c>
    </row>
    <row r="3719" spans="1:9" x14ac:dyDescent="0.3">
      <c r="A3719" s="4">
        <v>42927</v>
      </c>
      <c r="B3719" s="5" t="s">
        <v>65</v>
      </c>
      <c r="C3719" s="5" t="s">
        <v>18</v>
      </c>
      <c r="D3719" s="5" t="s">
        <v>30</v>
      </c>
      <c r="E3719" s="5" t="s">
        <v>43</v>
      </c>
      <c r="F3719" s="5" t="s">
        <v>1126</v>
      </c>
      <c r="G3719" s="5">
        <v>59.97</v>
      </c>
      <c r="H3719" s="5">
        <v>3</v>
      </c>
      <c r="I3719" s="6">
        <v>13.79</v>
      </c>
    </row>
    <row r="3720" spans="1:9" x14ac:dyDescent="0.3">
      <c r="A3720" s="1">
        <v>42927</v>
      </c>
      <c r="B3720" s="2" t="s">
        <v>65</v>
      </c>
      <c r="C3720" s="2" t="s">
        <v>18</v>
      </c>
      <c r="D3720" s="2" t="s">
        <v>30</v>
      </c>
      <c r="E3720" s="2" t="s">
        <v>31</v>
      </c>
      <c r="F3720" s="2" t="s">
        <v>554</v>
      </c>
      <c r="G3720" s="2">
        <v>761.54</v>
      </c>
      <c r="H3720" s="2">
        <v>7</v>
      </c>
      <c r="I3720" s="3">
        <v>66.64</v>
      </c>
    </row>
    <row r="3721" spans="1:9" x14ac:dyDescent="0.3">
      <c r="A3721" s="4">
        <v>42927</v>
      </c>
      <c r="B3721" s="5" t="s">
        <v>463</v>
      </c>
      <c r="C3721" s="5" t="s">
        <v>14</v>
      </c>
      <c r="D3721" s="5" t="s">
        <v>30</v>
      </c>
      <c r="E3721" s="5" t="s">
        <v>31</v>
      </c>
      <c r="F3721" s="5" t="s">
        <v>966</v>
      </c>
      <c r="G3721" s="5">
        <v>359.97</v>
      </c>
      <c r="H3721" s="5">
        <v>5</v>
      </c>
      <c r="I3721" s="6">
        <v>-71.989999999999995</v>
      </c>
    </row>
    <row r="3722" spans="1:9" x14ac:dyDescent="0.3">
      <c r="A3722" s="1">
        <v>42927</v>
      </c>
      <c r="B3722" s="2" t="s">
        <v>463</v>
      </c>
      <c r="C3722" s="2" t="s">
        <v>14</v>
      </c>
      <c r="D3722" s="2" t="s">
        <v>25</v>
      </c>
      <c r="E3722" s="2" t="s">
        <v>86</v>
      </c>
      <c r="F3722" s="2" t="s">
        <v>1612</v>
      </c>
      <c r="G3722" s="2">
        <v>350.35</v>
      </c>
      <c r="H3722" s="2">
        <v>4</v>
      </c>
      <c r="I3722" s="3">
        <v>-140.13999999999999</v>
      </c>
    </row>
    <row r="3723" spans="1:9" x14ac:dyDescent="0.3">
      <c r="A3723" s="4">
        <v>42927</v>
      </c>
      <c r="B3723" s="5" t="s">
        <v>2224</v>
      </c>
      <c r="C3723" s="5" t="s">
        <v>18</v>
      </c>
      <c r="D3723" s="5" t="s">
        <v>2</v>
      </c>
      <c r="E3723" s="5" t="s">
        <v>11</v>
      </c>
      <c r="F3723" s="5" t="s">
        <v>839</v>
      </c>
      <c r="G3723" s="5">
        <v>21.79</v>
      </c>
      <c r="H3723" s="5">
        <v>4</v>
      </c>
      <c r="I3723" s="6">
        <v>7.63</v>
      </c>
    </row>
    <row r="3724" spans="1:9" x14ac:dyDescent="0.3">
      <c r="A3724" s="1">
        <v>42927</v>
      </c>
      <c r="B3724" s="2" t="s">
        <v>2224</v>
      </c>
      <c r="C3724" s="2" t="s">
        <v>18</v>
      </c>
      <c r="D3724" s="2" t="s">
        <v>30</v>
      </c>
      <c r="E3724" s="2" t="s">
        <v>43</v>
      </c>
      <c r="F3724" s="2" t="s">
        <v>2187</v>
      </c>
      <c r="G3724" s="2">
        <v>439.8</v>
      </c>
      <c r="H3724" s="2">
        <v>4</v>
      </c>
      <c r="I3724" s="3">
        <v>145.13</v>
      </c>
    </row>
    <row r="3725" spans="1:9" x14ac:dyDescent="0.3">
      <c r="A3725" s="4">
        <v>42927</v>
      </c>
      <c r="B3725" s="5" t="s">
        <v>901</v>
      </c>
      <c r="C3725" s="5" t="s">
        <v>50</v>
      </c>
      <c r="D3725" s="5" t="s">
        <v>2</v>
      </c>
      <c r="E3725" s="5" t="s">
        <v>133</v>
      </c>
      <c r="F3725" s="5" t="s">
        <v>306</v>
      </c>
      <c r="G3725" s="5">
        <v>100.94</v>
      </c>
      <c r="H3725" s="5">
        <v>7</v>
      </c>
      <c r="I3725" s="6">
        <v>33.31</v>
      </c>
    </row>
    <row r="3726" spans="1:9" x14ac:dyDescent="0.3">
      <c r="A3726" s="1">
        <v>42927</v>
      </c>
      <c r="B3726" s="2" t="s">
        <v>989</v>
      </c>
      <c r="C3726" s="2" t="s">
        <v>80</v>
      </c>
      <c r="D3726" s="2" t="s">
        <v>30</v>
      </c>
      <c r="E3726" s="2" t="s">
        <v>43</v>
      </c>
      <c r="F3726" s="2" t="s">
        <v>2363</v>
      </c>
      <c r="G3726" s="2">
        <v>7.88</v>
      </c>
      <c r="H3726" s="2">
        <v>4</v>
      </c>
      <c r="I3726" s="3">
        <v>2.52</v>
      </c>
    </row>
    <row r="3727" spans="1:9" x14ac:dyDescent="0.3">
      <c r="A3727" s="4">
        <v>42927</v>
      </c>
      <c r="B3727" s="5" t="s">
        <v>955</v>
      </c>
      <c r="C3727" s="5" t="s">
        <v>958</v>
      </c>
      <c r="D3727" s="5" t="s">
        <v>25</v>
      </c>
      <c r="E3727" s="5" t="s">
        <v>26</v>
      </c>
      <c r="F3727" s="5" t="s">
        <v>1439</v>
      </c>
      <c r="G3727" s="5">
        <v>272.97000000000003</v>
      </c>
      <c r="H3727" s="5">
        <v>3</v>
      </c>
      <c r="I3727" s="6">
        <v>43.68</v>
      </c>
    </row>
    <row r="3728" spans="1:9" x14ac:dyDescent="0.3">
      <c r="A3728" s="1">
        <v>42927</v>
      </c>
      <c r="B3728" s="2" t="s">
        <v>2082</v>
      </c>
      <c r="C3728" s="2" t="s">
        <v>640</v>
      </c>
      <c r="D3728" s="2" t="s">
        <v>2</v>
      </c>
      <c r="E3728" s="2" t="s">
        <v>11</v>
      </c>
      <c r="F3728" s="2" t="s">
        <v>2327</v>
      </c>
      <c r="G3728" s="2">
        <v>38.159999999999997</v>
      </c>
      <c r="H3728" s="2">
        <v>9</v>
      </c>
      <c r="I3728" s="3">
        <v>19.079999999999998</v>
      </c>
    </row>
    <row r="3729" spans="1:9" x14ac:dyDescent="0.3">
      <c r="A3729" s="4">
        <v>42958</v>
      </c>
      <c r="B3729" s="5" t="s">
        <v>2344</v>
      </c>
      <c r="C3729" s="5" t="s">
        <v>80</v>
      </c>
      <c r="D3729" s="5" t="s">
        <v>2</v>
      </c>
      <c r="E3729" s="5" t="s">
        <v>15</v>
      </c>
      <c r="F3729" s="5" t="s">
        <v>2364</v>
      </c>
      <c r="G3729" s="5">
        <v>109.9</v>
      </c>
      <c r="H3729" s="5">
        <v>5</v>
      </c>
      <c r="I3729" s="6">
        <v>32.97</v>
      </c>
    </row>
    <row r="3730" spans="1:9" x14ac:dyDescent="0.3">
      <c r="A3730" s="1">
        <v>42958</v>
      </c>
      <c r="B3730" s="2" t="s">
        <v>277</v>
      </c>
      <c r="C3730" s="2" t="s">
        <v>958</v>
      </c>
      <c r="D3730" s="2" t="s">
        <v>25</v>
      </c>
      <c r="E3730" s="2" t="s">
        <v>38</v>
      </c>
      <c r="F3730" s="2" t="s">
        <v>2130</v>
      </c>
      <c r="G3730" s="2">
        <v>274.2</v>
      </c>
      <c r="H3730" s="2">
        <v>10</v>
      </c>
      <c r="I3730" s="3">
        <v>112.42</v>
      </c>
    </row>
    <row r="3731" spans="1:9" x14ac:dyDescent="0.3">
      <c r="A3731" s="4">
        <v>42989</v>
      </c>
      <c r="B3731" s="5" t="s">
        <v>1309</v>
      </c>
      <c r="C3731" s="5" t="s">
        <v>80</v>
      </c>
      <c r="D3731" s="5" t="s">
        <v>25</v>
      </c>
      <c r="E3731" s="5" t="s">
        <v>38</v>
      </c>
      <c r="F3731" s="5" t="s">
        <v>487</v>
      </c>
      <c r="G3731" s="5">
        <v>96.53</v>
      </c>
      <c r="H3731" s="5">
        <v>7</v>
      </c>
      <c r="I3731" s="6">
        <v>40.54</v>
      </c>
    </row>
    <row r="3732" spans="1:9" x14ac:dyDescent="0.3">
      <c r="A3732" s="1">
        <v>42989</v>
      </c>
      <c r="B3732" s="2" t="s">
        <v>1164</v>
      </c>
      <c r="C3732" s="2" t="s">
        <v>18</v>
      </c>
      <c r="D3732" s="2" t="s">
        <v>25</v>
      </c>
      <c r="E3732" s="2" t="s">
        <v>26</v>
      </c>
      <c r="F3732" s="2" t="s">
        <v>1848</v>
      </c>
      <c r="G3732" s="2">
        <v>215.98</v>
      </c>
      <c r="H3732" s="2">
        <v>3</v>
      </c>
      <c r="I3732" s="3">
        <v>-2.7</v>
      </c>
    </row>
    <row r="3733" spans="1:9" x14ac:dyDescent="0.3">
      <c r="A3733" s="4">
        <v>42989</v>
      </c>
      <c r="B3733" s="5" t="s">
        <v>1947</v>
      </c>
      <c r="C3733" s="5" t="s">
        <v>18</v>
      </c>
      <c r="D3733" s="5" t="s">
        <v>2</v>
      </c>
      <c r="E3733" s="5" t="s">
        <v>9</v>
      </c>
      <c r="F3733" s="5" t="s">
        <v>536</v>
      </c>
      <c r="G3733" s="5">
        <v>63.56</v>
      </c>
      <c r="H3733" s="5">
        <v>2</v>
      </c>
      <c r="I3733" s="6">
        <v>3.18</v>
      </c>
    </row>
    <row r="3734" spans="1:9" x14ac:dyDescent="0.3">
      <c r="A3734" s="1">
        <v>42989</v>
      </c>
      <c r="B3734" s="2" t="s">
        <v>1947</v>
      </c>
      <c r="C3734" s="2" t="s">
        <v>18</v>
      </c>
      <c r="D3734" s="2" t="s">
        <v>30</v>
      </c>
      <c r="E3734" s="2" t="s">
        <v>43</v>
      </c>
      <c r="F3734" s="2" t="s">
        <v>242</v>
      </c>
      <c r="G3734" s="2">
        <v>99.99</v>
      </c>
      <c r="H3734" s="2">
        <v>1</v>
      </c>
      <c r="I3734" s="3">
        <v>44</v>
      </c>
    </row>
    <row r="3735" spans="1:9" x14ac:dyDescent="0.3">
      <c r="A3735" s="4">
        <v>42989</v>
      </c>
      <c r="B3735" s="5" t="s">
        <v>473</v>
      </c>
      <c r="C3735" s="5" t="s">
        <v>958</v>
      </c>
      <c r="D3735" s="5" t="s">
        <v>2</v>
      </c>
      <c r="E3735" s="5" t="s">
        <v>11</v>
      </c>
      <c r="F3735" s="5" t="s">
        <v>93</v>
      </c>
      <c r="G3735" s="5">
        <v>9.64</v>
      </c>
      <c r="H3735" s="5">
        <v>2</v>
      </c>
      <c r="I3735" s="6">
        <v>4.43</v>
      </c>
    </row>
    <row r="3736" spans="1:9" x14ac:dyDescent="0.3">
      <c r="A3736" s="1">
        <v>42989</v>
      </c>
      <c r="B3736" s="2" t="s">
        <v>473</v>
      </c>
      <c r="C3736" s="2" t="s">
        <v>958</v>
      </c>
      <c r="D3736" s="2" t="s">
        <v>30</v>
      </c>
      <c r="E3736" s="2" t="s">
        <v>43</v>
      </c>
      <c r="F3736" s="2" t="s">
        <v>2271</v>
      </c>
      <c r="G3736" s="2">
        <v>826.62</v>
      </c>
      <c r="H3736" s="2">
        <v>3</v>
      </c>
      <c r="I3736" s="3">
        <v>355.45</v>
      </c>
    </row>
    <row r="3737" spans="1:9" x14ac:dyDescent="0.3">
      <c r="A3737" s="4">
        <v>42989</v>
      </c>
      <c r="B3737" s="5" t="s">
        <v>473</v>
      </c>
      <c r="C3737" s="5" t="s">
        <v>958</v>
      </c>
      <c r="D3737" s="5" t="s">
        <v>2</v>
      </c>
      <c r="E3737" s="5" t="s">
        <v>9</v>
      </c>
      <c r="F3737" s="5" t="s">
        <v>829</v>
      </c>
      <c r="G3737" s="5">
        <v>1633.14</v>
      </c>
      <c r="H3737" s="5">
        <v>9</v>
      </c>
      <c r="I3737" s="6">
        <v>473.61</v>
      </c>
    </row>
    <row r="3738" spans="1:9" x14ac:dyDescent="0.3">
      <c r="A3738" s="1">
        <v>42989</v>
      </c>
      <c r="B3738" s="2" t="s">
        <v>473</v>
      </c>
      <c r="C3738" s="2" t="s">
        <v>958</v>
      </c>
      <c r="D3738" s="2" t="s">
        <v>2</v>
      </c>
      <c r="E3738" s="2" t="s">
        <v>9</v>
      </c>
      <c r="F3738" s="2" t="s">
        <v>829</v>
      </c>
      <c r="G3738" s="2">
        <v>544.38</v>
      </c>
      <c r="H3738" s="2">
        <v>3</v>
      </c>
      <c r="I3738" s="3">
        <v>157.87</v>
      </c>
    </row>
    <row r="3739" spans="1:9" x14ac:dyDescent="0.3">
      <c r="A3739" s="4">
        <v>42989</v>
      </c>
      <c r="B3739" s="5" t="s">
        <v>1964</v>
      </c>
      <c r="C3739" s="5" t="s">
        <v>18</v>
      </c>
      <c r="D3739" s="5" t="s">
        <v>25</v>
      </c>
      <c r="E3739" s="5" t="s">
        <v>38</v>
      </c>
      <c r="F3739" s="5" t="s">
        <v>167</v>
      </c>
      <c r="G3739" s="5">
        <v>47.12</v>
      </c>
      <c r="H3739" s="5">
        <v>8</v>
      </c>
      <c r="I3739" s="6">
        <v>20.73</v>
      </c>
    </row>
    <row r="3740" spans="1:9" x14ac:dyDescent="0.3">
      <c r="A3740" s="1">
        <v>42989</v>
      </c>
      <c r="B3740" s="2" t="s">
        <v>1234</v>
      </c>
      <c r="C3740" s="2" t="s">
        <v>18</v>
      </c>
      <c r="D3740" s="2" t="s">
        <v>25</v>
      </c>
      <c r="E3740" s="2" t="s">
        <v>26</v>
      </c>
      <c r="F3740" s="2" t="s">
        <v>325</v>
      </c>
      <c r="G3740" s="2">
        <v>523.39</v>
      </c>
      <c r="H3740" s="2">
        <v>3</v>
      </c>
      <c r="I3740" s="3">
        <v>52.34</v>
      </c>
    </row>
    <row r="3741" spans="1:9" x14ac:dyDescent="0.3">
      <c r="A3741" s="4">
        <v>42989</v>
      </c>
      <c r="B3741" s="5" t="s">
        <v>1965</v>
      </c>
      <c r="C3741" s="5" t="s">
        <v>58</v>
      </c>
      <c r="D3741" s="5" t="s">
        <v>30</v>
      </c>
      <c r="E3741" s="5" t="s">
        <v>43</v>
      </c>
      <c r="F3741" s="5" t="s">
        <v>935</v>
      </c>
      <c r="G3741" s="5">
        <v>191.98</v>
      </c>
      <c r="H3741" s="5">
        <v>3</v>
      </c>
      <c r="I3741" s="6">
        <v>38.4</v>
      </c>
    </row>
    <row r="3742" spans="1:9" x14ac:dyDescent="0.3">
      <c r="A3742" s="1">
        <v>42989</v>
      </c>
      <c r="B3742" s="2" t="s">
        <v>1965</v>
      </c>
      <c r="C3742" s="2" t="s">
        <v>58</v>
      </c>
      <c r="D3742" s="2" t="s">
        <v>30</v>
      </c>
      <c r="E3742" s="2" t="s">
        <v>31</v>
      </c>
      <c r="F3742" s="2" t="s">
        <v>1659</v>
      </c>
      <c r="G3742" s="2">
        <v>499.17</v>
      </c>
      <c r="H3742" s="2">
        <v>4</v>
      </c>
      <c r="I3742" s="3">
        <v>31.2</v>
      </c>
    </row>
    <row r="3743" spans="1:9" x14ac:dyDescent="0.3">
      <c r="A3743" s="4">
        <v>43019</v>
      </c>
      <c r="B3743" s="5" t="s">
        <v>2365</v>
      </c>
      <c r="C3743" s="5" t="s">
        <v>253</v>
      </c>
      <c r="D3743" s="5" t="s">
        <v>2</v>
      </c>
      <c r="E3743" s="5" t="s">
        <v>11</v>
      </c>
      <c r="F3743" s="5" t="s">
        <v>856</v>
      </c>
      <c r="G3743" s="5">
        <v>38.39</v>
      </c>
      <c r="H3743" s="5">
        <v>14</v>
      </c>
      <c r="I3743" s="6">
        <v>-25.59</v>
      </c>
    </row>
    <row r="3744" spans="1:9" x14ac:dyDescent="0.3">
      <c r="A3744" s="1">
        <v>43019</v>
      </c>
      <c r="B3744" s="2" t="s">
        <v>2365</v>
      </c>
      <c r="C3744" s="2" t="s">
        <v>253</v>
      </c>
      <c r="D3744" s="2" t="s">
        <v>30</v>
      </c>
      <c r="E3744" s="2" t="s">
        <v>625</v>
      </c>
      <c r="F3744" s="2" t="s">
        <v>2366</v>
      </c>
      <c r="G3744" s="2">
        <v>95.99</v>
      </c>
      <c r="H3744" s="2">
        <v>2</v>
      </c>
      <c r="I3744" s="3">
        <v>-64</v>
      </c>
    </row>
    <row r="3745" spans="1:9" x14ac:dyDescent="0.3">
      <c r="A3745" s="4">
        <v>43019</v>
      </c>
      <c r="B3745" s="5" t="s">
        <v>2365</v>
      </c>
      <c r="C3745" s="5" t="s">
        <v>253</v>
      </c>
      <c r="D3745" s="5" t="s">
        <v>30</v>
      </c>
      <c r="E3745" s="5" t="s">
        <v>43</v>
      </c>
      <c r="F3745" s="5" t="s">
        <v>2083</v>
      </c>
      <c r="G3745" s="5">
        <v>239.95</v>
      </c>
      <c r="H3745" s="5">
        <v>6</v>
      </c>
      <c r="I3745" s="6">
        <v>-35.99</v>
      </c>
    </row>
    <row r="3746" spans="1:9" x14ac:dyDescent="0.3">
      <c r="A3746" s="1">
        <v>43019</v>
      </c>
      <c r="B3746" s="2" t="s">
        <v>2365</v>
      </c>
      <c r="C3746" s="2" t="s">
        <v>253</v>
      </c>
      <c r="D3746" s="2" t="s">
        <v>30</v>
      </c>
      <c r="E3746" s="2" t="s">
        <v>31</v>
      </c>
      <c r="F3746" s="2" t="s">
        <v>370</v>
      </c>
      <c r="G3746" s="2">
        <v>201.58</v>
      </c>
      <c r="H3746" s="2">
        <v>2</v>
      </c>
      <c r="I3746" s="3">
        <v>15.12</v>
      </c>
    </row>
    <row r="3747" spans="1:9" x14ac:dyDescent="0.3">
      <c r="A3747" s="4">
        <v>43019</v>
      </c>
      <c r="B3747" s="5" t="s">
        <v>2365</v>
      </c>
      <c r="C3747" s="5" t="s">
        <v>253</v>
      </c>
      <c r="D3747" s="5" t="s">
        <v>25</v>
      </c>
      <c r="E3747" s="5" t="s">
        <v>26</v>
      </c>
      <c r="F3747" s="5" t="s">
        <v>1235</v>
      </c>
      <c r="G3747" s="5">
        <v>899.14</v>
      </c>
      <c r="H3747" s="5">
        <v>4</v>
      </c>
      <c r="I3747" s="6">
        <v>-146.11000000000001</v>
      </c>
    </row>
    <row r="3748" spans="1:9" x14ac:dyDescent="0.3">
      <c r="A3748" s="1">
        <v>43019</v>
      </c>
      <c r="B3748" s="2" t="s">
        <v>239</v>
      </c>
      <c r="C3748" s="2" t="s">
        <v>80</v>
      </c>
      <c r="D3748" s="2" t="s">
        <v>2</v>
      </c>
      <c r="E3748" s="2" t="s">
        <v>11</v>
      </c>
      <c r="F3748" s="2" t="s">
        <v>2367</v>
      </c>
      <c r="G3748" s="2">
        <v>931.18</v>
      </c>
      <c r="H3748" s="2">
        <v>3</v>
      </c>
      <c r="I3748" s="3">
        <v>314.27</v>
      </c>
    </row>
    <row r="3749" spans="1:9" x14ac:dyDescent="0.3">
      <c r="A3749" s="4">
        <v>43019</v>
      </c>
      <c r="B3749" s="5" t="s">
        <v>239</v>
      </c>
      <c r="C3749" s="5" t="s">
        <v>80</v>
      </c>
      <c r="D3749" s="5" t="s">
        <v>30</v>
      </c>
      <c r="E3749" s="5" t="s">
        <v>31</v>
      </c>
      <c r="F3749" s="5" t="s">
        <v>1475</v>
      </c>
      <c r="G3749" s="5">
        <v>430.88</v>
      </c>
      <c r="H3749" s="5">
        <v>2</v>
      </c>
      <c r="I3749" s="6">
        <v>124.96</v>
      </c>
    </row>
    <row r="3750" spans="1:9" x14ac:dyDescent="0.3">
      <c r="A3750" s="1">
        <v>43019</v>
      </c>
      <c r="B3750" s="2" t="s">
        <v>1120</v>
      </c>
      <c r="C3750" s="2" t="s">
        <v>1</v>
      </c>
      <c r="D3750" s="2" t="s">
        <v>25</v>
      </c>
      <c r="E3750" s="2" t="s">
        <v>38</v>
      </c>
      <c r="F3750" s="2" t="s">
        <v>840</v>
      </c>
      <c r="G3750" s="2">
        <v>341.96</v>
      </c>
      <c r="H3750" s="2">
        <v>5</v>
      </c>
      <c r="I3750" s="3">
        <v>-427.45</v>
      </c>
    </row>
    <row r="3751" spans="1:9" x14ac:dyDescent="0.3">
      <c r="A3751" s="4">
        <v>43019</v>
      </c>
      <c r="B3751" s="5" t="s">
        <v>2140</v>
      </c>
      <c r="C3751" s="5" t="s">
        <v>62</v>
      </c>
      <c r="D3751" s="5" t="s">
        <v>2</v>
      </c>
      <c r="E3751" s="5" t="s">
        <v>11</v>
      </c>
      <c r="F3751" s="5" t="s">
        <v>2368</v>
      </c>
      <c r="G3751" s="5">
        <v>26.35</v>
      </c>
      <c r="H3751" s="5">
        <v>3</v>
      </c>
      <c r="I3751" s="6">
        <v>9.5500000000000007</v>
      </c>
    </row>
    <row r="3752" spans="1:9" x14ac:dyDescent="0.3">
      <c r="A3752" s="1">
        <v>43019</v>
      </c>
      <c r="B3752" s="2" t="s">
        <v>1343</v>
      </c>
      <c r="C3752" s="2" t="s">
        <v>58</v>
      </c>
      <c r="D3752" s="2" t="s">
        <v>2</v>
      </c>
      <c r="E3752" s="2" t="s">
        <v>11</v>
      </c>
      <c r="F3752" s="2" t="s">
        <v>631</v>
      </c>
      <c r="G3752" s="2">
        <v>11.52</v>
      </c>
      <c r="H3752" s="2">
        <v>5</v>
      </c>
      <c r="I3752" s="3">
        <v>-7.68</v>
      </c>
    </row>
    <row r="3753" spans="1:9" x14ac:dyDescent="0.3">
      <c r="A3753" s="4">
        <v>43019</v>
      </c>
      <c r="B3753" s="5" t="s">
        <v>2369</v>
      </c>
      <c r="C3753" s="5" t="s">
        <v>18</v>
      </c>
      <c r="D3753" s="5" t="s">
        <v>2</v>
      </c>
      <c r="E3753" s="5" t="s">
        <v>15</v>
      </c>
      <c r="F3753" s="5" t="s">
        <v>2370</v>
      </c>
      <c r="G3753" s="5">
        <v>7.8</v>
      </c>
      <c r="H3753" s="5">
        <v>3</v>
      </c>
      <c r="I3753" s="6">
        <v>2.11</v>
      </c>
    </row>
    <row r="3754" spans="1:9" x14ac:dyDescent="0.3">
      <c r="A3754" s="1">
        <v>43019</v>
      </c>
      <c r="B3754" s="2" t="s">
        <v>449</v>
      </c>
      <c r="C3754" s="2" t="s">
        <v>62</v>
      </c>
      <c r="D3754" s="2" t="s">
        <v>2</v>
      </c>
      <c r="E3754" s="2" t="s">
        <v>133</v>
      </c>
      <c r="F3754" s="2" t="s">
        <v>2371</v>
      </c>
      <c r="G3754" s="2">
        <v>400.8</v>
      </c>
      <c r="H3754" s="2">
        <v>5</v>
      </c>
      <c r="I3754" s="3">
        <v>112.22</v>
      </c>
    </row>
    <row r="3755" spans="1:9" x14ac:dyDescent="0.3">
      <c r="A3755" s="4">
        <v>43019</v>
      </c>
      <c r="B3755" s="5" t="s">
        <v>449</v>
      </c>
      <c r="C3755" s="5" t="s">
        <v>62</v>
      </c>
      <c r="D3755" s="5" t="s">
        <v>2</v>
      </c>
      <c r="E3755" s="5" t="s">
        <v>11</v>
      </c>
      <c r="F3755" s="5" t="s">
        <v>2011</v>
      </c>
      <c r="G3755" s="5">
        <v>28.79</v>
      </c>
      <c r="H3755" s="5">
        <v>1</v>
      </c>
      <c r="I3755" s="6">
        <v>10.08</v>
      </c>
    </row>
    <row r="3756" spans="1:9" x14ac:dyDescent="0.3">
      <c r="A3756" s="1">
        <v>43019</v>
      </c>
      <c r="B3756" s="2" t="s">
        <v>1574</v>
      </c>
      <c r="C3756" s="2" t="s">
        <v>18</v>
      </c>
      <c r="D3756" s="2" t="s">
        <v>30</v>
      </c>
      <c r="E3756" s="2" t="s">
        <v>43</v>
      </c>
      <c r="F3756" s="2" t="s">
        <v>2137</v>
      </c>
      <c r="G3756" s="2">
        <v>111.79</v>
      </c>
      <c r="H3756" s="2">
        <v>7</v>
      </c>
      <c r="I3756" s="3">
        <v>43.6</v>
      </c>
    </row>
    <row r="3757" spans="1:9" x14ac:dyDescent="0.3">
      <c r="A3757" s="4">
        <v>43019</v>
      </c>
      <c r="B3757" s="5" t="s">
        <v>23</v>
      </c>
      <c r="C3757" s="5" t="s">
        <v>18</v>
      </c>
      <c r="D3757" s="5" t="s">
        <v>25</v>
      </c>
      <c r="E3757" s="5" t="s">
        <v>26</v>
      </c>
      <c r="F3757" s="5" t="s">
        <v>1449</v>
      </c>
      <c r="G3757" s="5">
        <v>241.42</v>
      </c>
      <c r="H3757" s="5">
        <v>2</v>
      </c>
      <c r="I3757" s="6">
        <v>-36.21</v>
      </c>
    </row>
    <row r="3758" spans="1:9" x14ac:dyDescent="0.3">
      <c r="A3758" s="1">
        <v>43050</v>
      </c>
      <c r="B3758" s="2" t="s">
        <v>2230</v>
      </c>
      <c r="C3758" s="2" t="s">
        <v>1</v>
      </c>
      <c r="D3758" s="2" t="s">
        <v>2</v>
      </c>
      <c r="E3758" s="2" t="s">
        <v>7</v>
      </c>
      <c r="F3758" s="2" t="s">
        <v>1597</v>
      </c>
      <c r="G3758" s="2">
        <v>10.44</v>
      </c>
      <c r="H3758" s="2">
        <v>5</v>
      </c>
      <c r="I3758" s="3">
        <v>3.39</v>
      </c>
    </row>
    <row r="3759" spans="1:9" x14ac:dyDescent="0.3">
      <c r="A3759" s="4">
        <v>43050</v>
      </c>
      <c r="B3759" s="5" t="s">
        <v>2230</v>
      </c>
      <c r="C3759" s="5" t="s">
        <v>1</v>
      </c>
      <c r="D3759" s="5" t="s">
        <v>2</v>
      </c>
      <c r="E3759" s="5" t="s">
        <v>11</v>
      </c>
      <c r="F3759" s="5" t="s">
        <v>1344</v>
      </c>
      <c r="G3759" s="5">
        <v>18.34</v>
      </c>
      <c r="H3759" s="5">
        <v>4</v>
      </c>
      <c r="I3759" s="6">
        <v>-32.090000000000003</v>
      </c>
    </row>
    <row r="3760" spans="1:9" x14ac:dyDescent="0.3">
      <c r="A3760" s="1">
        <v>43050</v>
      </c>
      <c r="B3760" s="2" t="s">
        <v>1865</v>
      </c>
      <c r="C3760" s="2" t="s">
        <v>127</v>
      </c>
      <c r="D3760" s="2" t="s">
        <v>2</v>
      </c>
      <c r="E3760" s="2" t="s">
        <v>3</v>
      </c>
      <c r="F3760" s="2" t="s">
        <v>1232</v>
      </c>
      <c r="G3760" s="2">
        <v>10.37</v>
      </c>
      <c r="H3760" s="2">
        <v>2</v>
      </c>
      <c r="I3760" s="3">
        <v>3.63</v>
      </c>
    </row>
    <row r="3761" spans="1:9" x14ac:dyDescent="0.3">
      <c r="A3761" s="4">
        <v>43050</v>
      </c>
      <c r="B3761" s="5" t="s">
        <v>89</v>
      </c>
      <c r="C3761" s="5" t="s">
        <v>18</v>
      </c>
      <c r="D3761" s="5" t="s">
        <v>2</v>
      </c>
      <c r="E3761" s="5" t="s">
        <v>133</v>
      </c>
      <c r="F3761" s="5" t="s">
        <v>288</v>
      </c>
      <c r="G3761" s="5">
        <v>10.89</v>
      </c>
      <c r="H3761" s="5">
        <v>1</v>
      </c>
      <c r="I3761" s="6">
        <v>2.83</v>
      </c>
    </row>
    <row r="3762" spans="1:9" x14ac:dyDescent="0.3">
      <c r="A3762" s="1">
        <v>43050</v>
      </c>
      <c r="B3762" s="2" t="s">
        <v>89</v>
      </c>
      <c r="C3762" s="2" t="s">
        <v>18</v>
      </c>
      <c r="D3762" s="2" t="s">
        <v>2</v>
      </c>
      <c r="E3762" s="2" t="s">
        <v>3</v>
      </c>
      <c r="F3762" s="2" t="s">
        <v>1600</v>
      </c>
      <c r="G3762" s="2">
        <v>19.440000000000001</v>
      </c>
      <c r="H3762" s="2">
        <v>3</v>
      </c>
      <c r="I3762" s="3">
        <v>9.33</v>
      </c>
    </row>
    <row r="3763" spans="1:9" x14ac:dyDescent="0.3">
      <c r="A3763" s="4">
        <v>43050</v>
      </c>
      <c r="B3763" s="5" t="s">
        <v>89</v>
      </c>
      <c r="C3763" s="5" t="s">
        <v>18</v>
      </c>
      <c r="D3763" s="5" t="s">
        <v>2</v>
      </c>
      <c r="E3763" s="5" t="s">
        <v>11</v>
      </c>
      <c r="F3763" s="5" t="s">
        <v>1955</v>
      </c>
      <c r="G3763" s="5">
        <v>121.6</v>
      </c>
      <c r="H3763" s="5">
        <v>5</v>
      </c>
      <c r="I3763" s="6">
        <v>39.520000000000003</v>
      </c>
    </row>
    <row r="3764" spans="1:9" x14ac:dyDescent="0.3">
      <c r="A3764" s="1">
        <v>43050</v>
      </c>
      <c r="B3764" s="2" t="s">
        <v>463</v>
      </c>
      <c r="C3764" s="2" t="s">
        <v>160</v>
      </c>
      <c r="D3764" s="2" t="s">
        <v>2</v>
      </c>
      <c r="E3764" s="2" t="s">
        <v>15</v>
      </c>
      <c r="F3764" s="2" t="s">
        <v>2290</v>
      </c>
      <c r="G3764" s="2">
        <v>181.86</v>
      </c>
      <c r="H3764" s="2">
        <v>7</v>
      </c>
      <c r="I3764" s="3">
        <v>50.92</v>
      </c>
    </row>
    <row r="3765" spans="1:9" x14ac:dyDescent="0.3">
      <c r="A3765" s="4">
        <v>43050</v>
      </c>
      <c r="B3765" s="5" t="s">
        <v>854</v>
      </c>
      <c r="C3765" s="5" t="s">
        <v>1516</v>
      </c>
      <c r="D3765" s="5" t="s">
        <v>2</v>
      </c>
      <c r="E3765" s="5" t="s">
        <v>34</v>
      </c>
      <c r="F3765" s="5" t="s">
        <v>594</v>
      </c>
      <c r="G3765" s="5">
        <v>45.92</v>
      </c>
      <c r="H3765" s="5">
        <v>4</v>
      </c>
      <c r="I3765" s="6">
        <v>21.58</v>
      </c>
    </row>
    <row r="3766" spans="1:9" x14ac:dyDescent="0.3">
      <c r="A3766" s="1">
        <v>43050</v>
      </c>
      <c r="B3766" s="2" t="s">
        <v>1207</v>
      </c>
      <c r="C3766" s="2" t="s">
        <v>53</v>
      </c>
      <c r="D3766" s="2" t="s">
        <v>2</v>
      </c>
      <c r="E3766" s="2" t="s">
        <v>11</v>
      </c>
      <c r="F3766" s="2" t="s">
        <v>612</v>
      </c>
      <c r="G3766" s="2">
        <v>18.239999999999998</v>
      </c>
      <c r="H3766" s="2">
        <v>3</v>
      </c>
      <c r="I3766" s="3">
        <v>8.57</v>
      </c>
    </row>
    <row r="3767" spans="1:9" x14ac:dyDescent="0.3">
      <c r="A3767" s="4">
        <v>43050</v>
      </c>
      <c r="B3767" s="5" t="s">
        <v>1490</v>
      </c>
      <c r="C3767" s="5" t="s">
        <v>80</v>
      </c>
      <c r="D3767" s="5" t="s">
        <v>2</v>
      </c>
      <c r="E3767" s="5" t="s">
        <v>9</v>
      </c>
      <c r="F3767" s="5" t="s">
        <v>2050</v>
      </c>
      <c r="G3767" s="5">
        <v>35.479999999999997</v>
      </c>
      <c r="H3767" s="5">
        <v>1</v>
      </c>
      <c r="I3767" s="6">
        <v>0</v>
      </c>
    </row>
    <row r="3768" spans="1:9" x14ac:dyDescent="0.3">
      <c r="A3768" s="1">
        <v>43050</v>
      </c>
      <c r="B3768" s="2" t="s">
        <v>1212</v>
      </c>
      <c r="C3768" s="2" t="s">
        <v>58</v>
      </c>
      <c r="D3768" s="2" t="s">
        <v>2</v>
      </c>
      <c r="E3768" s="2" t="s">
        <v>133</v>
      </c>
      <c r="F3768" s="2" t="s">
        <v>1143</v>
      </c>
      <c r="G3768" s="2">
        <v>1158.1199999999999</v>
      </c>
      <c r="H3768" s="2">
        <v>5</v>
      </c>
      <c r="I3768" s="3">
        <v>130.29</v>
      </c>
    </row>
    <row r="3769" spans="1:9" x14ac:dyDescent="0.3">
      <c r="A3769" s="4">
        <v>43050</v>
      </c>
      <c r="B3769" s="5" t="s">
        <v>470</v>
      </c>
      <c r="C3769" s="5" t="s">
        <v>411</v>
      </c>
      <c r="D3769" s="5" t="s">
        <v>25</v>
      </c>
      <c r="E3769" s="5" t="s">
        <v>38</v>
      </c>
      <c r="F3769" s="5" t="s">
        <v>1511</v>
      </c>
      <c r="G3769" s="5">
        <v>88.92</v>
      </c>
      <c r="H3769" s="5">
        <v>5</v>
      </c>
      <c r="I3769" s="6">
        <v>14.45</v>
      </c>
    </row>
    <row r="3770" spans="1:9" x14ac:dyDescent="0.3">
      <c r="A3770" s="1">
        <v>43050</v>
      </c>
      <c r="B3770" s="2" t="s">
        <v>2369</v>
      </c>
      <c r="C3770" s="2" t="s">
        <v>18</v>
      </c>
      <c r="D3770" s="2" t="s">
        <v>25</v>
      </c>
      <c r="E3770" s="2" t="s">
        <v>38</v>
      </c>
      <c r="F3770" s="2" t="s">
        <v>1829</v>
      </c>
      <c r="G3770" s="2">
        <v>34.92</v>
      </c>
      <c r="H3770" s="2">
        <v>4</v>
      </c>
      <c r="I3770" s="3">
        <v>11.87</v>
      </c>
    </row>
    <row r="3771" spans="1:9" x14ac:dyDescent="0.3">
      <c r="A3771" s="4">
        <v>43050</v>
      </c>
      <c r="B3771" s="5" t="s">
        <v>327</v>
      </c>
      <c r="C3771" s="5" t="s">
        <v>1</v>
      </c>
      <c r="D3771" s="5" t="s">
        <v>30</v>
      </c>
      <c r="E3771" s="5" t="s">
        <v>31</v>
      </c>
      <c r="F3771" s="5" t="s">
        <v>1156</v>
      </c>
      <c r="G3771" s="5">
        <v>35.18</v>
      </c>
      <c r="H3771" s="5">
        <v>2</v>
      </c>
      <c r="I3771" s="6">
        <v>12.31</v>
      </c>
    </row>
    <row r="3772" spans="1:9" x14ac:dyDescent="0.3">
      <c r="A3772" s="1">
        <v>43050</v>
      </c>
      <c r="B3772" s="2" t="s">
        <v>1723</v>
      </c>
      <c r="C3772" s="2" t="s">
        <v>2372</v>
      </c>
      <c r="D3772" s="2" t="s">
        <v>2</v>
      </c>
      <c r="E3772" s="2" t="s">
        <v>144</v>
      </c>
      <c r="F3772" s="2" t="s">
        <v>1489</v>
      </c>
      <c r="G3772" s="2">
        <v>25.5</v>
      </c>
      <c r="H3772" s="2">
        <v>3</v>
      </c>
      <c r="I3772" s="3">
        <v>6.63</v>
      </c>
    </row>
    <row r="3773" spans="1:9" x14ac:dyDescent="0.3">
      <c r="A3773" s="4">
        <v>43080</v>
      </c>
      <c r="B3773" s="5" t="s">
        <v>1166</v>
      </c>
      <c r="C3773" s="5" t="s">
        <v>18</v>
      </c>
      <c r="D3773" s="5" t="s">
        <v>2</v>
      </c>
      <c r="E3773" s="5" t="s">
        <v>3</v>
      </c>
      <c r="F3773" s="5" t="s">
        <v>898</v>
      </c>
      <c r="G3773" s="5">
        <v>10.56</v>
      </c>
      <c r="H3773" s="5">
        <v>2</v>
      </c>
      <c r="I3773" s="6">
        <v>4.75</v>
      </c>
    </row>
    <row r="3774" spans="1:9" x14ac:dyDescent="0.3">
      <c r="A3774" s="1">
        <v>43080</v>
      </c>
      <c r="B3774" s="2" t="s">
        <v>471</v>
      </c>
      <c r="C3774" s="2" t="s">
        <v>80</v>
      </c>
      <c r="D3774" s="2" t="s">
        <v>2</v>
      </c>
      <c r="E3774" s="2" t="s">
        <v>11</v>
      </c>
      <c r="F3774" s="2" t="s">
        <v>1354</v>
      </c>
      <c r="G3774" s="2">
        <v>15.92</v>
      </c>
      <c r="H3774" s="2">
        <v>5</v>
      </c>
      <c r="I3774" s="3">
        <v>5.37</v>
      </c>
    </row>
    <row r="3775" spans="1:9" x14ac:dyDescent="0.3">
      <c r="A3775" s="4">
        <v>43080</v>
      </c>
      <c r="B3775" s="5" t="s">
        <v>965</v>
      </c>
      <c r="C3775" s="5" t="s">
        <v>1</v>
      </c>
      <c r="D3775" s="5" t="s">
        <v>2</v>
      </c>
      <c r="E3775" s="5" t="s">
        <v>3</v>
      </c>
      <c r="F3775" s="5" t="s">
        <v>2225</v>
      </c>
      <c r="G3775" s="5">
        <v>16.059999999999999</v>
      </c>
      <c r="H3775" s="5">
        <v>3</v>
      </c>
      <c r="I3775" s="6">
        <v>5.82</v>
      </c>
    </row>
    <row r="3776" spans="1:9" x14ac:dyDescent="0.3">
      <c r="A3776" s="1">
        <v>43080</v>
      </c>
      <c r="B3776" s="2" t="s">
        <v>965</v>
      </c>
      <c r="C3776" s="2" t="s">
        <v>1</v>
      </c>
      <c r="D3776" s="2" t="s">
        <v>2</v>
      </c>
      <c r="E3776" s="2" t="s">
        <v>3</v>
      </c>
      <c r="F3776" s="2" t="s">
        <v>775</v>
      </c>
      <c r="G3776" s="2">
        <v>223.06</v>
      </c>
      <c r="H3776" s="2">
        <v>9</v>
      </c>
      <c r="I3776" s="3">
        <v>69.709999999999994</v>
      </c>
    </row>
    <row r="3777" spans="1:9" x14ac:dyDescent="0.3">
      <c r="A3777" s="4">
        <v>43080</v>
      </c>
      <c r="B3777" s="5" t="s">
        <v>965</v>
      </c>
      <c r="C3777" s="5" t="s">
        <v>1</v>
      </c>
      <c r="D3777" s="5" t="s">
        <v>2</v>
      </c>
      <c r="E3777" s="5" t="s">
        <v>9</v>
      </c>
      <c r="F3777" s="5" t="s">
        <v>866</v>
      </c>
      <c r="G3777" s="5">
        <v>540.04999999999995</v>
      </c>
      <c r="H3777" s="5">
        <v>3</v>
      </c>
      <c r="I3777" s="6">
        <v>-47.25</v>
      </c>
    </row>
    <row r="3778" spans="1:9" x14ac:dyDescent="0.3">
      <c r="A3778" s="1">
        <v>43080</v>
      </c>
      <c r="B3778" s="2" t="s">
        <v>2373</v>
      </c>
      <c r="C3778" s="2" t="s">
        <v>127</v>
      </c>
      <c r="D3778" s="2" t="s">
        <v>30</v>
      </c>
      <c r="E3778" s="2" t="s">
        <v>31</v>
      </c>
      <c r="F3778" s="2" t="s">
        <v>1854</v>
      </c>
      <c r="G3778" s="2">
        <v>370.78</v>
      </c>
      <c r="H3778" s="2">
        <v>3</v>
      </c>
      <c r="I3778" s="3">
        <v>-92.7</v>
      </c>
    </row>
    <row r="3779" spans="1:9" x14ac:dyDescent="0.3">
      <c r="A3779" s="4">
        <v>43080</v>
      </c>
      <c r="B3779" s="5" t="s">
        <v>1105</v>
      </c>
      <c r="C3779" s="5" t="s">
        <v>253</v>
      </c>
      <c r="D3779" s="5" t="s">
        <v>30</v>
      </c>
      <c r="E3779" s="5" t="s">
        <v>43</v>
      </c>
      <c r="F3779" s="5" t="s">
        <v>44</v>
      </c>
      <c r="G3779" s="5">
        <v>41.6</v>
      </c>
      <c r="H3779" s="5">
        <v>4</v>
      </c>
      <c r="I3779" s="6">
        <v>13</v>
      </c>
    </row>
    <row r="3780" spans="1:9" x14ac:dyDescent="0.3">
      <c r="A3780" s="1">
        <v>43080</v>
      </c>
      <c r="B3780" s="2" t="s">
        <v>1105</v>
      </c>
      <c r="C3780" s="2" t="s">
        <v>253</v>
      </c>
      <c r="D3780" s="2" t="s">
        <v>2</v>
      </c>
      <c r="E3780" s="2" t="s">
        <v>3</v>
      </c>
      <c r="F3780" s="2" t="s">
        <v>1529</v>
      </c>
      <c r="G3780" s="2">
        <v>23.12</v>
      </c>
      <c r="H3780" s="2">
        <v>5</v>
      </c>
      <c r="I3780" s="3">
        <v>8.3800000000000008</v>
      </c>
    </row>
    <row r="3781" spans="1:9" x14ac:dyDescent="0.3">
      <c r="A3781" s="4">
        <v>43080</v>
      </c>
      <c r="B3781" s="5" t="s">
        <v>1105</v>
      </c>
      <c r="C3781" s="5" t="s">
        <v>253</v>
      </c>
      <c r="D3781" s="5" t="s">
        <v>25</v>
      </c>
      <c r="E3781" s="5" t="s">
        <v>26</v>
      </c>
      <c r="F3781" s="5" t="s">
        <v>1999</v>
      </c>
      <c r="G3781" s="5">
        <v>113.89</v>
      </c>
      <c r="H3781" s="5">
        <v>2</v>
      </c>
      <c r="I3781" s="6">
        <v>9.9700000000000006</v>
      </c>
    </row>
    <row r="3782" spans="1:9" x14ac:dyDescent="0.3">
      <c r="A3782" s="1">
        <v>43080</v>
      </c>
      <c r="B3782" s="2" t="s">
        <v>1105</v>
      </c>
      <c r="C3782" s="2" t="s">
        <v>253</v>
      </c>
      <c r="D3782" s="2" t="s">
        <v>25</v>
      </c>
      <c r="E3782" s="2" t="s">
        <v>38</v>
      </c>
      <c r="F3782" s="2" t="s">
        <v>1313</v>
      </c>
      <c r="G3782" s="2">
        <v>113.57</v>
      </c>
      <c r="H3782" s="2">
        <v>2</v>
      </c>
      <c r="I3782" s="3">
        <v>-5.68</v>
      </c>
    </row>
    <row r="3783" spans="1:9" x14ac:dyDescent="0.3">
      <c r="A3783" s="4">
        <v>43080</v>
      </c>
      <c r="B3783" s="5" t="s">
        <v>1105</v>
      </c>
      <c r="C3783" s="5" t="s">
        <v>253</v>
      </c>
      <c r="D3783" s="5" t="s">
        <v>30</v>
      </c>
      <c r="E3783" s="5" t="s">
        <v>31</v>
      </c>
      <c r="F3783" s="5" t="s">
        <v>1137</v>
      </c>
      <c r="G3783" s="5">
        <v>7.92</v>
      </c>
      <c r="H3783" s="5">
        <v>2</v>
      </c>
      <c r="I3783" s="6">
        <v>0.69</v>
      </c>
    </row>
    <row r="3784" spans="1:9" x14ac:dyDescent="0.3">
      <c r="A3784" s="1">
        <v>43080</v>
      </c>
      <c r="B3784" s="2" t="s">
        <v>1105</v>
      </c>
      <c r="C3784" s="2" t="s">
        <v>253</v>
      </c>
      <c r="D3784" s="2" t="s">
        <v>30</v>
      </c>
      <c r="E3784" s="2" t="s">
        <v>31</v>
      </c>
      <c r="F3784" s="2" t="s">
        <v>1805</v>
      </c>
      <c r="G3784" s="2">
        <v>671.98</v>
      </c>
      <c r="H3784" s="2">
        <v>2</v>
      </c>
      <c r="I3784" s="3">
        <v>50.4</v>
      </c>
    </row>
    <row r="3785" spans="1:9" x14ac:dyDescent="0.3">
      <c r="A3785" s="4">
        <v>43080</v>
      </c>
      <c r="B3785" s="5" t="s">
        <v>2001</v>
      </c>
      <c r="C3785" s="5" t="s">
        <v>1</v>
      </c>
      <c r="D3785" s="5" t="s">
        <v>2</v>
      </c>
      <c r="E3785" s="5" t="s">
        <v>11</v>
      </c>
      <c r="F3785" s="5" t="s">
        <v>59</v>
      </c>
      <c r="G3785" s="5">
        <v>30.56</v>
      </c>
      <c r="H3785" s="5">
        <v>5</v>
      </c>
      <c r="I3785" s="6">
        <v>-45.84</v>
      </c>
    </row>
    <row r="3786" spans="1:9" x14ac:dyDescent="0.3">
      <c r="A3786" s="1">
        <v>43080</v>
      </c>
      <c r="B3786" s="2" t="s">
        <v>2001</v>
      </c>
      <c r="C3786" s="2" t="s">
        <v>1</v>
      </c>
      <c r="D3786" s="2" t="s">
        <v>2</v>
      </c>
      <c r="E3786" s="2" t="s">
        <v>9</v>
      </c>
      <c r="F3786" s="2" t="s">
        <v>96</v>
      </c>
      <c r="G3786" s="2">
        <v>77.95</v>
      </c>
      <c r="H3786" s="2">
        <v>3</v>
      </c>
      <c r="I3786" s="3">
        <v>-15.59</v>
      </c>
    </row>
    <row r="3787" spans="1:9" x14ac:dyDescent="0.3">
      <c r="A3787" s="4">
        <v>43080</v>
      </c>
      <c r="B3787" s="5" t="s">
        <v>2001</v>
      </c>
      <c r="C3787" s="5" t="s">
        <v>1</v>
      </c>
      <c r="D3787" s="5" t="s">
        <v>30</v>
      </c>
      <c r="E3787" s="5" t="s">
        <v>31</v>
      </c>
      <c r="F3787" s="5" t="s">
        <v>2034</v>
      </c>
      <c r="G3787" s="5">
        <v>67.989999999999995</v>
      </c>
      <c r="H3787" s="5">
        <v>1</v>
      </c>
      <c r="I3787" s="6">
        <v>8.5</v>
      </c>
    </row>
    <row r="3788" spans="1:9" x14ac:dyDescent="0.3">
      <c r="A3788" s="1">
        <v>43080</v>
      </c>
      <c r="B3788" s="2" t="s">
        <v>2001</v>
      </c>
      <c r="C3788" s="2" t="s">
        <v>1</v>
      </c>
      <c r="D3788" s="2" t="s">
        <v>2</v>
      </c>
      <c r="E3788" s="2" t="s">
        <v>114</v>
      </c>
      <c r="F3788" s="2" t="s">
        <v>779</v>
      </c>
      <c r="G3788" s="2">
        <v>12.22</v>
      </c>
      <c r="H3788" s="2">
        <v>2</v>
      </c>
      <c r="I3788" s="3">
        <v>4.43</v>
      </c>
    </row>
    <row r="3789" spans="1:9" x14ac:dyDescent="0.3">
      <c r="A3789" s="4">
        <v>43080</v>
      </c>
      <c r="B3789" s="5" t="s">
        <v>2001</v>
      </c>
      <c r="C3789" s="5" t="s">
        <v>1</v>
      </c>
      <c r="D3789" s="5" t="s">
        <v>30</v>
      </c>
      <c r="E3789" s="5" t="s">
        <v>43</v>
      </c>
      <c r="F3789" s="5" t="s">
        <v>2133</v>
      </c>
      <c r="G3789" s="5">
        <v>44.78</v>
      </c>
      <c r="H3789" s="5">
        <v>2</v>
      </c>
      <c r="I3789" s="6">
        <v>-0.56000000000000005</v>
      </c>
    </row>
    <row r="3790" spans="1:9" x14ac:dyDescent="0.3">
      <c r="A3790" s="1">
        <v>43080</v>
      </c>
      <c r="B3790" s="2" t="s">
        <v>2001</v>
      </c>
      <c r="C3790" s="2" t="s">
        <v>1</v>
      </c>
      <c r="D3790" s="2" t="s">
        <v>25</v>
      </c>
      <c r="E3790" s="2" t="s">
        <v>38</v>
      </c>
      <c r="F3790" s="2" t="s">
        <v>1943</v>
      </c>
      <c r="G3790" s="2">
        <v>22.85</v>
      </c>
      <c r="H3790" s="2">
        <v>3</v>
      </c>
      <c r="I3790" s="3">
        <v>-17.71</v>
      </c>
    </row>
    <row r="3791" spans="1:9" x14ac:dyDescent="0.3">
      <c r="A3791" s="4">
        <v>43080</v>
      </c>
      <c r="B3791" s="5" t="s">
        <v>1035</v>
      </c>
      <c r="C3791" s="5" t="s">
        <v>127</v>
      </c>
      <c r="D3791" s="5" t="s">
        <v>2</v>
      </c>
      <c r="E3791" s="5" t="s">
        <v>3</v>
      </c>
      <c r="F3791" s="5" t="s">
        <v>2351</v>
      </c>
      <c r="G3791" s="5">
        <v>10.85</v>
      </c>
      <c r="H3791" s="5">
        <v>2</v>
      </c>
      <c r="I3791" s="6">
        <v>3.53</v>
      </c>
    </row>
    <row r="3792" spans="1:9" x14ac:dyDescent="0.3">
      <c r="A3792" s="1">
        <v>43080</v>
      </c>
      <c r="B3792" s="2" t="s">
        <v>1035</v>
      </c>
      <c r="C3792" s="2" t="s">
        <v>127</v>
      </c>
      <c r="D3792" s="2" t="s">
        <v>30</v>
      </c>
      <c r="E3792" s="2" t="s">
        <v>43</v>
      </c>
      <c r="F3792" s="2" t="s">
        <v>2374</v>
      </c>
      <c r="G3792" s="2">
        <v>18.54</v>
      </c>
      <c r="H3792" s="2">
        <v>2</v>
      </c>
      <c r="I3792" s="3">
        <v>3.01</v>
      </c>
    </row>
    <row r="3793" spans="1:9" x14ac:dyDescent="0.3">
      <c r="A3793" s="4">
        <v>43080</v>
      </c>
      <c r="B3793" s="5" t="s">
        <v>1357</v>
      </c>
      <c r="C3793" s="5" t="s">
        <v>62</v>
      </c>
      <c r="D3793" s="5" t="s">
        <v>2</v>
      </c>
      <c r="E3793" s="5" t="s">
        <v>7</v>
      </c>
      <c r="F3793" s="5" t="s">
        <v>92</v>
      </c>
      <c r="G3793" s="5">
        <v>9.9600000000000009</v>
      </c>
      <c r="H3793" s="5">
        <v>2</v>
      </c>
      <c r="I3793" s="6">
        <v>4.58</v>
      </c>
    </row>
    <row r="3794" spans="1:9" x14ac:dyDescent="0.3">
      <c r="A3794" s="1">
        <v>43080</v>
      </c>
      <c r="B3794" s="2" t="s">
        <v>1357</v>
      </c>
      <c r="C3794" s="2" t="s">
        <v>62</v>
      </c>
      <c r="D3794" s="2" t="s">
        <v>2</v>
      </c>
      <c r="E3794" s="2" t="s">
        <v>15</v>
      </c>
      <c r="F3794" s="2" t="s">
        <v>2375</v>
      </c>
      <c r="G3794" s="2">
        <v>9.2100000000000009</v>
      </c>
      <c r="H3794" s="2">
        <v>3</v>
      </c>
      <c r="I3794" s="3">
        <v>2.2999999999999998</v>
      </c>
    </row>
    <row r="3795" spans="1:9" x14ac:dyDescent="0.3">
      <c r="A3795" s="4">
        <v>43080</v>
      </c>
      <c r="B3795" s="5" t="s">
        <v>1357</v>
      </c>
      <c r="C3795" s="5" t="s">
        <v>62</v>
      </c>
      <c r="D3795" s="5" t="s">
        <v>2</v>
      </c>
      <c r="E3795" s="5" t="s">
        <v>144</v>
      </c>
      <c r="F3795" s="5" t="s">
        <v>145</v>
      </c>
      <c r="G3795" s="5">
        <v>27.93</v>
      </c>
      <c r="H3795" s="5">
        <v>3</v>
      </c>
      <c r="I3795" s="6">
        <v>8.1</v>
      </c>
    </row>
    <row r="3796" spans="1:9" x14ac:dyDescent="0.3">
      <c r="A3796" s="1">
        <v>43080</v>
      </c>
      <c r="B3796" s="2" t="s">
        <v>1234</v>
      </c>
      <c r="C3796" s="2" t="s">
        <v>18</v>
      </c>
      <c r="D3796" s="2" t="s">
        <v>2</v>
      </c>
      <c r="E3796" s="2" t="s">
        <v>11</v>
      </c>
      <c r="F3796" s="2" t="s">
        <v>2376</v>
      </c>
      <c r="G3796" s="2">
        <v>14.02</v>
      </c>
      <c r="H3796" s="2">
        <v>4</v>
      </c>
      <c r="I3796" s="3">
        <v>4.91</v>
      </c>
    </row>
    <row r="3797" spans="1:9" x14ac:dyDescent="0.3">
      <c r="A3797" s="4">
        <v>43080</v>
      </c>
      <c r="B3797" s="5" t="s">
        <v>566</v>
      </c>
      <c r="C3797" s="5" t="s">
        <v>62</v>
      </c>
      <c r="D3797" s="5" t="s">
        <v>2</v>
      </c>
      <c r="E3797" s="5" t="s">
        <v>34</v>
      </c>
      <c r="F3797" s="5" t="s">
        <v>56</v>
      </c>
      <c r="G3797" s="5">
        <v>18.239999999999998</v>
      </c>
      <c r="H3797" s="5">
        <v>3</v>
      </c>
      <c r="I3797" s="6">
        <v>9.1199999999999992</v>
      </c>
    </row>
    <row r="3798" spans="1:9" x14ac:dyDescent="0.3">
      <c r="A3798" s="1">
        <v>43080</v>
      </c>
      <c r="B3798" s="2" t="s">
        <v>566</v>
      </c>
      <c r="C3798" s="2" t="s">
        <v>62</v>
      </c>
      <c r="D3798" s="2" t="s">
        <v>2</v>
      </c>
      <c r="E3798" s="2" t="s">
        <v>133</v>
      </c>
      <c r="F3798" s="2" t="s">
        <v>562</v>
      </c>
      <c r="G3798" s="2">
        <v>76.12</v>
      </c>
      <c r="H3798" s="2">
        <v>2</v>
      </c>
      <c r="I3798" s="3">
        <v>22.07</v>
      </c>
    </row>
    <row r="3799" spans="1:9" x14ac:dyDescent="0.3">
      <c r="A3799" s="4">
        <v>43080</v>
      </c>
      <c r="B3799" s="5" t="s">
        <v>2377</v>
      </c>
      <c r="C3799" s="5" t="s">
        <v>58</v>
      </c>
      <c r="D3799" s="5" t="s">
        <v>2</v>
      </c>
      <c r="E3799" s="5" t="s">
        <v>3</v>
      </c>
      <c r="F3799" s="5" t="s">
        <v>2378</v>
      </c>
      <c r="G3799" s="5">
        <v>26.72</v>
      </c>
      <c r="H3799" s="5">
        <v>5</v>
      </c>
      <c r="I3799" s="6">
        <v>9.35</v>
      </c>
    </row>
    <row r="3800" spans="1:9" x14ac:dyDescent="0.3">
      <c r="A3800" s="1">
        <v>43080</v>
      </c>
      <c r="B3800" s="2" t="s">
        <v>2108</v>
      </c>
      <c r="C3800" s="2" t="s">
        <v>253</v>
      </c>
      <c r="D3800" s="2" t="s">
        <v>30</v>
      </c>
      <c r="E3800" s="2" t="s">
        <v>43</v>
      </c>
      <c r="F3800" s="2" t="s">
        <v>998</v>
      </c>
      <c r="G3800" s="2">
        <v>62.35</v>
      </c>
      <c r="H3800" s="2">
        <v>6</v>
      </c>
      <c r="I3800" s="3">
        <v>-10.91</v>
      </c>
    </row>
    <row r="3801" spans="1:9" x14ac:dyDescent="0.3">
      <c r="A3801" s="4">
        <v>43080</v>
      </c>
      <c r="B3801" s="5" t="s">
        <v>463</v>
      </c>
      <c r="C3801" s="5" t="s">
        <v>18</v>
      </c>
      <c r="D3801" s="5" t="s">
        <v>2</v>
      </c>
      <c r="E3801" s="5" t="s">
        <v>3</v>
      </c>
      <c r="F3801" s="5" t="s">
        <v>2379</v>
      </c>
      <c r="G3801" s="5">
        <v>11.56</v>
      </c>
      <c r="H3801" s="5">
        <v>2</v>
      </c>
      <c r="I3801" s="6">
        <v>5.66</v>
      </c>
    </row>
    <row r="3802" spans="1:9" x14ac:dyDescent="0.3">
      <c r="A3802" s="1">
        <v>43080</v>
      </c>
      <c r="B3802" s="2" t="s">
        <v>646</v>
      </c>
      <c r="C3802" s="2" t="s">
        <v>14</v>
      </c>
      <c r="D3802" s="2" t="s">
        <v>2</v>
      </c>
      <c r="E3802" s="2" t="s">
        <v>9</v>
      </c>
      <c r="F3802" s="2" t="s">
        <v>2380</v>
      </c>
      <c r="G3802" s="2">
        <v>221.02</v>
      </c>
      <c r="H3802" s="2">
        <v>2</v>
      </c>
      <c r="I3802" s="3">
        <v>-55.26</v>
      </c>
    </row>
    <row r="3803" spans="1:9" x14ac:dyDescent="0.3">
      <c r="A3803" s="4">
        <v>42747</v>
      </c>
      <c r="B3803" s="5" t="s">
        <v>585</v>
      </c>
      <c r="C3803" s="5" t="s">
        <v>160</v>
      </c>
      <c r="D3803" s="5" t="s">
        <v>2</v>
      </c>
      <c r="E3803" s="5" t="s">
        <v>9</v>
      </c>
      <c r="F3803" s="5" t="s">
        <v>768</v>
      </c>
      <c r="G3803" s="5">
        <v>83.92</v>
      </c>
      <c r="H3803" s="5">
        <v>4</v>
      </c>
      <c r="I3803" s="6">
        <v>5.87</v>
      </c>
    </row>
    <row r="3804" spans="1:9" x14ac:dyDescent="0.3">
      <c r="A3804" s="1">
        <v>42747</v>
      </c>
      <c r="B3804" s="2" t="s">
        <v>585</v>
      </c>
      <c r="C3804" s="2" t="s">
        <v>160</v>
      </c>
      <c r="D3804" s="2" t="s">
        <v>30</v>
      </c>
      <c r="E3804" s="2" t="s">
        <v>31</v>
      </c>
      <c r="F3804" s="2" t="s">
        <v>1557</v>
      </c>
      <c r="G3804" s="2">
        <v>131.97999999999999</v>
      </c>
      <c r="H3804" s="2">
        <v>2</v>
      </c>
      <c r="I3804" s="3">
        <v>35.630000000000003</v>
      </c>
    </row>
    <row r="3805" spans="1:9" x14ac:dyDescent="0.3">
      <c r="A3805" s="4">
        <v>42747</v>
      </c>
      <c r="B3805" s="5" t="s">
        <v>585</v>
      </c>
      <c r="C3805" s="5" t="s">
        <v>160</v>
      </c>
      <c r="D3805" s="5" t="s">
        <v>2</v>
      </c>
      <c r="E3805" s="5" t="s">
        <v>11</v>
      </c>
      <c r="F3805" s="5" t="s">
        <v>1354</v>
      </c>
      <c r="G3805" s="5">
        <v>15.92</v>
      </c>
      <c r="H3805" s="5">
        <v>4</v>
      </c>
      <c r="I3805" s="6">
        <v>7.48</v>
      </c>
    </row>
    <row r="3806" spans="1:9" x14ac:dyDescent="0.3">
      <c r="A3806" s="1">
        <v>42747</v>
      </c>
      <c r="B3806" s="2" t="s">
        <v>585</v>
      </c>
      <c r="C3806" s="2" t="s">
        <v>160</v>
      </c>
      <c r="D3806" s="2" t="s">
        <v>2</v>
      </c>
      <c r="E3806" s="2" t="s">
        <v>34</v>
      </c>
      <c r="F3806" s="2" t="s">
        <v>1075</v>
      </c>
      <c r="G3806" s="2">
        <v>52.29</v>
      </c>
      <c r="H3806" s="2">
        <v>9</v>
      </c>
      <c r="I3806" s="3">
        <v>16.21</v>
      </c>
    </row>
    <row r="3807" spans="1:9" x14ac:dyDescent="0.3">
      <c r="A3807" s="4">
        <v>42747</v>
      </c>
      <c r="B3807" s="5" t="s">
        <v>585</v>
      </c>
      <c r="C3807" s="5" t="s">
        <v>160</v>
      </c>
      <c r="D3807" s="5" t="s">
        <v>2</v>
      </c>
      <c r="E3807" s="5" t="s">
        <v>9</v>
      </c>
      <c r="F3807" s="5" t="s">
        <v>455</v>
      </c>
      <c r="G3807" s="5">
        <v>91.99</v>
      </c>
      <c r="H3807" s="5">
        <v>1</v>
      </c>
      <c r="I3807" s="6">
        <v>3.68</v>
      </c>
    </row>
    <row r="3808" spans="1:9" x14ac:dyDescent="0.3">
      <c r="A3808" s="1">
        <v>42747</v>
      </c>
      <c r="B3808" s="2" t="s">
        <v>1414</v>
      </c>
      <c r="C3808" s="2" t="s">
        <v>80</v>
      </c>
      <c r="D3808" s="2" t="s">
        <v>30</v>
      </c>
      <c r="E3808" s="2" t="s">
        <v>43</v>
      </c>
      <c r="F3808" s="2" t="s">
        <v>1885</v>
      </c>
      <c r="G3808" s="2">
        <v>20.37</v>
      </c>
      <c r="H3808" s="2">
        <v>3</v>
      </c>
      <c r="I3808" s="3">
        <v>6.93</v>
      </c>
    </row>
    <row r="3809" spans="1:9" x14ac:dyDescent="0.3">
      <c r="A3809" s="4">
        <v>42747</v>
      </c>
      <c r="B3809" s="5" t="s">
        <v>1414</v>
      </c>
      <c r="C3809" s="5" t="s">
        <v>80</v>
      </c>
      <c r="D3809" s="5" t="s">
        <v>2</v>
      </c>
      <c r="E3809" s="5" t="s">
        <v>9</v>
      </c>
      <c r="F3809" s="5" t="s">
        <v>2256</v>
      </c>
      <c r="G3809" s="5">
        <v>221.55</v>
      </c>
      <c r="H3809" s="5">
        <v>3</v>
      </c>
      <c r="I3809" s="6">
        <v>6.65</v>
      </c>
    </row>
    <row r="3810" spans="1:9" x14ac:dyDescent="0.3">
      <c r="A3810" s="1">
        <v>42747</v>
      </c>
      <c r="B3810" s="2" t="s">
        <v>1414</v>
      </c>
      <c r="C3810" s="2" t="s">
        <v>80</v>
      </c>
      <c r="D3810" s="2" t="s">
        <v>2</v>
      </c>
      <c r="E3810" s="2" t="s">
        <v>11</v>
      </c>
      <c r="F3810" s="2" t="s">
        <v>2376</v>
      </c>
      <c r="G3810" s="2">
        <v>17.52</v>
      </c>
      <c r="H3810" s="2">
        <v>5</v>
      </c>
      <c r="I3810" s="3">
        <v>6.13</v>
      </c>
    </row>
    <row r="3811" spans="1:9" x14ac:dyDescent="0.3">
      <c r="A3811" s="4">
        <v>42747</v>
      </c>
      <c r="B3811" s="5" t="s">
        <v>1530</v>
      </c>
      <c r="C3811" s="5" t="s">
        <v>163</v>
      </c>
      <c r="D3811" s="5" t="s">
        <v>30</v>
      </c>
      <c r="E3811" s="5" t="s">
        <v>31</v>
      </c>
      <c r="F3811" s="5" t="s">
        <v>32</v>
      </c>
      <c r="G3811" s="5">
        <v>470.38</v>
      </c>
      <c r="H3811" s="5">
        <v>3</v>
      </c>
      <c r="I3811" s="6">
        <v>52.92</v>
      </c>
    </row>
    <row r="3812" spans="1:9" x14ac:dyDescent="0.3">
      <c r="A3812" s="1">
        <v>42747</v>
      </c>
      <c r="B3812" s="2" t="s">
        <v>1530</v>
      </c>
      <c r="C3812" s="2" t="s">
        <v>163</v>
      </c>
      <c r="D3812" s="2" t="s">
        <v>30</v>
      </c>
      <c r="E3812" s="2" t="s">
        <v>31</v>
      </c>
      <c r="F3812" s="2" t="s">
        <v>275</v>
      </c>
      <c r="G3812" s="2">
        <v>105.58</v>
      </c>
      <c r="H3812" s="2">
        <v>2</v>
      </c>
      <c r="I3812" s="3">
        <v>9.24</v>
      </c>
    </row>
    <row r="3813" spans="1:9" x14ac:dyDescent="0.3">
      <c r="A3813" s="4">
        <v>42747</v>
      </c>
      <c r="B3813" s="5" t="s">
        <v>1530</v>
      </c>
      <c r="C3813" s="5" t="s">
        <v>163</v>
      </c>
      <c r="D3813" s="5" t="s">
        <v>2</v>
      </c>
      <c r="E3813" s="5" t="s">
        <v>133</v>
      </c>
      <c r="F3813" s="5" t="s">
        <v>1917</v>
      </c>
      <c r="G3813" s="5">
        <v>31.15</v>
      </c>
      <c r="H3813" s="5">
        <v>3</v>
      </c>
      <c r="I3813" s="6">
        <v>3.5</v>
      </c>
    </row>
    <row r="3814" spans="1:9" x14ac:dyDescent="0.3">
      <c r="A3814" s="1">
        <v>42747</v>
      </c>
      <c r="B3814" s="2" t="s">
        <v>1530</v>
      </c>
      <c r="C3814" s="2" t="s">
        <v>163</v>
      </c>
      <c r="D3814" s="2" t="s">
        <v>2</v>
      </c>
      <c r="E3814" s="2" t="s">
        <v>11</v>
      </c>
      <c r="F3814" s="2" t="s">
        <v>280</v>
      </c>
      <c r="G3814" s="2">
        <v>6.78</v>
      </c>
      <c r="H3814" s="2">
        <v>7</v>
      </c>
      <c r="I3814" s="3">
        <v>-4.75</v>
      </c>
    </row>
    <row r="3815" spans="1:9" x14ac:dyDescent="0.3">
      <c r="A3815" s="4">
        <v>42747</v>
      </c>
      <c r="B3815" s="5" t="s">
        <v>1530</v>
      </c>
      <c r="C3815" s="5" t="s">
        <v>163</v>
      </c>
      <c r="D3815" s="5" t="s">
        <v>30</v>
      </c>
      <c r="E3815" s="5" t="s">
        <v>31</v>
      </c>
      <c r="F3815" s="5" t="s">
        <v>2381</v>
      </c>
      <c r="G3815" s="5">
        <v>406.37</v>
      </c>
      <c r="H3815" s="5">
        <v>4</v>
      </c>
      <c r="I3815" s="6">
        <v>30.48</v>
      </c>
    </row>
    <row r="3816" spans="1:9" x14ac:dyDescent="0.3">
      <c r="A3816" s="1">
        <v>42747</v>
      </c>
      <c r="B3816" s="2" t="s">
        <v>991</v>
      </c>
      <c r="C3816" s="2" t="s">
        <v>14</v>
      </c>
      <c r="D3816" s="2" t="s">
        <v>2</v>
      </c>
      <c r="E3816" s="2" t="s">
        <v>114</v>
      </c>
      <c r="F3816" s="2" t="s">
        <v>2382</v>
      </c>
      <c r="G3816" s="2">
        <v>104.68</v>
      </c>
      <c r="H3816" s="2">
        <v>5</v>
      </c>
      <c r="I3816" s="3">
        <v>35.33</v>
      </c>
    </row>
    <row r="3817" spans="1:9" x14ac:dyDescent="0.3">
      <c r="A3817" s="4">
        <v>42747</v>
      </c>
      <c r="B3817" s="5" t="s">
        <v>991</v>
      </c>
      <c r="C3817" s="5" t="s">
        <v>14</v>
      </c>
      <c r="D3817" s="5" t="s">
        <v>30</v>
      </c>
      <c r="E3817" s="5" t="s">
        <v>31</v>
      </c>
      <c r="F3817" s="5" t="s">
        <v>1927</v>
      </c>
      <c r="G3817" s="5">
        <v>62.96</v>
      </c>
      <c r="H3817" s="5">
        <v>7</v>
      </c>
      <c r="I3817" s="6">
        <v>9.44</v>
      </c>
    </row>
    <row r="3818" spans="1:9" x14ac:dyDescent="0.3">
      <c r="A3818" s="1">
        <v>42747</v>
      </c>
      <c r="B3818" s="2" t="s">
        <v>1079</v>
      </c>
      <c r="C3818" s="2" t="s">
        <v>1</v>
      </c>
      <c r="D3818" s="2" t="s">
        <v>30</v>
      </c>
      <c r="E3818" s="2" t="s">
        <v>31</v>
      </c>
      <c r="F3818" s="2" t="s">
        <v>496</v>
      </c>
      <c r="G3818" s="2">
        <v>219.8</v>
      </c>
      <c r="H3818" s="2">
        <v>5</v>
      </c>
      <c r="I3818" s="3">
        <v>24.73</v>
      </c>
    </row>
    <row r="3819" spans="1:9" x14ac:dyDescent="0.3">
      <c r="A3819" s="4">
        <v>42747</v>
      </c>
      <c r="B3819" s="5" t="s">
        <v>1079</v>
      </c>
      <c r="C3819" s="5" t="s">
        <v>1</v>
      </c>
      <c r="D3819" s="5" t="s">
        <v>25</v>
      </c>
      <c r="E3819" s="5" t="s">
        <v>26</v>
      </c>
      <c r="F3819" s="5" t="s">
        <v>845</v>
      </c>
      <c r="G3819" s="5">
        <v>317.06</v>
      </c>
      <c r="H3819" s="5">
        <v>3</v>
      </c>
      <c r="I3819" s="6">
        <v>-18.12</v>
      </c>
    </row>
    <row r="3820" spans="1:9" x14ac:dyDescent="0.3">
      <c r="A3820" s="1">
        <v>42747</v>
      </c>
      <c r="B3820" s="2" t="s">
        <v>2383</v>
      </c>
      <c r="C3820" s="2" t="s">
        <v>18</v>
      </c>
      <c r="D3820" s="2" t="s">
        <v>2</v>
      </c>
      <c r="E3820" s="2" t="s">
        <v>3</v>
      </c>
      <c r="F3820" s="2" t="s">
        <v>2092</v>
      </c>
      <c r="G3820" s="2">
        <v>45.36</v>
      </c>
      <c r="H3820" s="2">
        <v>7</v>
      </c>
      <c r="I3820" s="3">
        <v>21.77</v>
      </c>
    </row>
    <row r="3821" spans="1:9" x14ac:dyDescent="0.3">
      <c r="A3821" s="4">
        <v>42747</v>
      </c>
      <c r="B3821" s="5" t="s">
        <v>2383</v>
      </c>
      <c r="C3821" s="5" t="s">
        <v>18</v>
      </c>
      <c r="D3821" s="5" t="s">
        <v>2</v>
      </c>
      <c r="E3821" s="5" t="s">
        <v>11</v>
      </c>
      <c r="F3821" s="5" t="s">
        <v>125</v>
      </c>
      <c r="G3821" s="5">
        <v>10.130000000000001</v>
      </c>
      <c r="H3821" s="5">
        <v>2</v>
      </c>
      <c r="I3821" s="6">
        <v>3.67</v>
      </c>
    </row>
    <row r="3822" spans="1:9" x14ac:dyDescent="0.3">
      <c r="A3822" s="1">
        <v>42747</v>
      </c>
      <c r="B3822" s="2" t="s">
        <v>1867</v>
      </c>
      <c r="C3822" s="2" t="s">
        <v>14</v>
      </c>
      <c r="D3822" s="2" t="s">
        <v>2</v>
      </c>
      <c r="E3822" s="2" t="s">
        <v>9</v>
      </c>
      <c r="F3822" s="2" t="s">
        <v>2208</v>
      </c>
      <c r="G3822" s="2">
        <v>37.39</v>
      </c>
      <c r="H3822" s="2">
        <v>3</v>
      </c>
      <c r="I3822" s="3">
        <v>2.34</v>
      </c>
    </row>
    <row r="3823" spans="1:9" x14ac:dyDescent="0.3">
      <c r="A3823" s="4">
        <v>42747</v>
      </c>
      <c r="B3823" s="5" t="s">
        <v>1867</v>
      </c>
      <c r="C3823" s="5" t="s">
        <v>14</v>
      </c>
      <c r="D3823" s="5" t="s">
        <v>25</v>
      </c>
      <c r="E3823" s="5" t="s">
        <v>38</v>
      </c>
      <c r="F3823" s="5" t="s">
        <v>2384</v>
      </c>
      <c r="G3823" s="5">
        <v>79.12</v>
      </c>
      <c r="H3823" s="5">
        <v>5</v>
      </c>
      <c r="I3823" s="6">
        <v>13.85</v>
      </c>
    </row>
    <row r="3824" spans="1:9" x14ac:dyDescent="0.3">
      <c r="A3824" s="1">
        <v>42747</v>
      </c>
      <c r="B3824" s="2" t="s">
        <v>1257</v>
      </c>
      <c r="C3824" s="2" t="s">
        <v>300</v>
      </c>
      <c r="D3824" s="2" t="s">
        <v>2</v>
      </c>
      <c r="E3824" s="2" t="s">
        <v>3</v>
      </c>
      <c r="F3824" s="2" t="s">
        <v>944</v>
      </c>
      <c r="G3824" s="2">
        <v>19.440000000000001</v>
      </c>
      <c r="H3824" s="2">
        <v>3</v>
      </c>
      <c r="I3824" s="3">
        <v>9.33</v>
      </c>
    </row>
    <row r="3825" spans="1:9" x14ac:dyDescent="0.3">
      <c r="A3825" s="4">
        <v>42747</v>
      </c>
      <c r="B3825" s="5" t="s">
        <v>1257</v>
      </c>
      <c r="C3825" s="5" t="s">
        <v>300</v>
      </c>
      <c r="D3825" s="5" t="s">
        <v>25</v>
      </c>
      <c r="E3825" s="5" t="s">
        <v>26</v>
      </c>
      <c r="F3825" s="5" t="s">
        <v>466</v>
      </c>
      <c r="G3825" s="5">
        <v>897.15</v>
      </c>
      <c r="H3825" s="5">
        <v>3</v>
      </c>
      <c r="I3825" s="6">
        <v>251.2</v>
      </c>
    </row>
    <row r="3826" spans="1:9" x14ac:dyDescent="0.3">
      <c r="A3826" s="1">
        <v>42747</v>
      </c>
      <c r="B3826" s="2" t="s">
        <v>582</v>
      </c>
      <c r="C3826" s="2" t="s">
        <v>127</v>
      </c>
      <c r="D3826" s="2" t="s">
        <v>25</v>
      </c>
      <c r="E3826" s="2" t="s">
        <v>38</v>
      </c>
      <c r="F3826" s="2" t="s">
        <v>1958</v>
      </c>
      <c r="G3826" s="2">
        <v>7.71</v>
      </c>
      <c r="H3826" s="2">
        <v>2</v>
      </c>
      <c r="I3826" s="3">
        <v>1.74</v>
      </c>
    </row>
    <row r="3827" spans="1:9" x14ac:dyDescent="0.3">
      <c r="A3827" s="4">
        <v>42747</v>
      </c>
      <c r="B3827" s="5" t="s">
        <v>2110</v>
      </c>
      <c r="C3827" s="5" t="s">
        <v>1</v>
      </c>
      <c r="D3827" s="5" t="s">
        <v>2</v>
      </c>
      <c r="E3827" s="5" t="s">
        <v>3</v>
      </c>
      <c r="F3827" s="5" t="s">
        <v>1600</v>
      </c>
      <c r="G3827" s="5">
        <v>10.37</v>
      </c>
      <c r="H3827" s="5">
        <v>2</v>
      </c>
      <c r="I3827" s="6">
        <v>3.63</v>
      </c>
    </row>
    <row r="3828" spans="1:9" x14ac:dyDescent="0.3">
      <c r="A3828" s="1">
        <v>42747</v>
      </c>
      <c r="B3828" s="2" t="s">
        <v>1450</v>
      </c>
      <c r="C3828" s="2" t="s">
        <v>62</v>
      </c>
      <c r="D3828" s="2" t="s">
        <v>2</v>
      </c>
      <c r="E3828" s="2" t="s">
        <v>3</v>
      </c>
      <c r="F3828" s="2" t="s">
        <v>189</v>
      </c>
      <c r="G3828" s="2">
        <v>41.86</v>
      </c>
      <c r="H3828" s="2">
        <v>7</v>
      </c>
      <c r="I3828" s="3">
        <v>18.84</v>
      </c>
    </row>
    <row r="3829" spans="1:9" x14ac:dyDescent="0.3">
      <c r="A3829" s="4">
        <v>42747</v>
      </c>
      <c r="B3829" s="5" t="s">
        <v>1450</v>
      </c>
      <c r="C3829" s="5" t="s">
        <v>62</v>
      </c>
      <c r="D3829" s="5" t="s">
        <v>25</v>
      </c>
      <c r="E3829" s="5" t="s">
        <v>129</v>
      </c>
      <c r="F3829" s="5" t="s">
        <v>1065</v>
      </c>
      <c r="G3829" s="5">
        <v>141.96</v>
      </c>
      <c r="H3829" s="5">
        <v>2</v>
      </c>
      <c r="I3829" s="6">
        <v>41.17</v>
      </c>
    </row>
    <row r="3830" spans="1:9" x14ac:dyDescent="0.3">
      <c r="A3830" s="1">
        <v>42747</v>
      </c>
      <c r="B3830" s="2" t="s">
        <v>1013</v>
      </c>
      <c r="C3830" s="2" t="s">
        <v>62</v>
      </c>
      <c r="D3830" s="2" t="s">
        <v>2</v>
      </c>
      <c r="E3830" s="2" t="s">
        <v>11</v>
      </c>
      <c r="F3830" s="2" t="s">
        <v>1297</v>
      </c>
      <c r="G3830" s="2">
        <v>15.92</v>
      </c>
      <c r="H3830" s="2">
        <v>5</v>
      </c>
      <c r="I3830" s="3">
        <v>5.37</v>
      </c>
    </row>
    <row r="3831" spans="1:9" x14ac:dyDescent="0.3">
      <c r="A3831" s="4">
        <v>42747</v>
      </c>
      <c r="B3831" s="5" t="s">
        <v>1013</v>
      </c>
      <c r="C3831" s="5" t="s">
        <v>62</v>
      </c>
      <c r="D3831" s="5" t="s">
        <v>25</v>
      </c>
      <c r="E3831" s="5" t="s">
        <v>38</v>
      </c>
      <c r="F3831" s="5" t="s">
        <v>167</v>
      </c>
      <c r="G3831" s="5">
        <v>70.680000000000007</v>
      </c>
      <c r="H3831" s="5">
        <v>12</v>
      </c>
      <c r="I3831" s="6">
        <v>31.1</v>
      </c>
    </row>
    <row r="3832" spans="1:9" x14ac:dyDescent="0.3">
      <c r="A3832" s="1">
        <v>42747</v>
      </c>
      <c r="B3832" s="2" t="s">
        <v>1013</v>
      </c>
      <c r="C3832" s="2" t="s">
        <v>62</v>
      </c>
      <c r="D3832" s="2" t="s">
        <v>2</v>
      </c>
      <c r="E3832" s="2" t="s">
        <v>9</v>
      </c>
      <c r="F3832" s="2" t="s">
        <v>1702</v>
      </c>
      <c r="G3832" s="2">
        <v>541.24</v>
      </c>
      <c r="H3832" s="2">
        <v>4</v>
      </c>
      <c r="I3832" s="3">
        <v>5.41</v>
      </c>
    </row>
    <row r="3833" spans="1:9" x14ac:dyDescent="0.3">
      <c r="A3833" s="4">
        <v>42747</v>
      </c>
      <c r="B3833" s="5" t="s">
        <v>1865</v>
      </c>
      <c r="C3833" s="5" t="s">
        <v>18</v>
      </c>
      <c r="D3833" s="5" t="s">
        <v>25</v>
      </c>
      <c r="E3833" s="5" t="s">
        <v>38</v>
      </c>
      <c r="F3833" s="5" t="s">
        <v>1896</v>
      </c>
      <c r="G3833" s="5">
        <v>629.64</v>
      </c>
      <c r="H3833" s="5">
        <v>9</v>
      </c>
      <c r="I3833" s="6">
        <v>107.04</v>
      </c>
    </row>
    <row r="3834" spans="1:9" x14ac:dyDescent="0.3">
      <c r="A3834" s="1">
        <v>42747</v>
      </c>
      <c r="B3834" s="2" t="s">
        <v>2204</v>
      </c>
      <c r="C3834" s="2" t="s">
        <v>14</v>
      </c>
      <c r="D3834" s="2" t="s">
        <v>2</v>
      </c>
      <c r="E3834" s="2" t="s">
        <v>7</v>
      </c>
      <c r="F3834" s="2" t="s">
        <v>92</v>
      </c>
      <c r="G3834" s="2">
        <v>15.94</v>
      </c>
      <c r="H3834" s="2">
        <v>4</v>
      </c>
      <c r="I3834" s="3">
        <v>5.18</v>
      </c>
    </row>
    <row r="3835" spans="1:9" x14ac:dyDescent="0.3">
      <c r="A3835" s="4">
        <v>42747</v>
      </c>
      <c r="B3835" s="5" t="s">
        <v>2204</v>
      </c>
      <c r="C3835" s="5" t="s">
        <v>14</v>
      </c>
      <c r="D3835" s="5" t="s">
        <v>2</v>
      </c>
      <c r="E3835" s="5" t="s">
        <v>11</v>
      </c>
      <c r="F3835" s="5" t="s">
        <v>2107</v>
      </c>
      <c r="G3835" s="5">
        <v>8</v>
      </c>
      <c r="H3835" s="5">
        <v>7</v>
      </c>
      <c r="I3835" s="6">
        <v>-5.6</v>
      </c>
    </row>
    <row r="3836" spans="1:9" x14ac:dyDescent="0.3">
      <c r="A3836" s="1">
        <v>42747</v>
      </c>
      <c r="B3836" s="2" t="s">
        <v>2204</v>
      </c>
      <c r="C3836" s="2" t="s">
        <v>14</v>
      </c>
      <c r="D3836" s="2" t="s">
        <v>25</v>
      </c>
      <c r="E3836" s="2" t="s">
        <v>26</v>
      </c>
      <c r="F3836" s="2" t="s">
        <v>486</v>
      </c>
      <c r="G3836" s="2">
        <v>398.97</v>
      </c>
      <c r="H3836" s="2">
        <v>2</v>
      </c>
      <c r="I3836" s="3">
        <v>-28.5</v>
      </c>
    </row>
    <row r="3837" spans="1:9" x14ac:dyDescent="0.3">
      <c r="A3837" s="4">
        <v>42778</v>
      </c>
      <c r="B3837" s="5" t="s">
        <v>352</v>
      </c>
      <c r="C3837" s="5" t="s">
        <v>18</v>
      </c>
      <c r="D3837" s="5" t="s">
        <v>2</v>
      </c>
      <c r="E3837" s="5" t="s">
        <v>9</v>
      </c>
      <c r="F3837" s="5" t="s">
        <v>1654</v>
      </c>
      <c r="G3837" s="5">
        <v>559.62</v>
      </c>
      <c r="H3837" s="5">
        <v>9</v>
      </c>
      <c r="I3837" s="6">
        <v>151.1</v>
      </c>
    </row>
    <row r="3838" spans="1:9" x14ac:dyDescent="0.3">
      <c r="A3838" s="1">
        <v>42778</v>
      </c>
      <c r="B3838" s="2" t="s">
        <v>352</v>
      </c>
      <c r="C3838" s="2" t="s">
        <v>18</v>
      </c>
      <c r="D3838" s="2" t="s">
        <v>2</v>
      </c>
      <c r="E3838" s="2" t="s">
        <v>3</v>
      </c>
      <c r="F3838" s="2" t="s">
        <v>2385</v>
      </c>
      <c r="G3838" s="2">
        <v>109.92</v>
      </c>
      <c r="H3838" s="2">
        <v>2</v>
      </c>
      <c r="I3838" s="3">
        <v>53.86</v>
      </c>
    </row>
    <row r="3839" spans="1:9" x14ac:dyDescent="0.3">
      <c r="A3839" s="4">
        <v>42778</v>
      </c>
      <c r="B3839" s="5" t="s">
        <v>352</v>
      </c>
      <c r="C3839" s="5" t="s">
        <v>18</v>
      </c>
      <c r="D3839" s="5" t="s">
        <v>2</v>
      </c>
      <c r="E3839" s="5" t="s">
        <v>3</v>
      </c>
      <c r="F3839" s="5" t="s">
        <v>1197</v>
      </c>
      <c r="G3839" s="5">
        <v>8.56</v>
      </c>
      <c r="H3839" s="5">
        <v>2</v>
      </c>
      <c r="I3839" s="6">
        <v>3.85</v>
      </c>
    </row>
    <row r="3840" spans="1:9" x14ac:dyDescent="0.3">
      <c r="A3840" s="1">
        <v>42778</v>
      </c>
      <c r="B3840" s="2" t="s">
        <v>1526</v>
      </c>
      <c r="C3840" s="2" t="s">
        <v>46</v>
      </c>
      <c r="D3840" s="2" t="s">
        <v>2</v>
      </c>
      <c r="E3840" s="2" t="s">
        <v>15</v>
      </c>
      <c r="F3840" s="2" t="s">
        <v>1972</v>
      </c>
      <c r="G3840" s="2">
        <v>34.65</v>
      </c>
      <c r="H3840" s="2">
        <v>3</v>
      </c>
      <c r="I3840" s="3">
        <v>10.4</v>
      </c>
    </row>
    <row r="3841" spans="1:9" x14ac:dyDescent="0.3">
      <c r="A3841" s="4">
        <v>42778</v>
      </c>
      <c r="B3841" s="5" t="s">
        <v>2386</v>
      </c>
      <c r="C3841" s="5" t="s">
        <v>1</v>
      </c>
      <c r="D3841" s="5" t="s">
        <v>2</v>
      </c>
      <c r="E3841" s="5" t="s">
        <v>133</v>
      </c>
      <c r="F3841" s="5" t="s">
        <v>134</v>
      </c>
      <c r="G3841" s="5">
        <v>294.62</v>
      </c>
      <c r="H3841" s="5">
        <v>5</v>
      </c>
      <c r="I3841" s="6">
        <v>-766.01</v>
      </c>
    </row>
    <row r="3842" spans="1:9" x14ac:dyDescent="0.3">
      <c r="A3842" s="1">
        <v>42778</v>
      </c>
      <c r="B3842" s="2" t="s">
        <v>2386</v>
      </c>
      <c r="C3842" s="2" t="s">
        <v>1</v>
      </c>
      <c r="D3842" s="2" t="s">
        <v>25</v>
      </c>
      <c r="E3842" s="2" t="s">
        <v>38</v>
      </c>
      <c r="F3842" s="2" t="s">
        <v>198</v>
      </c>
      <c r="G3842" s="2">
        <v>8.75</v>
      </c>
      <c r="H3842" s="2">
        <v>4</v>
      </c>
      <c r="I3842" s="3">
        <v>-3.72</v>
      </c>
    </row>
    <row r="3843" spans="1:9" x14ac:dyDescent="0.3">
      <c r="A3843" s="4">
        <v>42778</v>
      </c>
      <c r="B3843" s="5" t="s">
        <v>2387</v>
      </c>
      <c r="C3843" s="5" t="s">
        <v>58</v>
      </c>
      <c r="D3843" s="5" t="s">
        <v>2</v>
      </c>
      <c r="E3843" s="5" t="s">
        <v>15</v>
      </c>
      <c r="F3843" s="5" t="s">
        <v>603</v>
      </c>
      <c r="G3843" s="5">
        <v>47.96</v>
      </c>
      <c r="H3843" s="5">
        <v>5</v>
      </c>
      <c r="I3843" s="6">
        <v>4.2</v>
      </c>
    </row>
    <row r="3844" spans="1:9" x14ac:dyDescent="0.3">
      <c r="A3844" s="1">
        <v>42778</v>
      </c>
      <c r="B3844" s="2" t="s">
        <v>766</v>
      </c>
      <c r="C3844" s="2" t="s">
        <v>18</v>
      </c>
      <c r="D3844" s="2" t="s">
        <v>2</v>
      </c>
      <c r="E3844" s="2" t="s">
        <v>11</v>
      </c>
      <c r="F3844" s="2" t="s">
        <v>1215</v>
      </c>
      <c r="G3844" s="2">
        <v>9.02</v>
      </c>
      <c r="H3844" s="2">
        <v>6</v>
      </c>
      <c r="I3844" s="3">
        <v>3.16</v>
      </c>
    </row>
    <row r="3845" spans="1:9" x14ac:dyDescent="0.3">
      <c r="A3845" s="4">
        <v>42778</v>
      </c>
      <c r="B3845" s="5" t="s">
        <v>766</v>
      </c>
      <c r="C3845" s="5" t="s">
        <v>18</v>
      </c>
      <c r="D3845" s="5" t="s">
        <v>2</v>
      </c>
      <c r="E3845" s="5" t="s">
        <v>11</v>
      </c>
      <c r="F3845" s="5" t="s">
        <v>873</v>
      </c>
      <c r="G3845" s="5">
        <v>69.459999999999994</v>
      </c>
      <c r="H3845" s="5">
        <v>2</v>
      </c>
      <c r="I3845" s="6">
        <v>22.57</v>
      </c>
    </row>
    <row r="3846" spans="1:9" x14ac:dyDescent="0.3">
      <c r="A3846" s="1">
        <v>42778</v>
      </c>
      <c r="B3846" s="2" t="s">
        <v>766</v>
      </c>
      <c r="C3846" s="2" t="s">
        <v>18</v>
      </c>
      <c r="D3846" s="2" t="s">
        <v>2</v>
      </c>
      <c r="E3846" s="2" t="s">
        <v>3</v>
      </c>
      <c r="F3846" s="2" t="s">
        <v>910</v>
      </c>
      <c r="G3846" s="2">
        <v>10.86</v>
      </c>
      <c r="H3846" s="2">
        <v>2</v>
      </c>
      <c r="I3846" s="3">
        <v>5.32</v>
      </c>
    </row>
    <row r="3847" spans="1:9" x14ac:dyDescent="0.3">
      <c r="A3847" s="4">
        <v>42778</v>
      </c>
      <c r="B3847" s="5" t="s">
        <v>766</v>
      </c>
      <c r="C3847" s="5" t="s">
        <v>18</v>
      </c>
      <c r="D3847" s="5" t="s">
        <v>2</v>
      </c>
      <c r="E3847" s="5" t="s">
        <v>133</v>
      </c>
      <c r="F3847" s="5" t="s">
        <v>550</v>
      </c>
      <c r="G3847" s="5">
        <v>79.47</v>
      </c>
      <c r="H3847" s="5">
        <v>3</v>
      </c>
      <c r="I3847" s="6">
        <v>22.25</v>
      </c>
    </row>
    <row r="3848" spans="1:9" x14ac:dyDescent="0.3">
      <c r="A3848" s="1">
        <v>42778</v>
      </c>
      <c r="B3848" s="2" t="s">
        <v>766</v>
      </c>
      <c r="C3848" s="2" t="s">
        <v>18</v>
      </c>
      <c r="D3848" s="2" t="s">
        <v>2</v>
      </c>
      <c r="E3848" s="2" t="s">
        <v>15</v>
      </c>
      <c r="F3848" s="2" t="s">
        <v>844</v>
      </c>
      <c r="G3848" s="2">
        <v>10.08</v>
      </c>
      <c r="H3848" s="2">
        <v>6</v>
      </c>
      <c r="I3848" s="3">
        <v>5.04</v>
      </c>
    </row>
    <row r="3849" spans="1:9" x14ac:dyDescent="0.3">
      <c r="A3849" s="4">
        <v>42778</v>
      </c>
      <c r="B3849" s="5" t="s">
        <v>1710</v>
      </c>
      <c r="C3849" s="5" t="s">
        <v>58</v>
      </c>
      <c r="D3849" s="5" t="s">
        <v>2</v>
      </c>
      <c r="E3849" s="5" t="s">
        <v>11</v>
      </c>
      <c r="F3849" s="5" t="s">
        <v>727</v>
      </c>
      <c r="G3849" s="5">
        <v>45.66</v>
      </c>
      <c r="H3849" s="5">
        <v>5</v>
      </c>
      <c r="I3849" s="6">
        <v>-33.479999999999997</v>
      </c>
    </row>
    <row r="3850" spans="1:9" x14ac:dyDescent="0.3">
      <c r="A3850" s="1">
        <v>42778</v>
      </c>
      <c r="B3850" s="2" t="s">
        <v>110</v>
      </c>
      <c r="C3850" s="2" t="s">
        <v>14</v>
      </c>
      <c r="D3850" s="2" t="s">
        <v>2</v>
      </c>
      <c r="E3850" s="2" t="s">
        <v>11</v>
      </c>
      <c r="F3850" s="2" t="s">
        <v>1021</v>
      </c>
      <c r="G3850" s="2">
        <v>631.17999999999995</v>
      </c>
      <c r="H3850" s="2">
        <v>4</v>
      </c>
      <c r="I3850" s="3">
        <v>-462.86</v>
      </c>
    </row>
    <row r="3851" spans="1:9" x14ac:dyDescent="0.3">
      <c r="A3851" s="4">
        <v>42778</v>
      </c>
      <c r="B3851" s="5" t="s">
        <v>2317</v>
      </c>
      <c r="C3851" s="5" t="s">
        <v>767</v>
      </c>
      <c r="D3851" s="5" t="s">
        <v>30</v>
      </c>
      <c r="E3851" s="5" t="s">
        <v>31</v>
      </c>
      <c r="F3851" s="5" t="s">
        <v>803</v>
      </c>
      <c r="G3851" s="5">
        <v>2479.96</v>
      </c>
      <c r="H3851" s="5">
        <v>4</v>
      </c>
      <c r="I3851" s="6">
        <v>743.99</v>
      </c>
    </row>
    <row r="3852" spans="1:9" x14ac:dyDescent="0.3">
      <c r="A3852" s="1">
        <v>42778</v>
      </c>
      <c r="B3852" s="2" t="s">
        <v>1212</v>
      </c>
      <c r="C3852" s="2" t="s">
        <v>18</v>
      </c>
      <c r="D3852" s="2" t="s">
        <v>30</v>
      </c>
      <c r="E3852" s="2" t="s">
        <v>31</v>
      </c>
      <c r="F3852" s="2" t="s">
        <v>1655</v>
      </c>
      <c r="G3852" s="2">
        <v>39.99</v>
      </c>
      <c r="H3852" s="2">
        <v>1</v>
      </c>
      <c r="I3852" s="3">
        <v>-8</v>
      </c>
    </row>
    <row r="3853" spans="1:9" x14ac:dyDescent="0.3">
      <c r="A3853" s="4">
        <v>42778</v>
      </c>
      <c r="B3853" s="5" t="s">
        <v>1212</v>
      </c>
      <c r="C3853" s="5" t="s">
        <v>18</v>
      </c>
      <c r="D3853" s="5" t="s">
        <v>25</v>
      </c>
      <c r="E3853" s="5" t="s">
        <v>26</v>
      </c>
      <c r="F3853" s="5" t="s">
        <v>1483</v>
      </c>
      <c r="G3853" s="5">
        <v>1159.06</v>
      </c>
      <c r="H3853" s="5">
        <v>9</v>
      </c>
      <c r="I3853" s="6">
        <v>43.46</v>
      </c>
    </row>
    <row r="3854" spans="1:9" x14ac:dyDescent="0.3">
      <c r="A3854" s="1">
        <v>42778</v>
      </c>
      <c r="B3854" s="2" t="s">
        <v>1212</v>
      </c>
      <c r="C3854" s="2" t="s">
        <v>18</v>
      </c>
      <c r="D3854" s="2" t="s">
        <v>2</v>
      </c>
      <c r="E3854" s="2" t="s">
        <v>15</v>
      </c>
      <c r="F3854" s="2" t="s">
        <v>1168</v>
      </c>
      <c r="G3854" s="2">
        <v>179.9</v>
      </c>
      <c r="H3854" s="2">
        <v>5</v>
      </c>
      <c r="I3854" s="3">
        <v>44.98</v>
      </c>
    </row>
    <row r="3855" spans="1:9" x14ac:dyDescent="0.3">
      <c r="A3855" s="4">
        <v>42778</v>
      </c>
      <c r="B3855" s="5" t="s">
        <v>504</v>
      </c>
      <c r="C3855" s="5" t="s">
        <v>46</v>
      </c>
      <c r="D3855" s="5" t="s">
        <v>25</v>
      </c>
      <c r="E3855" s="5" t="s">
        <v>26</v>
      </c>
      <c r="F3855" s="5" t="s">
        <v>936</v>
      </c>
      <c r="G3855" s="5">
        <v>701.96</v>
      </c>
      <c r="H3855" s="5">
        <v>2</v>
      </c>
      <c r="I3855" s="6">
        <v>168.47</v>
      </c>
    </row>
    <row r="3856" spans="1:9" x14ac:dyDescent="0.3">
      <c r="A3856" s="1">
        <v>42778</v>
      </c>
      <c r="B3856" s="2" t="s">
        <v>223</v>
      </c>
      <c r="C3856" s="2" t="s">
        <v>1</v>
      </c>
      <c r="D3856" s="2" t="s">
        <v>2</v>
      </c>
      <c r="E3856" s="2" t="s">
        <v>15</v>
      </c>
      <c r="F3856" s="2" t="s">
        <v>1393</v>
      </c>
      <c r="G3856" s="2">
        <v>12.16</v>
      </c>
      <c r="H3856" s="2">
        <v>5</v>
      </c>
      <c r="I3856" s="3">
        <v>2.13</v>
      </c>
    </row>
    <row r="3857" spans="1:9" x14ac:dyDescent="0.3">
      <c r="A3857" s="4">
        <v>42778</v>
      </c>
      <c r="B3857" s="5" t="s">
        <v>869</v>
      </c>
      <c r="C3857" s="5" t="s">
        <v>121</v>
      </c>
      <c r="D3857" s="5" t="s">
        <v>2</v>
      </c>
      <c r="E3857" s="5" t="s">
        <v>15</v>
      </c>
      <c r="F3857" s="5" t="s">
        <v>593</v>
      </c>
      <c r="G3857" s="5">
        <v>32.78</v>
      </c>
      <c r="H3857" s="5">
        <v>1</v>
      </c>
      <c r="I3857" s="6">
        <v>2.46</v>
      </c>
    </row>
    <row r="3858" spans="1:9" x14ac:dyDescent="0.3">
      <c r="A3858" s="1">
        <v>42778</v>
      </c>
      <c r="B3858" s="2" t="s">
        <v>1553</v>
      </c>
      <c r="C3858" s="2" t="s">
        <v>163</v>
      </c>
      <c r="D3858" s="2" t="s">
        <v>2</v>
      </c>
      <c r="E3858" s="2" t="s">
        <v>9</v>
      </c>
      <c r="F3858" s="2" t="s">
        <v>1537</v>
      </c>
      <c r="G3858" s="2">
        <v>114.29</v>
      </c>
      <c r="H3858" s="2">
        <v>1</v>
      </c>
      <c r="I3858" s="3">
        <v>12.86</v>
      </c>
    </row>
    <row r="3859" spans="1:9" x14ac:dyDescent="0.3">
      <c r="A3859" s="4">
        <v>42778</v>
      </c>
      <c r="B3859" s="5" t="s">
        <v>1553</v>
      </c>
      <c r="C3859" s="5" t="s">
        <v>163</v>
      </c>
      <c r="D3859" s="5" t="s">
        <v>2</v>
      </c>
      <c r="E3859" s="5" t="s">
        <v>11</v>
      </c>
      <c r="F3859" s="5" t="s">
        <v>1128</v>
      </c>
      <c r="G3859" s="5">
        <v>36.619999999999997</v>
      </c>
      <c r="H3859" s="5">
        <v>8</v>
      </c>
      <c r="I3859" s="6">
        <v>-24.42</v>
      </c>
    </row>
    <row r="3860" spans="1:9" x14ac:dyDescent="0.3">
      <c r="A3860" s="1">
        <v>42778</v>
      </c>
      <c r="B3860" s="2" t="s">
        <v>1553</v>
      </c>
      <c r="C3860" s="2" t="s">
        <v>163</v>
      </c>
      <c r="D3860" s="2" t="s">
        <v>25</v>
      </c>
      <c r="E3860" s="2" t="s">
        <v>129</v>
      </c>
      <c r="F3860" s="2" t="s">
        <v>2388</v>
      </c>
      <c r="G3860" s="2">
        <v>242.35</v>
      </c>
      <c r="H3860" s="2">
        <v>8</v>
      </c>
      <c r="I3860" s="3">
        <v>-363.53</v>
      </c>
    </row>
    <row r="3861" spans="1:9" x14ac:dyDescent="0.3">
      <c r="A3861" s="4">
        <v>42778</v>
      </c>
      <c r="B3861" s="5" t="s">
        <v>1553</v>
      </c>
      <c r="C3861" s="5" t="s">
        <v>163</v>
      </c>
      <c r="D3861" s="5" t="s">
        <v>30</v>
      </c>
      <c r="E3861" s="5" t="s">
        <v>31</v>
      </c>
      <c r="F3861" s="5" t="s">
        <v>2389</v>
      </c>
      <c r="G3861" s="5">
        <v>49.62</v>
      </c>
      <c r="H3861" s="5">
        <v>2</v>
      </c>
      <c r="I3861" s="6">
        <v>4.96</v>
      </c>
    </row>
    <row r="3862" spans="1:9" x14ac:dyDescent="0.3">
      <c r="A3862" s="1">
        <v>42778</v>
      </c>
      <c r="B3862" s="2" t="s">
        <v>1553</v>
      </c>
      <c r="C3862" s="2" t="s">
        <v>163</v>
      </c>
      <c r="D3862" s="2" t="s">
        <v>25</v>
      </c>
      <c r="E3862" s="2" t="s">
        <v>38</v>
      </c>
      <c r="F3862" s="2" t="s">
        <v>1775</v>
      </c>
      <c r="G3862" s="2">
        <v>508.7</v>
      </c>
      <c r="H3862" s="2">
        <v>6</v>
      </c>
      <c r="I3862" s="3">
        <v>0</v>
      </c>
    </row>
    <row r="3863" spans="1:9" x14ac:dyDescent="0.3">
      <c r="A3863" s="4">
        <v>42778</v>
      </c>
      <c r="B3863" s="5" t="s">
        <v>1553</v>
      </c>
      <c r="C3863" s="5" t="s">
        <v>163</v>
      </c>
      <c r="D3863" s="5" t="s">
        <v>30</v>
      </c>
      <c r="E3863" s="5" t="s">
        <v>31</v>
      </c>
      <c r="F3863" s="5" t="s">
        <v>2390</v>
      </c>
      <c r="G3863" s="5">
        <v>57.36</v>
      </c>
      <c r="H3863" s="5">
        <v>6</v>
      </c>
      <c r="I3863" s="6">
        <v>-14.34</v>
      </c>
    </row>
    <row r="3864" spans="1:9" x14ac:dyDescent="0.3">
      <c r="A3864" s="1">
        <v>42778</v>
      </c>
      <c r="B3864" s="2" t="s">
        <v>1553</v>
      </c>
      <c r="C3864" s="2" t="s">
        <v>163</v>
      </c>
      <c r="D3864" s="2" t="s">
        <v>25</v>
      </c>
      <c r="E3864" s="2" t="s">
        <v>26</v>
      </c>
      <c r="F3864" s="2" t="s">
        <v>552</v>
      </c>
      <c r="G3864" s="2">
        <v>906.68</v>
      </c>
      <c r="H3864" s="2">
        <v>5</v>
      </c>
      <c r="I3864" s="3">
        <v>68</v>
      </c>
    </row>
    <row r="3865" spans="1:9" x14ac:dyDescent="0.3">
      <c r="A3865" s="4">
        <v>42778</v>
      </c>
      <c r="B3865" s="5" t="s">
        <v>2356</v>
      </c>
      <c r="C3865" s="5" t="s">
        <v>253</v>
      </c>
      <c r="D3865" s="5" t="s">
        <v>2</v>
      </c>
      <c r="E3865" s="5" t="s">
        <v>11</v>
      </c>
      <c r="F3865" s="5" t="s">
        <v>458</v>
      </c>
      <c r="G3865" s="5">
        <v>67.86</v>
      </c>
      <c r="H3865" s="5">
        <v>6</v>
      </c>
      <c r="I3865" s="6">
        <v>-45.24</v>
      </c>
    </row>
    <row r="3866" spans="1:9" x14ac:dyDescent="0.3">
      <c r="A3866" s="1">
        <v>42778</v>
      </c>
      <c r="B3866" s="2" t="s">
        <v>738</v>
      </c>
      <c r="C3866" s="2" t="s">
        <v>127</v>
      </c>
      <c r="D3866" s="2" t="s">
        <v>2</v>
      </c>
      <c r="E3866" s="2" t="s">
        <v>15</v>
      </c>
      <c r="F3866" s="2" t="s">
        <v>29</v>
      </c>
      <c r="G3866" s="2">
        <v>19.73</v>
      </c>
      <c r="H3866" s="2">
        <v>9</v>
      </c>
      <c r="I3866" s="3">
        <v>1.73</v>
      </c>
    </row>
    <row r="3867" spans="1:9" x14ac:dyDescent="0.3">
      <c r="A3867" s="4">
        <v>42778</v>
      </c>
      <c r="B3867" s="5" t="s">
        <v>738</v>
      </c>
      <c r="C3867" s="5" t="s">
        <v>127</v>
      </c>
      <c r="D3867" s="5" t="s">
        <v>30</v>
      </c>
      <c r="E3867" s="5" t="s">
        <v>31</v>
      </c>
      <c r="F3867" s="5" t="s">
        <v>2391</v>
      </c>
      <c r="G3867" s="5">
        <v>151.19</v>
      </c>
      <c r="H3867" s="5">
        <v>2</v>
      </c>
      <c r="I3867" s="6">
        <v>-25.2</v>
      </c>
    </row>
    <row r="3868" spans="1:9" x14ac:dyDescent="0.3">
      <c r="A3868" s="1">
        <v>42778</v>
      </c>
      <c r="B3868" s="2" t="s">
        <v>177</v>
      </c>
      <c r="C3868" s="2" t="s">
        <v>181</v>
      </c>
      <c r="D3868" s="2" t="s">
        <v>2</v>
      </c>
      <c r="E3868" s="2" t="s">
        <v>133</v>
      </c>
      <c r="F3868" s="2" t="s">
        <v>876</v>
      </c>
      <c r="G3868" s="2">
        <v>286.86</v>
      </c>
      <c r="H3868" s="2">
        <v>7</v>
      </c>
      <c r="I3868" s="3">
        <v>80.319999999999993</v>
      </c>
    </row>
    <row r="3869" spans="1:9" x14ac:dyDescent="0.3">
      <c r="A3869" s="4">
        <v>42778</v>
      </c>
      <c r="B3869" s="5" t="s">
        <v>177</v>
      </c>
      <c r="C3869" s="5" t="s">
        <v>181</v>
      </c>
      <c r="D3869" s="5" t="s">
        <v>30</v>
      </c>
      <c r="E3869" s="5" t="s">
        <v>31</v>
      </c>
      <c r="F3869" s="5" t="s">
        <v>32</v>
      </c>
      <c r="G3869" s="5">
        <v>979.95</v>
      </c>
      <c r="H3869" s="5">
        <v>5</v>
      </c>
      <c r="I3869" s="6">
        <v>284.19</v>
      </c>
    </row>
    <row r="3870" spans="1:9" x14ac:dyDescent="0.3">
      <c r="A3870" s="1">
        <v>42778</v>
      </c>
      <c r="B3870" s="2" t="s">
        <v>177</v>
      </c>
      <c r="C3870" s="2" t="s">
        <v>181</v>
      </c>
      <c r="D3870" s="2" t="s">
        <v>2</v>
      </c>
      <c r="E3870" s="2" t="s">
        <v>144</v>
      </c>
      <c r="F3870" s="2" t="s">
        <v>429</v>
      </c>
      <c r="G3870" s="2">
        <v>4.3600000000000003</v>
      </c>
      <c r="H3870" s="2">
        <v>2</v>
      </c>
      <c r="I3870" s="3">
        <v>0.17</v>
      </c>
    </row>
    <row r="3871" spans="1:9" x14ac:dyDescent="0.3">
      <c r="A3871" s="4">
        <v>42806</v>
      </c>
      <c r="B3871" s="5" t="s">
        <v>2220</v>
      </c>
      <c r="C3871" s="5" t="s">
        <v>80</v>
      </c>
      <c r="D3871" s="5" t="s">
        <v>2</v>
      </c>
      <c r="E3871" s="5" t="s">
        <v>11</v>
      </c>
      <c r="F3871" s="5" t="s">
        <v>1471</v>
      </c>
      <c r="G3871" s="5">
        <v>83.92</v>
      </c>
      <c r="H3871" s="5">
        <v>5</v>
      </c>
      <c r="I3871" s="6">
        <v>29.37</v>
      </c>
    </row>
    <row r="3872" spans="1:9" x14ac:dyDescent="0.3">
      <c r="A3872" s="1">
        <v>42806</v>
      </c>
      <c r="B3872" s="2" t="s">
        <v>2220</v>
      </c>
      <c r="C3872" s="2" t="s">
        <v>80</v>
      </c>
      <c r="D3872" s="2" t="s">
        <v>2</v>
      </c>
      <c r="E3872" s="2" t="s">
        <v>11</v>
      </c>
      <c r="F3872" s="2" t="s">
        <v>1561</v>
      </c>
      <c r="G3872" s="2">
        <v>14.62</v>
      </c>
      <c r="H3872" s="2">
        <v>2</v>
      </c>
      <c r="I3872" s="3">
        <v>5.12</v>
      </c>
    </row>
    <row r="3873" spans="1:9" x14ac:dyDescent="0.3">
      <c r="A3873" s="4">
        <v>42806</v>
      </c>
      <c r="B3873" s="5" t="s">
        <v>2220</v>
      </c>
      <c r="C3873" s="5" t="s">
        <v>80</v>
      </c>
      <c r="D3873" s="5" t="s">
        <v>30</v>
      </c>
      <c r="E3873" s="5" t="s">
        <v>31</v>
      </c>
      <c r="F3873" s="5" t="s">
        <v>279</v>
      </c>
      <c r="G3873" s="5">
        <v>136.99</v>
      </c>
      <c r="H3873" s="5">
        <v>1</v>
      </c>
      <c r="I3873" s="6">
        <v>36.99</v>
      </c>
    </row>
    <row r="3874" spans="1:9" x14ac:dyDescent="0.3">
      <c r="A3874" s="1">
        <v>42806</v>
      </c>
      <c r="B3874" s="2" t="s">
        <v>2220</v>
      </c>
      <c r="C3874" s="2" t="s">
        <v>80</v>
      </c>
      <c r="D3874" s="2" t="s">
        <v>2</v>
      </c>
      <c r="E3874" s="2" t="s">
        <v>7</v>
      </c>
      <c r="F3874" s="2" t="s">
        <v>1409</v>
      </c>
      <c r="G3874" s="2">
        <v>3.15</v>
      </c>
      <c r="H3874" s="2">
        <v>1</v>
      </c>
      <c r="I3874" s="3">
        <v>1.51</v>
      </c>
    </row>
    <row r="3875" spans="1:9" x14ac:dyDescent="0.3">
      <c r="A3875" s="4">
        <v>42806</v>
      </c>
      <c r="B3875" s="5" t="s">
        <v>1811</v>
      </c>
      <c r="C3875" s="5" t="s">
        <v>18</v>
      </c>
      <c r="D3875" s="5" t="s">
        <v>2</v>
      </c>
      <c r="E3875" s="5" t="s">
        <v>3</v>
      </c>
      <c r="F3875" s="5" t="s">
        <v>2294</v>
      </c>
      <c r="G3875" s="5">
        <v>166.44</v>
      </c>
      <c r="H3875" s="5">
        <v>3</v>
      </c>
      <c r="I3875" s="6">
        <v>79.89</v>
      </c>
    </row>
    <row r="3876" spans="1:9" x14ac:dyDescent="0.3">
      <c r="A3876" s="1">
        <v>42806</v>
      </c>
      <c r="B3876" s="2" t="s">
        <v>804</v>
      </c>
      <c r="C3876" s="2" t="s">
        <v>58</v>
      </c>
      <c r="D3876" s="2" t="s">
        <v>30</v>
      </c>
      <c r="E3876" s="2" t="s">
        <v>43</v>
      </c>
      <c r="F3876" s="2" t="s">
        <v>1726</v>
      </c>
      <c r="G3876" s="2">
        <v>47.99</v>
      </c>
      <c r="H3876" s="2">
        <v>1</v>
      </c>
      <c r="I3876" s="3">
        <v>7.2</v>
      </c>
    </row>
    <row r="3877" spans="1:9" x14ac:dyDescent="0.3">
      <c r="A3877" s="4">
        <v>42806</v>
      </c>
      <c r="B3877" s="5" t="s">
        <v>957</v>
      </c>
      <c r="C3877" s="5" t="s">
        <v>121</v>
      </c>
      <c r="D3877" s="5" t="s">
        <v>2</v>
      </c>
      <c r="E3877" s="5" t="s">
        <v>133</v>
      </c>
      <c r="F3877" s="5" t="s">
        <v>1706</v>
      </c>
      <c r="G3877" s="5">
        <v>45.22</v>
      </c>
      <c r="H3877" s="5">
        <v>3</v>
      </c>
      <c r="I3877" s="6">
        <v>4.5199999999999996</v>
      </c>
    </row>
    <row r="3878" spans="1:9" x14ac:dyDescent="0.3">
      <c r="A3878" s="1">
        <v>42806</v>
      </c>
      <c r="B3878" s="2" t="s">
        <v>957</v>
      </c>
      <c r="C3878" s="2" t="s">
        <v>121</v>
      </c>
      <c r="D3878" s="2" t="s">
        <v>2</v>
      </c>
      <c r="E3878" s="2" t="s">
        <v>11</v>
      </c>
      <c r="F3878" s="2" t="s">
        <v>1542</v>
      </c>
      <c r="G3878" s="2">
        <v>28.78</v>
      </c>
      <c r="H3878" s="2">
        <v>6</v>
      </c>
      <c r="I3878" s="3">
        <v>-21.11</v>
      </c>
    </row>
    <row r="3879" spans="1:9" x14ac:dyDescent="0.3">
      <c r="A3879" s="4">
        <v>42806</v>
      </c>
      <c r="B3879" s="5" t="s">
        <v>957</v>
      </c>
      <c r="C3879" s="5" t="s">
        <v>121</v>
      </c>
      <c r="D3879" s="5" t="s">
        <v>2</v>
      </c>
      <c r="E3879" s="5" t="s">
        <v>3</v>
      </c>
      <c r="F3879" s="5" t="s">
        <v>1668</v>
      </c>
      <c r="G3879" s="5">
        <v>24.45</v>
      </c>
      <c r="H3879" s="5">
        <v>4</v>
      </c>
      <c r="I3879" s="6">
        <v>8.86</v>
      </c>
    </row>
    <row r="3880" spans="1:9" x14ac:dyDescent="0.3">
      <c r="A3880" s="1">
        <v>42806</v>
      </c>
      <c r="B3880" s="2" t="s">
        <v>1478</v>
      </c>
      <c r="C3880" s="2" t="s">
        <v>62</v>
      </c>
      <c r="D3880" s="2" t="s">
        <v>25</v>
      </c>
      <c r="E3880" s="2" t="s">
        <v>86</v>
      </c>
      <c r="F3880" s="2" t="s">
        <v>136</v>
      </c>
      <c r="G3880" s="2">
        <v>521.96</v>
      </c>
      <c r="H3880" s="2">
        <v>2</v>
      </c>
      <c r="I3880" s="3">
        <v>88.73</v>
      </c>
    </row>
    <row r="3881" spans="1:9" x14ac:dyDescent="0.3">
      <c r="A3881" s="4">
        <v>42806</v>
      </c>
      <c r="B3881" s="5" t="s">
        <v>1910</v>
      </c>
      <c r="C3881" s="5" t="s">
        <v>1</v>
      </c>
      <c r="D3881" s="5" t="s">
        <v>25</v>
      </c>
      <c r="E3881" s="5" t="s">
        <v>38</v>
      </c>
      <c r="F3881" s="5" t="s">
        <v>1368</v>
      </c>
      <c r="G3881" s="5">
        <v>13.59</v>
      </c>
      <c r="H3881" s="5">
        <v>2</v>
      </c>
      <c r="I3881" s="6">
        <v>-14.27</v>
      </c>
    </row>
    <row r="3882" spans="1:9" x14ac:dyDescent="0.3">
      <c r="A3882" s="1">
        <v>42806</v>
      </c>
      <c r="B3882" s="2" t="s">
        <v>2383</v>
      </c>
      <c r="C3882" s="2" t="s">
        <v>1</v>
      </c>
      <c r="D3882" s="2" t="s">
        <v>2</v>
      </c>
      <c r="E3882" s="2" t="s">
        <v>3</v>
      </c>
      <c r="F3882" s="2" t="s">
        <v>2244</v>
      </c>
      <c r="G3882" s="2">
        <v>10.37</v>
      </c>
      <c r="H3882" s="2">
        <v>2</v>
      </c>
      <c r="I3882" s="3">
        <v>3.63</v>
      </c>
    </row>
    <row r="3883" spans="1:9" x14ac:dyDescent="0.3">
      <c r="A3883" s="4">
        <v>42806</v>
      </c>
      <c r="B3883" s="5" t="s">
        <v>1176</v>
      </c>
      <c r="C3883" s="5" t="s">
        <v>163</v>
      </c>
      <c r="D3883" s="5" t="s">
        <v>2</v>
      </c>
      <c r="E3883" s="5" t="s">
        <v>15</v>
      </c>
      <c r="F3883" s="5" t="s">
        <v>1221</v>
      </c>
      <c r="G3883" s="5">
        <v>13.34</v>
      </c>
      <c r="H3883" s="5">
        <v>6</v>
      </c>
      <c r="I3883" s="6">
        <v>1</v>
      </c>
    </row>
    <row r="3884" spans="1:9" x14ac:dyDescent="0.3">
      <c r="A3884" s="1">
        <v>42806</v>
      </c>
      <c r="B3884" s="2" t="s">
        <v>1176</v>
      </c>
      <c r="C3884" s="2" t="s">
        <v>163</v>
      </c>
      <c r="D3884" s="2" t="s">
        <v>30</v>
      </c>
      <c r="E3884" s="2" t="s">
        <v>43</v>
      </c>
      <c r="F3884" s="2" t="s">
        <v>2200</v>
      </c>
      <c r="G3884" s="2">
        <v>76.75</v>
      </c>
      <c r="H3884" s="2">
        <v>6</v>
      </c>
      <c r="I3884" s="3">
        <v>10.55</v>
      </c>
    </row>
    <row r="3885" spans="1:9" x14ac:dyDescent="0.3">
      <c r="A3885" s="4">
        <v>42806</v>
      </c>
      <c r="B3885" s="5" t="s">
        <v>1176</v>
      </c>
      <c r="C3885" s="5" t="s">
        <v>163</v>
      </c>
      <c r="D3885" s="5" t="s">
        <v>30</v>
      </c>
      <c r="E3885" s="5" t="s">
        <v>43</v>
      </c>
      <c r="F3885" s="5" t="s">
        <v>2200</v>
      </c>
      <c r="G3885" s="5">
        <v>102.34</v>
      </c>
      <c r="H3885" s="5">
        <v>8</v>
      </c>
      <c r="I3885" s="6">
        <v>14.07</v>
      </c>
    </row>
    <row r="3886" spans="1:9" x14ac:dyDescent="0.3">
      <c r="A3886" s="1">
        <v>42806</v>
      </c>
      <c r="B3886" s="2" t="s">
        <v>1176</v>
      </c>
      <c r="C3886" s="2" t="s">
        <v>163</v>
      </c>
      <c r="D3886" s="2" t="s">
        <v>2</v>
      </c>
      <c r="E3886" s="2" t="s">
        <v>3</v>
      </c>
      <c r="F3886" s="2" t="s">
        <v>1900</v>
      </c>
      <c r="G3886" s="2">
        <v>10.32</v>
      </c>
      <c r="H3886" s="2">
        <v>2</v>
      </c>
      <c r="I3886" s="3">
        <v>3.74</v>
      </c>
    </row>
    <row r="3887" spans="1:9" x14ac:dyDescent="0.3">
      <c r="A3887" s="4">
        <v>42806</v>
      </c>
      <c r="B3887" s="5" t="s">
        <v>1176</v>
      </c>
      <c r="C3887" s="5" t="s">
        <v>163</v>
      </c>
      <c r="D3887" s="5" t="s">
        <v>2</v>
      </c>
      <c r="E3887" s="5" t="s">
        <v>144</v>
      </c>
      <c r="F3887" s="5" t="s">
        <v>1672</v>
      </c>
      <c r="G3887" s="5">
        <v>47.32</v>
      </c>
      <c r="H3887" s="5">
        <v>7</v>
      </c>
      <c r="I3887" s="6">
        <v>5.92</v>
      </c>
    </row>
    <row r="3888" spans="1:9" x14ac:dyDescent="0.3">
      <c r="A3888" s="1">
        <v>42806</v>
      </c>
      <c r="B3888" s="2" t="s">
        <v>1176</v>
      </c>
      <c r="C3888" s="2" t="s">
        <v>163</v>
      </c>
      <c r="D3888" s="2" t="s">
        <v>25</v>
      </c>
      <c r="E3888" s="2" t="s">
        <v>38</v>
      </c>
      <c r="F3888" s="2" t="s">
        <v>1182</v>
      </c>
      <c r="G3888" s="2">
        <v>23.38</v>
      </c>
      <c r="H3888" s="2">
        <v>3</v>
      </c>
      <c r="I3888" s="3">
        <v>7.01</v>
      </c>
    </row>
    <row r="3889" spans="1:9" x14ac:dyDescent="0.3">
      <c r="A3889" s="4">
        <v>42806</v>
      </c>
      <c r="B3889" s="5" t="s">
        <v>1176</v>
      </c>
      <c r="C3889" s="5" t="s">
        <v>163</v>
      </c>
      <c r="D3889" s="5" t="s">
        <v>25</v>
      </c>
      <c r="E3889" s="5" t="s">
        <v>38</v>
      </c>
      <c r="F3889" s="5" t="s">
        <v>1023</v>
      </c>
      <c r="G3889" s="5">
        <v>16.72</v>
      </c>
      <c r="H3889" s="5">
        <v>5</v>
      </c>
      <c r="I3889" s="6">
        <v>3.34</v>
      </c>
    </row>
    <row r="3890" spans="1:9" x14ac:dyDescent="0.3">
      <c r="A3890" s="1">
        <v>42806</v>
      </c>
      <c r="B3890" s="2" t="s">
        <v>1176</v>
      </c>
      <c r="C3890" s="2" t="s">
        <v>163</v>
      </c>
      <c r="D3890" s="2" t="s">
        <v>25</v>
      </c>
      <c r="E3890" s="2" t="s">
        <v>38</v>
      </c>
      <c r="F3890" s="2" t="s">
        <v>2289</v>
      </c>
      <c r="G3890" s="2">
        <v>16.190000000000001</v>
      </c>
      <c r="H3890" s="2">
        <v>1</v>
      </c>
      <c r="I3890" s="3">
        <v>4.66</v>
      </c>
    </row>
    <row r="3891" spans="1:9" x14ac:dyDescent="0.3">
      <c r="A3891" s="4">
        <v>42837</v>
      </c>
      <c r="B3891" s="5" t="s">
        <v>2392</v>
      </c>
      <c r="C3891" s="5" t="s">
        <v>14</v>
      </c>
      <c r="D3891" s="5" t="s">
        <v>2</v>
      </c>
      <c r="E3891" s="5" t="s">
        <v>11</v>
      </c>
      <c r="F3891" s="5" t="s">
        <v>314</v>
      </c>
      <c r="G3891" s="5">
        <v>5.35</v>
      </c>
      <c r="H3891" s="5">
        <v>3</v>
      </c>
      <c r="I3891" s="6">
        <v>-4.46</v>
      </c>
    </row>
    <row r="3892" spans="1:9" x14ac:dyDescent="0.3">
      <c r="A3892" s="1">
        <v>42837</v>
      </c>
      <c r="B3892" s="2" t="s">
        <v>1820</v>
      </c>
      <c r="C3892" s="2" t="s">
        <v>14</v>
      </c>
      <c r="D3892" s="2" t="s">
        <v>25</v>
      </c>
      <c r="E3892" s="2" t="s">
        <v>26</v>
      </c>
      <c r="F3892" s="2" t="s">
        <v>502</v>
      </c>
      <c r="G3892" s="2">
        <v>188.55</v>
      </c>
      <c r="H3892" s="2">
        <v>7</v>
      </c>
      <c r="I3892" s="3">
        <v>-2.69</v>
      </c>
    </row>
    <row r="3893" spans="1:9" x14ac:dyDescent="0.3">
      <c r="A3893" s="4">
        <v>42837</v>
      </c>
      <c r="B3893" s="5" t="s">
        <v>1077</v>
      </c>
      <c r="C3893" s="5" t="s">
        <v>14</v>
      </c>
      <c r="D3893" s="5" t="s">
        <v>25</v>
      </c>
      <c r="E3893" s="5" t="s">
        <v>26</v>
      </c>
      <c r="F3893" s="5" t="s">
        <v>1195</v>
      </c>
      <c r="G3893" s="5">
        <v>239.96</v>
      </c>
      <c r="H3893" s="5">
        <v>10</v>
      </c>
      <c r="I3893" s="6">
        <v>-10.28</v>
      </c>
    </row>
    <row r="3894" spans="1:9" x14ac:dyDescent="0.3">
      <c r="A3894" s="1">
        <v>42837</v>
      </c>
      <c r="B3894" s="2" t="s">
        <v>1077</v>
      </c>
      <c r="C3894" s="2" t="s">
        <v>14</v>
      </c>
      <c r="D3894" s="2" t="s">
        <v>25</v>
      </c>
      <c r="E3894" s="2" t="s">
        <v>38</v>
      </c>
      <c r="F3894" s="2" t="s">
        <v>1060</v>
      </c>
      <c r="G3894" s="2">
        <v>54.77</v>
      </c>
      <c r="H3894" s="2">
        <v>2</v>
      </c>
      <c r="I3894" s="3">
        <v>6.85</v>
      </c>
    </row>
    <row r="3895" spans="1:9" x14ac:dyDescent="0.3">
      <c r="A3895" s="4">
        <v>42837</v>
      </c>
      <c r="B3895" s="5" t="s">
        <v>1077</v>
      </c>
      <c r="C3895" s="5" t="s">
        <v>14</v>
      </c>
      <c r="D3895" s="5" t="s">
        <v>2</v>
      </c>
      <c r="E3895" s="5" t="s">
        <v>15</v>
      </c>
      <c r="F3895" s="5" t="s">
        <v>338</v>
      </c>
      <c r="G3895" s="5">
        <v>13.39</v>
      </c>
      <c r="H3895" s="5">
        <v>3</v>
      </c>
      <c r="I3895" s="6">
        <v>3.18</v>
      </c>
    </row>
    <row r="3896" spans="1:9" x14ac:dyDescent="0.3">
      <c r="A3896" s="1">
        <v>42837</v>
      </c>
      <c r="B3896" s="2" t="s">
        <v>1077</v>
      </c>
      <c r="C3896" s="2" t="s">
        <v>14</v>
      </c>
      <c r="D3896" s="2" t="s">
        <v>2</v>
      </c>
      <c r="E3896" s="2" t="s">
        <v>3</v>
      </c>
      <c r="F3896" s="2" t="s">
        <v>2393</v>
      </c>
      <c r="G3896" s="2">
        <v>23.92</v>
      </c>
      <c r="H3896" s="2">
        <v>5</v>
      </c>
      <c r="I3896" s="3">
        <v>8.67</v>
      </c>
    </row>
    <row r="3897" spans="1:9" x14ac:dyDescent="0.3">
      <c r="A3897" s="4">
        <v>42837</v>
      </c>
      <c r="B3897" s="5" t="s">
        <v>1077</v>
      </c>
      <c r="C3897" s="5" t="s">
        <v>14</v>
      </c>
      <c r="D3897" s="5" t="s">
        <v>30</v>
      </c>
      <c r="E3897" s="5" t="s">
        <v>43</v>
      </c>
      <c r="F3897" s="5" t="s">
        <v>2111</v>
      </c>
      <c r="G3897" s="5">
        <v>255.97</v>
      </c>
      <c r="H3897" s="5">
        <v>4</v>
      </c>
      <c r="I3897" s="6">
        <v>-28.8</v>
      </c>
    </row>
    <row r="3898" spans="1:9" x14ac:dyDescent="0.3">
      <c r="A3898" s="1">
        <v>42837</v>
      </c>
      <c r="B3898" s="2" t="s">
        <v>1488</v>
      </c>
      <c r="C3898" s="2" t="s">
        <v>6</v>
      </c>
      <c r="D3898" s="2" t="s">
        <v>2</v>
      </c>
      <c r="E3898" s="2" t="s">
        <v>9</v>
      </c>
      <c r="F3898" s="2" t="s">
        <v>570</v>
      </c>
      <c r="G3898" s="2">
        <v>61.57</v>
      </c>
      <c r="H3898" s="2">
        <v>2</v>
      </c>
      <c r="I3898" s="3">
        <v>4.62</v>
      </c>
    </row>
    <row r="3899" spans="1:9" x14ac:dyDescent="0.3">
      <c r="A3899" s="4">
        <v>42837</v>
      </c>
      <c r="B3899" s="5" t="s">
        <v>2058</v>
      </c>
      <c r="C3899" s="5" t="s">
        <v>359</v>
      </c>
      <c r="D3899" s="5" t="s">
        <v>2</v>
      </c>
      <c r="E3899" s="5" t="s">
        <v>15</v>
      </c>
      <c r="F3899" s="5" t="s">
        <v>1064</v>
      </c>
      <c r="G3899" s="5">
        <v>8.8000000000000007</v>
      </c>
      <c r="H3899" s="5">
        <v>5</v>
      </c>
      <c r="I3899" s="6">
        <v>2.5499999999999998</v>
      </c>
    </row>
    <row r="3900" spans="1:9" x14ac:dyDescent="0.3">
      <c r="A3900" s="1">
        <v>42837</v>
      </c>
      <c r="B3900" s="2" t="s">
        <v>2058</v>
      </c>
      <c r="C3900" s="2" t="s">
        <v>359</v>
      </c>
      <c r="D3900" s="2" t="s">
        <v>30</v>
      </c>
      <c r="E3900" s="2" t="s">
        <v>43</v>
      </c>
      <c r="F3900" s="2" t="s">
        <v>2394</v>
      </c>
      <c r="G3900" s="2">
        <v>142.80000000000001</v>
      </c>
      <c r="H3900" s="2">
        <v>1</v>
      </c>
      <c r="I3900" s="3">
        <v>29.99</v>
      </c>
    </row>
    <row r="3901" spans="1:9" x14ac:dyDescent="0.3">
      <c r="A3901" s="4">
        <v>42837</v>
      </c>
      <c r="B3901" s="5" t="s">
        <v>2058</v>
      </c>
      <c r="C3901" s="5" t="s">
        <v>359</v>
      </c>
      <c r="D3901" s="5" t="s">
        <v>30</v>
      </c>
      <c r="E3901" s="5" t="s">
        <v>43</v>
      </c>
      <c r="F3901" s="5" t="s">
        <v>2325</v>
      </c>
      <c r="G3901" s="5">
        <v>399.95</v>
      </c>
      <c r="H3901" s="5">
        <v>5</v>
      </c>
      <c r="I3901" s="6">
        <v>143.97999999999999</v>
      </c>
    </row>
    <row r="3902" spans="1:9" x14ac:dyDescent="0.3">
      <c r="A3902" s="1">
        <v>42837</v>
      </c>
      <c r="B3902" s="2" t="s">
        <v>561</v>
      </c>
      <c r="C3902" s="2" t="s">
        <v>411</v>
      </c>
      <c r="D3902" s="2" t="s">
        <v>30</v>
      </c>
      <c r="E3902" s="2" t="s">
        <v>625</v>
      </c>
      <c r="F3902" s="2" t="s">
        <v>1891</v>
      </c>
      <c r="G3902" s="2">
        <v>649</v>
      </c>
      <c r="H3902" s="2">
        <v>2</v>
      </c>
      <c r="I3902" s="3">
        <v>-272.58</v>
      </c>
    </row>
    <row r="3903" spans="1:9" x14ac:dyDescent="0.3">
      <c r="A3903" s="4">
        <v>42837</v>
      </c>
      <c r="B3903" s="5" t="s">
        <v>609</v>
      </c>
      <c r="C3903" s="5" t="s">
        <v>127</v>
      </c>
      <c r="D3903" s="5" t="s">
        <v>2</v>
      </c>
      <c r="E3903" s="5" t="s">
        <v>3</v>
      </c>
      <c r="F3903" s="5" t="s">
        <v>1826</v>
      </c>
      <c r="G3903" s="5">
        <v>74.349999999999994</v>
      </c>
      <c r="H3903" s="5">
        <v>3</v>
      </c>
      <c r="I3903" s="6">
        <v>23.24</v>
      </c>
    </row>
    <row r="3904" spans="1:9" x14ac:dyDescent="0.3">
      <c r="A3904" s="1">
        <v>42837</v>
      </c>
      <c r="B3904" s="2" t="s">
        <v>79</v>
      </c>
      <c r="C3904" s="2" t="s">
        <v>18</v>
      </c>
      <c r="D3904" s="2" t="s">
        <v>2</v>
      </c>
      <c r="E3904" s="2" t="s">
        <v>3</v>
      </c>
      <c r="F3904" s="2" t="s">
        <v>739</v>
      </c>
      <c r="G3904" s="2">
        <v>11.76</v>
      </c>
      <c r="H3904" s="2">
        <v>2</v>
      </c>
      <c r="I3904" s="3">
        <v>5.76</v>
      </c>
    </row>
    <row r="3905" spans="1:9" x14ac:dyDescent="0.3">
      <c r="A3905" s="4">
        <v>42837</v>
      </c>
      <c r="B3905" s="5" t="s">
        <v>1501</v>
      </c>
      <c r="C3905" s="5" t="s">
        <v>77</v>
      </c>
      <c r="D3905" s="5" t="s">
        <v>25</v>
      </c>
      <c r="E3905" s="5" t="s">
        <v>38</v>
      </c>
      <c r="F3905" s="5" t="s">
        <v>2395</v>
      </c>
      <c r="G3905" s="5">
        <v>12.99</v>
      </c>
      <c r="H3905" s="5">
        <v>1</v>
      </c>
      <c r="I3905" s="6">
        <v>1.56</v>
      </c>
    </row>
    <row r="3906" spans="1:9" x14ac:dyDescent="0.3">
      <c r="A3906" s="1">
        <v>42837</v>
      </c>
      <c r="B3906" s="2" t="s">
        <v>1501</v>
      </c>
      <c r="C3906" s="2" t="s">
        <v>77</v>
      </c>
      <c r="D3906" s="2" t="s">
        <v>25</v>
      </c>
      <c r="E3906" s="2" t="s">
        <v>26</v>
      </c>
      <c r="F3906" s="2" t="s">
        <v>544</v>
      </c>
      <c r="G3906" s="2">
        <v>182.22</v>
      </c>
      <c r="H3906" s="2">
        <v>3</v>
      </c>
      <c r="I3906" s="3">
        <v>45.56</v>
      </c>
    </row>
    <row r="3907" spans="1:9" x14ac:dyDescent="0.3">
      <c r="A3907" s="4">
        <v>42837</v>
      </c>
      <c r="B3907" s="5" t="s">
        <v>1501</v>
      </c>
      <c r="C3907" s="5" t="s">
        <v>77</v>
      </c>
      <c r="D3907" s="5" t="s">
        <v>25</v>
      </c>
      <c r="E3907" s="5" t="s">
        <v>26</v>
      </c>
      <c r="F3907" s="5" t="s">
        <v>1578</v>
      </c>
      <c r="G3907" s="5">
        <v>302.94</v>
      </c>
      <c r="H3907" s="5">
        <v>3</v>
      </c>
      <c r="I3907" s="6">
        <v>18.18</v>
      </c>
    </row>
    <row r="3908" spans="1:9" x14ac:dyDescent="0.3">
      <c r="A3908" s="1">
        <v>42837</v>
      </c>
      <c r="B3908" s="2" t="s">
        <v>192</v>
      </c>
      <c r="C3908" s="2" t="s">
        <v>14</v>
      </c>
      <c r="D3908" s="2" t="s">
        <v>25</v>
      </c>
      <c r="E3908" s="2" t="s">
        <v>38</v>
      </c>
      <c r="F3908" s="2" t="s">
        <v>236</v>
      </c>
      <c r="G3908" s="2">
        <v>11.35</v>
      </c>
      <c r="H3908" s="2">
        <v>3</v>
      </c>
      <c r="I3908" s="3">
        <v>2.7</v>
      </c>
    </row>
    <row r="3909" spans="1:9" x14ac:dyDescent="0.3">
      <c r="A3909" s="4">
        <v>42867</v>
      </c>
      <c r="B3909" s="5" t="s">
        <v>1898</v>
      </c>
      <c r="C3909" s="5" t="s">
        <v>283</v>
      </c>
      <c r="D3909" s="5" t="s">
        <v>2</v>
      </c>
      <c r="E3909" s="5" t="s">
        <v>133</v>
      </c>
      <c r="F3909" s="5" t="s">
        <v>717</v>
      </c>
      <c r="G3909" s="5">
        <v>61.44</v>
      </c>
      <c r="H3909" s="5">
        <v>3</v>
      </c>
      <c r="I3909" s="6">
        <v>16.59</v>
      </c>
    </row>
    <row r="3910" spans="1:9" x14ac:dyDescent="0.3">
      <c r="A3910" s="1">
        <v>42867</v>
      </c>
      <c r="B3910" s="2" t="s">
        <v>1898</v>
      </c>
      <c r="C3910" s="2" t="s">
        <v>283</v>
      </c>
      <c r="D3910" s="2" t="s">
        <v>2</v>
      </c>
      <c r="E3910" s="2" t="s">
        <v>3</v>
      </c>
      <c r="F3910" s="2" t="s">
        <v>170</v>
      </c>
      <c r="G3910" s="2">
        <v>38.9</v>
      </c>
      <c r="H3910" s="2">
        <v>5</v>
      </c>
      <c r="I3910" s="3">
        <v>17.510000000000002</v>
      </c>
    </row>
    <row r="3911" spans="1:9" x14ac:dyDescent="0.3">
      <c r="A3911" s="4">
        <v>42867</v>
      </c>
      <c r="B3911" s="5" t="s">
        <v>1898</v>
      </c>
      <c r="C3911" s="5" t="s">
        <v>283</v>
      </c>
      <c r="D3911" s="5" t="s">
        <v>30</v>
      </c>
      <c r="E3911" s="5" t="s">
        <v>43</v>
      </c>
      <c r="F3911" s="5" t="s">
        <v>933</v>
      </c>
      <c r="G3911" s="5">
        <v>99.39</v>
      </c>
      <c r="H3911" s="5">
        <v>3</v>
      </c>
      <c r="I3911" s="6">
        <v>40.75</v>
      </c>
    </row>
    <row r="3912" spans="1:9" x14ac:dyDescent="0.3">
      <c r="A3912" s="1">
        <v>42867</v>
      </c>
      <c r="B3912" s="2" t="s">
        <v>1325</v>
      </c>
      <c r="C3912" s="2" t="s">
        <v>18</v>
      </c>
      <c r="D3912" s="2" t="s">
        <v>2</v>
      </c>
      <c r="E3912" s="2" t="s">
        <v>3</v>
      </c>
      <c r="F3912" s="2" t="s">
        <v>1390</v>
      </c>
      <c r="G3912" s="2">
        <v>92.94</v>
      </c>
      <c r="H3912" s="2">
        <v>3</v>
      </c>
      <c r="I3912" s="3">
        <v>41.82</v>
      </c>
    </row>
    <row r="3913" spans="1:9" x14ac:dyDescent="0.3">
      <c r="A3913" s="4">
        <v>42867</v>
      </c>
      <c r="B3913" s="5" t="s">
        <v>371</v>
      </c>
      <c r="C3913" s="5" t="s">
        <v>1498</v>
      </c>
      <c r="D3913" s="5" t="s">
        <v>30</v>
      </c>
      <c r="E3913" s="5" t="s">
        <v>43</v>
      </c>
      <c r="F3913" s="5" t="s">
        <v>349</v>
      </c>
      <c r="G3913" s="5">
        <v>205.03</v>
      </c>
      <c r="H3913" s="5">
        <v>7</v>
      </c>
      <c r="I3913" s="6">
        <v>67.66</v>
      </c>
    </row>
    <row r="3914" spans="1:9" x14ac:dyDescent="0.3">
      <c r="A3914" s="1">
        <v>42867</v>
      </c>
      <c r="B3914" s="2" t="s">
        <v>809</v>
      </c>
      <c r="C3914" s="2" t="s">
        <v>80</v>
      </c>
      <c r="D3914" s="2" t="s">
        <v>25</v>
      </c>
      <c r="E3914" s="2" t="s">
        <v>38</v>
      </c>
      <c r="F3914" s="2" t="s">
        <v>417</v>
      </c>
      <c r="G3914" s="2">
        <v>20.94</v>
      </c>
      <c r="H3914" s="2">
        <v>3</v>
      </c>
      <c r="I3914" s="3">
        <v>6.07</v>
      </c>
    </row>
    <row r="3915" spans="1:9" x14ac:dyDescent="0.3">
      <c r="A3915" s="4">
        <v>42867</v>
      </c>
      <c r="B3915" s="5" t="s">
        <v>809</v>
      </c>
      <c r="C3915" s="5" t="s">
        <v>80</v>
      </c>
      <c r="D3915" s="5" t="s">
        <v>25</v>
      </c>
      <c r="E3915" s="5" t="s">
        <v>38</v>
      </c>
      <c r="F3915" s="5" t="s">
        <v>2396</v>
      </c>
      <c r="G3915" s="5">
        <v>58.68</v>
      </c>
      <c r="H3915" s="5">
        <v>2</v>
      </c>
      <c r="I3915" s="6">
        <v>18.190000000000001</v>
      </c>
    </row>
    <row r="3916" spans="1:9" x14ac:dyDescent="0.3">
      <c r="A3916" s="1">
        <v>42867</v>
      </c>
      <c r="B3916" s="2" t="s">
        <v>809</v>
      </c>
      <c r="C3916" s="2" t="s">
        <v>80</v>
      </c>
      <c r="D3916" s="2" t="s">
        <v>2</v>
      </c>
      <c r="E3916" s="2" t="s">
        <v>133</v>
      </c>
      <c r="F3916" s="2" t="s">
        <v>539</v>
      </c>
      <c r="G3916" s="2">
        <v>254.9</v>
      </c>
      <c r="H3916" s="2">
        <v>5</v>
      </c>
      <c r="I3916" s="3">
        <v>68.819999999999993</v>
      </c>
    </row>
    <row r="3917" spans="1:9" x14ac:dyDescent="0.3">
      <c r="A3917" s="4">
        <v>42867</v>
      </c>
      <c r="B3917" s="5" t="s">
        <v>1193</v>
      </c>
      <c r="C3917" s="5" t="s">
        <v>62</v>
      </c>
      <c r="D3917" s="5" t="s">
        <v>2</v>
      </c>
      <c r="E3917" s="5" t="s">
        <v>11</v>
      </c>
      <c r="F3917" s="5" t="s">
        <v>146</v>
      </c>
      <c r="G3917" s="5">
        <v>24.82</v>
      </c>
      <c r="H3917" s="5">
        <v>3</v>
      </c>
      <c r="I3917" s="6">
        <v>8.3800000000000008</v>
      </c>
    </row>
    <row r="3918" spans="1:9" x14ac:dyDescent="0.3">
      <c r="A3918" s="1">
        <v>42867</v>
      </c>
      <c r="B3918" s="2" t="s">
        <v>1193</v>
      </c>
      <c r="C3918" s="2" t="s">
        <v>62</v>
      </c>
      <c r="D3918" s="2" t="s">
        <v>2</v>
      </c>
      <c r="E3918" s="2" t="s">
        <v>11</v>
      </c>
      <c r="F3918" s="2" t="s">
        <v>183</v>
      </c>
      <c r="G3918" s="2">
        <v>14.98</v>
      </c>
      <c r="H3918" s="2">
        <v>6</v>
      </c>
      <c r="I3918" s="3">
        <v>5.43</v>
      </c>
    </row>
    <row r="3919" spans="1:9" x14ac:dyDescent="0.3">
      <c r="A3919" s="4">
        <v>42867</v>
      </c>
      <c r="B3919" s="5" t="s">
        <v>409</v>
      </c>
      <c r="C3919" s="5" t="s">
        <v>80</v>
      </c>
      <c r="D3919" s="5" t="s">
        <v>25</v>
      </c>
      <c r="E3919" s="5" t="s">
        <v>38</v>
      </c>
      <c r="F3919" s="5" t="s">
        <v>2028</v>
      </c>
      <c r="G3919" s="5">
        <v>41.96</v>
      </c>
      <c r="H3919" s="5">
        <v>2</v>
      </c>
      <c r="I3919" s="6">
        <v>10.91</v>
      </c>
    </row>
    <row r="3920" spans="1:9" x14ac:dyDescent="0.3">
      <c r="A3920" s="1">
        <v>42867</v>
      </c>
      <c r="B3920" s="2" t="s">
        <v>409</v>
      </c>
      <c r="C3920" s="2" t="s">
        <v>80</v>
      </c>
      <c r="D3920" s="2" t="s">
        <v>2</v>
      </c>
      <c r="E3920" s="2" t="s">
        <v>7</v>
      </c>
      <c r="F3920" s="2" t="s">
        <v>2397</v>
      </c>
      <c r="G3920" s="2">
        <v>9.4499999999999993</v>
      </c>
      <c r="H3920" s="2">
        <v>3</v>
      </c>
      <c r="I3920" s="3">
        <v>4.54</v>
      </c>
    </row>
    <row r="3921" spans="1:9" x14ac:dyDescent="0.3">
      <c r="A3921" s="4">
        <v>42867</v>
      </c>
      <c r="B3921" s="5" t="s">
        <v>2398</v>
      </c>
      <c r="C3921" s="5" t="s">
        <v>62</v>
      </c>
      <c r="D3921" s="5" t="s">
        <v>2</v>
      </c>
      <c r="E3921" s="5" t="s">
        <v>11</v>
      </c>
      <c r="F3921" s="5" t="s">
        <v>1471</v>
      </c>
      <c r="G3921" s="5">
        <v>83.92</v>
      </c>
      <c r="H3921" s="5">
        <v>5</v>
      </c>
      <c r="I3921" s="6">
        <v>29.37</v>
      </c>
    </row>
    <row r="3922" spans="1:9" x14ac:dyDescent="0.3">
      <c r="A3922" s="1">
        <v>42867</v>
      </c>
      <c r="B3922" s="2" t="s">
        <v>2398</v>
      </c>
      <c r="C3922" s="2" t="s">
        <v>62</v>
      </c>
      <c r="D3922" s="2" t="s">
        <v>25</v>
      </c>
      <c r="E3922" s="2" t="s">
        <v>38</v>
      </c>
      <c r="F3922" s="2" t="s">
        <v>1732</v>
      </c>
      <c r="G3922" s="2">
        <v>199.9</v>
      </c>
      <c r="H3922" s="2">
        <v>5</v>
      </c>
      <c r="I3922" s="3">
        <v>39.979999999999997</v>
      </c>
    </row>
    <row r="3923" spans="1:9" x14ac:dyDescent="0.3">
      <c r="A3923" s="4">
        <v>42867</v>
      </c>
      <c r="B3923" s="5" t="s">
        <v>2398</v>
      </c>
      <c r="C3923" s="5" t="s">
        <v>62</v>
      </c>
      <c r="D3923" s="5" t="s">
        <v>30</v>
      </c>
      <c r="E3923" s="5" t="s">
        <v>31</v>
      </c>
      <c r="F3923" s="5" t="s">
        <v>1645</v>
      </c>
      <c r="G3923" s="5">
        <v>31.18</v>
      </c>
      <c r="H3923" s="5">
        <v>3</v>
      </c>
      <c r="I3923" s="6">
        <v>-7.01</v>
      </c>
    </row>
    <row r="3924" spans="1:9" x14ac:dyDescent="0.3">
      <c r="A3924" s="1">
        <v>42867</v>
      </c>
      <c r="B3924" s="2" t="s">
        <v>2398</v>
      </c>
      <c r="C3924" s="2" t="s">
        <v>62</v>
      </c>
      <c r="D3924" s="2" t="s">
        <v>2</v>
      </c>
      <c r="E3924" s="2" t="s">
        <v>11</v>
      </c>
      <c r="F3924" s="2" t="s">
        <v>2011</v>
      </c>
      <c r="G3924" s="2">
        <v>172.75</v>
      </c>
      <c r="H3924" s="2">
        <v>6</v>
      </c>
      <c r="I3924" s="3">
        <v>60.46</v>
      </c>
    </row>
    <row r="3925" spans="1:9" x14ac:dyDescent="0.3">
      <c r="A3925" s="4">
        <v>42867</v>
      </c>
      <c r="B3925" s="5" t="s">
        <v>2398</v>
      </c>
      <c r="C3925" s="5" t="s">
        <v>62</v>
      </c>
      <c r="D3925" s="5" t="s">
        <v>2</v>
      </c>
      <c r="E3925" s="5" t="s">
        <v>11</v>
      </c>
      <c r="F3925" s="5" t="s">
        <v>1982</v>
      </c>
      <c r="G3925" s="5">
        <v>9.3000000000000007</v>
      </c>
      <c r="H3925" s="5">
        <v>2</v>
      </c>
      <c r="I3925" s="6">
        <v>3.02</v>
      </c>
    </row>
    <row r="3926" spans="1:9" x14ac:dyDescent="0.3">
      <c r="A3926" s="1">
        <v>42867</v>
      </c>
      <c r="B3926" s="2" t="s">
        <v>2306</v>
      </c>
      <c r="C3926" s="2" t="s">
        <v>80</v>
      </c>
      <c r="D3926" s="2" t="s">
        <v>2</v>
      </c>
      <c r="E3926" s="2" t="s">
        <v>3</v>
      </c>
      <c r="F3926" s="2" t="s">
        <v>2284</v>
      </c>
      <c r="G3926" s="2">
        <v>21.6</v>
      </c>
      <c r="H3926" s="2">
        <v>6</v>
      </c>
      <c r="I3926" s="3">
        <v>9.94</v>
      </c>
    </row>
    <row r="3927" spans="1:9" x14ac:dyDescent="0.3">
      <c r="A3927" s="4">
        <v>42867</v>
      </c>
      <c r="B3927" s="5" t="s">
        <v>2306</v>
      </c>
      <c r="C3927" s="5" t="s">
        <v>80</v>
      </c>
      <c r="D3927" s="5" t="s">
        <v>2</v>
      </c>
      <c r="E3927" s="5" t="s">
        <v>7</v>
      </c>
      <c r="F3927" s="5" t="s">
        <v>1924</v>
      </c>
      <c r="G3927" s="5">
        <v>11.07</v>
      </c>
      <c r="H3927" s="5">
        <v>3</v>
      </c>
      <c r="I3927" s="6">
        <v>5.2</v>
      </c>
    </row>
    <row r="3928" spans="1:9" x14ac:dyDescent="0.3">
      <c r="A3928" s="1">
        <v>42898</v>
      </c>
      <c r="B3928" s="2" t="s">
        <v>721</v>
      </c>
      <c r="C3928" s="2" t="s">
        <v>18</v>
      </c>
      <c r="D3928" s="2" t="s">
        <v>2</v>
      </c>
      <c r="E3928" s="2" t="s">
        <v>9</v>
      </c>
      <c r="F3928" s="2" t="s">
        <v>529</v>
      </c>
      <c r="G3928" s="2">
        <v>10.68</v>
      </c>
      <c r="H3928" s="2">
        <v>1</v>
      </c>
      <c r="I3928" s="3">
        <v>2.88</v>
      </c>
    </row>
    <row r="3929" spans="1:9" x14ac:dyDescent="0.3">
      <c r="A3929" s="4">
        <v>42928</v>
      </c>
      <c r="B3929" s="5" t="s">
        <v>989</v>
      </c>
      <c r="C3929" s="5" t="s">
        <v>18</v>
      </c>
      <c r="D3929" s="5" t="s">
        <v>30</v>
      </c>
      <c r="E3929" s="5" t="s">
        <v>31</v>
      </c>
      <c r="F3929" s="5" t="s">
        <v>1236</v>
      </c>
      <c r="G3929" s="5">
        <v>374.38</v>
      </c>
      <c r="H3929" s="5">
        <v>3</v>
      </c>
      <c r="I3929" s="6">
        <v>46.8</v>
      </c>
    </row>
    <row r="3930" spans="1:9" x14ac:dyDescent="0.3">
      <c r="A3930" s="1">
        <v>42928</v>
      </c>
      <c r="B3930" s="2" t="s">
        <v>1323</v>
      </c>
      <c r="C3930" s="2" t="s">
        <v>1</v>
      </c>
      <c r="D3930" s="2" t="s">
        <v>2</v>
      </c>
      <c r="E3930" s="2" t="s">
        <v>34</v>
      </c>
      <c r="F3930" s="2" t="s">
        <v>254</v>
      </c>
      <c r="G3930" s="2">
        <v>3.55</v>
      </c>
      <c r="H3930" s="2">
        <v>3</v>
      </c>
      <c r="I3930" s="3">
        <v>1.24</v>
      </c>
    </row>
    <row r="3931" spans="1:9" x14ac:dyDescent="0.3">
      <c r="A3931" s="4">
        <v>42928</v>
      </c>
      <c r="B3931" s="5" t="s">
        <v>1323</v>
      </c>
      <c r="C3931" s="5" t="s">
        <v>1</v>
      </c>
      <c r="D3931" s="5" t="s">
        <v>2</v>
      </c>
      <c r="E3931" s="5" t="s">
        <v>3</v>
      </c>
      <c r="F3931" s="5" t="s">
        <v>453</v>
      </c>
      <c r="G3931" s="5">
        <v>15.55</v>
      </c>
      <c r="H3931" s="5">
        <v>3</v>
      </c>
      <c r="I3931" s="6">
        <v>5.44</v>
      </c>
    </row>
    <row r="3932" spans="1:9" x14ac:dyDescent="0.3">
      <c r="A3932" s="1">
        <v>42928</v>
      </c>
      <c r="B3932" s="2" t="s">
        <v>828</v>
      </c>
      <c r="C3932" s="2" t="s">
        <v>127</v>
      </c>
      <c r="D3932" s="2" t="s">
        <v>30</v>
      </c>
      <c r="E3932" s="2" t="s">
        <v>43</v>
      </c>
      <c r="F3932" s="2" t="s">
        <v>935</v>
      </c>
      <c r="G3932" s="2">
        <v>127.98</v>
      </c>
      <c r="H3932" s="2">
        <v>2</v>
      </c>
      <c r="I3932" s="3">
        <v>25.6</v>
      </c>
    </row>
    <row r="3933" spans="1:9" x14ac:dyDescent="0.3">
      <c r="A3933" s="4">
        <v>42928</v>
      </c>
      <c r="B3933" s="5" t="s">
        <v>2016</v>
      </c>
      <c r="C3933" s="5" t="s">
        <v>46</v>
      </c>
      <c r="D3933" s="5" t="s">
        <v>25</v>
      </c>
      <c r="E3933" s="5" t="s">
        <v>38</v>
      </c>
      <c r="F3933" s="5" t="s">
        <v>922</v>
      </c>
      <c r="G3933" s="5">
        <v>82.38</v>
      </c>
      <c r="H3933" s="5">
        <v>6</v>
      </c>
      <c r="I3933" s="6">
        <v>25.54</v>
      </c>
    </row>
    <row r="3934" spans="1:9" x14ac:dyDescent="0.3">
      <c r="A3934" s="1">
        <v>42928</v>
      </c>
      <c r="B3934" s="2" t="s">
        <v>1595</v>
      </c>
      <c r="C3934" s="2" t="s">
        <v>6</v>
      </c>
      <c r="D3934" s="2" t="s">
        <v>2</v>
      </c>
      <c r="E3934" s="2" t="s">
        <v>11</v>
      </c>
      <c r="F3934" s="2" t="s">
        <v>2399</v>
      </c>
      <c r="G3934" s="2">
        <v>1889.99</v>
      </c>
      <c r="H3934" s="2">
        <v>5</v>
      </c>
      <c r="I3934" s="3">
        <v>-2929.48</v>
      </c>
    </row>
    <row r="3935" spans="1:9" x14ac:dyDescent="0.3">
      <c r="A3935" s="4">
        <v>42928</v>
      </c>
      <c r="B3935" s="5" t="s">
        <v>416</v>
      </c>
      <c r="C3935" s="5" t="s">
        <v>450</v>
      </c>
      <c r="D3935" s="5" t="s">
        <v>2</v>
      </c>
      <c r="E3935" s="5" t="s">
        <v>133</v>
      </c>
      <c r="F3935" s="5" t="s">
        <v>2371</v>
      </c>
      <c r="G3935" s="5">
        <v>320.64</v>
      </c>
      <c r="H3935" s="5">
        <v>4</v>
      </c>
      <c r="I3935" s="6">
        <v>89.78</v>
      </c>
    </row>
    <row r="3936" spans="1:9" x14ac:dyDescent="0.3">
      <c r="A3936" s="1">
        <v>42928</v>
      </c>
      <c r="B3936" s="2" t="s">
        <v>416</v>
      </c>
      <c r="C3936" s="2" t="s">
        <v>450</v>
      </c>
      <c r="D3936" s="2" t="s">
        <v>30</v>
      </c>
      <c r="E3936" s="2" t="s">
        <v>43</v>
      </c>
      <c r="F3936" s="2" t="s">
        <v>44</v>
      </c>
      <c r="G3936" s="2">
        <v>52</v>
      </c>
      <c r="H3936" s="2">
        <v>4</v>
      </c>
      <c r="I3936" s="3">
        <v>23.4</v>
      </c>
    </row>
    <row r="3937" spans="1:9" x14ac:dyDescent="0.3">
      <c r="A3937" s="4">
        <v>42928</v>
      </c>
      <c r="B3937" s="5" t="s">
        <v>843</v>
      </c>
      <c r="C3937" s="5" t="s">
        <v>18</v>
      </c>
      <c r="D3937" s="5" t="s">
        <v>2</v>
      </c>
      <c r="E3937" s="5" t="s">
        <v>3</v>
      </c>
      <c r="F3937" s="5" t="s">
        <v>2206</v>
      </c>
      <c r="G3937" s="5">
        <v>50.04</v>
      </c>
      <c r="H3937" s="5">
        <v>6</v>
      </c>
      <c r="I3937" s="6">
        <v>25.02</v>
      </c>
    </row>
    <row r="3938" spans="1:9" x14ac:dyDescent="0.3">
      <c r="A3938" s="1">
        <v>42959</v>
      </c>
      <c r="B3938" s="2" t="s">
        <v>762</v>
      </c>
      <c r="C3938" s="2" t="s">
        <v>18</v>
      </c>
      <c r="D3938" s="2" t="s">
        <v>30</v>
      </c>
      <c r="E3938" s="2" t="s">
        <v>43</v>
      </c>
      <c r="F3938" s="2" t="s">
        <v>1921</v>
      </c>
      <c r="G3938" s="2">
        <v>179.95</v>
      </c>
      <c r="H3938" s="2">
        <v>5</v>
      </c>
      <c r="I3938" s="3">
        <v>37.79</v>
      </c>
    </row>
    <row r="3939" spans="1:9" x14ac:dyDescent="0.3">
      <c r="A3939" s="4">
        <v>42959</v>
      </c>
      <c r="B3939" s="5" t="s">
        <v>762</v>
      </c>
      <c r="C3939" s="5" t="s">
        <v>18</v>
      </c>
      <c r="D3939" s="5" t="s">
        <v>30</v>
      </c>
      <c r="E3939" s="5" t="s">
        <v>290</v>
      </c>
      <c r="F3939" s="5" t="s">
        <v>563</v>
      </c>
      <c r="G3939" s="5">
        <v>1199.98</v>
      </c>
      <c r="H3939" s="5">
        <v>3</v>
      </c>
      <c r="I3939" s="6">
        <v>434.99</v>
      </c>
    </row>
    <row r="3940" spans="1:9" x14ac:dyDescent="0.3">
      <c r="A3940" s="1">
        <v>42959</v>
      </c>
      <c r="B3940" s="2" t="s">
        <v>762</v>
      </c>
      <c r="C3940" s="2" t="s">
        <v>18</v>
      </c>
      <c r="D3940" s="2" t="s">
        <v>2</v>
      </c>
      <c r="E3940" s="2" t="s">
        <v>3</v>
      </c>
      <c r="F3940" s="2" t="s">
        <v>910</v>
      </c>
      <c r="G3940" s="2">
        <v>27.15</v>
      </c>
      <c r="H3940" s="2">
        <v>5</v>
      </c>
      <c r="I3940" s="3">
        <v>13.3</v>
      </c>
    </row>
    <row r="3941" spans="1:9" x14ac:dyDescent="0.3">
      <c r="A3941" s="4">
        <v>42959</v>
      </c>
      <c r="B3941" s="5" t="s">
        <v>762</v>
      </c>
      <c r="C3941" s="5" t="s">
        <v>18</v>
      </c>
      <c r="D3941" s="5" t="s">
        <v>25</v>
      </c>
      <c r="E3941" s="5" t="s">
        <v>86</v>
      </c>
      <c r="F3941" s="5" t="s">
        <v>408</v>
      </c>
      <c r="G3941" s="5">
        <v>1004.02</v>
      </c>
      <c r="H3941" s="5">
        <v>7</v>
      </c>
      <c r="I3941" s="6">
        <v>-112.95</v>
      </c>
    </row>
    <row r="3942" spans="1:9" x14ac:dyDescent="0.3">
      <c r="A3942" s="1">
        <v>42959</v>
      </c>
      <c r="B3942" s="2" t="s">
        <v>762</v>
      </c>
      <c r="C3942" s="2" t="s">
        <v>18</v>
      </c>
      <c r="D3942" s="2" t="s">
        <v>2</v>
      </c>
      <c r="E3942" s="2" t="s">
        <v>3</v>
      </c>
      <c r="F3942" s="2" t="s">
        <v>2400</v>
      </c>
      <c r="G3942" s="2">
        <v>9.68</v>
      </c>
      <c r="H3942" s="2">
        <v>1</v>
      </c>
      <c r="I3942" s="3">
        <v>4.6500000000000004</v>
      </c>
    </row>
    <row r="3943" spans="1:9" x14ac:dyDescent="0.3">
      <c r="A3943" s="4">
        <v>42959</v>
      </c>
      <c r="B3943" s="5" t="s">
        <v>762</v>
      </c>
      <c r="C3943" s="5" t="s">
        <v>18</v>
      </c>
      <c r="D3943" s="5" t="s">
        <v>2</v>
      </c>
      <c r="E3943" s="5" t="s">
        <v>7</v>
      </c>
      <c r="F3943" s="5" t="s">
        <v>2397</v>
      </c>
      <c r="G3943" s="5">
        <v>28.35</v>
      </c>
      <c r="H3943" s="5">
        <v>9</v>
      </c>
      <c r="I3943" s="6">
        <v>13.61</v>
      </c>
    </row>
    <row r="3944" spans="1:9" x14ac:dyDescent="0.3">
      <c r="A3944" s="1">
        <v>42959</v>
      </c>
      <c r="B3944" s="2" t="s">
        <v>762</v>
      </c>
      <c r="C3944" s="2" t="s">
        <v>18</v>
      </c>
      <c r="D3944" s="2" t="s">
        <v>2</v>
      </c>
      <c r="E3944" s="2" t="s">
        <v>3</v>
      </c>
      <c r="F3944" s="2" t="s">
        <v>1358</v>
      </c>
      <c r="G3944" s="2">
        <v>55.98</v>
      </c>
      <c r="H3944" s="2">
        <v>1</v>
      </c>
      <c r="I3944" s="3">
        <v>27.43</v>
      </c>
    </row>
    <row r="3945" spans="1:9" x14ac:dyDescent="0.3">
      <c r="A3945" s="4">
        <v>42959</v>
      </c>
      <c r="B3945" s="5" t="s">
        <v>762</v>
      </c>
      <c r="C3945" s="5" t="s">
        <v>18</v>
      </c>
      <c r="D3945" s="5" t="s">
        <v>25</v>
      </c>
      <c r="E3945" s="5" t="s">
        <v>129</v>
      </c>
      <c r="F3945" s="5" t="s">
        <v>130</v>
      </c>
      <c r="G3945" s="5">
        <v>1336.83</v>
      </c>
      <c r="H3945" s="5">
        <v>13</v>
      </c>
      <c r="I3945" s="6">
        <v>31.45</v>
      </c>
    </row>
    <row r="3946" spans="1:9" x14ac:dyDescent="0.3">
      <c r="A3946" s="1">
        <v>42959</v>
      </c>
      <c r="B3946" s="2" t="s">
        <v>762</v>
      </c>
      <c r="C3946" s="2" t="s">
        <v>18</v>
      </c>
      <c r="D3946" s="2" t="s">
        <v>25</v>
      </c>
      <c r="E3946" s="2" t="s">
        <v>26</v>
      </c>
      <c r="F3946" s="2" t="s">
        <v>1251</v>
      </c>
      <c r="G3946" s="2">
        <v>113.57</v>
      </c>
      <c r="H3946" s="2">
        <v>2</v>
      </c>
      <c r="I3946" s="3">
        <v>-18.45</v>
      </c>
    </row>
    <row r="3947" spans="1:9" x14ac:dyDescent="0.3">
      <c r="A3947" s="4">
        <v>42959</v>
      </c>
      <c r="B3947" s="5" t="s">
        <v>74</v>
      </c>
      <c r="C3947" s="5" t="s">
        <v>80</v>
      </c>
      <c r="D3947" s="5" t="s">
        <v>25</v>
      </c>
      <c r="E3947" s="5" t="s">
        <v>38</v>
      </c>
      <c r="F3947" s="5" t="s">
        <v>2401</v>
      </c>
      <c r="G3947" s="5">
        <v>109.48</v>
      </c>
      <c r="H3947" s="5">
        <v>2</v>
      </c>
      <c r="I3947" s="6">
        <v>33.94</v>
      </c>
    </row>
    <row r="3948" spans="1:9" x14ac:dyDescent="0.3">
      <c r="A3948" s="1">
        <v>42959</v>
      </c>
      <c r="B3948" s="2" t="s">
        <v>74</v>
      </c>
      <c r="C3948" s="2" t="s">
        <v>80</v>
      </c>
      <c r="D3948" s="2" t="s">
        <v>2</v>
      </c>
      <c r="E3948" s="2" t="s">
        <v>9</v>
      </c>
      <c r="F3948" s="2" t="s">
        <v>2402</v>
      </c>
      <c r="G3948" s="2">
        <v>272.94</v>
      </c>
      <c r="H3948" s="2">
        <v>3</v>
      </c>
      <c r="I3948" s="3">
        <v>0</v>
      </c>
    </row>
    <row r="3949" spans="1:9" x14ac:dyDescent="0.3">
      <c r="A3949" s="4">
        <v>42959</v>
      </c>
      <c r="B3949" s="5" t="s">
        <v>74</v>
      </c>
      <c r="C3949" s="5" t="s">
        <v>80</v>
      </c>
      <c r="D3949" s="5" t="s">
        <v>2</v>
      </c>
      <c r="E3949" s="5" t="s">
        <v>3</v>
      </c>
      <c r="F3949" s="5" t="s">
        <v>2015</v>
      </c>
      <c r="G3949" s="5">
        <v>19.440000000000001</v>
      </c>
      <c r="H3949" s="5">
        <v>3</v>
      </c>
      <c r="I3949" s="6">
        <v>9.33</v>
      </c>
    </row>
    <row r="3950" spans="1:9" x14ac:dyDescent="0.3">
      <c r="A3950" s="1">
        <v>42959</v>
      </c>
      <c r="B3950" s="2" t="s">
        <v>74</v>
      </c>
      <c r="C3950" s="2" t="s">
        <v>80</v>
      </c>
      <c r="D3950" s="2" t="s">
        <v>2</v>
      </c>
      <c r="E3950" s="2" t="s">
        <v>9</v>
      </c>
      <c r="F3950" s="2" t="s">
        <v>793</v>
      </c>
      <c r="G3950" s="2">
        <v>31.92</v>
      </c>
      <c r="H3950" s="2">
        <v>4</v>
      </c>
      <c r="I3950" s="3">
        <v>8.3000000000000007</v>
      </c>
    </row>
    <row r="3951" spans="1:9" x14ac:dyDescent="0.3">
      <c r="A3951" s="4">
        <v>42959</v>
      </c>
      <c r="B3951" s="5" t="s">
        <v>981</v>
      </c>
      <c r="C3951" s="5" t="s">
        <v>18</v>
      </c>
      <c r="D3951" s="5" t="s">
        <v>2</v>
      </c>
      <c r="E3951" s="5" t="s">
        <v>9</v>
      </c>
      <c r="F3951" s="5" t="s">
        <v>657</v>
      </c>
      <c r="G3951" s="5">
        <v>29.79</v>
      </c>
      <c r="H3951" s="5">
        <v>3</v>
      </c>
      <c r="I3951" s="6">
        <v>8.64</v>
      </c>
    </row>
    <row r="3952" spans="1:9" x14ac:dyDescent="0.3">
      <c r="A3952" s="1">
        <v>42959</v>
      </c>
      <c r="B3952" s="2" t="s">
        <v>981</v>
      </c>
      <c r="C3952" s="2" t="s">
        <v>18</v>
      </c>
      <c r="D3952" s="2" t="s">
        <v>25</v>
      </c>
      <c r="E3952" s="2" t="s">
        <v>38</v>
      </c>
      <c r="F3952" s="2" t="s">
        <v>2403</v>
      </c>
      <c r="G3952" s="2">
        <v>128.9</v>
      </c>
      <c r="H3952" s="2">
        <v>2</v>
      </c>
      <c r="I3952" s="3">
        <v>15.47</v>
      </c>
    </row>
    <row r="3953" spans="1:9" x14ac:dyDescent="0.3">
      <c r="A3953" s="4">
        <v>42959</v>
      </c>
      <c r="B3953" s="5" t="s">
        <v>981</v>
      </c>
      <c r="C3953" s="5" t="s">
        <v>18</v>
      </c>
      <c r="D3953" s="5" t="s">
        <v>2</v>
      </c>
      <c r="E3953" s="5" t="s">
        <v>3</v>
      </c>
      <c r="F3953" s="5" t="s">
        <v>2378</v>
      </c>
      <c r="G3953" s="5">
        <v>60.12</v>
      </c>
      <c r="H3953" s="5">
        <v>9</v>
      </c>
      <c r="I3953" s="6">
        <v>28.86</v>
      </c>
    </row>
    <row r="3954" spans="1:9" x14ac:dyDescent="0.3">
      <c r="A3954" s="1">
        <v>42959</v>
      </c>
      <c r="B3954" s="2" t="s">
        <v>1180</v>
      </c>
      <c r="C3954" s="2" t="s">
        <v>18</v>
      </c>
      <c r="D3954" s="2" t="s">
        <v>2</v>
      </c>
      <c r="E3954" s="2" t="s">
        <v>133</v>
      </c>
      <c r="F3954" s="2" t="s">
        <v>2404</v>
      </c>
      <c r="G3954" s="2">
        <v>69.48</v>
      </c>
      <c r="H3954" s="2">
        <v>1</v>
      </c>
      <c r="I3954" s="3">
        <v>20.84</v>
      </c>
    </row>
    <row r="3955" spans="1:9" x14ac:dyDescent="0.3">
      <c r="A3955" s="4">
        <v>42959</v>
      </c>
      <c r="B3955" s="5" t="s">
        <v>841</v>
      </c>
      <c r="C3955" s="5" t="s">
        <v>18</v>
      </c>
      <c r="D3955" s="5" t="s">
        <v>2</v>
      </c>
      <c r="E3955" s="5" t="s">
        <v>3</v>
      </c>
      <c r="F3955" s="5" t="s">
        <v>2405</v>
      </c>
      <c r="G3955" s="5">
        <v>87.92</v>
      </c>
      <c r="H3955" s="5">
        <v>4</v>
      </c>
      <c r="I3955" s="6">
        <v>40.44</v>
      </c>
    </row>
    <row r="3956" spans="1:9" x14ac:dyDescent="0.3">
      <c r="A3956" s="1">
        <v>42959</v>
      </c>
      <c r="B3956" s="2" t="s">
        <v>841</v>
      </c>
      <c r="C3956" s="2" t="s">
        <v>18</v>
      </c>
      <c r="D3956" s="2" t="s">
        <v>2</v>
      </c>
      <c r="E3956" s="2" t="s">
        <v>11</v>
      </c>
      <c r="F3956" s="2" t="s">
        <v>598</v>
      </c>
      <c r="G3956" s="2">
        <v>22.42</v>
      </c>
      <c r="H3956" s="2">
        <v>1</v>
      </c>
      <c r="I3956" s="3">
        <v>8.41</v>
      </c>
    </row>
    <row r="3957" spans="1:9" x14ac:dyDescent="0.3">
      <c r="A3957" s="4">
        <v>42959</v>
      </c>
      <c r="B3957" s="5" t="s">
        <v>841</v>
      </c>
      <c r="C3957" s="5" t="s">
        <v>18</v>
      </c>
      <c r="D3957" s="5" t="s">
        <v>2</v>
      </c>
      <c r="E3957" s="5" t="s">
        <v>11</v>
      </c>
      <c r="F3957" s="5" t="s">
        <v>458</v>
      </c>
      <c r="G3957" s="5">
        <v>90.48</v>
      </c>
      <c r="H3957" s="5">
        <v>3</v>
      </c>
      <c r="I3957" s="6">
        <v>33.93</v>
      </c>
    </row>
    <row r="3958" spans="1:9" x14ac:dyDescent="0.3">
      <c r="A3958" s="1">
        <v>42959</v>
      </c>
      <c r="B3958" s="2" t="s">
        <v>841</v>
      </c>
      <c r="C3958" s="2" t="s">
        <v>18</v>
      </c>
      <c r="D3958" s="2" t="s">
        <v>2</v>
      </c>
      <c r="E3958" s="2" t="s">
        <v>9</v>
      </c>
      <c r="F3958" s="2" t="s">
        <v>1032</v>
      </c>
      <c r="G3958" s="2">
        <v>42.76</v>
      </c>
      <c r="H3958" s="2">
        <v>1</v>
      </c>
      <c r="I3958" s="3">
        <v>11.12</v>
      </c>
    </row>
    <row r="3959" spans="1:9" x14ac:dyDescent="0.3">
      <c r="A3959" s="4">
        <v>42959</v>
      </c>
      <c r="B3959" s="5" t="s">
        <v>884</v>
      </c>
      <c r="C3959" s="5" t="s">
        <v>53</v>
      </c>
      <c r="D3959" s="5" t="s">
        <v>30</v>
      </c>
      <c r="E3959" s="5" t="s">
        <v>43</v>
      </c>
      <c r="F3959" s="5" t="s">
        <v>751</v>
      </c>
      <c r="G3959" s="5">
        <v>178.11</v>
      </c>
      <c r="H3959" s="5">
        <v>3</v>
      </c>
      <c r="I3959" s="6">
        <v>32.06</v>
      </c>
    </row>
    <row r="3960" spans="1:9" x14ac:dyDescent="0.3">
      <c r="A3960" s="1">
        <v>42959</v>
      </c>
      <c r="B3960" s="2" t="s">
        <v>884</v>
      </c>
      <c r="C3960" s="2" t="s">
        <v>53</v>
      </c>
      <c r="D3960" s="2" t="s">
        <v>2</v>
      </c>
      <c r="E3960" s="2" t="s">
        <v>133</v>
      </c>
      <c r="F3960" s="2" t="s">
        <v>532</v>
      </c>
      <c r="G3960" s="2">
        <v>1089.75</v>
      </c>
      <c r="H3960" s="2">
        <v>3</v>
      </c>
      <c r="I3960" s="3">
        <v>305.13</v>
      </c>
    </row>
    <row r="3961" spans="1:9" x14ac:dyDescent="0.3">
      <c r="A3961" s="4">
        <v>42959</v>
      </c>
      <c r="B3961" s="5" t="s">
        <v>884</v>
      </c>
      <c r="C3961" s="5" t="s">
        <v>53</v>
      </c>
      <c r="D3961" s="5" t="s">
        <v>2</v>
      </c>
      <c r="E3961" s="5" t="s">
        <v>7</v>
      </c>
      <c r="F3961" s="5" t="s">
        <v>2124</v>
      </c>
      <c r="G3961" s="5">
        <v>61.06</v>
      </c>
      <c r="H3961" s="5">
        <v>2</v>
      </c>
      <c r="I3961" s="6">
        <v>28.09</v>
      </c>
    </row>
    <row r="3962" spans="1:9" x14ac:dyDescent="0.3">
      <c r="A3962" s="1">
        <v>42959</v>
      </c>
      <c r="B3962" s="2" t="s">
        <v>884</v>
      </c>
      <c r="C3962" s="2" t="s">
        <v>53</v>
      </c>
      <c r="D3962" s="2" t="s">
        <v>25</v>
      </c>
      <c r="E3962" s="2" t="s">
        <v>129</v>
      </c>
      <c r="F3962" s="2" t="s">
        <v>1364</v>
      </c>
      <c r="G3962" s="2">
        <v>459.92</v>
      </c>
      <c r="H3962" s="2">
        <v>4</v>
      </c>
      <c r="I3962" s="3">
        <v>41.39</v>
      </c>
    </row>
    <row r="3963" spans="1:9" x14ac:dyDescent="0.3">
      <c r="A3963" s="4">
        <v>42959</v>
      </c>
      <c r="B3963" s="5" t="s">
        <v>884</v>
      </c>
      <c r="C3963" s="5" t="s">
        <v>53</v>
      </c>
      <c r="D3963" s="5" t="s">
        <v>2</v>
      </c>
      <c r="E3963" s="5" t="s">
        <v>3</v>
      </c>
      <c r="F3963" s="5" t="s">
        <v>1603</v>
      </c>
      <c r="G3963" s="5">
        <v>27.52</v>
      </c>
      <c r="H3963" s="5">
        <v>4</v>
      </c>
      <c r="I3963" s="6">
        <v>12.66</v>
      </c>
    </row>
    <row r="3964" spans="1:9" x14ac:dyDescent="0.3">
      <c r="A3964" s="1">
        <v>42959</v>
      </c>
      <c r="B3964" s="2" t="s">
        <v>424</v>
      </c>
      <c r="C3964" s="2" t="s">
        <v>1300</v>
      </c>
      <c r="D3964" s="2" t="s">
        <v>2</v>
      </c>
      <c r="E3964" s="2" t="s">
        <v>9</v>
      </c>
      <c r="F3964" s="2" t="s">
        <v>1006</v>
      </c>
      <c r="G3964" s="2">
        <v>592.74</v>
      </c>
      <c r="H3964" s="2">
        <v>6</v>
      </c>
      <c r="I3964" s="3">
        <v>160.04</v>
      </c>
    </row>
    <row r="3965" spans="1:9" x14ac:dyDescent="0.3">
      <c r="A3965" s="4">
        <v>42959</v>
      </c>
      <c r="B3965" s="5" t="s">
        <v>1476</v>
      </c>
      <c r="C3965" s="5" t="s">
        <v>14</v>
      </c>
      <c r="D3965" s="5" t="s">
        <v>25</v>
      </c>
      <c r="E3965" s="5" t="s">
        <v>26</v>
      </c>
      <c r="F3965" s="5" t="s">
        <v>1040</v>
      </c>
      <c r="G3965" s="5">
        <v>215.54</v>
      </c>
      <c r="H3965" s="5">
        <v>4</v>
      </c>
      <c r="I3965" s="6">
        <v>-58.5</v>
      </c>
    </row>
    <row r="3966" spans="1:9" x14ac:dyDescent="0.3">
      <c r="A3966" s="1">
        <v>42959</v>
      </c>
      <c r="B3966" s="2" t="s">
        <v>1227</v>
      </c>
      <c r="C3966" s="2" t="s">
        <v>14</v>
      </c>
      <c r="D3966" s="2" t="s">
        <v>2</v>
      </c>
      <c r="E3966" s="2" t="s">
        <v>15</v>
      </c>
      <c r="F3966" s="2" t="s">
        <v>665</v>
      </c>
      <c r="G3966" s="2">
        <v>13.25</v>
      </c>
      <c r="H3966" s="2">
        <v>4</v>
      </c>
      <c r="I3966" s="3">
        <v>3.64</v>
      </c>
    </row>
    <row r="3967" spans="1:9" x14ac:dyDescent="0.3">
      <c r="A3967" s="4">
        <v>42959</v>
      </c>
      <c r="B3967" s="5" t="s">
        <v>1227</v>
      </c>
      <c r="C3967" s="5" t="s">
        <v>14</v>
      </c>
      <c r="D3967" s="5" t="s">
        <v>30</v>
      </c>
      <c r="E3967" s="5" t="s">
        <v>31</v>
      </c>
      <c r="F3967" s="5" t="s">
        <v>2203</v>
      </c>
      <c r="G3967" s="5">
        <v>83.99</v>
      </c>
      <c r="H3967" s="5">
        <v>2</v>
      </c>
      <c r="I3967" s="6">
        <v>-21</v>
      </c>
    </row>
    <row r="3968" spans="1:9" x14ac:dyDescent="0.3">
      <c r="A3968" s="1">
        <v>42990</v>
      </c>
      <c r="B3968" s="2" t="s">
        <v>1596</v>
      </c>
      <c r="C3968" s="2" t="s">
        <v>1</v>
      </c>
      <c r="D3968" s="2" t="s">
        <v>2</v>
      </c>
      <c r="E3968" s="2" t="s">
        <v>11</v>
      </c>
      <c r="F3968" s="2" t="s">
        <v>2122</v>
      </c>
      <c r="G3968" s="2">
        <v>1.25</v>
      </c>
      <c r="H3968" s="2">
        <v>3</v>
      </c>
      <c r="I3968" s="3">
        <v>-1.93</v>
      </c>
    </row>
    <row r="3969" spans="1:9" x14ac:dyDescent="0.3">
      <c r="A3969" s="4">
        <v>42990</v>
      </c>
      <c r="B3969" s="5" t="s">
        <v>1596</v>
      </c>
      <c r="C3969" s="5" t="s">
        <v>1</v>
      </c>
      <c r="D3969" s="5" t="s">
        <v>25</v>
      </c>
      <c r="E3969" s="5" t="s">
        <v>38</v>
      </c>
      <c r="F3969" s="5" t="s">
        <v>1903</v>
      </c>
      <c r="G3969" s="5">
        <v>9.7100000000000009</v>
      </c>
      <c r="H3969" s="5">
        <v>3</v>
      </c>
      <c r="I3969" s="6">
        <v>-5.82</v>
      </c>
    </row>
    <row r="3970" spans="1:9" x14ac:dyDescent="0.3">
      <c r="A3970" s="1">
        <v>42990</v>
      </c>
      <c r="B3970" s="2" t="s">
        <v>1596</v>
      </c>
      <c r="C3970" s="2" t="s">
        <v>1</v>
      </c>
      <c r="D3970" s="2" t="s">
        <v>2</v>
      </c>
      <c r="E3970" s="2" t="s">
        <v>9</v>
      </c>
      <c r="F3970" s="2" t="s">
        <v>2071</v>
      </c>
      <c r="G3970" s="2">
        <v>27.24</v>
      </c>
      <c r="H3970" s="2">
        <v>3</v>
      </c>
      <c r="I3970" s="3">
        <v>2.72</v>
      </c>
    </row>
    <row r="3971" spans="1:9" x14ac:dyDescent="0.3">
      <c r="A3971" s="4">
        <v>42990</v>
      </c>
      <c r="B3971" s="5" t="s">
        <v>1241</v>
      </c>
      <c r="C3971" s="5" t="s">
        <v>18</v>
      </c>
      <c r="D3971" s="5" t="s">
        <v>30</v>
      </c>
      <c r="E3971" s="5" t="s">
        <v>31</v>
      </c>
      <c r="F3971" s="5" t="s">
        <v>1861</v>
      </c>
      <c r="G3971" s="5">
        <v>444.77</v>
      </c>
      <c r="H3971" s="5">
        <v>4</v>
      </c>
      <c r="I3971" s="6">
        <v>44.48</v>
      </c>
    </row>
    <row r="3972" spans="1:9" x14ac:dyDescent="0.3">
      <c r="A3972" s="1">
        <v>42990</v>
      </c>
      <c r="B3972" s="2" t="s">
        <v>1628</v>
      </c>
      <c r="C3972" s="2" t="s">
        <v>127</v>
      </c>
      <c r="D3972" s="2" t="s">
        <v>2</v>
      </c>
      <c r="E3972" s="2" t="s">
        <v>9</v>
      </c>
      <c r="F3972" s="2" t="s">
        <v>204</v>
      </c>
      <c r="G3972" s="2">
        <v>37.21</v>
      </c>
      <c r="H3972" s="2">
        <v>1</v>
      </c>
      <c r="I3972" s="3">
        <v>-7.44</v>
      </c>
    </row>
    <row r="3973" spans="1:9" x14ac:dyDescent="0.3">
      <c r="A3973" s="4">
        <v>42990</v>
      </c>
      <c r="B3973" s="5" t="s">
        <v>1628</v>
      </c>
      <c r="C3973" s="5" t="s">
        <v>127</v>
      </c>
      <c r="D3973" s="5" t="s">
        <v>2</v>
      </c>
      <c r="E3973" s="5" t="s">
        <v>114</v>
      </c>
      <c r="F3973" s="5" t="s">
        <v>2406</v>
      </c>
      <c r="G3973" s="5">
        <v>57.58</v>
      </c>
      <c r="H3973" s="5">
        <v>3</v>
      </c>
      <c r="I3973" s="6">
        <v>21.59</v>
      </c>
    </row>
    <row r="3974" spans="1:9" x14ac:dyDescent="0.3">
      <c r="A3974" s="1">
        <v>42990</v>
      </c>
      <c r="B3974" s="2" t="s">
        <v>1073</v>
      </c>
      <c r="C3974" s="2" t="s">
        <v>160</v>
      </c>
      <c r="D3974" s="2" t="s">
        <v>25</v>
      </c>
      <c r="E3974" s="2" t="s">
        <v>26</v>
      </c>
      <c r="F3974" s="2" t="s">
        <v>1713</v>
      </c>
      <c r="G3974" s="2">
        <v>872.94</v>
      </c>
      <c r="H3974" s="2">
        <v>3</v>
      </c>
      <c r="I3974" s="3">
        <v>226.96</v>
      </c>
    </row>
    <row r="3975" spans="1:9" x14ac:dyDescent="0.3">
      <c r="A3975" s="4">
        <v>42990</v>
      </c>
      <c r="B3975" s="5" t="s">
        <v>1073</v>
      </c>
      <c r="C3975" s="5" t="s">
        <v>160</v>
      </c>
      <c r="D3975" s="5" t="s">
        <v>2</v>
      </c>
      <c r="E3975" s="5" t="s">
        <v>11</v>
      </c>
      <c r="F3975" s="5" t="s">
        <v>397</v>
      </c>
      <c r="G3975" s="5">
        <v>41.54</v>
      </c>
      <c r="H3975" s="5">
        <v>2</v>
      </c>
      <c r="I3975" s="6">
        <v>19.52</v>
      </c>
    </row>
    <row r="3976" spans="1:9" x14ac:dyDescent="0.3">
      <c r="A3976" s="1">
        <v>42990</v>
      </c>
      <c r="B3976" s="2" t="s">
        <v>1073</v>
      </c>
      <c r="C3976" s="2" t="s">
        <v>160</v>
      </c>
      <c r="D3976" s="2" t="s">
        <v>2</v>
      </c>
      <c r="E3976" s="2" t="s">
        <v>3</v>
      </c>
      <c r="F3976" s="2" t="s">
        <v>1435</v>
      </c>
      <c r="G3976" s="2">
        <v>12.96</v>
      </c>
      <c r="H3976" s="2">
        <v>2</v>
      </c>
      <c r="I3976" s="3">
        <v>6.22</v>
      </c>
    </row>
    <row r="3977" spans="1:9" x14ac:dyDescent="0.3">
      <c r="A3977" s="4">
        <v>42990</v>
      </c>
      <c r="B3977" s="5" t="s">
        <v>1735</v>
      </c>
      <c r="C3977" s="5" t="s">
        <v>283</v>
      </c>
      <c r="D3977" s="5" t="s">
        <v>2</v>
      </c>
      <c r="E3977" s="5" t="s">
        <v>3</v>
      </c>
      <c r="F3977" s="5" t="s">
        <v>1936</v>
      </c>
      <c r="G3977" s="5">
        <v>33.450000000000003</v>
      </c>
      <c r="H3977" s="5">
        <v>5</v>
      </c>
      <c r="I3977" s="6">
        <v>15.39</v>
      </c>
    </row>
    <row r="3978" spans="1:9" x14ac:dyDescent="0.3">
      <c r="A3978" s="1">
        <v>42990</v>
      </c>
      <c r="B3978" s="2" t="s">
        <v>1735</v>
      </c>
      <c r="C3978" s="2" t="s">
        <v>283</v>
      </c>
      <c r="D3978" s="2" t="s">
        <v>2</v>
      </c>
      <c r="E3978" s="2" t="s">
        <v>11</v>
      </c>
      <c r="F3978" s="2" t="s">
        <v>2122</v>
      </c>
      <c r="G3978" s="2">
        <v>10.4</v>
      </c>
      <c r="H3978" s="2">
        <v>5</v>
      </c>
      <c r="I3978" s="3">
        <v>5.0999999999999996</v>
      </c>
    </row>
    <row r="3979" spans="1:9" x14ac:dyDescent="0.3">
      <c r="A3979" s="4">
        <v>42990</v>
      </c>
      <c r="B3979" s="5" t="s">
        <v>1265</v>
      </c>
      <c r="C3979" s="5" t="s">
        <v>14</v>
      </c>
      <c r="D3979" s="5" t="s">
        <v>2</v>
      </c>
      <c r="E3979" s="5" t="s">
        <v>15</v>
      </c>
      <c r="F3979" s="5" t="s">
        <v>211</v>
      </c>
      <c r="G3979" s="5">
        <v>2.62</v>
      </c>
      <c r="H3979" s="5">
        <v>1</v>
      </c>
      <c r="I3979" s="6">
        <v>0.43</v>
      </c>
    </row>
    <row r="3980" spans="1:9" x14ac:dyDescent="0.3">
      <c r="A3980" s="1">
        <v>42990</v>
      </c>
      <c r="B3980" s="2" t="s">
        <v>1813</v>
      </c>
      <c r="C3980" s="2" t="s">
        <v>160</v>
      </c>
      <c r="D3980" s="2" t="s">
        <v>30</v>
      </c>
      <c r="E3980" s="2" t="s">
        <v>43</v>
      </c>
      <c r="F3980" s="2" t="s">
        <v>2182</v>
      </c>
      <c r="G3980" s="2">
        <v>104.88</v>
      </c>
      <c r="H3980" s="2">
        <v>6</v>
      </c>
      <c r="I3980" s="3">
        <v>41.95</v>
      </c>
    </row>
    <row r="3981" spans="1:9" x14ac:dyDescent="0.3">
      <c r="A3981" s="4">
        <v>42990</v>
      </c>
      <c r="B3981" s="5" t="s">
        <v>1813</v>
      </c>
      <c r="C3981" s="5" t="s">
        <v>160</v>
      </c>
      <c r="D3981" s="5" t="s">
        <v>2</v>
      </c>
      <c r="E3981" s="5" t="s">
        <v>15</v>
      </c>
      <c r="F3981" s="5" t="s">
        <v>2407</v>
      </c>
      <c r="G3981" s="5">
        <v>34.700000000000003</v>
      </c>
      <c r="H3981" s="5">
        <v>5</v>
      </c>
      <c r="I3981" s="6">
        <v>12.49</v>
      </c>
    </row>
    <row r="3982" spans="1:9" x14ac:dyDescent="0.3">
      <c r="A3982" s="1">
        <v>42990</v>
      </c>
      <c r="B3982" s="2" t="s">
        <v>1813</v>
      </c>
      <c r="C3982" s="2" t="s">
        <v>160</v>
      </c>
      <c r="D3982" s="2" t="s">
        <v>2</v>
      </c>
      <c r="E3982" s="2" t="s">
        <v>11</v>
      </c>
      <c r="F3982" s="2" t="s">
        <v>2005</v>
      </c>
      <c r="G3982" s="2">
        <v>33.72</v>
      </c>
      <c r="H3982" s="2">
        <v>4</v>
      </c>
      <c r="I3982" s="3">
        <v>15.51</v>
      </c>
    </row>
    <row r="3983" spans="1:9" x14ac:dyDescent="0.3">
      <c r="A3983" s="4">
        <v>42990</v>
      </c>
      <c r="B3983" s="5" t="s">
        <v>1813</v>
      </c>
      <c r="C3983" s="5" t="s">
        <v>160</v>
      </c>
      <c r="D3983" s="5" t="s">
        <v>2</v>
      </c>
      <c r="E3983" s="5" t="s">
        <v>3</v>
      </c>
      <c r="F3983" s="5" t="s">
        <v>315</v>
      </c>
      <c r="G3983" s="5">
        <v>14.94</v>
      </c>
      <c r="H3983" s="5">
        <v>3</v>
      </c>
      <c r="I3983" s="6">
        <v>7.02</v>
      </c>
    </row>
    <row r="3984" spans="1:9" x14ac:dyDescent="0.3">
      <c r="A3984" s="1">
        <v>42990</v>
      </c>
      <c r="B3984" s="2" t="s">
        <v>2226</v>
      </c>
      <c r="C3984" s="2" t="s">
        <v>6</v>
      </c>
      <c r="D3984" s="2" t="s">
        <v>2</v>
      </c>
      <c r="E3984" s="2" t="s">
        <v>3</v>
      </c>
      <c r="F3984" s="2" t="s">
        <v>1855</v>
      </c>
      <c r="G3984" s="2">
        <v>15.98</v>
      </c>
      <c r="H3984" s="2">
        <v>2</v>
      </c>
      <c r="I3984" s="3">
        <v>5</v>
      </c>
    </row>
    <row r="3985" spans="1:9" x14ac:dyDescent="0.3">
      <c r="A3985" s="4">
        <v>42990</v>
      </c>
      <c r="B3985" s="5" t="s">
        <v>1374</v>
      </c>
      <c r="C3985" s="5" t="s">
        <v>18</v>
      </c>
      <c r="D3985" s="5" t="s">
        <v>2</v>
      </c>
      <c r="E3985" s="5" t="s">
        <v>15</v>
      </c>
      <c r="F3985" s="5" t="s">
        <v>1515</v>
      </c>
      <c r="G3985" s="5">
        <v>11.16</v>
      </c>
      <c r="H3985" s="5">
        <v>2</v>
      </c>
      <c r="I3985" s="6">
        <v>2.79</v>
      </c>
    </row>
    <row r="3986" spans="1:9" x14ac:dyDescent="0.3">
      <c r="A3986" s="1">
        <v>42990</v>
      </c>
      <c r="B3986" s="2" t="s">
        <v>1374</v>
      </c>
      <c r="C3986" s="2" t="s">
        <v>18</v>
      </c>
      <c r="D3986" s="2" t="s">
        <v>25</v>
      </c>
      <c r="E3986" s="2" t="s">
        <v>86</v>
      </c>
      <c r="F3986" s="2" t="s">
        <v>259</v>
      </c>
      <c r="G3986" s="2">
        <v>896.33</v>
      </c>
      <c r="H3986" s="2">
        <v>9</v>
      </c>
      <c r="I3986" s="3">
        <v>22.41</v>
      </c>
    </row>
    <row r="3987" spans="1:9" x14ac:dyDescent="0.3">
      <c r="A3987" s="4">
        <v>42990</v>
      </c>
      <c r="B3987" s="5" t="s">
        <v>1374</v>
      </c>
      <c r="C3987" s="5" t="s">
        <v>18</v>
      </c>
      <c r="D3987" s="5" t="s">
        <v>2</v>
      </c>
      <c r="E3987" s="5" t="s">
        <v>133</v>
      </c>
      <c r="F3987" s="5" t="s">
        <v>2408</v>
      </c>
      <c r="G3987" s="5">
        <v>189</v>
      </c>
      <c r="H3987" s="5">
        <v>1</v>
      </c>
      <c r="I3987" s="6">
        <v>68.040000000000006</v>
      </c>
    </row>
    <row r="3988" spans="1:9" x14ac:dyDescent="0.3">
      <c r="A3988" s="1">
        <v>42990</v>
      </c>
      <c r="B3988" s="2" t="s">
        <v>614</v>
      </c>
      <c r="C3988" s="2" t="s">
        <v>6</v>
      </c>
      <c r="D3988" s="2" t="s">
        <v>2</v>
      </c>
      <c r="E3988" s="2" t="s">
        <v>3</v>
      </c>
      <c r="F3988" s="2" t="s">
        <v>527</v>
      </c>
      <c r="G3988" s="2">
        <v>143.86000000000001</v>
      </c>
      <c r="H3988" s="2">
        <v>9</v>
      </c>
      <c r="I3988" s="3">
        <v>48.55</v>
      </c>
    </row>
    <row r="3989" spans="1:9" x14ac:dyDescent="0.3">
      <c r="A3989" s="4">
        <v>42990</v>
      </c>
      <c r="B3989" s="5" t="s">
        <v>2140</v>
      </c>
      <c r="C3989" s="5" t="s">
        <v>253</v>
      </c>
      <c r="D3989" s="5" t="s">
        <v>2</v>
      </c>
      <c r="E3989" s="5" t="s">
        <v>3</v>
      </c>
      <c r="F3989" s="5" t="s">
        <v>1984</v>
      </c>
      <c r="G3989" s="5">
        <v>419.4</v>
      </c>
      <c r="H3989" s="5">
        <v>5</v>
      </c>
      <c r="I3989" s="6">
        <v>146.79</v>
      </c>
    </row>
    <row r="3990" spans="1:9" x14ac:dyDescent="0.3">
      <c r="A3990" s="1">
        <v>42990</v>
      </c>
      <c r="B3990" s="2" t="s">
        <v>2140</v>
      </c>
      <c r="C3990" s="2" t="s">
        <v>253</v>
      </c>
      <c r="D3990" s="2" t="s">
        <v>2</v>
      </c>
      <c r="E3990" s="2" t="s">
        <v>11</v>
      </c>
      <c r="F3990" s="2" t="s">
        <v>2104</v>
      </c>
      <c r="G3990" s="2">
        <v>13.01</v>
      </c>
      <c r="H3990" s="2">
        <v>3</v>
      </c>
      <c r="I3990" s="3">
        <v>-9.9700000000000006</v>
      </c>
    </row>
    <row r="3991" spans="1:9" x14ac:dyDescent="0.3">
      <c r="A3991" s="4">
        <v>42990</v>
      </c>
      <c r="B3991" s="5" t="s">
        <v>1710</v>
      </c>
      <c r="C3991" s="5" t="s">
        <v>18</v>
      </c>
      <c r="D3991" s="5" t="s">
        <v>25</v>
      </c>
      <c r="E3991" s="5" t="s">
        <v>129</v>
      </c>
      <c r="F3991" s="5" t="s">
        <v>2215</v>
      </c>
      <c r="G3991" s="5">
        <v>148.26</v>
      </c>
      <c r="H3991" s="5">
        <v>3</v>
      </c>
      <c r="I3991" s="6">
        <v>15.7</v>
      </c>
    </row>
    <row r="3992" spans="1:9" x14ac:dyDescent="0.3">
      <c r="A3992" s="1">
        <v>42990</v>
      </c>
      <c r="B3992" s="2" t="s">
        <v>467</v>
      </c>
      <c r="C3992" s="2" t="s">
        <v>24</v>
      </c>
      <c r="D3992" s="2" t="s">
        <v>2</v>
      </c>
      <c r="E3992" s="2" t="s">
        <v>11</v>
      </c>
      <c r="F3992" s="2" t="s">
        <v>1082</v>
      </c>
      <c r="G3992" s="2">
        <v>29.36</v>
      </c>
      <c r="H3992" s="2">
        <v>2</v>
      </c>
      <c r="I3992" s="3">
        <v>13.51</v>
      </c>
    </row>
    <row r="3993" spans="1:9" x14ac:dyDescent="0.3">
      <c r="A3993" s="4">
        <v>42990</v>
      </c>
      <c r="B3993" s="5" t="s">
        <v>467</v>
      </c>
      <c r="C3993" s="5" t="s">
        <v>24</v>
      </c>
      <c r="D3993" s="5" t="s">
        <v>2</v>
      </c>
      <c r="E3993" s="5" t="s">
        <v>133</v>
      </c>
      <c r="F3993" s="5" t="s">
        <v>1892</v>
      </c>
      <c r="G3993" s="5">
        <v>214.9</v>
      </c>
      <c r="H3993" s="5">
        <v>5</v>
      </c>
      <c r="I3993" s="6">
        <v>62.32</v>
      </c>
    </row>
    <row r="3994" spans="1:9" x14ac:dyDescent="0.3">
      <c r="A3994" s="1">
        <v>42990</v>
      </c>
      <c r="B3994" s="2" t="s">
        <v>467</v>
      </c>
      <c r="C3994" s="2" t="s">
        <v>24</v>
      </c>
      <c r="D3994" s="2" t="s">
        <v>2</v>
      </c>
      <c r="E3994" s="2" t="s">
        <v>11</v>
      </c>
      <c r="F3994" s="2" t="s">
        <v>1354</v>
      </c>
      <c r="G3994" s="2">
        <v>15.92</v>
      </c>
      <c r="H3994" s="2">
        <v>4</v>
      </c>
      <c r="I3994" s="3">
        <v>7.48</v>
      </c>
    </row>
    <row r="3995" spans="1:9" x14ac:dyDescent="0.3">
      <c r="A3995" s="4">
        <v>42990</v>
      </c>
      <c r="B3995" s="5" t="s">
        <v>467</v>
      </c>
      <c r="C3995" s="5" t="s">
        <v>24</v>
      </c>
      <c r="D3995" s="5" t="s">
        <v>30</v>
      </c>
      <c r="E3995" s="5" t="s">
        <v>43</v>
      </c>
      <c r="F3995" s="5" t="s">
        <v>349</v>
      </c>
      <c r="G3995" s="5">
        <v>146.44999999999999</v>
      </c>
      <c r="H3995" s="5">
        <v>5</v>
      </c>
      <c r="I3995" s="6">
        <v>48.33</v>
      </c>
    </row>
    <row r="3996" spans="1:9" x14ac:dyDescent="0.3">
      <c r="A3996" s="1">
        <v>42990</v>
      </c>
      <c r="B3996" s="2" t="s">
        <v>467</v>
      </c>
      <c r="C3996" s="2" t="s">
        <v>24</v>
      </c>
      <c r="D3996" s="2" t="s">
        <v>2</v>
      </c>
      <c r="E3996" s="2" t="s">
        <v>9</v>
      </c>
      <c r="F3996" s="2" t="s">
        <v>1348</v>
      </c>
      <c r="G3996" s="2">
        <v>15.14</v>
      </c>
      <c r="H3996" s="2">
        <v>1</v>
      </c>
      <c r="I3996" s="3">
        <v>0.61</v>
      </c>
    </row>
    <row r="3997" spans="1:9" x14ac:dyDescent="0.3">
      <c r="A3997" s="4">
        <v>42990</v>
      </c>
      <c r="B3997" s="5" t="s">
        <v>467</v>
      </c>
      <c r="C3997" s="5" t="s">
        <v>24</v>
      </c>
      <c r="D3997" s="5" t="s">
        <v>2</v>
      </c>
      <c r="E3997" s="5" t="s">
        <v>7</v>
      </c>
      <c r="F3997" s="5" t="s">
        <v>999</v>
      </c>
      <c r="G3997" s="5">
        <v>5.76</v>
      </c>
      <c r="H3997" s="5">
        <v>2</v>
      </c>
      <c r="I3997" s="6">
        <v>2.65</v>
      </c>
    </row>
    <row r="3998" spans="1:9" x14ac:dyDescent="0.3">
      <c r="A3998" s="1">
        <v>42990</v>
      </c>
      <c r="B3998" s="2" t="s">
        <v>467</v>
      </c>
      <c r="C3998" s="2" t="s">
        <v>24</v>
      </c>
      <c r="D3998" s="2" t="s">
        <v>30</v>
      </c>
      <c r="E3998" s="2" t="s">
        <v>290</v>
      </c>
      <c r="F3998" s="2" t="s">
        <v>464</v>
      </c>
      <c r="G3998" s="2">
        <v>1399.98</v>
      </c>
      <c r="H3998" s="2">
        <v>2</v>
      </c>
      <c r="I3998" s="3">
        <v>629.99</v>
      </c>
    </row>
    <row r="3999" spans="1:9" x14ac:dyDescent="0.3">
      <c r="A3999" s="4">
        <v>42990</v>
      </c>
      <c r="B3999" s="5" t="s">
        <v>589</v>
      </c>
      <c r="C3999" s="5" t="s">
        <v>14</v>
      </c>
      <c r="D3999" s="5" t="s">
        <v>2</v>
      </c>
      <c r="E3999" s="5" t="s">
        <v>11</v>
      </c>
      <c r="F3999" s="5" t="s">
        <v>1485</v>
      </c>
      <c r="G3999" s="5">
        <v>11.09</v>
      </c>
      <c r="H3999" s="5">
        <v>7</v>
      </c>
      <c r="I3999" s="6">
        <v>-8.1300000000000008</v>
      </c>
    </row>
    <row r="4000" spans="1:9" x14ac:dyDescent="0.3">
      <c r="A4000" s="1">
        <v>42990</v>
      </c>
      <c r="B4000" s="2" t="s">
        <v>734</v>
      </c>
      <c r="C4000" s="2" t="s">
        <v>160</v>
      </c>
      <c r="D4000" s="2" t="s">
        <v>2</v>
      </c>
      <c r="E4000" s="2" t="s">
        <v>11</v>
      </c>
      <c r="F4000" s="2" t="s">
        <v>2368</v>
      </c>
      <c r="G4000" s="2">
        <v>54.9</v>
      </c>
      <c r="H4000" s="2">
        <v>5</v>
      </c>
      <c r="I4000" s="3">
        <v>26.9</v>
      </c>
    </row>
    <row r="4001" spans="1:9" x14ac:dyDescent="0.3">
      <c r="A4001" s="4">
        <v>43020</v>
      </c>
      <c r="B4001" s="5" t="s">
        <v>1633</v>
      </c>
      <c r="C4001" s="5" t="s">
        <v>18</v>
      </c>
      <c r="D4001" s="5" t="s">
        <v>2</v>
      </c>
      <c r="E4001" s="5" t="s">
        <v>11</v>
      </c>
      <c r="F4001" s="5" t="s">
        <v>591</v>
      </c>
      <c r="G4001" s="5">
        <v>19.940000000000001</v>
      </c>
      <c r="H4001" s="5">
        <v>4</v>
      </c>
      <c r="I4001" s="6">
        <v>7.23</v>
      </c>
    </row>
    <row r="4002" spans="1:9" x14ac:dyDescent="0.3">
      <c r="A4002" s="1">
        <v>43020</v>
      </c>
      <c r="B4002" s="2" t="s">
        <v>1633</v>
      </c>
      <c r="C4002" s="2" t="s">
        <v>18</v>
      </c>
      <c r="D4002" s="2" t="s">
        <v>2</v>
      </c>
      <c r="E4002" s="2" t="s">
        <v>11</v>
      </c>
      <c r="F4002" s="2" t="s">
        <v>472</v>
      </c>
      <c r="G4002" s="2">
        <v>65.569999999999993</v>
      </c>
      <c r="H4002" s="2">
        <v>2</v>
      </c>
      <c r="I4002" s="3">
        <v>22.95</v>
      </c>
    </row>
    <row r="4003" spans="1:9" x14ac:dyDescent="0.3">
      <c r="A4003" s="4">
        <v>43020</v>
      </c>
      <c r="B4003" s="5" t="s">
        <v>792</v>
      </c>
      <c r="C4003" s="5" t="s">
        <v>14</v>
      </c>
      <c r="D4003" s="5" t="s">
        <v>30</v>
      </c>
      <c r="E4003" s="5" t="s">
        <v>43</v>
      </c>
      <c r="F4003" s="5" t="s">
        <v>2292</v>
      </c>
      <c r="G4003" s="5">
        <v>14.2</v>
      </c>
      <c r="H4003" s="5">
        <v>1</v>
      </c>
      <c r="I4003" s="6">
        <v>3.37</v>
      </c>
    </row>
    <row r="4004" spans="1:9" x14ac:dyDescent="0.3">
      <c r="A4004" s="1">
        <v>43020</v>
      </c>
      <c r="B4004" s="2" t="s">
        <v>2001</v>
      </c>
      <c r="C4004" s="2" t="s">
        <v>767</v>
      </c>
      <c r="D4004" s="2" t="s">
        <v>2</v>
      </c>
      <c r="E4004" s="2" t="s">
        <v>11</v>
      </c>
      <c r="F4004" s="2" t="s">
        <v>986</v>
      </c>
      <c r="G4004" s="2">
        <v>34.5</v>
      </c>
      <c r="H4004" s="2">
        <v>3</v>
      </c>
      <c r="I4004" s="3">
        <v>15.53</v>
      </c>
    </row>
    <row r="4005" spans="1:9" x14ac:dyDescent="0.3">
      <c r="A4005" s="4">
        <v>43020</v>
      </c>
      <c r="B4005" s="5" t="s">
        <v>449</v>
      </c>
      <c r="C4005" s="5" t="s">
        <v>83</v>
      </c>
      <c r="D4005" s="5" t="s">
        <v>25</v>
      </c>
      <c r="E4005" s="5" t="s">
        <v>86</v>
      </c>
      <c r="F4005" s="5" t="s">
        <v>1816</v>
      </c>
      <c r="G4005" s="5">
        <v>1669.6</v>
      </c>
      <c r="H4005" s="5">
        <v>4</v>
      </c>
      <c r="I4005" s="6">
        <v>116.87</v>
      </c>
    </row>
    <row r="4006" spans="1:9" x14ac:dyDescent="0.3">
      <c r="A4006" s="1">
        <v>43020</v>
      </c>
      <c r="B4006" s="2" t="s">
        <v>2273</v>
      </c>
      <c r="C4006" s="2" t="s">
        <v>14</v>
      </c>
      <c r="D4006" s="2" t="s">
        <v>2</v>
      </c>
      <c r="E4006" s="2" t="s">
        <v>3</v>
      </c>
      <c r="F4006" s="2" t="s">
        <v>701</v>
      </c>
      <c r="G4006" s="2">
        <v>10.37</v>
      </c>
      <c r="H4006" s="2">
        <v>2</v>
      </c>
      <c r="I4006" s="3">
        <v>3.63</v>
      </c>
    </row>
    <row r="4007" spans="1:9" x14ac:dyDescent="0.3">
      <c r="A4007" s="4">
        <v>43020</v>
      </c>
      <c r="B4007" s="5" t="s">
        <v>2273</v>
      </c>
      <c r="C4007" s="5" t="s">
        <v>14</v>
      </c>
      <c r="D4007" s="5" t="s">
        <v>25</v>
      </c>
      <c r="E4007" s="5" t="s">
        <v>38</v>
      </c>
      <c r="F4007" s="5" t="s">
        <v>1807</v>
      </c>
      <c r="G4007" s="5">
        <v>310.88</v>
      </c>
      <c r="H4007" s="5">
        <v>2</v>
      </c>
      <c r="I4007" s="6">
        <v>23.32</v>
      </c>
    </row>
    <row r="4008" spans="1:9" x14ac:dyDescent="0.3">
      <c r="A4008" s="1">
        <v>43020</v>
      </c>
      <c r="B4008" s="2" t="s">
        <v>710</v>
      </c>
      <c r="C4008" s="2" t="s">
        <v>300</v>
      </c>
      <c r="D4008" s="2" t="s">
        <v>2</v>
      </c>
      <c r="E4008" s="2" t="s">
        <v>114</v>
      </c>
      <c r="F4008" s="2" t="s">
        <v>750</v>
      </c>
      <c r="G4008" s="2">
        <v>10.86</v>
      </c>
      <c r="H4008" s="2">
        <v>3</v>
      </c>
      <c r="I4008" s="3">
        <v>5.0999999999999996</v>
      </c>
    </row>
    <row r="4009" spans="1:9" x14ac:dyDescent="0.3">
      <c r="A4009" s="4">
        <v>43020</v>
      </c>
      <c r="B4009" s="5" t="s">
        <v>710</v>
      </c>
      <c r="C4009" s="5" t="s">
        <v>300</v>
      </c>
      <c r="D4009" s="5" t="s">
        <v>2</v>
      </c>
      <c r="E4009" s="5" t="s">
        <v>133</v>
      </c>
      <c r="F4009" s="5" t="s">
        <v>2157</v>
      </c>
      <c r="G4009" s="5">
        <v>426.79</v>
      </c>
      <c r="H4009" s="5">
        <v>7</v>
      </c>
      <c r="I4009" s="6">
        <v>123.77</v>
      </c>
    </row>
    <row r="4010" spans="1:9" x14ac:dyDescent="0.3">
      <c r="A4010" s="1">
        <v>43020</v>
      </c>
      <c r="B4010" s="2" t="s">
        <v>1274</v>
      </c>
      <c r="C4010" s="2" t="s">
        <v>58</v>
      </c>
      <c r="D4010" s="2" t="s">
        <v>25</v>
      </c>
      <c r="E4010" s="2" t="s">
        <v>38</v>
      </c>
      <c r="F4010" s="2" t="s">
        <v>1182</v>
      </c>
      <c r="G4010" s="2">
        <v>19.100000000000001</v>
      </c>
      <c r="H4010" s="2">
        <v>3</v>
      </c>
      <c r="I4010" s="3">
        <v>5.73</v>
      </c>
    </row>
    <row r="4011" spans="1:9" x14ac:dyDescent="0.3">
      <c r="A4011" s="4">
        <v>43020</v>
      </c>
      <c r="B4011" s="5" t="s">
        <v>1633</v>
      </c>
      <c r="C4011" s="5" t="s">
        <v>62</v>
      </c>
      <c r="D4011" s="5" t="s">
        <v>30</v>
      </c>
      <c r="E4011" s="5" t="s">
        <v>43</v>
      </c>
      <c r="F4011" s="5" t="s">
        <v>546</v>
      </c>
      <c r="G4011" s="5">
        <v>49.08</v>
      </c>
      <c r="H4011" s="5">
        <v>3</v>
      </c>
      <c r="I4011" s="6">
        <v>4.91</v>
      </c>
    </row>
    <row r="4012" spans="1:9" x14ac:dyDescent="0.3">
      <c r="A4012" s="1">
        <v>43020</v>
      </c>
      <c r="B4012" s="2" t="s">
        <v>1633</v>
      </c>
      <c r="C4012" s="2" t="s">
        <v>62</v>
      </c>
      <c r="D4012" s="2" t="s">
        <v>2</v>
      </c>
      <c r="E4012" s="2" t="s">
        <v>9</v>
      </c>
      <c r="F4012" s="2" t="s">
        <v>1743</v>
      </c>
      <c r="G4012" s="2">
        <v>324.89999999999998</v>
      </c>
      <c r="H4012" s="2">
        <v>5</v>
      </c>
      <c r="I4012" s="3">
        <v>38.99</v>
      </c>
    </row>
    <row r="4013" spans="1:9" x14ac:dyDescent="0.3">
      <c r="A4013" s="4">
        <v>43020</v>
      </c>
      <c r="B4013" s="5" t="s">
        <v>1633</v>
      </c>
      <c r="C4013" s="5" t="s">
        <v>62</v>
      </c>
      <c r="D4013" s="5" t="s">
        <v>2</v>
      </c>
      <c r="E4013" s="5" t="s">
        <v>15</v>
      </c>
      <c r="F4013" s="5" t="s">
        <v>2409</v>
      </c>
      <c r="G4013" s="5">
        <v>18.239999999999998</v>
      </c>
      <c r="H4013" s="5">
        <v>3</v>
      </c>
      <c r="I4013" s="6">
        <v>5.29</v>
      </c>
    </row>
    <row r="4014" spans="1:9" x14ac:dyDescent="0.3">
      <c r="A4014" s="1">
        <v>43020</v>
      </c>
      <c r="B4014" s="2" t="s">
        <v>1570</v>
      </c>
      <c r="C4014" s="2" t="s">
        <v>450</v>
      </c>
      <c r="D4014" s="2" t="s">
        <v>30</v>
      </c>
      <c r="E4014" s="2" t="s">
        <v>43</v>
      </c>
      <c r="F4014" s="2" t="s">
        <v>1459</v>
      </c>
      <c r="G4014" s="2">
        <v>599.97</v>
      </c>
      <c r="H4014" s="2">
        <v>3</v>
      </c>
      <c r="I4014" s="3">
        <v>257.99</v>
      </c>
    </row>
    <row r="4015" spans="1:9" x14ac:dyDescent="0.3">
      <c r="A4015" s="4">
        <v>43020</v>
      </c>
      <c r="B4015" s="5" t="s">
        <v>1570</v>
      </c>
      <c r="C4015" s="5" t="s">
        <v>450</v>
      </c>
      <c r="D4015" s="5" t="s">
        <v>30</v>
      </c>
      <c r="E4015" s="5" t="s">
        <v>31</v>
      </c>
      <c r="F4015" s="5" t="s">
        <v>1645</v>
      </c>
      <c r="G4015" s="5">
        <v>38.97</v>
      </c>
      <c r="H4015" s="5">
        <v>3</v>
      </c>
      <c r="I4015" s="6">
        <v>0.78</v>
      </c>
    </row>
    <row r="4016" spans="1:9" x14ac:dyDescent="0.3">
      <c r="A4016" s="1">
        <v>43020</v>
      </c>
      <c r="B4016" s="2" t="s">
        <v>1570</v>
      </c>
      <c r="C4016" s="2" t="s">
        <v>450</v>
      </c>
      <c r="D4016" s="2" t="s">
        <v>2</v>
      </c>
      <c r="E4016" s="2" t="s">
        <v>11</v>
      </c>
      <c r="F4016" s="2" t="s">
        <v>2268</v>
      </c>
      <c r="G4016" s="2">
        <v>45.84</v>
      </c>
      <c r="H4016" s="2">
        <v>8</v>
      </c>
      <c r="I4016" s="3">
        <v>22</v>
      </c>
    </row>
    <row r="4017" spans="1:9" x14ac:dyDescent="0.3">
      <c r="A4017" s="4">
        <v>43020</v>
      </c>
      <c r="B4017" s="5" t="s">
        <v>1863</v>
      </c>
      <c r="C4017" s="5" t="s">
        <v>18</v>
      </c>
      <c r="D4017" s="5" t="s">
        <v>30</v>
      </c>
      <c r="E4017" s="5" t="s">
        <v>31</v>
      </c>
      <c r="F4017" s="5" t="s">
        <v>1088</v>
      </c>
      <c r="G4017" s="5">
        <v>95.84</v>
      </c>
      <c r="H4017" s="5">
        <v>4</v>
      </c>
      <c r="I4017" s="6">
        <v>34.74</v>
      </c>
    </row>
    <row r="4018" spans="1:9" x14ac:dyDescent="0.3">
      <c r="A4018" s="1">
        <v>43020</v>
      </c>
      <c r="B4018" s="2" t="s">
        <v>1863</v>
      </c>
      <c r="C4018" s="2" t="s">
        <v>18</v>
      </c>
      <c r="D4018" s="2" t="s">
        <v>2</v>
      </c>
      <c r="E4018" s="2" t="s">
        <v>3</v>
      </c>
      <c r="F4018" s="2" t="s">
        <v>19</v>
      </c>
      <c r="G4018" s="2">
        <v>12.96</v>
      </c>
      <c r="H4018" s="2">
        <v>2</v>
      </c>
      <c r="I4018" s="3">
        <v>6.22</v>
      </c>
    </row>
    <row r="4019" spans="1:9" x14ac:dyDescent="0.3">
      <c r="A4019" s="4">
        <v>43020</v>
      </c>
      <c r="B4019" s="5" t="s">
        <v>2053</v>
      </c>
      <c r="C4019" s="5" t="s">
        <v>138</v>
      </c>
      <c r="D4019" s="5" t="s">
        <v>25</v>
      </c>
      <c r="E4019" s="5" t="s">
        <v>38</v>
      </c>
      <c r="F4019" s="5" t="s">
        <v>1304</v>
      </c>
      <c r="G4019" s="5">
        <v>14.76</v>
      </c>
      <c r="H4019" s="5">
        <v>2</v>
      </c>
      <c r="I4019" s="6">
        <v>4.28</v>
      </c>
    </row>
    <row r="4020" spans="1:9" x14ac:dyDescent="0.3">
      <c r="A4020" s="1">
        <v>43020</v>
      </c>
      <c r="B4020" s="2" t="s">
        <v>854</v>
      </c>
      <c r="C4020" s="2" t="s">
        <v>14</v>
      </c>
      <c r="D4020" s="2" t="s">
        <v>2</v>
      </c>
      <c r="E4020" s="2" t="s">
        <v>11</v>
      </c>
      <c r="F4020" s="2" t="s">
        <v>1755</v>
      </c>
      <c r="G4020" s="2">
        <v>3.27</v>
      </c>
      <c r="H4020" s="2">
        <v>1</v>
      </c>
      <c r="I4020" s="3">
        <v>-2.5099999999999998</v>
      </c>
    </row>
    <row r="4021" spans="1:9" x14ac:dyDescent="0.3">
      <c r="A4021" s="4">
        <v>43020</v>
      </c>
      <c r="B4021" s="5" t="s">
        <v>854</v>
      </c>
      <c r="C4021" s="5" t="s">
        <v>14</v>
      </c>
      <c r="D4021" s="5" t="s">
        <v>25</v>
      </c>
      <c r="E4021" s="5" t="s">
        <v>38</v>
      </c>
      <c r="F4021" s="5" t="s">
        <v>386</v>
      </c>
      <c r="G4021" s="5">
        <v>87.92</v>
      </c>
      <c r="H4021" s="5">
        <v>5</v>
      </c>
      <c r="I4021" s="6">
        <v>15.39</v>
      </c>
    </row>
    <row r="4022" spans="1:9" x14ac:dyDescent="0.3">
      <c r="A4022" s="1">
        <v>43051</v>
      </c>
      <c r="B4022" s="2" t="s">
        <v>1098</v>
      </c>
      <c r="C4022" s="2" t="s">
        <v>80</v>
      </c>
      <c r="D4022" s="2" t="s">
        <v>2</v>
      </c>
      <c r="E4022" s="2" t="s">
        <v>11</v>
      </c>
      <c r="F4022" s="2" t="s">
        <v>650</v>
      </c>
      <c r="G4022" s="2">
        <v>23.36</v>
      </c>
      <c r="H4022" s="2">
        <v>4</v>
      </c>
      <c r="I4022" s="3">
        <v>7.88</v>
      </c>
    </row>
    <row r="4023" spans="1:9" x14ac:dyDescent="0.3">
      <c r="A4023" s="4">
        <v>43051</v>
      </c>
      <c r="B4023" s="5" t="s">
        <v>1098</v>
      </c>
      <c r="C4023" s="5" t="s">
        <v>80</v>
      </c>
      <c r="D4023" s="5" t="s">
        <v>30</v>
      </c>
      <c r="E4023" s="5" t="s">
        <v>43</v>
      </c>
      <c r="F4023" s="5" t="s">
        <v>1401</v>
      </c>
      <c r="G4023" s="5">
        <v>39.979999999999997</v>
      </c>
      <c r="H4023" s="5">
        <v>2</v>
      </c>
      <c r="I4023" s="6">
        <v>13.59</v>
      </c>
    </row>
    <row r="4024" spans="1:9" x14ac:dyDescent="0.3">
      <c r="A4024" s="1">
        <v>43051</v>
      </c>
      <c r="B4024" s="2" t="s">
        <v>333</v>
      </c>
      <c r="C4024" s="2" t="s">
        <v>14</v>
      </c>
      <c r="D4024" s="2" t="s">
        <v>25</v>
      </c>
      <c r="E4024" s="2" t="s">
        <v>26</v>
      </c>
      <c r="F4024" s="2" t="s">
        <v>2410</v>
      </c>
      <c r="G4024" s="2">
        <v>63.69</v>
      </c>
      <c r="H4024" s="2">
        <v>1</v>
      </c>
      <c r="I4024" s="3">
        <v>-9.1</v>
      </c>
    </row>
    <row r="4025" spans="1:9" x14ac:dyDescent="0.3">
      <c r="A4025" s="4">
        <v>43051</v>
      </c>
      <c r="B4025" s="5" t="s">
        <v>2411</v>
      </c>
      <c r="C4025" s="5" t="s">
        <v>6</v>
      </c>
      <c r="D4025" s="5" t="s">
        <v>2</v>
      </c>
      <c r="E4025" s="5" t="s">
        <v>3</v>
      </c>
      <c r="F4025" s="5" t="s">
        <v>579</v>
      </c>
      <c r="G4025" s="5">
        <v>10.37</v>
      </c>
      <c r="H4025" s="5">
        <v>2</v>
      </c>
      <c r="I4025" s="6">
        <v>3.63</v>
      </c>
    </row>
    <row r="4026" spans="1:9" x14ac:dyDescent="0.3">
      <c r="A4026" s="1">
        <v>43051</v>
      </c>
      <c r="B4026" s="2" t="s">
        <v>2411</v>
      </c>
      <c r="C4026" s="2" t="s">
        <v>6</v>
      </c>
      <c r="D4026" s="2" t="s">
        <v>25</v>
      </c>
      <c r="E4026" s="2" t="s">
        <v>38</v>
      </c>
      <c r="F4026" s="2" t="s">
        <v>1807</v>
      </c>
      <c r="G4026" s="2">
        <v>77.72</v>
      </c>
      <c r="H4026" s="2">
        <v>1</v>
      </c>
      <c r="I4026" s="3">
        <v>-66.06</v>
      </c>
    </row>
    <row r="4027" spans="1:9" x14ac:dyDescent="0.3">
      <c r="A4027" s="4">
        <v>43051</v>
      </c>
      <c r="B4027" s="5" t="s">
        <v>2411</v>
      </c>
      <c r="C4027" s="5" t="s">
        <v>6</v>
      </c>
      <c r="D4027" s="5" t="s">
        <v>25</v>
      </c>
      <c r="E4027" s="5" t="s">
        <v>26</v>
      </c>
      <c r="F4027" s="5" t="s">
        <v>715</v>
      </c>
      <c r="G4027" s="5">
        <v>520.46</v>
      </c>
      <c r="H4027" s="5">
        <v>2</v>
      </c>
      <c r="I4027" s="6">
        <v>-14.87</v>
      </c>
    </row>
    <row r="4028" spans="1:9" x14ac:dyDescent="0.3">
      <c r="A4028" s="1">
        <v>43051</v>
      </c>
      <c r="B4028" s="2" t="s">
        <v>955</v>
      </c>
      <c r="C4028" s="2" t="s">
        <v>181</v>
      </c>
      <c r="D4028" s="2" t="s">
        <v>30</v>
      </c>
      <c r="E4028" s="2" t="s">
        <v>31</v>
      </c>
      <c r="F4028" s="2" t="s">
        <v>1301</v>
      </c>
      <c r="G4028" s="2">
        <v>128.85</v>
      </c>
      <c r="H4028" s="2">
        <v>3</v>
      </c>
      <c r="I4028" s="3">
        <v>3.87</v>
      </c>
    </row>
    <row r="4029" spans="1:9" x14ac:dyDescent="0.3">
      <c r="A4029" s="4">
        <v>43051</v>
      </c>
      <c r="B4029" s="5" t="s">
        <v>1988</v>
      </c>
      <c r="C4029" s="5" t="s">
        <v>6</v>
      </c>
      <c r="D4029" s="5" t="s">
        <v>30</v>
      </c>
      <c r="E4029" s="5" t="s">
        <v>43</v>
      </c>
      <c r="F4029" s="5" t="s">
        <v>193</v>
      </c>
      <c r="G4029" s="5">
        <v>116.31</v>
      </c>
      <c r="H4029" s="5">
        <v>7</v>
      </c>
      <c r="I4029" s="6">
        <v>23.26</v>
      </c>
    </row>
    <row r="4030" spans="1:9" x14ac:dyDescent="0.3">
      <c r="A4030" s="1">
        <v>43051</v>
      </c>
      <c r="B4030" s="2" t="s">
        <v>1056</v>
      </c>
      <c r="C4030" s="2" t="s">
        <v>80</v>
      </c>
      <c r="D4030" s="2" t="s">
        <v>2</v>
      </c>
      <c r="E4030" s="2" t="s">
        <v>11</v>
      </c>
      <c r="F4030" s="2" t="s">
        <v>1444</v>
      </c>
      <c r="G4030" s="2">
        <v>14.95</v>
      </c>
      <c r="H4030" s="2">
        <v>1</v>
      </c>
      <c r="I4030" s="3">
        <v>5.05</v>
      </c>
    </row>
    <row r="4031" spans="1:9" x14ac:dyDescent="0.3">
      <c r="A4031" s="4">
        <v>43051</v>
      </c>
      <c r="B4031" s="5" t="s">
        <v>1056</v>
      </c>
      <c r="C4031" s="5" t="s">
        <v>80</v>
      </c>
      <c r="D4031" s="5" t="s">
        <v>2</v>
      </c>
      <c r="E4031" s="5" t="s">
        <v>3</v>
      </c>
      <c r="F4031" s="5" t="s">
        <v>475</v>
      </c>
      <c r="G4031" s="5">
        <v>17.940000000000001</v>
      </c>
      <c r="H4031" s="5">
        <v>3</v>
      </c>
      <c r="I4031" s="6">
        <v>8.07</v>
      </c>
    </row>
    <row r="4032" spans="1:9" x14ac:dyDescent="0.3">
      <c r="A4032" s="1">
        <v>43051</v>
      </c>
      <c r="B4032" s="2" t="s">
        <v>1056</v>
      </c>
      <c r="C4032" s="2" t="s">
        <v>80</v>
      </c>
      <c r="D4032" s="2" t="s">
        <v>30</v>
      </c>
      <c r="E4032" s="2" t="s">
        <v>31</v>
      </c>
      <c r="F4032" s="2" t="s">
        <v>1226</v>
      </c>
      <c r="G4032" s="2">
        <v>116.98</v>
      </c>
      <c r="H4032" s="2">
        <v>2</v>
      </c>
      <c r="I4032" s="3">
        <v>29.25</v>
      </c>
    </row>
    <row r="4033" spans="1:9" x14ac:dyDescent="0.3">
      <c r="A4033" s="4">
        <v>43051</v>
      </c>
      <c r="B4033" s="5" t="s">
        <v>646</v>
      </c>
      <c r="C4033" s="5" t="s">
        <v>1</v>
      </c>
      <c r="D4033" s="5" t="s">
        <v>2</v>
      </c>
      <c r="E4033" s="5" t="s">
        <v>133</v>
      </c>
      <c r="F4033" s="5" t="s">
        <v>2412</v>
      </c>
      <c r="G4033" s="5">
        <v>1.39</v>
      </c>
      <c r="H4033" s="5">
        <v>2</v>
      </c>
      <c r="I4033" s="6">
        <v>-3.76</v>
      </c>
    </row>
    <row r="4034" spans="1:9" x14ac:dyDescent="0.3">
      <c r="A4034" s="1">
        <v>43051</v>
      </c>
      <c r="B4034" s="2" t="s">
        <v>1820</v>
      </c>
      <c r="C4034" s="2" t="s">
        <v>58</v>
      </c>
      <c r="D4034" s="2" t="s">
        <v>25</v>
      </c>
      <c r="E4034" s="2" t="s">
        <v>86</v>
      </c>
      <c r="F4034" s="2" t="s">
        <v>524</v>
      </c>
      <c r="G4034" s="2">
        <v>721.88</v>
      </c>
      <c r="H4034" s="2">
        <v>6</v>
      </c>
      <c r="I4034" s="3">
        <v>-420</v>
      </c>
    </row>
    <row r="4035" spans="1:9" x14ac:dyDescent="0.3">
      <c r="A4035" s="4">
        <v>43051</v>
      </c>
      <c r="B4035" s="5" t="s">
        <v>1820</v>
      </c>
      <c r="C4035" s="5" t="s">
        <v>58</v>
      </c>
      <c r="D4035" s="5" t="s">
        <v>30</v>
      </c>
      <c r="E4035" s="5" t="s">
        <v>31</v>
      </c>
      <c r="F4035" s="5" t="s">
        <v>2068</v>
      </c>
      <c r="G4035" s="5">
        <v>73.569999999999993</v>
      </c>
      <c r="H4035" s="5">
        <v>4</v>
      </c>
      <c r="I4035" s="6">
        <v>-16.55</v>
      </c>
    </row>
    <row r="4036" spans="1:9" x14ac:dyDescent="0.3">
      <c r="A4036" s="1">
        <v>43051</v>
      </c>
      <c r="B4036" s="2" t="s">
        <v>1820</v>
      </c>
      <c r="C4036" s="2" t="s">
        <v>58</v>
      </c>
      <c r="D4036" s="2" t="s">
        <v>2</v>
      </c>
      <c r="E4036" s="2" t="s">
        <v>15</v>
      </c>
      <c r="F4036" s="2" t="s">
        <v>1952</v>
      </c>
      <c r="G4036" s="2">
        <v>13.58</v>
      </c>
      <c r="H4036" s="2">
        <v>1</v>
      </c>
      <c r="I4036" s="3">
        <v>1.36</v>
      </c>
    </row>
    <row r="4037" spans="1:9" x14ac:dyDescent="0.3">
      <c r="A4037" s="4">
        <v>43051</v>
      </c>
      <c r="B4037" s="5" t="s">
        <v>1820</v>
      </c>
      <c r="C4037" s="5" t="s">
        <v>58</v>
      </c>
      <c r="D4037" s="5" t="s">
        <v>25</v>
      </c>
      <c r="E4037" s="5" t="s">
        <v>26</v>
      </c>
      <c r="F4037" s="5" t="s">
        <v>98</v>
      </c>
      <c r="G4037" s="5">
        <v>64.78</v>
      </c>
      <c r="H4037" s="5">
        <v>1</v>
      </c>
      <c r="I4037" s="6">
        <v>-12.15</v>
      </c>
    </row>
    <row r="4038" spans="1:9" x14ac:dyDescent="0.3">
      <c r="A4038" s="1">
        <v>43051</v>
      </c>
      <c r="B4038" s="2" t="s">
        <v>1810</v>
      </c>
      <c r="C4038" s="2" t="s">
        <v>1516</v>
      </c>
      <c r="D4038" s="2" t="s">
        <v>2</v>
      </c>
      <c r="E4038" s="2" t="s">
        <v>114</v>
      </c>
      <c r="F4038" s="2" t="s">
        <v>2413</v>
      </c>
      <c r="G4038" s="2">
        <v>7.28</v>
      </c>
      <c r="H4038" s="2">
        <v>1</v>
      </c>
      <c r="I4038" s="3">
        <v>3.49</v>
      </c>
    </row>
    <row r="4039" spans="1:9" x14ac:dyDescent="0.3">
      <c r="A4039" s="4">
        <v>43051</v>
      </c>
      <c r="B4039" s="5" t="s">
        <v>1810</v>
      </c>
      <c r="C4039" s="5" t="s">
        <v>1516</v>
      </c>
      <c r="D4039" s="5" t="s">
        <v>2</v>
      </c>
      <c r="E4039" s="5" t="s">
        <v>11</v>
      </c>
      <c r="F4039" s="5" t="s">
        <v>2087</v>
      </c>
      <c r="G4039" s="5">
        <v>5.4</v>
      </c>
      <c r="H4039" s="5">
        <v>3</v>
      </c>
      <c r="I4039" s="6">
        <v>2.59</v>
      </c>
    </row>
    <row r="4040" spans="1:9" x14ac:dyDescent="0.3">
      <c r="A4040" s="1">
        <v>43051</v>
      </c>
      <c r="B4040" s="2" t="s">
        <v>975</v>
      </c>
      <c r="C4040" s="2" t="s">
        <v>77</v>
      </c>
      <c r="D4040" s="2" t="s">
        <v>2</v>
      </c>
      <c r="E4040" s="2" t="s">
        <v>34</v>
      </c>
      <c r="F4040" s="2" t="s">
        <v>168</v>
      </c>
      <c r="G4040" s="2">
        <v>6.54</v>
      </c>
      <c r="H4040" s="2">
        <v>3</v>
      </c>
      <c r="I4040" s="3">
        <v>2.16</v>
      </c>
    </row>
    <row r="4041" spans="1:9" x14ac:dyDescent="0.3">
      <c r="A4041" s="4">
        <v>43051</v>
      </c>
      <c r="B4041" s="5" t="s">
        <v>175</v>
      </c>
      <c r="C4041" s="5" t="s">
        <v>77</v>
      </c>
      <c r="D4041" s="5" t="s">
        <v>2</v>
      </c>
      <c r="E4041" s="5" t="s">
        <v>11</v>
      </c>
      <c r="F4041" s="5" t="s">
        <v>220</v>
      </c>
      <c r="G4041" s="5">
        <v>40.200000000000003</v>
      </c>
      <c r="H4041" s="5">
        <v>5</v>
      </c>
      <c r="I4041" s="6">
        <v>18.09</v>
      </c>
    </row>
    <row r="4042" spans="1:9" x14ac:dyDescent="0.3">
      <c r="A4042" s="1">
        <v>43051</v>
      </c>
      <c r="B4042" s="2" t="s">
        <v>175</v>
      </c>
      <c r="C4042" s="2" t="s">
        <v>77</v>
      </c>
      <c r="D4042" s="2" t="s">
        <v>2</v>
      </c>
      <c r="E4042" s="2" t="s">
        <v>11</v>
      </c>
      <c r="F4042" s="2" t="s">
        <v>586</v>
      </c>
      <c r="G4042" s="2">
        <v>735.98</v>
      </c>
      <c r="H4042" s="2">
        <v>2</v>
      </c>
      <c r="I4042" s="3">
        <v>331.19</v>
      </c>
    </row>
    <row r="4043" spans="1:9" x14ac:dyDescent="0.3">
      <c r="A4043" s="7">
        <v>43051</v>
      </c>
      <c r="B4043" s="8" t="s">
        <v>175</v>
      </c>
      <c r="C4043" s="8" t="s">
        <v>77</v>
      </c>
      <c r="D4043" s="8" t="s">
        <v>2</v>
      </c>
      <c r="E4043" s="8" t="s">
        <v>133</v>
      </c>
      <c r="F4043" s="8" t="s">
        <v>525</v>
      </c>
      <c r="G4043" s="8">
        <v>22.75</v>
      </c>
      <c r="H4043" s="8">
        <v>7</v>
      </c>
      <c r="I4043" s="9">
        <v>6.6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4774-733E-4ABA-A577-E77418F1AB58}">
  <dimension ref="A1"/>
  <sheetViews>
    <sheetView tabSelected="1" workbookViewId="0">
      <selection activeCell="T7" sqref="T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vt:lpstr>
      <vt:lpstr>category</vt:lpstr>
      <vt:lpstr>State</vt:lpstr>
      <vt:lpstr>profit Distribution</vt:lpstr>
      <vt:lpstr>Sheet8</vt:lpstr>
      <vt:lpstr>Quantity Sold trend</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Prabhat Sinha</dc:creator>
  <cp:lastModifiedBy>dolly pal</cp:lastModifiedBy>
  <dcterms:created xsi:type="dcterms:W3CDTF">2023-09-16T08:43:05Z</dcterms:created>
  <dcterms:modified xsi:type="dcterms:W3CDTF">2025-11-26T16:00:39Z</dcterms:modified>
</cp:coreProperties>
</file>